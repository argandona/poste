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tecsur\backend_tecsur\core\data\"/>
    </mc:Choice>
  </mc:AlternateContent>
  <xr:revisionPtr revIDLastSave="0" documentId="8_{491D6BA2-9561-4C86-8B14-D8195E382548}" xr6:coauthVersionLast="47" xr6:coauthVersionMax="47" xr10:uidLastSave="{00000000-0000-0000-0000-000000000000}"/>
  <bookViews>
    <workbookView xWindow="-108" yWindow="-108" windowWidth="23256" windowHeight="13896" tabRatio="949" activeTab="1" xr2:uid="{30CDAF39-0289-4AB3-A4BF-450EBCCFADD6}"/>
  </bookViews>
  <sheets>
    <sheet name="Caratula " sheetId="76" r:id="rId1"/>
    <sheet name="MATERIAL" sheetId="77" r:id="rId2"/>
    <sheet name="MANO DE OBRA" sheetId="82" r:id="rId3"/>
    <sheet name="Cables" sheetId="83" r:id="rId4"/>
    <sheet name="Vereda" sheetId="38" r:id="rId5"/>
    <sheet name="Traslado - Acarreo" sheetId="72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2" hidden="1">'MANO DE OBRA'!$6:$6</definedName>
    <definedName name="_xlnm._FilterDatabase" localSheetId="1" hidden="1">MATERIAL!$A$13:$DB$191</definedName>
    <definedName name="_xlnm._FilterDatabase" localSheetId="5" hidden="1">'Traslado - Acarreo'!$B$2:$B$49</definedName>
    <definedName name="_xlnm._FilterDatabase" localSheetId="4" hidden="1">Vereda!$B$172:$E$187</definedName>
    <definedName name="_Order1" hidden="1">255</definedName>
    <definedName name="_xlnm.Print_Area" localSheetId="1">MATERIAL!$A$3:$BM$101</definedName>
    <definedName name="ZANJDET" localSheetId="0" hidden="1">#REF!</definedName>
    <definedName name="ZANJDET" localSheetId="1" hidden="1">#REF!</definedName>
    <definedName name="ZANJDET" hidden="1">#REF!</definedName>
  </definedNames>
  <calcPr calcId="191029" fullCalcOnLoad="1"/>
</workbook>
</file>

<file path=xl/calcChain.xml><?xml version="1.0" encoding="utf-8"?>
<calcChain xmlns="http://schemas.openxmlformats.org/spreadsheetml/2006/main">
  <c r="E86" i="82" l="1"/>
  <c r="L85" i="82"/>
  <c r="M85" i="82"/>
  <c r="L84" i="82"/>
  <c r="O84" i="82"/>
  <c r="L83" i="82"/>
  <c r="O83" i="82"/>
  <c r="L82" i="82"/>
  <c r="O82" i="82"/>
  <c r="L81" i="82"/>
  <c r="O81" i="82"/>
  <c r="L80" i="82"/>
  <c r="O80" i="82"/>
  <c r="L79" i="82"/>
  <c r="M79" i="82"/>
  <c r="L78" i="82"/>
  <c r="M78" i="82"/>
  <c r="L77" i="82"/>
  <c r="M77" i="82"/>
  <c r="L76" i="82"/>
  <c r="O76" i="82"/>
  <c r="L75" i="82"/>
  <c r="O75" i="82"/>
  <c r="L74" i="82"/>
  <c r="M74" i="82"/>
  <c r="O74" i="82"/>
  <c r="S74" i="82"/>
  <c r="T74" i="82"/>
  <c r="L73" i="82"/>
  <c r="O73" i="82"/>
  <c r="M73" i="82"/>
  <c r="L72" i="82"/>
  <c r="M72" i="82"/>
  <c r="L71" i="82"/>
  <c r="O71" i="82"/>
  <c r="L70" i="82"/>
  <c r="O70" i="82"/>
  <c r="L69" i="82"/>
  <c r="O69" i="82"/>
  <c r="M69" i="82"/>
  <c r="L68" i="82"/>
  <c r="M68" i="82"/>
  <c r="L67" i="82"/>
  <c r="M67" i="82"/>
  <c r="L66" i="82"/>
  <c r="M66" i="82"/>
  <c r="L65" i="82"/>
  <c r="M65" i="82"/>
  <c r="O65" i="82"/>
  <c r="S65" i="82"/>
  <c r="T65" i="82"/>
  <c r="L64" i="82"/>
  <c r="O64" i="82"/>
  <c r="L63" i="82"/>
  <c r="M63" i="82"/>
  <c r="L62" i="82"/>
  <c r="O62" i="82"/>
  <c r="L61" i="82"/>
  <c r="M61" i="82"/>
  <c r="L60" i="82"/>
  <c r="M60" i="82"/>
  <c r="O60" i="82"/>
  <c r="S60" i="82"/>
  <c r="T60" i="82"/>
  <c r="P60" i="82"/>
  <c r="L59" i="82"/>
  <c r="M59" i="82"/>
  <c r="O59" i="82"/>
  <c r="S59" i="82"/>
  <c r="T59" i="82"/>
  <c r="L58" i="82"/>
  <c r="M58" i="82"/>
  <c r="L57" i="82"/>
  <c r="M57" i="82"/>
  <c r="O57" i="82"/>
  <c r="S57" i="82"/>
  <c r="T57" i="82"/>
  <c r="L56" i="82"/>
  <c r="M56" i="82"/>
  <c r="O56" i="82"/>
  <c r="P56" i="82"/>
  <c r="L55" i="82"/>
  <c r="O55" i="82"/>
  <c r="L54" i="82"/>
  <c r="O54" i="82"/>
  <c r="L53" i="82"/>
  <c r="M53" i="82"/>
  <c r="L52" i="82"/>
  <c r="O52" i="82"/>
  <c r="S52" i="82"/>
  <c r="T52" i="82"/>
  <c r="P52" i="82"/>
  <c r="L51" i="82"/>
  <c r="M51" i="82"/>
  <c r="L50" i="82"/>
  <c r="M50" i="82"/>
  <c r="O50" i="82"/>
  <c r="S50" i="82"/>
  <c r="T50" i="82"/>
  <c r="P50" i="82"/>
  <c r="L49" i="82"/>
  <c r="M49" i="82"/>
  <c r="L48" i="82"/>
  <c r="O48" i="82"/>
  <c r="P48" i="82"/>
  <c r="L47" i="82"/>
  <c r="O47" i="82"/>
  <c r="M47" i="82"/>
  <c r="L46" i="82"/>
  <c r="M46" i="82"/>
  <c r="O46" i="82"/>
  <c r="S46" i="82"/>
  <c r="T46" i="82"/>
  <c r="L45" i="82"/>
  <c r="M45" i="82"/>
  <c r="O45" i="82"/>
  <c r="S45" i="82"/>
  <c r="T45" i="82"/>
  <c r="L44" i="82"/>
  <c r="M44" i="82"/>
  <c r="O44" i="82"/>
  <c r="S44" i="82"/>
  <c r="T44" i="82"/>
  <c r="P44" i="82"/>
  <c r="L43" i="82"/>
  <c r="M43" i="82"/>
  <c r="L42" i="82"/>
  <c r="M42" i="82"/>
  <c r="L41" i="82"/>
  <c r="M41" i="82"/>
  <c r="L40" i="82"/>
  <c r="O40" i="82"/>
  <c r="L39" i="82"/>
  <c r="M39" i="82"/>
  <c r="L38" i="82"/>
  <c r="M38" i="82"/>
  <c r="L37" i="82"/>
  <c r="M37" i="82"/>
  <c r="O37" i="82"/>
  <c r="P37" i="82"/>
  <c r="L36" i="82"/>
  <c r="O36" i="82"/>
  <c r="L35" i="82"/>
  <c r="M35" i="82"/>
  <c r="O35" i="82"/>
  <c r="S35" i="82"/>
  <c r="T35" i="82"/>
  <c r="P35" i="82"/>
  <c r="L34" i="82"/>
  <c r="M34" i="82"/>
  <c r="O34" i="82"/>
  <c r="S34" i="82"/>
  <c r="T34" i="82"/>
  <c r="P34" i="82"/>
  <c r="L33" i="82"/>
  <c r="M33" i="82"/>
  <c r="O33" i="82"/>
  <c r="S33" i="82"/>
  <c r="T33" i="82"/>
  <c r="P33" i="82"/>
  <c r="L32" i="82"/>
  <c r="M32" i="82"/>
  <c r="L31" i="82"/>
  <c r="M31" i="82"/>
  <c r="L30" i="82"/>
  <c r="M30" i="82"/>
  <c r="L29" i="82"/>
  <c r="O29" i="82"/>
  <c r="L28" i="82"/>
  <c r="O28" i="82"/>
  <c r="L26" i="82"/>
  <c r="O26" i="82"/>
  <c r="M26" i="82"/>
  <c r="L25" i="82"/>
  <c r="O25" i="82"/>
  <c r="L24" i="82"/>
  <c r="O24" i="82"/>
  <c r="L23" i="82"/>
  <c r="M23" i="82"/>
  <c r="O23" i="82"/>
  <c r="P23" i="82"/>
  <c r="L22" i="82"/>
  <c r="O22" i="82"/>
  <c r="P22" i="82"/>
  <c r="L21" i="82"/>
  <c r="M21" i="82"/>
  <c r="O21" i="82"/>
  <c r="S21" i="82"/>
  <c r="T21" i="82"/>
  <c r="P21" i="82"/>
  <c r="L20" i="82"/>
  <c r="M20" i="82"/>
  <c r="O20" i="82"/>
  <c r="S20" i="82"/>
  <c r="T20" i="82"/>
  <c r="P20" i="82"/>
  <c r="L19" i="82"/>
  <c r="O19" i="82"/>
  <c r="L18" i="82"/>
  <c r="O18" i="82"/>
  <c r="L17" i="82"/>
  <c r="O17" i="82"/>
  <c r="L16" i="82"/>
  <c r="M16" i="82"/>
  <c r="O16" i="82"/>
  <c r="S16" i="82"/>
  <c r="T16" i="82"/>
  <c r="P16" i="82"/>
  <c r="L15" i="82"/>
  <c r="M15" i="82"/>
  <c r="O15" i="82"/>
  <c r="P15" i="82"/>
  <c r="L14" i="82"/>
  <c r="O14" i="82"/>
  <c r="M14" i="82"/>
  <c r="L13" i="82"/>
  <c r="M13" i="82"/>
  <c r="L12" i="82"/>
  <c r="M12" i="82"/>
  <c r="L11" i="82"/>
  <c r="M11" i="82"/>
  <c r="O11" i="82"/>
  <c r="S11" i="82"/>
  <c r="T11" i="82"/>
  <c r="P11" i="82"/>
  <c r="L10" i="82"/>
  <c r="O10" i="82"/>
  <c r="L9" i="82"/>
  <c r="O9" i="82"/>
  <c r="S9" i="82"/>
  <c r="T9" i="82"/>
  <c r="P9" i="82"/>
  <c r="M9" i="82"/>
  <c r="M48" i="82"/>
  <c r="M52" i="82"/>
  <c r="D84" i="82"/>
  <c r="D83" i="82"/>
  <c r="D82" i="82"/>
  <c r="F27" i="82"/>
  <c r="L27" i="82"/>
  <c r="C27" i="72"/>
  <c r="C26" i="72"/>
  <c r="C25" i="72"/>
  <c r="D27" i="82"/>
  <c r="D28" i="82"/>
  <c r="C24" i="72"/>
  <c r="C23" i="72"/>
  <c r="C22" i="72"/>
  <c r="C21" i="72"/>
  <c r="C20" i="72"/>
  <c r="C19" i="72"/>
  <c r="L112" i="82"/>
  <c r="L111" i="82"/>
  <c r="L110" i="82"/>
  <c r="L109" i="82"/>
  <c r="L108" i="82"/>
  <c r="L107" i="82"/>
  <c r="L106" i="82"/>
  <c r="L105" i="82"/>
  <c r="L104" i="82"/>
  <c r="L103" i="82"/>
  <c r="L102" i="82"/>
  <c r="L101" i="82"/>
  <c r="L100" i="82"/>
  <c r="L99" i="82"/>
  <c r="L98" i="82"/>
  <c r="L97" i="82"/>
  <c r="L96" i="82"/>
  <c r="L95" i="82"/>
  <c r="L94" i="82"/>
  <c r="L93" i="82"/>
  <c r="L92" i="82"/>
  <c r="L91" i="82"/>
  <c r="L90" i="82"/>
  <c r="L89" i="82"/>
  <c r="L88" i="82"/>
  <c r="L87" i="82"/>
  <c r="L86" i="82"/>
  <c r="C3" i="82"/>
  <c r="C3" i="77"/>
  <c r="D64" i="82"/>
  <c r="U70" i="82"/>
  <c r="U69" i="82"/>
  <c r="U68" i="82"/>
  <c r="U62" i="82"/>
  <c r="U61" i="82"/>
  <c r="U57" i="82"/>
  <c r="U47" i="82"/>
  <c r="U7" i="82"/>
  <c r="BB88" i="77"/>
  <c r="BD88" i="77"/>
  <c r="CV88" i="77"/>
  <c r="L8" i="82"/>
  <c r="O8" i="82"/>
  <c r="S8" i="82"/>
  <c r="T8" i="82"/>
  <c r="M8" i="82"/>
  <c r="L7" i="82"/>
  <c r="O7" i="82"/>
  <c r="O53" i="83"/>
  <c r="D21" i="83"/>
  <c r="F21" i="83"/>
  <c r="D22" i="83"/>
  <c r="F22" i="83"/>
  <c r="D23" i="83"/>
  <c r="F23" i="83"/>
  <c r="D28" i="83"/>
  <c r="F28" i="83"/>
  <c r="D29" i="83"/>
  <c r="F29" i="83"/>
  <c r="D30" i="83"/>
  <c r="F30" i="83"/>
  <c r="D35" i="83"/>
  <c r="F35" i="83"/>
  <c r="D36" i="83"/>
  <c r="F36" i="83"/>
  <c r="F38" i="83"/>
  <c r="D37" i="83"/>
  <c r="F37" i="83"/>
  <c r="D42" i="83"/>
  <c r="F42" i="83"/>
  <c r="F45" i="83"/>
  <c r="D43" i="83"/>
  <c r="F43" i="83"/>
  <c r="D44" i="83"/>
  <c r="F44" i="83"/>
  <c r="O52" i="83"/>
  <c r="D11" i="82"/>
  <c r="D19" i="82"/>
  <c r="D15" i="82"/>
  <c r="D46" i="82"/>
  <c r="D44" i="82"/>
  <c r="D18" i="82"/>
  <c r="D13" i="82"/>
  <c r="D35" i="82"/>
  <c r="D37" i="82"/>
  <c r="D39" i="82"/>
  <c r="D48" i="82"/>
  <c r="D50" i="82"/>
  <c r="D53" i="82"/>
  <c r="D55" i="82"/>
  <c r="D62" i="82"/>
  <c r="D14" i="82"/>
  <c r="D81" i="82"/>
  <c r="D80" i="82"/>
  <c r="D79" i="82"/>
  <c r="D78" i="82"/>
  <c r="D77" i="82"/>
  <c r="D76" i="82"/>
  <c r="D75" i="82"/>
  <c r="D74" i="82"/>
  <c r="D73" i="82"/>
  <c r="D72" i="82"/>
  <c r="D71" i="82"/>
  <c r="D70" i="82"/>
  <c r="D69" i="82"/>
  <c r="D68" i="82"/>
  <c r="D67" i="82"/>
  <c r="D66" i="82"/>
  <c r="D65" i="82"/>
  <c r="D63" i="82"/>
  <c r="D61" i="82"/>
  <c r="D60" i="82"/>
  <c r="D59" i="82"/>
  <c r="D58" i="82"/>
  <c r="D57" i="82"/>
  <c r="S56" i="82"/>
  <c r="T56" i="82"/>
  <c r="D56" i="82"/>
  <c r="D54" i="82"/>
  <c r="D52" i="82"/>
  <c r="D51" i="82"/>
  <c r="D49" i="82"/>
  <c r="D47" i="82"/>
  <c r="D45" i="82"/>
  <c r="D43" i="82"/>
  <c r="D42" i="82"/>
  <c r="D41" i="82"/>
  <c r="D40" i="82"/>
  <c r="D38" i="82"/>
  <c r="D36" i="82"/>
  <c r="D34" i="82"/>
  <c r="D33" i="82"/>
  <c r="D32" i="82"/>
  <c r="D31" i="82"/>
  <c r="D30" i="82"/>
  <c r="D29" i="82"/>
  <c r="D26" i="82"/>
  <c r="D24" i="82"/>
  <c r="D22" i="82"/>
  <c r="D20" i="82"/>
  <c r="D17" i="82"/>
  <c r="D16" i="82"/>
  <c r="D12" i="82"/>
  <c r="D10" i="82"/>
  <c r="D9" i="82"/>
  <c r="D8" i="82"/>
  <c r="D7" i="82"/>
  <c r="CO16" i="77"/>
  <c r="CF16" i="77"/>
  <c r="BW16" i="77"/>
  <c r="CX16" i="77"/>
  <c r="BI16" i="77"/>
  <c r="BK16" i="77"/>
  <c r="CW16" i="77"/>
  <c r="BD16" i="77"/>
  <c r="CV16" i="77"/>
  <c r="CU16" i="77"/>
  <c r="CT16" i="77"/>
  <c r="CS16" i="77"/>
  <c r="CQ16" i="77"/>
  <c r="CO15" i="77"/>
  <c r="CF15" i="77"/>
  <c r="BW15" i="77"/>
  <c r="BI15" i="77"/>
  <c r="CW15" i="77"/>
  <c r="BD15" i="77"/>
  <c r="BK15" i="77"/>
  <c r="BL15" i="77"/>
  <c r="CV15" i="77"/>
  <c r="CT15" i="77"/>
  <c r="CS15" i="77"/>
  <c r="CR15" i="77"/>
  <c r="CQ15" i="77"/>
  <c r="CY15" i="77"/>
  <c r="CO19" i="77"/>
  <c r="CF19" i="77"/>
  <c r="BW19" i="77"/>
  <c r="CX19" i="77"/>
  <c r="BI19" i="77"/>
  <c r="CW19" i="77"/>
  <c r="BD19" i="77"/>
  <c r="CV19" i="77"/>
  <c r="CT19" i="77"/>
  <c r="CS19" i="77"/>
  <c r="CR19" i="77"/>
  <c r="CQ19" i="77"/>
  <c r="CO47" i="77"/>
  <c r="CF47" i="77"/>
  <c r="BW47" i="77"/>
  <c r="CX47" i="77"/>
  <c r="BI47" i="77"/>
  <c r="CW47" i="77"/>
  <c r="BD47" i="77"/>
  <c r="CV47" i="77"/>
  <c r="CU47" i="77"/>
  <c r="CT47" i="77"/>
  <c r="CS47" i="77"/>
  <c r="CR47" i="77"/>
  <c r="CY47" i="77"/>
  <c r="CO191" i="77"/>
  <c r="CF191" i="77"/>
  <c r="BW191" i="77"/>
  <c r="CX191" i="77"/>
  <c r="BI191" i="77"/>
  <c r="CW191" i="77"/>
  <c r="BD191" i="77"/>
  <c r="CV191" i="77"/>
  <c r="CU191" i="77"/>
  <c r="CS191" i="77"/>
  <c r="CR191" i="77"/>
  <c r="D191" i="77"/>
  <c r="C191" i="77"/>
  <c r="CO190" i="77"/>
  <c r="CF190" i="77"/>
  <c r="BW190" i="77"/>
  <c r="BI190" i="77"/>
  <c r="CW190" i="77"/>
  <c r="BD190" i="77"/>
  <c r="CV190" i="77"/>
  <c r="CU190" i="77"/>
  <c r="CT190" i="77"/>
  <c r="CS190" i="77"/>
  <c r="CR190" i="77"/>
  <c r="D190" i="77"/>
  <c r="C190" i="77"/>
  <c r="CO189" i="77"/>
  <c r="CF189" i="77"/>
  <c r="BW189" i="77"/>
  <c r="BI189" i="77"/>
  <c r="CW189" i="77"/>
  <c r="BD189" i="77"/>
  <c r="CV189" i="77"/>
  <c r="CU189" i="77"/>
  <c r="CT189" i="77"/>
  <c r="CS189" i="77"/>
  <c r="CQ189" i="77"/>
  <c r="D189" i="77"/>
  <c r="C189" i="77"/>
  <c r="CO188" i="77"/>
  <c r="CF188" i="77"/>
  <c r="BW188" i="77"/>
  <c r="BI188" i="77"/>
  <c r="CW188" i="77"/>
  <c r="BD188" i="77"/>
  <c r="BK188" i="77"/>
  <c r="CV188" i="77"/>
  <c r="CU188" i="77"/>
  <c r="CS188" i="77"/>
  <c r="CR188" i="77"/>
  <c r="CQ188" i="77"/>
  <c r="CY188" i="77"/>
  <c r="D188" i="77"/>
  <c r="C188" i="77"/>
  <c r="CO187" i="77"/>
  <c r="CF187" i="77"/>
  <c r="BW187" i="77"/>
  <c r="BI187" i="77"/>
  <c r="CW187" i="77"/>
  <c r="BD187" i="77"/>
  <c r="BK187" i="77"/>
  <c r="BM187" i="77"/>
  <c r="CU187" i="77"/>
  <c r="CT187" i="77"/>
  <c r="CS187" i="77"/>
  <c r="D187" i="77"/>
  <c r="C187" i="77"/>
  <c r="CO186" i="77"/>
  <c r="CF186" i="77"/>
  <c r="BW186" i="77"/>
  <c r="CX186" i="77"/>
  <c r="BI186" i="77"/>
  <c r="CW186" i="77"/>
  <c r="BD186" i="77"/>
  <c r="CV186" i="77"/>
  <c r="CU186" i="77"/>
  <c r="CT186" i="77"/>
  <c r="CQ186" i="77"/>
  <c r="D186" i="77"/>
  <c r="C186" i="77"/>
  <c r="CO185" i="77"/>
  <c r="CF185" i="77"/>
  <c r="BW185" i="77"/>
  <c r="BI185" i="77"/>
  <c r="BD185" i="77"/>
  <c r="CV185" i="77"/>
  <c r="CT185" i="77"/>
  <c r="CR185" i="77"/>
  <c r="CQ185" i="77"/>
  <c r="D185" i="77"/>
  <c r="C185" i="77"/>
  <c r="CO184" i="77"/>
  <c r="CF184" i="77"/>
  <c r="BW184" i="77"/>
  <c r="CX184" i="77"/>
  <c r="BI184" i="77"/>
  <c r="CW184" i="77"/>
  <c r="BD184" i="77"/>
  <c r="CV184" i="77"/>
  <c r="CU184" i="77"/>
  <c r="CT184" i="77"/>
  <c r="CR184" i="77"/>
  <c r="D184" i="77"/>
  <c r="C184" i="77"/>
  <c r="CO183" i="77"/>
  <c r="CF183" i="77"/>
  <c r="BW183" i="77"/>
  <c r="BI183" i="77"/>
  <c r="CW183" i="77"/>
  <c r="BD183" i="77"/>
  <c r="CV183" i="77"/>
  <c r="CU183" i="77"/>
  <c r="CT183" i="77"/>
  <c r="CS183" i="77"/>
  <c r="CR183" i="77"/>
  <c r="D183" i="77"/>
  <c r="C183" i="77"/>
  <c r="CO182" i="77"/>
  <c r="CF182" i="77"/>
  <c r="BW182" i="77"/>
  <c r="CX182" i="77"/>
  <c r="BI182" i="77"/>
  <c r="CW182" i="77"/>
  <c r="BD182" i="77"/>
  <c r="CU182" i="77"/>
  <c r="CS182" i="77"/>
  <c r="CR182" i="77"/>
  <c r="CQ182" i="77"/>
  <c r="D182" i="77"/>
  <c r="C182" i="77"/>
  <c r="CO181" i="77"/>
  <c r="CF181" i="77"/>
  <c r="BW181" i="77"/>
  <c r="BI181" i="77"/>
  <c r="CW181" i="77"/>
  <c r="BD181" i="77"/>
  <c r="CV181" i="77"/>
  <c r="CU181" i="77"/>
  <c r="CT181" i="77"/>
  <c r="CS181" i="77"/>
  <c r="CQ181" i="77"/>
  <c r="D181" i="77"/>
  <c r="C181" i="77"/>
  <c r="CO180" i="77"/>
  <c r="CF180" i="77"/>
  <c r="BW180" i="77"/>
  <c r="BI180" i="77"/>
  <c r="BD180" i="77"/>
  <c r="CV180" i="77"/>
  <c r="CU180" i="77"/>
  <c r="CT180" i="77"/>
  <c r="CS180" i="77"/>
  <c r="CR180" i="77"/>
  <c r="D180" i="77"/>
  <c r="C180" i="77"/>
  <c r="CO179" i="77"/>
  <c r="CF179" i="77"/>
  <c r="BW179" i="77"/>
  <c r="CX179" i="77"/>
  <c r="BI179" i="77"/>
  <c r="CW179" i="77"/>
  <c r="BD179" i="77"/>
  <c r="CV179" i="77"/>
  <c r="CT179" i="77"/>
  <c r="CS179" i="77"/>
  <c r="CQ179" i="77"/>
  <c r="D179" i="77"/>
  <c r="C179" i="77"/>
  <c r="CO178" i="77"/>
  <c r="CF178" i="77"/>
  <c r="BW178" i="77"/>
  <c r="BI178" i="77"/>
  <c r="CW178" i="77"/>
  <c r="BD178" i="77"/>
  <c r="BK178" i="77"/>
  <c r="CV178" i="77"/>
  <c r="CU178" i="77"/>
  <c r="CS178" i="77"/>
  <c r="D178" i="77"/>
  <c r="C178" i="77"/>
  <c r="CO177" i="77"/>
  <c r="CF177" i="77"/>
  <c r="BW177" i="77"/>
  <c r="BI177" i="77"/>
  <c r="CW177" i="77"/>
  <c r="BD177" i="77"/>
  <c r="CV177" i="77"/>
  <c r="CU177" i="77"/>
  <c r="CT177" i="77"/>
  <c r="CS177" i="77"/>
  <c r="CR177" i="77"/>
  <c r="CQ177" i="77"/>
  <c r="D177" i="77"/>
  <c r="C177" i="77"/>
  <c r="CO176" i="77"/>
  <c r="CF176" i="77"/>
  <c r="BW176" i="77"/>
  <c r="CX176" i="77"/>
  <c r="BI176" i="77"/>
  <c r="BD176" i="77"/>
  <c r="CV176" i="77"/>
  <c r="CU176" i="77"/>
  <c r="CS176" i="77"/>
  <c r="CR176" i="77"/>
  <c r="D176" i="77"/>
  <c r="C176" i="77"/>
  <c r="CO175" i="77"/>
  <c r="CF175" i="77"/>
  <c r="BW175" i="77"/>
  <c r="CX175" i="77"/>
  <c r="BI175" i="77"/>
  <c r="CW175" i="77"/>
  <c r="BD175" i="77"/>
  <c r="CV175" i="77"/>
  <c r="CT175" i="77"/>
  <c r="CS175" i="77"/>
  <c r="CR175" i="77"/>
  <c r="CQ175" i="77"/>
  <c r="D175" i="77"/>
  <c r="C175" i="77"/>
  <c r="CO174" i="77"/>
  <c r="CF174" i="77"/>
  <c r="BW174" i="77"/>
  <c r="CX174" i="77"/>
  <c r="BI174" i="77"/>
  <c r="CW174" i="77"/>
  <c r="BD174" i="77"/>
  <c r="CV174" i="77"/>
  <c r="CU174" i="77"/>
  <c r="CT174" i="77"/>
  <c r="CS174" i="77"/>
  <c r="CR174" i="77"/>
  <c r="D174" i="77"/>
  <c r="C174" i="77"/>
  <c r="CO173" i="77"/>
  <c r="CX173" i="77"/>
  <c r="CF173" i="77"/>
  <c r="BW173" i="77"/>
  <c r="BI173" i="77"/>
  <c r="CW173" i="77"/>
  <c r="BD173" i="77"/>
  <c r="CU173" i="77"/>
  <c r="CS173" i="77"/>
  <c r="CR173" i="77"/>
  <c r="CQ173" i="77"/>
  <c r="D173" i="77"/>
  <c r="C173" i="77"/>
  <c r="CO172" i="77"/>
  <c r="CF172" i="77"/>
  <c r="BW172" i="77"/>
  <c r="BI172" i="77"/>
  <c r="CW172" i="77"/>
  <c r="BD172" i="77"/>
  <c r="BK172" i="77"/>
  <c r="CV172" i="77"/>
  <c r="CU172" i="77"/>
  <c r="CS172" i="77"/>
  <c r="CR172" i="77"/>
  <c r="D172" i="77"/>
  <c r="C172" i="77"/>
  <c r="CO170" i="77"/>
  <c r="CF170" i="77"/>
  <c r="BW170" i="77"/>
  <c r="BI170" i="77"/>
  <c r="CW170" i="77"/>
  <c r="BD170" i="77"/>
  <c r="CU170" i="77"/>
  <c r="CT170" i="77"/>
  <c r="CR170" i="77"/>
  <c r="CQ170" i="77"/>
  <c r="C170" i="77"/>
  <c r="CO169" i="77"/>
  <c r="CF169" i="77"/>
  <c r="BW169" i="77"/>
  <c r="BI169" i="77"/>
  <c r="CW169" i="77"/>
  <c r="BD169" i="77"/>
  <c r="CU169" i="77"/>
  <c r="CT169" i="77"/>
  <c r="CS169" i="77"/>
  <c r="CR169" i="77"/>
  <c r="C169" i="77"/>
  <c r="CO168" i="77"/>
  <c r="CF168" i="77"/>
  <c r="BW168" i="77"/>
  <c r="BI168" i="77"/>
  <c r="CW168" i="77"/>
  <c r="BD168" i="77"/>
  <c r="CU168" i="77"/>
  <c r="CT168" i="77"/>
  <c r="CS168" i="77"/>
  <c r="CR168" i="77"/>
  <c r="CQ168" i="77"/>
  <c r="C168" i="77"/>
  <c r="CO167" i="77"/>
  <c r="CF167" i="77"/>
  <c r="BW167" i="77"/>
  <c r="CX167" i="77"/>
  <c r="BI167" i="77"/>
  <c r="CW167" i="77"/>
  <c r="BD167" i="77"/>
  <c r="CV167" i="77"/>
  <c r="CU167" i="77"/>
  <c r="CS167" i="77"/>
  <c r="CQ167" i="77"/>
  <c r="C167" i="77"/>
  <c r="CO166" i="77"/>
  <c r="CF166" i="77"/>
  <c r="BW166" i="77"/>
  <c r="BI166" i="77"/>
  <c r="BD166" i="77"/>
  <c r="BK166" i="77"/>
  <c r="CV166" i="77"/>
  <c r="CU166" i="77"/>
  <c r="CS166" i="77"/>
  <c r="CR166" i="77"/>
  <c r="C166" i="77"/>
  <c r="CO165" i="77"/>
  <c r="CF165" i="77"/>
  <c r="BW165" i="77"/>
  <c r="CX165" i="77"/>
  <c r="BI165" i="77"/>
  <c r="CW165" i="77"/>
  <c r="BD165" i="77"/>
  <c r="CV165" i="77"/>
  <c r="CU165" i="77"/>
  <c r="CT165" i="77"/>
  <c r="CS165" i="77"/>
  <c r="CR165" i="77"/>
  <c r="CQ165" i="77"/>
  <c r="C165" i="77"/>
  <c r="CO164" i="77"/>
  <c r="CF164" i="77"/>
  <c r="BW164" i="77"/>
  <c r="BI164" i="77"/>
  <c r="CW164" i="77"/>
  <c r="BD164" i="77"/>
  <c r="BK164" i="77"/>
  <c r="CV164" i="77"/>
  <c r="CU164" i="77"/>
  <c r="CT164" i="77"/>
  <c r="CS164" i="77"/>
  <c r="CR164" i="77"/>
  <c r="C164" i="77"/>
  <c r="CO163" i="77"/>
  <c r="CF163" i="77"/>
  <c r="BW163" i="77"/>
  <c r="CX163" i="77"/>
  <c r="BI163" i="77"/>
  <c r="BD163" i="77"/>
  <c r="CV163" i="77"/>
  <c r="CU163" i="77"/>
  <c r="CT163" i="77"/>
  <c r="CR163" i="77"/>
  <c r="C163" i="77"/>
  <c r="CO162" i="77"/>
  <c r="CF162" i="77"/>
  <c r="BW162" i="77"/>
  <c r="BI162" i="77"/>
  <c r="CW162" i="77"/>
  <c r="BD162" i="77"/>
  <c r="BK162" i="77"/>
  <c r="CU162" i="77"/>
  <c r="CT162" i="77"/>
  <c r="CR162" i="77"/>
  <c r="CQ162" i="77"/>
  <c r="C162" i="77"/>
  <c r="CO161" i="77"/>
  <c r="CF161" i="77"/>
  <c r="BW161" i="77"/>
  <c r="CX161" i="77"/>
  <c r="BI161" i="77"/>
  <c r="CW161" i="77"/>
  <c r="BD161" i="77"/>
  <c r="CU161" i="77"/>
  <c r="CT161" i="77"/>
  <c r="CS161" i="77"/>
  <c r="CR161" i="77"/>
  <c r="CQ161" i="77"/>
  <c r="C161" i="77"/>
  <c r="CO160" i="77"/>
  <c r="CF160" i="77"/>
  <c r="BW160" i="77"/>
  <c r="BI160" i="77"/>
  <c r="CW160" i="77"/>
  <c r="BD160" i="77"/>
  <c r="CU160" i="77"/>
  <c r="CT160" i="77"/>
  <c r="CS160" i="77"/>
  <c r="CR160" i="77"/>
  <c r="C160" i="77"/>
  <c r="CO159" i="77"/>
  <c r="CF159" i="77"/>
  <c r="BW159" i="77"/>
  <c r="BI159" i="77"/>
  <c r="CW159" i="77"/>
  <c r="BD159" i="77"/>
  <c r="CV159" i="77"/>
  <c r="CU159" i="77"/>
  <c r="CT159" i="77"/>
  <c r="CS159" i="77"/>
  <c r="CR159" i="77"/>
  <c r="CQ159" i="77"/>
  <c r="C159" i="77"/>
  <c r="CO158" i="77"/>
  <c r="CF158" i="77"/>
  <c r="BW158" i="77"/>
  <c r="BI158" i="77"/>
  <c r="BD158" i="77"/>
  <c r="CU158" i="77"/>
  <c r="CT158" i="77"/>
  <c r="CS158" i="77"/>
  <c r="CR158" i="77"/>
  <c r="CQ158" i="77"/>
  <c r="C158" i="77"/>
  <c r="CO157" i="77"/>
  <c r="CF157" i="77"/>
  <c r="BW157" i="77"/>
  <c r="BI157" i="77"/>
  <c r="CW157" i="77"/>
  <c r="BD157" i="77"/>
  <c r="BK157" i="77"/>
  <c r="BM157" i="77"/>
  <c r="CV157" i="77"/>
  <c r="CU157" i="77"/>
  <c r="CT157" i="77"/>
  <c r="CS157" i="77"/>
  <c r="CQ157" i="77"/>
  <c r="C157" i="77"/>
  <c r="CO156" i="77"/>
  <c r="CF156" i="77"/>
  <c r="BW156" i="77"/>
  <c r="BI156" i="77"/>
  <c r="CW156" i="77"/>
  <c r="BD156" i="77"/>
  <c r="BK156" i="77"/>
  <c r="CV156" i="77"/>
  <c r="CU156" i="77"/>
  <c r="CT156" i="77"/>
  <c r="CS156" i="77"/>
  <c r="CR156" i="77"/>
  <c r="CQ156" i="77"/>
  <c r="C156" i="77"/>
  <c r="CO155" i="77"/>
  <c r="CF155" i="77"/>
  <c r="BW155" i="77"/>
  <c r="CX155" i="77"/>
  <c r="BI155" i="77"/>
  <c r="CW155" i="77"/>
  <c r="BD155" i="77"/>
  <c r="CU155" i="77"/>
  <c r="CT155" i="77"/>
  <c r="CS155" i="77"/>
  <c r="CR155" i="77"/>
  <c r="CQ155" i="77"/>
  <c r="C155" i="77"/>
  <c r="CO154" i="77"/>
  <c r="CF154" i="77"/>
  <c r="BW154" i="77"/>
  <c r="CX154" i="77"/>
  <c r="BI154" i="77"/>
  <c r="CW154" i="77"/>
  <c r="BD154" i="77"/>
  <c r="BK154" i="77"/>
  <c r="CV154" i="77"/>
  <c r="CU154" i="77"/>
  <c r="CS154" i="77"/>
  <c r="CR154" i="77"/>
  <c r="CQ154" i="77"/>
  <c r="C154" i="77"/>
  <c r="CO153" i="77"/>
  <c r="CF153" i="77"/>
  <c r="BW153" i="77"/>
  <c r="CX153" i="77"/>
  <c r="BI153" i="77"/>
  <c r="BD153" i="77"/>
  <c r="CV153" i="77"/>
  <c r="CT153" i="77"/>
  <c r="CS153" i="77"/>
  <c r="CR153" i="77"/>
  <c r="CQ153" i="77"/>
  <c r="C153" i="77"/>
  <c r="CO152" i="77"/>
  <c r="CF152" i="77"/>
  <c r="BW152" i="77"/>
  <c r="CX152" i="77"/>
  <c r="BI152" i="77"/>
  <c r="CW152" i="77"/>
  <c r="BD152" i="77"/>
  <c r="BK152" i="77"/>
  <c r="CV152" i="77"/>
  <c r="CU152" i="77"/>
  <c r="CS152" i="77"/>
  <c r="CR152" i="77"/>
  <c r="CQ152" i="77"/>
  <c r="C152" i="77"/>
  <c r="CO151" i="77"/>
  <c r="CF151" i="77"/>
  <c r="BW151" i="77"/>
  <c r="BI151" i="77"/>
  <c r="CW151" i="77"/>
  <c r="BD151" i="77"/>
  <c r="CU151" i="77"/>
  <c r="CT151" i="77"/>
  <c r="CS151" i="77"/>
  <c r="CR151" i="77"/>
  <c r="CQ151" i="77"/>
  <c r="C151" i="77"/>
  <c r="CO150" i="77"/>
  <c r="CF150" i="77"/>
  <c r="BW150" i="77"/>
  <c r="BI150" i="77"/>
  <c r="CW150" i="77"/>
  <c r="BD150" i="77"/>
  <c r="CU150" i="77"/>
  <c r="CT150" i="77"/>
  <c r="CR150" i="77"/>
  <c r="CQ150" i="77"/>
  <c r="C150" i="77"/>
  <c r="CO149" i="77"/>
  <c r="CF149" i="77"/>
  <c r="BW149" i="77"/>
  <c r="BI149" i="77"/>
  <c r="BD149" i="77"/>
  <c r="CV149" i="77"/>
  <c r="CU149" i="77"/>
  <c r="CT149" i="77"/>
  <c r="CS149" i="77"/>
  <c r="CR149" i="77"/>
  <c r="CQ149" i="77"/>
  <c r="C149" i="77"/>
  <c r="CO148" i="77"/>
  <c r="CF148" i="77"/>
  <c r="BW148" i="77"/>
  <c r="BI148" i="77"/>
  <c r="CW148" i="77"/>
  <c r="BD148" i="77"/>
  <c r="CV148" i="77"/>
  <c r="CU148" i="77"/>
  <c r="CT148" i="77"/>
  <c r="CS148" i="77"/>
  <c r="CR148" i="77"/>
  <c r="CQ148" i="77"/>
  <c r="C148" i="77"/>
  <c r="CO147" i="77"/>
  <c r="CF147" i="77"/>
  <c r="BW147" i="77"/>
  <c r="CX147" i="77"/>
  <c r="BI147" i="77"/>
  <c r="CW147" i="77"/>
  <c r="BD147" i="77"/>
  <c r="CU147" i="77"/>
  <c r="CT147" i="77"/>
  <c r="CS147" i="77"/>
  <c r="CR147" i="77"/>
  <c r="CQ147" i="77"/>
  <c r="C147" i="77"/>
  <c r="CO146" i="77"/>
  <c r="CF146" i="77"/>
  <c r="BW146" i="77"/>
  <c r="CX146" i="77"/>
  <c r="BI146" i="77"/>
  <c r="CW146" i="77"/>
  <c r="BD146" i="77"/>
  <c r="CV146" i="77"/>
  <c r="CU146" i="77"/>
  <c r="CT146" i="77"/>
  <c r="CS146" i="77"/>
  <c r="CR146" i="77"/>
  <c r="CQ146" i="77"/>
  <c r="C146" i="77"/>
  <c r="CO145" i="77"/>
  <c r="CF145" i="77"/>
  <c r="BW145" i="77"/>
  <c r="BI145" i="77"/>
  <c r="CW145" i="77"/>
  <c r="BD145" i="77"/>
  <c r="CV145" i="77"/>
  <c r="CU145" i="77"/>
  <c r="CS145" i="77"/>
  <c r="CR145" i="77"/>
  <c r="CQ145" i="77"/>
  <c r="C145" i="77"/>
  <c r="CO144" i="77"/>
  <c r="CF144" i="77"/>
  <c r="BW144" i="77"/>
  <c r="BI144" i="77"/>
  <c r="CW144" i="77"/>
  <c r="BD144" i="77"/>
  <c r="CV144" i="77"/>
  <c r="CU144" i="77"/>
  <c r="CT144" i="77"/>
  <c r="CS144" i="77"/>
  <c r="CR144" i="77"/>
  <c r="CQ144" i="77"/>
  <c r="C144" i="77"/>
  <c r="CO143" i="77"/>
  <c r="CF143" i="77"/>
  <c r="BW143" i="77"/>
  <c r="CX143" i="77"/>
  <c r="BI143" i="77"/>
  <c r="CW143" i="77"/>
  <c r="BD143" i="77"/>
  <c r="CU143" i="77"/>
  <c r="CT143" i="77"/>
  <c r="CS143" i="77"/>
  <c r="CR143" i="77"/>
  <c r="C143" i="77"/>
  <c r="CO142" i="77"/>
  <c r="CF142" i="77"/>
  <c r="BW142" i="77"/>
  <c r="CX142" i="77"/>
  <c r="BI142" i="77"/>
  <c r="CW142" i="77"/>
  <c r="BD142" i="77"/>
  <c r="BK142" i="77"/>
  <c r="CU142" i="77"/>
  <c r="CT142" i="77"/>
  <c r="CS142" i="77"/>
  <c r="CQ142" i="77"/>
  <c r="C142" i="77"/>
  <c r="CO141" i="77"/>
  <c r="CF141" i="77"/>
  <c r="BW141" i="77"/>
  <c r="CX141" i="77"/>
  <c r="BI141" i="77"/>
  <c r="BD141" i="77"/>
  <c r="CU141" i="77"/>
  <c r="CT141" i="77"/>
  <c r="CS141" i="77"/>
  <c r="CR141" i="77"/>
  <c r="CQ141" i="77"/>
  <c r="C141" i="77"/>
  <c r="CO140" i="77"/>
  <c r="CF140" i="77"/>
  <c r="BW140" i="77"/>
  <c r="BI140" i="77"/>
  <c r="CW140" i="77"/>
  <c r="BD140" i="77"/>
  <c r="BK140" i="77"/>
  <c r="BM140" i="77"/>
  <c r="CV140" i="77"/>
  <c r="CU140" i="77"/>
  <c r="CT140" i="77"/>
  <c r="CR140" i="77"/>
  <c r="CQ140" i="77"/>
  <c r="C140" i="77"/>
  <c r="CO139" i="77"/>
  <c r="CF139" i="77"/>
  <c r="BW139" i="77"/>
  <c r="CX139" i="77"/>
  <c r="BI139" i="77"/>
  <c r="CW139" i="77"/>
  <c r="BD139" i="77"/>
  <c r="CU139" i="77"/>
  <c r="CS139" i="77"/>
  <c r="CR139" i="77"/>
  <c r="CQ139" i="77"/>
  <c r="C139" i="77"/>
  <c r="CO138" i="77"/>
  <c r="CF138" i="77"/>
  <c r="BW138" i="77"/>
  <c r="BI138" i="77"/>
  <c r="CW138" i="77"/>
  <c r="BD138" i="77"/>
  <c r="BK138" i="77"/>
  <c r="CV138" i="77"/>
  <c r="CT138" i="77"/>
  <c r="CS138" i="77"/>
  <c r="CR138" i="77"/>
  <c r="C138" i="77"/>
  <c r="CO137" i="77"/>
  <c r="CF137" i="77"/>
  <c r="BW137" i="77"/>
  <c r="CX137" i="77"/>
  <c r="BI137" i="77"/>
  <c r="CW137" i="77"/>
  <c r="BD137" i="77"/>
  <c r="CU137" i="77"/>
  <c r="CT137" i="77"/>
  <c r="CS137" i="77"/>
  <c r="CQ137" i="77"/>
  <c r="C137" i="77"/>
  <c r="CO136" i="77"/>
  <c r="CF136" i="77"/>
  <c r="BW136" i="77"/>
  <c r="BI136" i="77"/>
  <c r="BD136" i="77"/>
  <c r="CV136" i="77"/>
  <c r="CU136" i="77"/>
  <c r="CT136" i="77"/>
  <c r="CS136" i="77"/>
  <c r="C136" i="77"/>
  <c r="CO135" i="77"/>
  <c r="CF135" i="77"/>
  <c r="BW135" i="77"/>
  <c r="BI135" i="77"/>
  <c r="CW135" i="77"/>
  <c r="BD135" i="77"/>
  <c r="BK135" i="77"/>
  <c r="CV135" i="77"/>
  <c r="CU135" i="77"/>
  <c r="CT135" i="77"/>
  <c r="CS135" i="77"/>
  <c r="CQ135" i="77"/>
  <c r="C135" i="77"/>
  <c r="CO134" i="77"/>
  <c r="CF134" i="77"/>
  <c r="BW134" i="77"/>
  <c r="CX134" i="77"/>
  <c r="BI134" i="77"/>
  <c r="CW134" i="77"/>
  <c r="BD134" i="77"/>
  <c r="CT134" i="77"/>
  <c r="CS134" i="77"/>
  <c r="CR134" i="77"/>
  <c r="CQ134" i="77"/>
  <c r="C134" i="77"/>
  <c r="CO133" i="77"/>
  <c r="CF133" i="77"/>
  <c r="BW133" i="77"/>
  <c r="CX133" i="77"/>
  <c r="BI133" i="77"/>
  <c r="CW133" i="77"/>
  <c r="BD133" i="77"/>
  <c r="CV133" i="77"/>
  <c r="CU133" i="77"/>
  <c r="CT133" i="77"/>
  <c r="CS133" i="77"/>
  <c r="CQ133" i="77"/>
  <c r="C133" i="77"/>
  <c r="CO132" i="77"/>
  <c r="CF132" i="77"/>
  <c r="BW132" i="77"/>
  <c r="BI132" i="77"/>
  <c r="CW132" i="77"/>
  <c r="BD132" i="77"/>
  <c r="CU132" i="77"/>
  <c r="CT132" i="77"/>
  <c r="CS132" i="77"/>
  <c r="CR132" i="77"/>
  <c r="C132" i="77"/>
  <c r="CO131" i="77"/>
  <c r="CF131" i="77"/>
  <c r="BW131" i="77"/>
  <c r="BI131" i="77"/>
  <c r="CW131" i="77"/>
  <c r="BD131" i="77"/>
  <c r="CT131" i="77"/>
  <c r="CS131" i="77"/>
  <c r="CQ131" i="77"/>
  <c r="C131" i="77"/>
  <c r="CO130" i="77"/>
  <c r="CF130" i="77"/>
  <c r="BW130" i="77"/>
  <c r="BI130" i="77"/>
  <c r="CW130" i="77"/>
  <c r="BD130" i="77"/>
  <c r="BK130" i="77"/>
  <c r="BL130" i="77"/>
  <c r="CV130" i="77"/>
  <c r="CU130" i="77"/>
  <c r="CT130" i="77"/>
  <c r="CR130" i="77"/>
  <c r="CQ130" i="77"/>
  <c r="CY130" i="77"/>
  <c r="C130" i="77"/>
  <c r="CO129" i="77"/>
  <c r="CF129" i="77"/>
  <c r="BW129" i="77"/>
  <c r="BI129" i="77"/>
  <c r="CW129" i="77"/>
  <c r="BD129" i="77"/>
  <c r="CV129" i="77"/>
  <c r="CU129" i="77"/>
  <c r="CT129" i="77"/>
  <c r="CS129" i="77"/>
  <c r="CR129" i="77"/>
  <c r="CQ129" i="77"/>
  <c r="C129" i="77"/>
  <c r="CO128" i="77"/>
  <c r="CF128" i="77"/>
  <c r="BW128" i="77"/>
  <c r="BI128" i="77"/>
  <c r="CW128" i="77"/>
  <c r="BD128" i="77"/>
  <c r="CV128" i="77"/>
  <c r="CU128" i="77"/>
  <c r="CT128" i="77"/>
  <c r="CQ128" i="77"/>
  <c r="C128" i="77"/>
  <c r="CO127" i="77"/>
  <c r="CF127" i="77"/>
  <c r="BW127" i="77"/>
  <c r="CX127" i="77"/>
  <c r="BI127" i="77"/>
  <c r="BD127" i="77"/>
  <c r="CV127" i="77"/>
  <c r="CU127" i="77"/>
  <c r="CT127" i="77"/>
  <c r="CS127" i="77"/>
  <c r="CR127" i="77"/>
  <c r="CQ127" i="77"/>
  <c r="C127" i="77"/>
  <c r="CO126" i="77"/>
  <c r="CF126" i="77"/>
  <c r="BW126" i="77"/>
  <c r="BI126" i="77"/>
  <c r="CW126" i="77"/>
  <c r="BD126" i="77"/>
  <c r="CV126" i="77"/>
  <c r="CU126" i="77"/>
  <c r="CT126" i="77"/>
  <c r="CS126" i="77"/>
  <c r="CR126" i="77"/>
  <c r="CQ126" i="77"/>
  <c r="C126" i="77"/>
  <c r="CO125" i="77"/>
  <c r="CF125" i="77"/>
  <c r="BW125" i="77"/>
  <c r="CX125" i="77"/>
  <c r="BI125" i="77"/>
  <c r="CW125" i="77"/>
  <c r="BD125" i="77"/>
  <c r="CV125" i="77"/>
  <c r="CU125" i="77"/>
  <c r="CT125" i="77"/>
  <c r="CS125" i="77"/>
  <c r="CR125" i="77"/>
  <c r="C125" i="77"/>
  <c r="CO124" i="77"/>
  <c r="CF124" i="77"/>
  <c r="BW124" i="77"/>
  <c r="BI124" i="77"/>
  <c r="CW124" i="77"/>
  <c r="BD124" i="77"/>
  <c r="CV124" i="77"/>
  <c r="CU124" i="77"/>
  <c r="CT124" i="77"/>
  <c r="CS124" i="77"/>
  <c r="CQ124" i="77"/>
  <c r="C124" i="77"/>
  <c r="CO123" i="77"/>
  <c r="CF123" i="77"/>
  <c r="BW123" i="77"/>
  <c r="BI123" i="77"/>
  <c r="CW123" i="77"/>
  <c r="BD123" i="77"/>
  <c r="CU123" i="77"/>
  <c r="CS123" i="77"/>
  <c r="CR123" i="77"/>
  <c r="CQ123" i="77"/>
  <c r="C123" i="77"/>
  <c r="CO122" i="77"/>
  <c r="CF122" i="77"/>
  <c r="BW122" i="77"/>
  <c r="BI122" i="77"/>
  <c r="CW122" i="77"/>
  <c r="BD122" i="77"/>
  <c r="CV122" i="77"/>
  <c r="CU122" i="77"/>
  <c r="CS122" i="77"/>
  <c r="CR122" i="77"/>
  <c r="CQ122" i="77"/>
  <c r="C122" i="77"/>
  <c r="CO121" i="77"/>
  <c r="CF121" i="77"/>
  <c r="BW121" i="77"/>
  <c r="BI121" i="77"/>
  <c r="BD121" i="77"/>
  <c r="CV121" i="77"/>
  <c r="CU121" i="77"/>
  <c r="CT121" i="77"/>
  <c r="CS121" i="77"/>
  <c r="CR121" i="77"/>
  <c r="CQ121" i="77"/>
  <c r="C121" i="77"/>
  <c r="CO120" i="77"/>
  <c r="CF120" i="77"/>
  <c r="BW120" i="77"/>
  <c r="BI120" i="77"/>
  <c r="CW120" i="77"/>
  <c r="BD120" i="77"/>
  <c r="BK120" i="77"/>
  <c r="BM120" i="77"/>
  <c r="CU120" i="77"/>
  <c r="CT120" i="77"/>
  <c r="CR120" i="77"/>
  <c r="CQ120" i="77"/>
  <c r="C120" i="77"/>
  <c r="CO119" i="77"/>
  <c r="CF119" i="77"/>
  <c r="BW119" i="77"/>
  <c r="BI119" i="77"/>
  <c r="CW119" i="77"/>
  <c r="BD119" i="77"/>
  <c r="CT119" i="77"/>
  <c r="CR119" i="77"/>
  <c r="CQ119" i="77"/>
  <c r="C119" i="77"/>
  <c r="CO118" i="77"/>
  <c r="CF118" i="77"/>
  <c r="BW118" i="77"/>
  <c r="CX118" i="77"/>
  <c r="BI118" i="77"/>
  <c r="CW118" i="77"/>
  <c r="BD118" i="77"/>
  <c r="CU118" i="77"/>
  <c r="CT118" i="77"/>
  <c r="CS118" i="77"/>
  <c r="CR118" i="77"/>
  <c r="CQ118" i="77"/>
  <c r="C118" i="77"/>
  <c r="CO117" i="77"/>
  <c r="CF117" i="77"/>
  <c r="BW117" i="77"/>
  <c r="BI117" i="77"/>
  <c r="CW117" i="77"/>
  <c r="BD117" i="77"/>
  <c r="CT117" i="77"/>
  <c r="CS117" i="77"/>
  <c r="CR117" i="77"/>
  <c r="C117" i="77"/>
  <c r="CO116" i="77"/>
  <c r="CF116" i="77"/>
  <c r="BW116" i="77"/>
  <c r="BI116" i="77"/>
  <c r="CW116" i="77"/>
  <c r="BD116" i="77"/>
  <c r="CV116" i="77"/>
  <c r="CU116" i="77"/>
  <c r="CT116" i="77"/>
  <c r="CS116" i="77"/>
  <c r="CR116" i="77"/>
  <c r="C116" i="77"/>
  <c r="CO115" i="77"/>
  <c r="CF115" i="77"/>
  <c r="BW115" i="77"/>
  <c r="BI115" i="77"/>
  <c r="CW115" i="77"/>
  <c r="BD115" i="77"/>
  <c r="CV115" i="77"/>
  <c r="CT115" i="77"/>
  <c r="CS115" i="77"/>
  <c r="CR115" i="77"/>
  <c r="CQ115" i="77"/>
  <c r="C115" i="77"/>
  <c r="CO114" i="77"/>
  <c r="CF114" i="77"/>
  <c r="BW114" i="77"/>
  <c r="BI114" i="77"/>
  <c r="BD114" i="77"/>
  <c r="CV114" i="77"/>
  <c r="CU114" i="77"/>
  <c r="CT114" i="77"/>
  <c r="CS114" i="77"/>
  <c r="CR114" i="77"/>
  <c r="CQ114" i="77"/>
  <c r="C114" i="77"/>
  <c r="CO113" i="77"/>
  <c r="CF113" i="77"/>
  <c r="BW113" i="77"/>
  <c r="BI113" i="77"/>
  <c r="BD113" i="77"/>
  <c r="CV113" i="77"/>
  <c r="CU113" i="77"/>
  <c r="CS113" i="77"/>
  <c r="CR113" i="77"/>
  <c r="C113" i="77"/>
  <c r="CO112" i="77"/>
  <c r="CF112" i="77"/>
  <c r="BW112" i="77"/>
  <c r="BI112" i="77"/>
  <c r="CW112" i="77"/>
  <c r="BD112" i="77"/>
  <c r="CV112" i="77"/>
  <c r="CU112" i="77"/>
  <c r="CT112" i="77"/>
  <c r="CS112" i="77"/>
  <c r="CR112" i="77"/>
  <c r="C112" i="77"/>
  <c r="CO111" i="77"/>
  <c r="CF111" i="77"/>
  <c r="BW111" i="77"/>
  <c r="CX111" i="77"/>
  <c r="BI111" i="77"/>
  <c r="CW111" i="77"/>
  <c r="BD111" i="77"/>
  <c r="CV111" i="77"/>
  <c r="CU111" i="77"/>
  <c r="CT111" i="77"/>
  <c r="CS111" i="77"/>
  <c r="CR111" i="77"/>
  <c r="CQ111" i="77"/>
  <c r="C111" i="77"/>
  <c r="CO110" i="77"/>
  <c r="CF110" i="77"/>
  <c r="BW110" i="77"/>
  <c r="CX110" i="77"/>
  <c r="BI110" i="77"/>
  <c r="CW110" i="77"/>
  <c r="BD110" i="77"/>
  <c r="BK110" i="77"/>
  <c r="CV110" i="77"/>
  <c r="CU110" i="77"/>
  <c r="CS110" i="77"/>
  <c r="CR110" i="77"/>
  <c r="CQ110" i="77"/>
  <c r="C110" i="77"/>
  <c r="CO109" i="77"/>
  <c r="CF109" i="77"/>
  <c r="BW109" i="77"/>
  <c r="BI109" i="77"/>
  <c r="CW109" i="77"/>
  <c r="BD109" i="77"/>
  <c r="CU109" i="77"/>
  <c r="CT109" i="77"/>
  <c r="CS109" i="77"/>
  <c r="CR109" i="77"/>
  <c r="C109" i="77"/>
  <c r="CO108" i="77"/>
  <c r="CF108" i="77"/>
  <c r="BW108" i="77"/>
  <c r="BI108" i="77"/>
  <c r="CW108" i="77"/>
  <c r="BD108" i="77"/>
  <c r="BK108" i="77"/>
  <c r="BL108" i="77"/>
  <c r="CV108" i="77"/>
  <c r="CU108" i="77"/>
  <c r="CT108" i="77"/>
  <c r="CS108" i="77"/>
  <c r="CR108" i="77"/>
  <c r="CQ108" i="77"/>
  <c r="C108" i="77"/>
  <c r="CO107" i="77"/>
  <c r="CF107" i="77"/>
  <c r="BW107" i="77"/>
  <c r="BI107" i="77"/>
  <c r="CW107" i="77"/>
  <c r="BD107" i="77"/>
  <c r="CU107" i="77"/>
  <c r="CT107" i="77"/>
  <c r="CS107" i="77"/>
  <c r="CR107" i="77"/>
  <c r="CQ107" i="77"/>
  <c r="C107" i="77"/>
  <c r="CO106" i="77"/>
  <c r="CF106" i="77"/>
  <c r="BW106" i="77"/>
  <c r="CX106" i="77"/>
  <c r="BI106" i="77"/>
  <c r="CW106" i="77"/>
  <c r="BD106" i="77"/>
  <c r="BK106" i="77"/>
  <c r="CT106" i="77"/>
  <c r="CS106" i="77"/>
  <c r="CR106" i="77"/>
  <c r="CQ106" i="77"/>
  <c r="C106" i="77"/>
  <c r="CO105" i="77"/>
  <c r="CF105" i="77"/>
  <c r="BW105" i="77"/>
  <c r="CX105" i="77"/>
  <c r="BI105" i="77"/>
  <c r="CW105" i="77"/>
  <c r="BD105" i="77"/>
  <c r="CV105" i="77"/>
  <c r="CU105" i="77"/>
  <c r="CT105" i="77"/>
  <c r="CS105" i="77"/>
  <c r="CR105" i="77"/>
  <c r="CQ105" i="77"/>
  <c r="C105" i="77"/>
  <c r="CO104" i="77"/>
  <c r="CF104" i="77"/>
  <c r="BW104" i="77"/>
  <c r="CX104" i="77"/>
  <c r="BI104" i="77"/>
  <c r="CW104" i="77"/>
  <c r="BD104" i="77"/>
  <c r="CU104" i="77"/>
  <c r="CT104" i="77"/>
  <c r="CS104" i="77"/>
  <c r="CR104" i="77"/>
  <c r="C104" i="77"/>
  <c r="CO103" i="77"/>
  <c r="CF103" i="77"/>
  <c r="BW103" i="77"/>
  <c r="CX103" i="77"/>
  <c r="BI103" i="77"/>
  <c r="CW103" i="77"/>
  <c r="BD103" i="77"/>
  <c r="CU103" i="77"/>
  <c r="CT103" i="77"/>
  <c r="CS103" i="77"/>
  <c r="CR103" i="77"/>
  <c r="C103" i="77"/>
  <c r="CO102" i="77"/>
  <c r="CF102" i="77"/>
  <c r="BW102" i="77"/>
  <c r="CX102" i="77"/>
  <c r="BI102" i="77"/>
  <c r="CW102" i="77"/>
  <c r="BD102" i="77"/>
  <c r="CU102" i="77"/>
  <c r="CT102" i="77"/>
  <c r="CS102" i="77"/>
  <c r="CR102" i="77"/>
  <c r="C102" i="77"/>
  <c r="CO101" i="77"/>
  <c r="CF101" i="77"/>
  <c r="BW101" i="77"/>
  <c r="BI101" i="77"/>
  <c r="BD101" i="77"/>
  <c r="CV101" i="77"/>
  <c r="CU101" i="77"/>
  <c r="CT101" i="77"/>
  <c r="CS101" i="77"/>
  <c r="CR101" i="77"/>
  <c r="CQ101" i="77"/>
  <c r="C101" i="77"/>
  <c r="CO100" i="77"/>
  <c r="CF100" i="77"/>
  <c r="BW100" i="77"/>
  <c r="CX100" i="77"/>
  <c r="BI100" i="77"/>
  <c r="BD100" i="77"/>
  <c r="CV100" i="77"/>
  <c r="CU100" i="77"/>
  <c r="CT100" i="77"/>
  <c r="CS100" i="77"/>
  <c r="CQ100" i="77"/>
  <c r="CO99" i="77"/>
  <c r="CF99" i="77"/>
  <c r="BW99" i="77"/>
  <c r="BI99" i="77"/>
  <c r="CW99" i="77"/>
  <c r="BD99" i="77"/>
  <c r="BK99" i="77"/>
  <c r="CT99" i="77"/>
  <c r="CS99" i="77"/>
  <c r="CR99" i="77"/>
  <c r="CO98" i="77"/>
  <c r="CF98" i="77"/>
  <c r="BW98" i="77"/>
  <c r="BI98" i="77"/>
  <c r="CW98" i="77"/>
  <c r="BD98" i="77"/>
  <c r="CU98" i="77"/>
  <c r="CT98" i="77"/>
  <c r="CS98" i="77"/>
  <c r="CO97" i="77"/>
  <c r="CF97" i="77"/>
  <c r="BW97" i="77"/>
  <c r="BI97" i="77"/>
  <c r="BD97" i="77"/>
  <c r="CU97" i="77"/>
  <c r="CT97" i="77"/>
  <c r="CS97" i="77"/>
  <c r="CQ97" i="77"/>
  <c r="CO96" i="77"/>
  <c r="CF96" i="77"/>
  <c r="BW96" i="77"/>
  <c r="CX96" i="77"/>
  <c r="BI96" i="77"/>
  <c r="CW96" i="77"/>
  <c r="BD96" i="77"/>
  <c r="CV96" i="77"/>
  <c r="CU96" i="77"/>
  <c r="CT96" i="77"/>
  <c r="CS96" i="77"/>
  <c r="CR96" i="77"/>
  <c r="CQ96" i="77"/>
  <c r="CO95" i="77"/>
  <c r="CF95" i="77"/>
  <c r="BW95" i="77"/>
  <c r="BI95" i="77"/>
  <c r="BD95" i="77"/>
  <c r="CV95" i="77"/>
  <c r="CU95" i="77"/>
  <c r="CT95" i="77"/>
  <c r="CR95" i="77"/>
  <c r="CO94" i="77"/>
  <c r="CF94" i="77"/>
  <c r="BW94" i="77"/>
  <c r="BI94" i="77"/>
  <c r="CW94" i="77"/>
  <c r="BD94" i="77"/>
  <c r="CU94" i="77"/>
  <c r="CS94" i="77"/>
  <c r="CR94" i="77"/>
  <c r="CQ94" i="77"/>
  <c r="CO93" i="77"/>
  <c r="CF93" i="77"/>
  <c r="BW93" i="77"/>
  <c r="BI93" i="77"/>
  <c r="BD93" i="77"/>
  <c r="CU93" i="77"/>
  <c r="CT93" i="77"/>
  <c r="CS93" i="77"/>
  <c r="CR93" i="77"/>
  <c r="CO92" i="77"/>
  <c r="CF92" i="77"/>
  <c r="BW92" i="77"/>
  <c r="BI92" i="77"/>
  <c r="CW92" i="77"/>
  <c r="BD92" i="77"/>
  <c r="BK92" i="77"/>
  <c r="BL92" i="77"/>
  <c r="CV92" i="77"/>
  <c r="CU92" i="77"/>
  <c r="CT92" i="77"/>
  <c r="CR92" i="77"/>
  <c r="CQ92" i="77"/>
  <c r="CO91" i="77"/>
  <c r="CF91" i="77"/>
  <c r="BW91" i="77"/>
  <c r="BI91" i="77"/>
  <c r="BD91" i="77"/>
  <c r="CV91" i="77"/>
  <c r="CU91" i="77"/>
  <c r="CT91" i="77"/>
  <c r="CS91" i="77"/>
  <c r="CQ91" i="77"/>
  <c r="CO90" i="77"/>
  <c r="CF90" i="77"/>
  <c r="BW90" i="77"/>
  <c r="BI90" i="77"/>
  <c r="CW90" i="77"/>
  <c r="BD90" i="77"/>
  <c r="CV90" i="77"/>
  <c r="CU90" i="77"/>
  <c r="CT90" i="77"/>
  <c r="CS90" i="77"/>
  <c r="CR90" i="77"/>
  <c r="CO89" i="77"/>
  <c r="CF89" i="77"/>
  <c r="BW89" i="77"/>
  <c r="CX89" i="77"/>
  <c r="BI89" i="77"/>
  <c r="CW89" i="77"/>
  <c r="BD89" i="77"/>
  <c r="CV89" i="77"/>
  <c r="CU89" i="77"/>
  <c r="CT89" i="77"/>
  <c r="CS89" i="77"/>
  <c r="CR89" i="77"/>
  <c r="CQ89" i="77"/>
  <c r="CO88" i="77"/>
  <c r="CF88" i="77"/>
  <c r="BW88" i="77"/>
  <c r="BI88" i="77"/>
  <c r="CW88" i="77"/>
  <c r="CU88" i="77"/>
  <c r="CS88" i="77"/>
  <c r="CR88" i="77"/>
  <c r="CQ88" i="77"/>
  <c r="CO87" i="77"/>
  <c r="CF87" i="77"/>
  <c r="BW87" i="77"/>
  <c r="BI87" i="77"/>
  <c r="CW87" i="77"/>
  <c r="BD87" i="77"/>
  <c r="CU87" i="77"/>
  <c r="CT87" i="77"/>
  <c r="CR87" i="77"/>
  <c r="CQ87" i="77"/>
  <c r="CO86" i="77"/>
  <c r="CF86" i="77"/>
  <c r="BW86" i="77"/>
  <c r="BI86" i="77"/>
  <c r="CW86" i="77"/>
  <c r="BD86" i="77"/>
  <c r="CV86" i="77"/>
  <c r="CU86" i="77"/>
  <c r="CS86" i="77"/>
  <c r="CO85" i="77"/>
  <c r="CF85" i="77"/>
  <c r="BW85" i="77"/>
  <c r="BI85" i="77"/>
  <c r="CW85" i="77"/>
  <c r="BD85" i="77"/>
  <c r="CT85" i="77"/>
  <c r="CS85" i="77"/>
  <c r="CR85" i="77"/>
  <c r="CO84" i="77"/>
  <c r="CF84" i="77"/>
  <c r="BW84" i="77"/>
  <c r="BI84" i="77"/>
  <c r="CW84" i="77"/>
  <c r="BD84" i="77"/>
  <c r="CV84" i="77"/>
  <c r="CU84" i="77"/>
  <c r="CT84" i="77"/>
  <c r="CQ84" i="77"/>
  <c r="CO83" i="77"/>
  <c r="CF83" i="77"/>
  <c r="BW83" i="77"/>
  <c r="BI83" i="77"/>
  <c r="CW83" i="77"/>
  <c r="BD83" i="77"/>
  <c r="CU83" i="77"/>
  <c r="CT83" i="77"/>
  <c r="CS83" i="77"/>
  <c r="CQ83" i="77"/>
  <c r="CO82" i="77"/>
  <c r="CF82" i="77"/>
  <c r="BW82" i="77"/>
  <c r="CX82" i="77"/>
  <c r="BI82" i="77"/>
  <c r="CW82" i="77"/>
  <c r="BD82" i="77"/>
  <c r="CV82" i="77"/>
  <c r="CS82" i="77"/>
  <c r="CR82" i="77"/>
  <c r="CQ82" i="77"/>
  <c r="CO81" i="77"/>
  <c r="CF81" i="77"/>
  <c r="BW81" i="77"/>
  <c r="BI81" i="77"/>
  <c r="CW81" i="77"/>
  <c r="BD81" i="77"/>
  <c r="CV81" i="77"/>
  <c r="CT81" i="77"/>
  <c r="CS81" i="77"/>
  <c r="CR81" i="77"/>
  <c r="CQ81" i="77"/>
  <c r="CO80" i="77"/>
  <c r="CF80" i="77"/>
  <c r="BW80" i="77"/>
  <c r="CX80" i="77"/>
  <c r="BI80" i="77"/>
  <c r="CW80" i="77"/>
  <c r="BD80" i="77"/>
  <c r="CU80" i="77"/>
  <c r="CS80" i="77"/>
  <c r="CR80" i="77"/>
  <c r="CQ80" i="77"/>
  <c r="CO79" i="77"/>
  <c r="CF79" i="77"/>
  <c r="BW79" i="77"/>
  <c r="CX79" i="77"/>
  <c r="BI79" i="77"/>
  <c r="CW79" i="77"/>
  <c r="BD79" i="77"/>
  <c r="BK79" i="77"/>
  <c r="CV79" i="77"/>
  <c r="CU79" i="77"/>
  <c r="CT79" i="77"/>
  <c r="CS79" i="77"/>
  <c r="CQ79" i="77"/>
  <c r="CO78" i="77"/>
  <c r="CF78" i="77"/>
  <c r="BW78" i="77"/>
  <c r="BI78" i="77"/>
  <c r="CW78" i="77"/>
  <c r="BD78" i="77"/>
  <c r="CU78" i="77"/>
  <c r="CT78" i="77"/>
  <c r="CS78" i="77"/>
  <c r="CQ78" i="77"/>
  <c r="CO77" i="77"/>
  <c r="CF77" i="77"/>
  <c r="CX77" i="77"/>
  <c r="BW77" i="77"/>
  <c r="BI77" i="77"/>
  <c r="CW77" i="77"/>
  <c r="BD77" i="77"/>
  <c r="BK77" i="77"/>
  <c r="CU77" i="77"/>
  <c r="CS77" i="77"/>
  <c r="CQ77" i="77"/>
  <c r="CO76" i="77"/>
  <c r="CF76" i="77"/>
  <c r="BW76" i="77"/>
  <c r="BI76" i="77"/>
  <c r="CW76" i="77"/>
  <c r="BD76" i="77"/>
  <c r="CV76" i="77"/>
  <c r="CU76" i="77"/>
  <c r="CT76" i="77"/>
  <c r="CS76" i="77"/>
  <c r="CQ76" i="77"/>
  <c r="CO75" i="77"/>
  <c r="CF75" i="77"/>
  <c r="BW75" i="77"/>
  <c r="CX75" i="77"/>
  <c r="BI75" i="77"/>
  <c r="CW75" i="77"/>
  <c r="BD75" i="77"/>
  <c r="CV75" i="77"/>
  <c r="CU75" i="77"/>
  <c r="CT75" i="77"/>
  <c r="CS75" i="77"/>
  <c r="CR75" i="77"/>
  <c r="CQ75" i="77"/>
  <c r="CO74" i="77"/>
  <c r="CF74" i="77"/>
  <c r="BW74" i="77"/>
  <c r="BI74" i="77"/>
  <c r="CW74" i="77"/>
  <c r="BD74" i="77"/>
  <c r="BK74" i="77"/>
  <c r="CU74" i="77"/>
  <c r="CT74" i="77"/>
  <c r="CR74" i="77"/>
  <c r="CQ74" i="77"/>
  <c r="CO73" i="77"/>
  <c r="CF73" i="77"/>
  <c r="BW73" i="77"/>
  <c r="BI73" i="77"/>
  <c r="BK73" i="77"/>
  <c r="BL73" i="77"/>
  <c r="BD73" i="77"/>
  <c r="CV73" i="77"/>
  <c r="CU73" i="77"/>
  <c r="CT73" i="77"/>
  <c r="CS73" i="77"/>
  <c r="CQ73" i="77"/>
  <c r="CO72" i="77"/>
  <c r="CF72" i="77"/>
  <c r="BW72" i="77"/>
  <c r="BI72" i="77"/>
  <c r="CW72" i="77"/>
  <c r="BD72" i="77"/>
  <c r="CV72" i="77"/>
  <c r="BK72" i="77"/>
  <c r="BL72" i="77"/>
  <c r="CU72" i="77"/>
  <c r="CT72" i="77"/>
  <c r="CS72" i="77"/>
  <c r="CR72" i="77"/>
  <c r="CQ72" i="77"/>
  <c r="CO71" i="77"/>
  <c r="CF71" i="77"/>
  <c r="BW71" i="77"/>
  <c r="BI71" i="77"/>
  <c r="CW71" i="77"/>
  <c r="BD71" i="77"/>
  <c r="CV71" i="77"/>
  <c r="CU71" i="77"/>
  <c r="CT71" i="77"/>
  <c r="CS71" i="77"/>
  <c r="CR71" i="77"/>
  <c r="CQ71" i="77"/>
  <c r="CO70" i="77"/>
  <c r="CF70" i="77"/>
  <c r="BW70" i="77"/>
  <c r="BI70" i="77"/>
  <c r="CW70" i="77"/>
  <c r="BD70" i="77"/>
  <c r="BK70" i="77"/>
  <c r="CV70" i="77"/>
  <c r="CU70" i="77"/>
  <c r="CT70" i="77"/>
  <c r="CS70" i="77"/>
  <c r="CR70" i="77"/>
  <c r="CO69" i="77"/>
  <c r="CF69" i="77"/>
  <c r="BW69" i="77"/>
  <c r="BI69" i="77"/>
  <c r="CW69" i="77"/>
  <c r="BD69" i="77"/>
  <c r="CU69" i="77"/>
  <c r="CT69" i="77"/>
  <c r="CR69" i="77"/>
  <c r="CQ69" i="77"/>
  <c r="CO68" i="77"/>
  <c r="CF68" i="77"/>
  <c r="BW68" i="77"/>
  <c r="BI68" i="77"/>
  <c r="CW68" i="77"/>
  <c r="BD68" i="77"/>
  <c r="CV68" i="77"/>
  <c r="CT68" i="77"/>
  <c r="CS68" i="77"/>
  <c r="CO67" i="77"/>
  <c r="CF67" i="77"/>
  <c r="BW67" i="77"/>
  <c r="CX67" i="77"/>
  <c r="BI67" i="77"/>
  <c r="BD67" i="77"/>
  <c r="CV67" i="77"/>
  <c r="CU67" i="77"/>
  <c r="CR67" i="77"/>
  <c r="CQ67" i="77"/>
  <c r="CO66" i="77"/>
  <c r="CF66" i="77"/>
  <c r="CX66" i="77"/>
  <c r="BW66" i="77"/>
  <c r="BI66" i="77"/>
  <c r="CW66" i="77"/>
  <c r="BD66" i="77"/>
  <c r="CV66" i="77"/>
  <c r="CU66" i="77"/>
  <c r="CT66" i="77"/>
  <c r="CQ66" i="77"/>
  <c r="CO65" i="77"/>
  <c r="CF65" i="77"/>
  <c r="BW65" i="77"/>
  <c r="BI65" i="77"/>
  <c r="CW65" i="77"/>
  <c r="BD65" i="77"/>
  <c r="CV65" i="77"/>
  <c r="CU65" i="77"/>
  <c r="CT65" i="77"/>
  <c r="CS65" i="77"/>
  <c r="CR65" i="77"/>
  <c r="CO64" i="77"/>
  <c r="CF64" i="77"/>
  <c r="BW64" i="77"/>
  <c r="BI64" i="77"/>
  <c r="BD64" i="77"/>
  <c r="BK64" i="77"/>
  <c r="CU64" i="77"/>
  <c r="CT64" i="77"/>
  <c r="CS64" i="77"/>
  <c r="CQ64" i="77"/>
  <c r="CO63" i="77"/>
  <c r="CF63" i="77"/>
  <c r="BW63" i="77"/>
  <c r="BI63" i="77"/>
  <c r="CW63" i="77"/>
  <c r="BD63" i="77"/>
  <c r="CV63" i="77"/>
  <c r="CU63" i="77"/>
  <c r="CS63" i="77"/>
  <c r="CR63" i="77"/>
  <c r="CQ63" i="77"/>
  <c r="CO62" i="77"/>
  <c r="CF62" i="77"/>
  <c r="BW62" i="77"/>
  <c r="CX62" i="77"/>
  <c r="BI62" i="77"/>
  <c r="CW62" i="77"/>
  <c r="BD62" i="77"/>
  <c r="CV62" i="77"/>
  <c r="CU62" i="77"/>
  <c r="CT62" i="77"/>
  <c r="CS62" i="77"/>
  <c r="CR62" i="77"/>
  <c r="CQ62" i="77"/>
  <c r="CO61" i="77"/>
  <c r="CF61" i="77"/>
  <c r="BW61" i="77"/>
  <c r="BI61" i="77"/>
  <c r="CW61" i="77"/>
  <c r="BD61" i="77"/>
  <c r="CV61" i="77"/>
  <c r="CU61" i="77"/>
  <c r="CS61" i="77"/>
  <c r="CQ61" i="77"/>
  <c r="CO60" i="77"/>
  <c r="CF60" i="77"/>
  <c r="BW60" i="77"/>
  <c r="CX60" i="77"/>
  <c r="BI60" i="77"/>
  <c r="CW60" i="77"/>
  <c r="BD60" i="77"/>
  <c r="CU60" i="77"/>
  <c r="CT60" i="77"/>
  <c r="CS60" i="77"/>
  <c r="CO59" i="77"/>
  <c r="CF59" i="77"/>
  <c r="BW59" i="77"/>
  <c r="BI59" i="77"/>
  <c r="CW59" i="77"/>
  <c r="BD59" i="77"/>
  <c r="CU59" i="77"/>
  <c r="CT59" i="77"/>
  <c r="CS59" i="77"/>
  <c r="CR59" i="77"/>
  <c r="CO58" i="77"/>
  <c r="CF58" i="77"/>
  <c r="BW58" i="77"/>
  <c r="BI58" i="77"/>
  <c r="CW58" i="77"/>
  <c r="BD58" i="77"/>
  <c r="BK58" i="77"/>
  <c r="BM58" i="77"/>
  <c r="CV58" i="77"/>
  <c r="CT58" i="77"/>
  <c r="CS58" i="77"/>
  <c r="CR58" i="77"/>
  <c r="CQ58" i="77"/>
  <c r="CO57" i="77"/>
  <c r="CF57" i="77"/>
  <c r="BW57" i="77"/>
  <c r="CX57" i="77"/>
  <c r="BI57" i="77"/>
  <c r="CW57" i="77"/>
  <c r="BD57" i="77"/>
  <c r="BK57" i="77"/>
  <c r="CV57" i="77"/>
  <c r="CT57" i="77"/>
  <c r="CS57" i="77"/>
  <c r="CR57" i="77"/>
  <c r="CO56" i="77"/>
  <c r="CF56" i="77"/>
  <c r="BW56" i="77"/>
  <c r="BI56" i="77"/>
  <c r="CW56" i="77"/>
  <c r="BD56" i="77"/>
  <c r="BK56" i="77"/>
  <c r="CV56" i="77"/>
  <c r="CU56" i="77"/>
  <c r="CT56" i="77"/>
  <c r="CQ56" i="77"/>
  <c r="CO55" i="77"/>
  <c r="CF55" i="77"/>
  <c r="BW55" i="77"/>
  <c r="BI55" i="77"/>
  <c r="CW55" i="77"/>
  <c r="BD55" i="77"/>
  <c r="CU55" i="77"/>
  <c r="CS55" i="77"/>
  <c r="CR55" i="77"/>
  <c r="CQ55" i="77"/>
  <c r="CO54" i="77"/>
  <c r="CF54" i="77"/>
  <c r="BW54" i="77"/>
  <c r="BI54" i="77"/>
  <c r="CW54" i="77"/>
  <c r="BD54" i="77"/>
  <c r="BK54" i="77"/>
  <c r="BL54" i="77"/>
  <c r="CV54" i="77"/>
  <c r="CU54" i="77"/>
  <c r="CT54" i="77"/>
  <c r="CS54" i="77"/>
  <c r="CQ54" i="77"/>
  <c r="CY54" i="77"/>
  <c r="CO53" i="77"/>
  <c r="CX53" i="77"/>
  <c r="CF53" i="77"/>
  <c r="BW53" i="77"/>
  <c r="BI53" i="77"/>
  <c r="CW53" i="77"/>
  <c r="BD53" i="77"/>
  <c r="CV53" i="77"/>
  <c r="CU53" i="77"/>
  <c r="CT53" i="77"/>
  <c r="CS53" i="77"/>
  <c r="CR53" i="77"/>
  <c r="CO52" i="77"/>
  <c r="CF52" i="77"/>
  <c r="BW52" i="77"/>
  <c r="CX52" i="77"/>
  <c r="BI52" i="77"/>
  <c r="BD52" i="77"/>
  <c r="CV52" i="77"/>
  <c r="CU52" i="77"/>
  <c r="CT52" i="77"/>
  <c r="CR52" i="77"/>
  <c r="CQ52" i="77"/>
  <c r="CO51" i="77"/>
  <c r="CF51" i="77"/>
  <c r="BW51" i="77"/>
  <c r="CX51" i="77"/>
  <c r="BI51" i="77"/>
  <c r="CW51" i="77"/>
  <c r="BD51" i="77"/>
  <c r="CU51" i="77"/>
  <c r="CT51" i="77"/>
  <c r="CS51" i="77"/>
  <c r="CR51" i="77"/>
  <c r="CQ51" i="77"/>
  <c r="CO50" i="77"/>
  <c r="CF50" i="77"/>
  <c r="BW50" i="77"/>
  <c r="BI50" i="77"/>
  <c r="CW50" i="77"/>
  <c r="BD50" i="77"/>
  <c r="CV50" i="77"/>
  <c r="CU50" i="77"/>
  <c r="CS50" i="77"/>
  <c r="CR50" i="77"/>
  <c r="CO49" i="77"/>
  <c r="CF49" i="77"/>
  <c r="BW49" i="77"/>
  <c r="BI49" i="77"/>
  <c r="CW49" i="77"/>
  <c r="BD49" i="77"/>
  <c r="CU49" i="77"/>
  <c r="CT49" i="77"/>
  <c r="CQ49" i="77"/>
  <c r="CO48" i="77"/>
  <c r="CF48" i="77"/>
  <c r="BW48" i="77"/>
  <c r="BI48" i="77"/>
  <c r="CW48" i="77"/>
  <c r="BD48" i="77"/>
  <c r="CU48" i="77"/>
  <c r="CT48" i="77"/>
  <c r="CS48" i="77"/>
  <c r="CQ48" i="77"/>
  <c r="CO46" i="77"/>
  <c r="CF46" i="77"/>
  <c r="BW46" i="77"/>
  <c r="BI46" i="77"/>
  <c r="CW46" i="77"/>
  <c r="BD46" i="77"/>
  <c r="CV46" i="77"/>
  <c r="CU46" i="77"/>
  <c r="CT46" i="77"/>
  <c r="CS46" i="77"/>
  <c r="CR46" i="77"/>
  <c r="CO45" i="77"/>
  <c r="CF45" i="77"/>
  <c r="BW45" i="77"/>
  <c r="BI45" i="77"/>
  <c r="CW45" i="77"/>
  <c r="BD45" i="77"/>
  <c r="CV45" i="77"/>
  <c r="CY45" i="77"/>
  <c r="CU45" i="77"/>
  <c r="CT45" i="77"/>
  <c r="CS45" i="77"/>
  <c r="CR45" i="77"/>
  <c r="CQ45" i="77"/>
  <c r="CO44" i="77"/>
  <c r="CF44" i="77"/>
  <c r="BW44" i="77"/>
  <c r="BI44" i="77"/>
  <c r="BD44" i="77"/>
  <c r="CV44" i="77"/>
  <c r="CS44" i="77"/>
  <c r="CR44" i="77"/>
  <c r="CQ44" i="77"/>
  <c r="CO43" i="77"/>
  <c r="CF43" i="77"/>
  <c r="BW43" i="77"/>
  <c r="BI43" i="77"/>
  <c r="CW43" i="77"/>
  <c r="BD43" i="77"/>
  <c r="CV43" i="77"/>
  <c r="CU43" i="77"/>
  <c r="CT43" i="77"/>
  <c r="CS43" i="77"/>
  <c r="CR43" i="77"/>
  <c r="CO42" i="77"/>
  <c r="CF42" i="77"/>
  <c r="BW42" i="77"/>
  <c r="CX42" i="77"/>
  <c r="BI42" i="77"/>
  <c r="CW42" i="77"/>
  <c r="BD42" i="77"/>
  <c r="CU42" i="77"/>
  <c r="CT42" i="77"/>
  <c r="CS42" i="77"/>
  <c r="CR42" i="77"/>
  <c r="CO41" i="77"/>
  <c r="CF41" i="77"/>
  <c r="BW41" i="77"/>
  <c r="CX41" i="77"/>
  <c r="BI41" i="77"/>
  <c r="CW41" i="77"/>
  <c r="BD41" i="77"/>
  <c r="CV41" i="77"/>
  <c r="CU41" i="77"/>
  <c r="CT41" i="77"/>
  <c r="CS41" i="77"/>
  <c r="CR41" i="77"/>
  <c r="CQ41" i="77"/>
  <c r="CO40" i="77"/>
  <c r="CF40" i="77"/>
  <c r="BW40" i="77"/>
  <c r="CX40" i="77"/>
  <c r="BI40" i="77"/>
  <c r="CW40" i="77"/>
  <c r="BD40" i="77"/>
  <c r="CV40" i="77"/>
  <c r="CU40" i="77"/>
  <c r="CT40" i="77"/>
  <c r="CS40" i="77"/>
  <c r="CO39" i="77"/>
  <c r="CF39" i="77"/>
  <c r="BW39" i="77"/>
  <c r="CX39" i="77"/>
  <c r="BI39" i="77"/>
  <c r="CW39" i="77"/>
  <c r="BD39" i="77"/>
  <c r="CV39" i="77"/>
  <c r="CU39" i="77"/>
  <c r="CT39" i="77"/>
  <c r="CS39" i="77"/>
  <c r="CR39" i="77"/>
  <c r="CQ39" i="77"/>
  <c r="CO38" i="77"/>
  <c r="CF38" i="77"/>
  <c r="BW38" i="77"/>
  <c r="CX38" i="77"/>
  <c r="BI38" i="77"/>
  <c r="CW38" i="77"/>
  <c r="BD38" i="77"/>
  <c r="CU38" i="77"/>
  <c r="CT38" i="77"/>
  <c r="CS38" i="77"/>
  <c r="CQ38" i="77"/>
  <c r="CO37" i="77"/>
  <c r="CF37" i="77"/>
  <c r="BW37" i="77"/>
  <c r="CX37" i="77"/>
  <c r="BI37" i="77"/>
  <c r="CW37" i="77"/>
  <c r="BD37" i="77"/>
  <c r="CV37" i="77"/>
  <c r="CT37" i="77"/>
  <c r="CS37" i="77"/>
  <c r="CQ37" i="77"/>
  <c r="CY37" i="77"/>
  <c r="CO36" i="77"/>
  <c r="CF36" i="77"/>
  <c r="BW36" i="77"/>
  <c r="BI36" i="77"/>
  <c r="CW36" i="77"/>
  <c r="BD36" i="77"/>
  <c r="CU36" i="77"/>
  <c r="CT36" i="77"/>
  <c r="CS36" i="77"/>
  <c r="CR36" i="77"/>
  <c r="CQ36" i="77"/>
  <c r="CO35" i="77"/>
  <c r="CF35" i="77"/>
  <c r="BW35" i="77"/>
  <c r="CX35" i="77"/>
  <c r="BI35" i="77"/>
  <c r="CW35" i="77"/>
  <c r="BD35" i="77"/>
  <c r="CV35" i="77"/>
  <c r="CU35" i="77"/>
  <c r="CT35" i="77"/>
  <c r="CR35" i="77"/>
  <c r="CQ35" i="77"/>
  <c r="CO34" i="77"/>
  <c r="CF34" i="77"/>
  <c r="BW34" i="77"/>
  <c r="BI34" i="77"/>
  <c r="CW34" i="77"/>
  <c r="BD34" i="77"/>
  <c r="BK34" i="77"/>
  <c r="BL34" i="77"/>
  <c r="CU34" i="77"/>
  <c r="CT34" i="77"/>
  <c r="CS34" i="77"/>
  <c r="CQ34" i="77"/>
  <c r="CO33" i="77"/>
  <c r="CF33" i="77"/>
  <c r="BW33" i="77"/>
  <c r="CX33" i="77"/>
  <c r="BI33" i="77"/>
  <c r="CW33" i="77"/>
  <c r="BD33" i="77"/>
  <c r="CU33" i="77"/>
  <c r="CT33" i="77"/>
  <c r="CS33" i="77"/>
  <c r="CR33" i="77"/>
  <c r="CO32" i="77"/>
  <c r="CF32" i="77"/>
  <c r="BW32" i="77"/>
  <c r="BI32" i="77"/>
  <c r="CW32" i="77"/>
  <c r="BD32" i="77"/>
  <c r="CV32" i="77"/>
  <c r="CU32" i="77"/>
  <c r="CT32" i="77"/>
  <c r="CS32" i="77"/>
  <c r="CR32" i="77"/>
  <c r="CQ32" i="77"/>
  <c r="CO31" i="77"/>
  <c r="CF31" i="77"/>
  <c r="BW31" i="77"/>
  <c r="CX31" i="77"/>
  <c r="BI31" i="77"/>
  <c r="CW31" i="77"/>
  <c r="BD31" i="77"/>
  <c r="BK31" i="77"/>
  <c r="BL31" i="77"/>
  <c r="CU31" i="77"/>
  <c r="CT31" i="77"/>
  <c r="CS31" i="77"/>
  <c r="CR31" i="77"/>
  <c r="CQ31" i="77"/>
  <c r="CO30" i="77"/>
  <c r="CF30" i="77"/>
  <c r="BW30" i="77"/>
  <c r="BI30" i="77"/>
  <c r="CW30" i="77"/>
  <c r="BD30" i="77"/>
  <c r="CV30" i="77"/>
  <c r="CU30" i="77"/>
  <c r="CT30" i="77"/>
  <c r="CS30" i="77"/>
  <c r="CR30" i="77"/>
  <c r="CO29" i="77"/>
  <c r="CF29" i="77"/>
  <c r="BW29" i="77"/>
  <c r="CX29" i="77"/>
  <c r="BI29" i="77"/>
  <c r="CW29" i="77"/>
  <c r="BD29" i="77"/>
  <c r="CV29" i="77"/>
  <c r="CU29" i="77"/>
  <c r="CT29" i="77"/>
  <c r="CS29" i="77"/>
  <c r="CR29" i="77"/>
  <c r="CQ29" i="77"/>
  <c r="CO28" i="77"/>
  <c r="CF28" i="77"/>
  <c r="BW28" i="77"/>
  <c r="CX28" i="77"/>
  <c r="BI28" i="77"/>
  <c r="BD28" i="77"/>
  <c r="CU28" i="77"/>
  <c r="CT28" i="77"/>
  <c r="CS28" i="77"/>
  <c r="CR28" i="77"/>
  <c r="CO27" i="77"/>
  <c r="CF27" i="77"/>
  <c r="BW27" i="77"/>
  <c r="CX27" i="77"/>
  <c r="BI27" i="77"/>
  <c r="CW27" i="77"/>
  <c r="BD27" i="77"/>
  <c r="CT27" i="77"/>
  <c r="CS27" i="77"/>
  <c r="CR27" i="77"/>
  <c r="CQ27" i="77"/>
  <c r="CO26" i="77"/>
  <c r="CF26" i="77"/>
  <c r="BW26" i="77"/>
  <c r="CX26" i="77"/>
  <c r="BI26" i="77"/>
  <c r="CW26" i="77"/>
  <c r="BD26" i="77"/>
  <c r="BK26" i="77"/>
  <c r="BL26" i="77"/>
  <c r="CU26" i="77"/>
  <c r="CT26" i="77"/>
  <c r="CS26" i="77"/>
  <c r="CR26" i="77"/>
  <c r="CQ26" i="77"/>
  <c r="CO25" i="77"/>
  <c r="CF25" i="77"/>
  <c r="BW25" i="77"/>
  <c r="CX25" i="77"/>
  <c r="BI25" i="77"/>
  <c r="CW25" i="77"/>
  <c r="BD25" i="77"/>
  <c r="CU25" i="77"/>
  <c r="CT25" i="77"/>
  <c r="CS25" i="77"/>
  <c r="CR25" i="77"/>
  <c r="CQ25" i="77"/>
  <c r="CO24" i="77"/>
  <c r="CF24" i="77"/>
  <c r="BW24" i="77"/>
  <c r="CX24" i="77"/>
  <c r="BI24" i="77"/>
  <c r="CW24" i="77"/>
  <c r="BD24" i="77"/>
  <c r="CU24" i="77"/>
  <c r="CT24" i="77"/>
  <c r="CS24" i="77"/>
  <c r="CQ24" i="77"/>
  <c r="CO23" i="77"/>
  <c r="CF23" i="77"/>
  <c r="BW23" i="77"/>
  <c r="BI23" i="77"/>
  <c r="CW23" i="77"/>
  <c r="CY23" i="77"/>
  <c r="BD23" i="77"/>
  <c r="BK23" i="77"/>
  <c r="CV23" i="77"/>
  <c r="CU23" i="77"/>
  <c r="CT23" i="77"/>
  <c r="CS23" i="77"/>
  <c r="CR23" i="77"/>
  <c r="CQ23" i="77"/>
  <c r="CO22" i="77"/>
  <c r="CF22" i="77"/>
  <c r="BW22" i="77"/>
  <c r="CX22" i="77"/>
  <c r="BI22" i="77"/>
  <c r="CW22" i="77"/>
  <c r="BD22" i="77"/>
  <c r="CV22" i="77"/>
  <c r="CU22" i="77"/>
  <c r="CT22" i="77"/>
  <c r="CS22" i="77"/>
  <c r="CR22" i="77"/>
  <c r="CQ22" i="77"/>
  <c r="CO21" i="77"/>
  <c r="CF21" i="77"/>
  <c r="BW21" i="77"/>
  <c r="CX21" i="77"/>
  <c r="BI21" i="77"/>
  <c r="CW21" i="77"/>
  <c r="BD21" i="77"/>
  <c r="CV21" i="77"/>
  <c r="CU21" i="77"/>
  <c r="CT21" i="77"/>
  <c r="CR21" i="77"/>
  <c r="CQ21" i="77"/>
  <c r="CO20" i="77"/>
  <c r="CF20" i="77"/>
  <c r="BW20" i="77"/>
  <c r="CX20" i="77"/>
  <c r="BI20" i="77"/>
  <c r="CW20" i="77"/>
  <c r="BD20" i="77"/>
  <c r="CV20" i="77"/>
  <c r="CU20" i="77"/>
  <c r="CT20" i="77"/>
  <c r="CS20" i="77"/>
  <c r="CR20" i="77"/>
  <c r="CQ20" i="77"/>
  <c r="CO18" i="77"/>
  <c r="CF18" i="77"/>
  <c r="BW18" i="77"/>
  <c r="BI18" i="77"/>
  <c r="CW18" i="77"/>
  <c r="BD18" i="77"/>
  <c r="CV18" i="77"/>
  <c r="BK18" i="77"/>
  <c r="BM18" i="77"/>
  <c r="CU18" i="77"/>
  <c r="CT18" i="77"/>
  <c r="CS18" i="77"/>
  <c r="CR18" i="77"/>
  <c r="CQ18" i="77"/>
  <c r="CO17" i="77"/>
  <c r="CF17" i="77"/>
  <c r="BW17" i="77"/>
  <c r="BI17" i="77"/>
  <c r="CW17" i="77"/>
  <c r="BD17" i="77"/>
  <c r="CV17" i="77"/>
  <c r="CU17" i="77"/>
  <c r="CT17" i="77"/>
  <c r="CS17" i="77"/>
  <c r="CR17" i="77"/>
  <c r="CQ17" i="77"/>
  <c r="CO14" i="77"/>
  <c r="CF14" i="77"/>
  <c r="BW14" i="77"/>
  <c r="BI14" i="77"/>
  <c r="CW14" i="77"/>
  <c r="BD14" i="77"/>
  <c r="BK14" i="77"/>
  <c r="CV14" i="77"/>
  <c r="CU14" i="77"/>
  <c r="CT14" i="77"/>
  <c r="CS14" i="77"/>
  <c r="CR14" i="77"/>
  <c r="CQ14" i="77"/>
  <c r="H252" i="38"/>
  <c r="C251" i="38"/>
  <c r="F251" i="38"/>
  <c r="I251" i="38"/>
  <c r="F250" i="38"/>
  <c r="I250" i="38"/>
  <c r="F249" i="38"/>
  <c r="I249" i="38"/>
  <c r="F248" i="38"/>
  <c r="I248" i="38"/>
  <c r="F247" i="38"/>
  <c r="I247" i="38"/>
  <c r="F246" i="38"/>
  <c r="I246" i="38"/>
  <c r="D245" i="38"/>
  <c r="F245" i="38"/>
  <c r="I245" i="38"/>
  <c r="C245" i="38"/>
  <c r="D244" i="38"/>
  <c r="C244" i="38"/>
  <c r="F244" i="38"/>
  <c r="I244" i="38"/>
  <c r="D243" i="38"/>
  <c r="C243" i="38"/>
  <c r="F243" i="38"/>
  <c r="I243" i="38"/>
  <c r="D242" i="38"/>
  <c r="F242" i="38"/>
  <c r="I242" i="38"/>
  <c r="C242" i="38"/>
  <c r="C241" i="38"/>
  <c r="F241" i="38"/>
  <c r="I241" i="38"/>
  <c r="F240" i="38"/>
  <c r="I240" i="38"/>
  <c r="F239" i="38"/>
  <c r="I239" i="38"/>
  <c r="F238" i="38"/>
  <c r="I238" i="38"/>
  <c r="F237" i="38"/>
  <c r="I237" i="38"/>
  <c r="F236" i="38"/>
  <c r="I236" i="38"/>
  <c r="F235" i="38"/>
  <c r="I235" i="38"/>
  <c r="F234" i="38"/>
  <c r="I234" i="38"/>
  <c r="F233" i="38"/>
  <c r="I233" i="38"/>
  <c r="C232" i="38"/>
  <c r="F232" i="38"/>
  <c r="I232" i="38"/>
  <c r="F231" i="38"/>
  <c r="I231" i="38"/>
  <c r="C230" i="38"/>
  <c r="F230" i="38"/>
  <c r="I230" i="38"/>
  <c r="C229" i="38"/>
  <c r="F229" i="38"/>
  <c r="I229" i="38"/>
  <c r="C228" i="38"/>
  <c r="F228" i="38"/>
  <c r="I228" i="38"/>
  <c r="F227" i="38"/>
  <c r="I227" i="38"/>
  <c r="F226" i="38"/>
  <c r="I226" i="38"/>
  <c r="F225" i="38"/>
  <c r="I225" i="38"/>
  <c r="F224" i="38"/>
  <c r="I224" i="38"/>
  <c r="F223" i="38"/>
  <c r="I223" i="38"/>
  <c r="L45" i="72"/>
  <c r="L44" i="72"/>
  <c r="L43" i="72"/>
  <c r="L42" i="72"/>
  <c r="L41" i="72"/>
  <c r="L40" i="72"/>
  <c r="L39" i="72"/>
  <c r="L38" i="72"/>
  <c r="L37" i="72"/>
  <c r="L36" i="72"/>
  <c r="L35" i="72"/>
  <c r="L34" i="72"/>
  <c r="L46" i="72"/>
  <c r="L30" i="72"/>
  <c r="L29" i="72"/>
  <c r="L28" i="72"/>
  <c r="L27" i="72"/>
  <c r="L26" i="72"/>
  <c r="L25" i="72"/>
  <c r="L24" i="72"/>
  <c r="L23" i="72"/>
  <c r="L22" i="72"/>
  <c r="L21" i="72"/>
  <c r="L20" i="72"/>
  <c r="L19" i="72"/>
  <c r="L15" i="72"/>
  <c r="L14" i="72"/>
  <c r="L13" i="72"/>
  <c r="L12" i="72"/>
  <c r="L11" i="72"/>
  <c r="L10" i="72"/>
  <c r="L9" i="72"/>
  <c r="L8" i="72"/>
  <c r="L7" i="72"/>
  <c r="L6" i="72"/>
  <c r="L5" i="72"/>
  <c r="L4" i="72"/>
  <c r="L16" i="72"/>
  <c r="E28" i="38"/>
  <c r="F28" i="38"/>
  <c r="L28" i="38"/>
  <c r="M28" i="38"/>
  <c r="O28" i="38"/>
  <c r="Q28" i="38"/>
  <c r="W28" i="38"/>
  <c r="E29" i="38"/>
  <c r="F29" i="38"/>
  <c r="L29" i="38"/>
  <c r="M29" i="38"/>
  <c r="O29" i="38"/>
  <c r="Q29" i="38"/>
  <c r="W29" i="38"/>
  <c r="E30" i="38"/>
  <c r="F30" i="38"/>
  <c r="L30" i="38"/>
  <c r="M30" i="38"/>
  <c r="O30" i="38"/>
  <c r="Q30" i="38"/>
  <c r="W30" i="38"/>
  <c r="E31" i="38"/>
  <c r="F31" i="38"/>
  <c r="L31" i="38"/>
  <c r="M31" i="38"/>
  <c r="O31" i="38"/>
  <c r="Q31" i="38"/>
  <c r="W31" i="38"/>
  <c r="E32" i="38"/>
  <c r="F32" i="38"/>
  <c r="S32" i="38"/>
  <c r="L32" i="38"/>
  <c r="M32" i="38"/>
  <c r="O32" i="38"/>
  <c r="Q32" i="38"/>
  <c r="W32" i="38"/>
  <c r="E33" i="38"/>
  <c r="F33" i="38"/>
  <c r="L33" i="38"/>
  <c r="M33" i="38"/>
  <c r="O33" i="38"/>
  <c r="Q33" i="38"/>
  <c r="W33" i="38"/>
  <c r="E34" i="38"/>
  <c r="F34" i="38"/>
  <c r="L34" i="38"/>
  <c r="M34" i="38"/>
  <c r="O34" i="38"/>
  <c r="Q34" i="38"/>
  <c r="W34" i="38"/>
  <c r="E35" i="38"/>
  <c r="F35" i="38"/>
  <c r="L35" i="38"/>
  <c r="M35" i="38"/>
  <c r="O35" i="38"/>
  <c r="Q35" i="38"/>
  <c r="W35" i="38"/>
  <c r="E36" i="38"/>
  <c r="F36" i="38"/>
  <c r="L36" i="38"/>
  <c r="M36" i="38"/>
  <c r="O36" i="38"/>
  <c r="Q36" i="38"/>
  <c r="W36" i="38"/>
  <c r="E37" i="38"/>
  <c r="F37" i="38"/>
  <c r="L37" i="38"/>
  <c r="M37" i="38"/>
  <c r="O37" i="38"/>
  <c r="Q37" i="38"/>
  <c r="W37" i="38"/>
  <c r="E38" i="38"/>
  <c r="F38" i="38"/>
  <c r="L38" i="38"/>
  <c r="M38" i="38"/>
  <c r="O38" i="38"/>
  <c r="Q38" i="38"/>
  <c r="W38" i="38"/>
  <c r="E39" i="38"/>
  <c r="F39" i="38"/>
  <c r="S39" i="38"/>
  <c r="L39" i="38"/>
  <c r="M39" i="38"/>
  <c r="O39" i="38"/>
  <c r="Q39" i="38"/>
  <c r="W39" i="38"/>
  <c r="E40" i="38"/>
  <c r="F40" i="38"/>
  <c r="L40" i="38"/>
  <c r="M40" i="38"/>
  <c r="O40" i="38"/>
  <c r="Q40" i="38"/>
  <c r="W40" i="38"/>
  <c r="E41" i="38"/>
  <c r="F41" i="38"/>
  <c r="L41" i="38"/>
  <c r="M41" i="38"/>
  <c r="O41" i="38"/>
  <c r="Q41" i="38"/>
  <c r="W41" i="38"/>
  <c r="E42" i="38"/>
  <c r="F42" i="38"/>
  <c r="S42" i="38"/>
  <c r="L42" i="38"/>
  <c r="M42" i="38"/>
  <c r="O42" i="38"/>
  <c r="Q42" i="38"/>
  <c r="W42" i="38"/>
  <c r="E43" i="38"/>
  <c r="F43" i="38"/>
  <c r="L43" i="38"/>
  <c r="M43" i="38"/>
  <c r="O43" i="38"/>
  <c r="Q43" i="38"/>
  <c r="W43" i="38"/>
  <c r="E44" i="38"/>
  <c r="F44" i="38"/>
  <c r="L44" i="38"/>
  <c r="M44" i="38"/>
  <c r="O44" i="38"/>
  <c r="Q44" i="38"/>
  <c r="W44" i="38"/>
  <c r="E45" i="38"/>
  <c r="F45" i="38"/>
  <c r="L45" i="38"/>
  <c r="M45" i="38"/>
  <c r="O45" i="38"/>
  <c r="Q45" i="38"/>
  <c r="W45" i="38"/>
  <c r="E46" i="38"/>
  <c r="F46" i="38"/>
  <c r="L46" i="38"/>
  <c r="M46" i="38"/>
  <c r="O46" i="38"/>
  <c r="Q46" i="38"/>
  <c r="W46" i="38"/>
  <c r="C168" i="38"/>
  <c r="F168" i="38"/>
  <c r="I168" i="38"/>
  <c r="F167" i="38"/>
  <c r="I167" i="38"/>
  <c r="F166" i="38"/>
  <c r="I166" i="38"/>
  <c r="F165" i="38"/>
  <c r="F164" i="38"/>
  <c r="I164" i="38"/>
  <c r="F163" i="38"/>
  <c r="I163" i="38"/>
  <c r="D162" i="38"/>
  <c r="C162" i="38"/>
  <c r="D161" i="38"/>
  <c r="C161" i="38"/>
  <c r="F161" i="38"/>
  <c r="I161" i="38"/>
  <c r="D160" i="38"/>
  <c r="F160" i="38"/>
  <c r="I160" i="38"/>
  <c r="C160" i="38"/>
  <c r="D159" i="38"/>
  <c r="C159" i="38"/>
  <c r="C158" i="38"/>
  <c r="F158" i="38"/>
  <c r="I158" i="38"/>
  <c r="F157" i="38"/>
  <c r="I157" i="38"/>
  <c r="F156" i="38"/>
  <c r="I156" i="38"/>
  <c r="F155" i="38"/>
  <c r="I155" i="38"/>
  <c r="F154" i="38"/>
  <c r="I154" i="38"/>
  <c r="F153" i="38"/>
  <c r="I153" i="38"/>
  <c r="F152" i="38"/>
  <c r="I152" i="38"/>
  <c r="F151" i="38"/>
  <c r="I151" i="38"/>
  <c r="F150" i="38"/>
  <c r="C149" i="38"/>
  <c r="F149" i="38"/>
  <c r="I149" i="38"/>
  <c r="F148" i="38"/>
  <c r="I148" i="38"/>
  <c r="C147" i="38"/>
  <c r="F147" i="38"/>
  <c r="I147" i="38"/>
  <c r="C146" i="38"/>
  <c r="F146" i="38"/>
  <c r="I146" i="38"/>
  <c r="C145" i="38"/>
  <c r="F145" i="38"/>
  <c r="I145" i="38"/>
  <c r="F144" i="38"/>
  <c r="F143" i="38"/>
  <c r="F142" i="38"/>
  <c r="F141" i="38"/>
  <c r="F140" i="38"/>
  <c r="F130" i="38"/>
  <c r="F131" i="38"/>
  <c r="F132" i="38"/>
  <c r="F133" i="38"/>
  <c r="F134" i="38"/>
  <c r="F135" i="38"/>
  <c r="E193" i="38"/>
  <c r="E194" i="38"/>
  <c r="E195" i="38"/>
  <c r="F193" i="38"/>
  <c r="F194" i="38"/>
  <c r="F195" i="38"/>
  <c r="F6" i="38"/>
  <c r="S6" i="38"/>
  <c r="W6" i="38"/>
  <c r="F5" i="38"/>
  <c r="S5" i="38"/>
  <c r="F7" i="38"/>
  <c r="S7" i="38"/>
  <c r="F8" i="38"/>
  <c r="F9" i="38"/>
  <c r="F10" i="38"/>
  <c r="O6" i="38"/>
  <c r="Q6" i="38"/>
  <c r="O5" i="38"/>
  <c r="Q5" i="38"/>
  <c r="O7" i="38"/>
  <c r="Q7" i="38"/>
  <c r="Q47" i="38"/>
  <c r="E187" i="38"/>
  <c r="O8" i="38"/>
  <c r="Q8" i="38"/>
  <c r="O9" i="38"/>
  <c r="Q9" i="38"/>
  <c r="O10" i="38"/>
  <c r="Q10" i="38"/>
  <c r="M7" i="38"/>
  <c r="E6" i="38"/>
  <c r="E5" i="38"/>
  <c r="E7" i="38"/>
  <c r="E8" i="38"/>
  <c r="E9" i="38"/>
  <c r="E10" i="38"/>
  <c r="L7" i="38"/>
  <c r="D208" i="38"/>
  <c r="E208" i="38"/>
  <c r="D209" i="38"/>
  <c r="E209" i="38"/>
  <c r="W195" i="38"/>
  <c r="O195" i="38"/>
  <c r="Q195" i="38"/>
  <c r="M195" i="38"/>
  <c r="L195" i="38"/>
  <c r="W194" i="38"/>
  <c r="O194" i="38"/>
  <c r="Q194" i="38"/>
  <c r="M194" i="38"/>
  <c r="S194" i="38"/>
  <c r="L194" i="38"/>
  <c r="W193" i="38"/>
  <c r="O193" i="38"/>
  <c r="Q193" i="38"/>
  <c r="M193" i="38"/>
  <c r="L193" i="38"/>
  <c r="M86" i="38"/>
  <c r="M85" i="38"/>
  <c r="M84" i="38"/>
  <c r="M83" i="38"/>
  <c r="M82" i="38"/>
  <c r="M81" i="38"/>
  <c r="M80" i="38"/>
  <c r="M79" i="38"/>
  <c r="M78" i="38"/>
  <c r="E16" i="38"/>
  <c r="F16" i="38"/>
  <c r="S16" i="38"/>
  <c r="L16" i="38"/>
  <c r="M16" i="38"/>
  <c r="O16" i="38"/>
  <c r="Q16" i="38"/>
  <c r="W16" i="38"/>
  <c r="E17" i="38"/>
  <c r="F17" i="38"/>
  <c r="L17" i="38"/>
  <c r="M17" i="38"/>
  <c r="O17" i="38"/>
  <c r="Q17" i="38"/>
  <c r="W17" i="38"/>
  <c r="E18" i="38"/>
  <c r="F18" i="38"/>
  <c r="L18" i="38"/>
  <c r="M18" i="38"/>
  <c r="O18" i="38"/>
  <c r="Q18" i="38"/>
  <c r="W18" i="38"/>
  <c r="E19" i="38"/>
  <c r="F19" i="38"/>
  <c r="S19" i="38"/>
  <c r="L19" i="38"/>
  <c r="M19" i="38"/>
  <c r="O19" i="38"/>
  <c r="Q19" i="38"/>
  <c r="W19" i="38"/>
  <c r="E20" i="38"/>
  <c r="F20" i="38"/>
  <c r="L20" i="38"/>
  <c r="M20" i="38"/>
  <c r="O20" i="38"/>
  <c r="Q20" i="38"/>
  <c r="W20" i="38"/>
  <c r="E21" i="38"/>
  <c r="F21" i="38"/>
  <c r="L21" i="38"/>
  <c r="M21" i="38"/>
  <c r="S21" i="38"/>
  <c r="O21" i="38"/>
  <c r="Q21" i="38"/>
  <c r="W21" i="38"/>
  <c r="E22" i="38"/>
  <c r="F22" i="38"/>
  <c r="L22" i="38"/>
  <c r="M22" i="38"/>
  <c r="O22" i="38"/>
  <c r="Q22" i="38"/>
  <c r="W22" i="38"/>
  <c r="M66" i="38"/>
  <c r="M67" i="38"/>
  <c r="M68" i="38"/>
  <c r="M69" i="38"/>
  <c r="M70" i="38"/>
  <c r="M5" i="38"/>
  <c r="M6" i="38"/>
  <c r="M8" i="38"/>
  <c r="M9" i="38"/>
  <c r="M10" i="38"/>
  <c r="S10" i="38"/>
  <c r="M11" i="38"/>
  <c r="M12" i="38"/>
  <c r="M13" i="38"/>
  <c r="M47" i="38"/>
  <c r="E180" i="38"/>
  <c r="M14" i="38"/>
  <c r="M15" i="38"/>
  <c r="M23" i="38"/>
  <c r="M24" i="38"/>
  <c r="M25" i="38"/>
  <c r="M26" i="38"/>
  <c r="M27" i="38"/>
  <c r="S27" i="38"/>
  <c r="F78" i="38"/>
  <c r="S78" i="38"/>
  <c r="F79" i="38"/>
  <c r="S79" i="38"/>
  <c r="F80" i="38"/>
  <c r="S80" i="38"/>
  <c r="F81" i="38"/>
  <c r="S81" i="38"/>
  <c r="F82" i="38"/>
  <c r="S82" i="38"/>
  <c r="F83" i="38"/>
  <c r="S83" i="38"/>
  <c r="F84" i="38"/>
  <c r="S84" i="38"/>
  <c r="F85" i="38"/>
  <c r="S85" i="38"/>
  <c r="F86" i="38"/>
  <c r="S86" i="38"/>
  <c r="W78" i="38"/>
  <c r="W79" i="38"/>
  <c r="W80" i="38"/>
  <c r="W81" i="38"/>
  <c r="W82" i="38"/>
  <c r="W83" i="38"/>
  <c r="W84" i="38"/>
  <c r="W85" i="38"/>
  <c r="W86" i="38"/>
  <c r="O78" i="38"/>
  <c r="Q78" i="38"/>
  <c r="O79" i="38"/>
  <c r="Q79" i="38"/>
  <c r="O80" i="38"/>
  <c r="Q80" i="38"/>
  <c r="O81" i="38"/>
  <c r="Q81" i="38"/>
  <c r="O82" i="38"/>
  <c r="Q82" i="38"/>
  <c r="O83" i="38"/>
  <c r="Q83" i="38"/>
  <c r="O84" i="38"/>
  <c r="Q84" i="38"/>
  <c r="O85" i="38"/>
  <c r="Q85" i="38"/>
  <c r="O86" i="38"/>
  <c r="Q86" i="38"/>
  <c r="E67" i="38"/>
  <c r="E66" i="38"/>
  <c r="E68" i="38"/>
  <c r="E69" i="38"/>
  <c r="E70" i="38"/>
  <c r="W66" i="38"/>
  <c r="W67" i="38"/>
  <c r="W68" i="38"/>
  <c r="W69" i="38"/>
  <c r="W70" i="38"/>
  <c r="L66" i="38"/>
  <c r="L67" i="38"/>
  <c r="L68" i="38"/>
  <c r="L69" i="38"/>
  <c r="L70" i="38"/>
  <c r="E11" i="38"/>
  <c r="E12" i="38"/>
  <c r="E13" i="38"/>
  <c r="E14" i="38"/>
  <c r="E15" i="38"/>
  <c r="E23" i="38"/>
  <c r="E24" i="38"/>
  <c r="E25" i="38"/>
  <c r="E26" i="38"/>
  <c r="E27" i="38"/>
  <c r="W5" i="38"/>
  <c r="W7" i="38"/>
  <c r="W8" i="38"/>
  <c r="W9" i="38"/>
  <c r="W10" i="38"/>
  <c r="W11" i="38"/>
  <c r="W12" i="38"/>
  <c r="W13" i="38"/>
  <c r="W14" i="38"/>
  <c r="W15" i="38"/>
  <c r="W23" i="38"/>
  <c r="W24" i="38"/>
  <c r="W25" i="38"/>
  <c r="W26" i="38"/>
  <c r="W27" i="38"/>
  <c r="L5" i="38"/>
  <c r="L6" i="38"/>
  <c r="L8" i="38"/>
  <c r="L9" i="38"/>
  <c r="L10" i="38"/>
  <c r="L11" i="38"/>
  <c r="L12" i="38"/>
  <c r="L13" i="38"/>
  <c r="L14" i="38"/>
  <c r="L15" i="38"/>
  <c r="L47" i="38"/>
  <c r="G143" i="38"/>
  <c r="I143" i="38"/>
  <c r="L23" i="38"/>
  <c r="L24" i="38"/>
  <c r="L25" i="38"/>
  <c r="L26" i="38"/>
  <c r="L27" i="38"/>
  <c r="O11" i="38"/>
  <c r="Q11" i="38"/>
  <c r="O12" i="38"/>
  <c r="Q12" i="38"/>
  <c r="O13" i="38"/>
  <c r="Q13" i="38"/>
  <c r="O14" i="38"/>
  <c r="Q14" i="38"/>
  <c r="O15" i="38"/>
  <c r="Q15" i="38"/>
  <c r="O23" i="38"/>
  <c r="Q23" i="38"/>
  <c r="O24" i="38"/>
  <c r="Q24" i="38"/>
  <c r="O25" i="38"/>
  <c r="Q25" i="38"/>
  <c r="O26" i="38"/>
  <c r="Q26" i="38"/>
  <c r="O27" i="38"/>
  <c r="Q27" i="38"/>
  <c r="O66" i="38"/>
  <c r="Q66" i="38"/>
  <c r="O67" i="38"/>
  <c r="Q67" i="38"/>
  <c r="O68" i="38"/>
  <c r="Q68" i="38"/>
  <c r="O69" i="38"/>
  <c r="Q69" i="38"/>
  <c r="O70" i="38"/>
  <c r="Q70" i="38"/>
  <c r="F11" i="38"/>
  <c r="S11" i="38"/>
  <c r="F12" i="38"/>
  <c r="S12" i="38"/>
  <c r="F13" i="38"/>
  <c r="S13" i="38"/>
  <c r="F14" i="38"/>
  <c r="S14" i="38"/>
  <c r="F15" i="38"/>
  <c r="S15" i="38"/>
  <c r="F23" i="38"/>
  <c r="S23" i="38"/>
  <c r="F24" i="38"/>
  <c r="S24" i="38"/>
  <c r="F25" i="38"/>
  <c r="S25" i="38"/>
  <c r="F26" i="38"/>
  <c r="F27" i="38"/>
  <c r="F66" i="38"/>
  <c r="F67" i="38"/>
  <c r="F68" i="38"/>
  <c r="F69" i="38"/>
  <c r="F70" i="38"/>
  <c r="S70" i="38"/>
  <c r="S98" i="38"/>
  <c r="F99" i="38"/>
  <c r="S99" i="38"/>
  <c r="F100" i="38"/>
  <c r="S100" i="38"/>
  <c r="F101" i="38"/>
  <c r="S101" i="38"/>
  <c r="F102" i="38"/>
  <c r="S102" i="38"/>
  <c r="F103" i="38"/>
  <c r="S103" i="38"/>
  <c r="F104" i="38"/>
  <c r="S104" i="38"/>
  <c r="L78" i="38"/>
  <c r="E54" i="38"/>
  <c r="F54" i="38"/>
  <c r="E55" i="38"/>
  <c r="F55" i="38"/>
  <c r="E56" i="38"/>
  <c r="F56" i="38"/>
  <c r="E57" i="38"/>
  <c r="F57" i="38"/>
  <c r="E58" i="38"/>
  <c r="F58" i="38"/>
  <c r="E59" i="38"/>
  <c r="E111" i="38"/>
  <c r="E112" i="38"/>
  <c r="E113" i="38"/>
  <c r="E114" i="38"/>
  <c r="E115" i="38"/>
  <c r="E116" i="38"/>
  <c r="E117" i="38"/>
  <c r="E118" i="38"/>
  <c r="E119" i="38"/>
  <c r="J94" i="38"/>
  <c r="L80" i="38"/>
  <c r="L81" i="38"/>
  <c r="L82" i="38"/>
  <c r="L83" i="38"/>
  <c r="L84" i="38"/>
  <c r="L85" i="38"/>
  <c r="E80" i="38"/>
  <c r="E81" i="38"/>
  <c r="E82" i="38"/>
  <c r="E83" i="38"/>
  <c r="E84" i="38"/>
  <c r="E85" i="38"/>
  <c r="E78" i="38"/>
  <c r="E79" i="38"/>
  <c r="E86" i="38"/>
  <c r="F59" i="38"/>
  <c r="F61" i="38"/>
  <c r="L79" i="38"/>
  <c r="L86" i="38"/>
  <c r="F126" i="38"/>
  <c r="F127" i="38"/>
  <c r="F128" i="38"/>
  <c r="F129" i="38"/>
  <c r="K98" i="38"/>
  <c r="K99" i="38"/>
  <c r="K100" i="38"/>
  <c r="K101" i="38"/>
  <c r="K102" i="38"/>
  <c r="K103" i="38"/>
  <c r="K104" i="38"/>
  <c r="E105" i="38"/>
  <c r="E106" i="38"/>
  <c r="E107" i="38"/>
  <c r="H169" i="38"/>
  <c r="G150" i="38"/>
  <c r="I150" i="38"/>
  <c r="F162" i="38"/>
  <c r="I162" i="38"/>
  <c r="CR64" i="77"/>
  <c r="CQ68" i="77"/>
  <c r="CU82" i="77"/>
  <c r="CS66" i="77"/>
  <c r="CS120" i="77"/>
  <c r="CR179" i="77"/>
  <c r="CQ86" i="77"/>
  <c r="CT80" i="77"/>
  <c r="CQ166" i="77"/>
  <c r="CR181" i="77"/>
  <c r="CR60" i="77"/>
  <c r="CR54" i="77"/>
  <c r="CU57" i="77"/>
  <c r="CT44" i="77"/>
  <c r="CT67" i="77"/>
  <c r="CS69" i="77"/>
  <c r="CR56" i="77"/>
  <c r="CU81" i="77"/>
  <c r="CR61" i="77"/>
  <c r="CR68" i="77"/>
  <c r="CS67" i="77"/>
  <c r="CQ60" i="77"/>
  <c r="CQ50" i="77"/>
  <c r="CR167" i="77"/>
  <c r="CT61" i="77"/>
  <c r="CT86" i="77"/>
  <c r="CU85" i="77"/>
  <c r="CU99" i="77"/>
  <c r="CU58" i="77"/>
  <c r="CR131" i="77"/>
  <c r="CS52" i="77"/>
  <c r="CU68" i="77"/>
  <c r="CR48" i="77"/>
  <c r="CQ104" i="77"/>
  <c r="CU106" i="77"/>
  <c r="CQ47" i="77"/>
  <c r="CS84" i="77"/>
  <c r="CQ53" i="77"/>
  <c r="CU37" i="77"/>
  <c r="CQ70" i="77"/>
  <c r="CR76" i="77"/>
  <c r="CT88" i="77"/>
  <c r="CS21" i="77"/>
  <c r="CR66" i="77"/>
  <c r="CS74" i="77"/>
  <c r="CQ46" i="77"/>
  <c r="CQ65" i="77"/>
  <c r="CT77" i="77"/>
  <c r="CQ116" i="77"/>
  <c r="CU15" i="77"/>
  <c r="CQ59" i="77"/>
  <c r="CR73" i="77"/>
  <c r="CQ42" i="77"/>
  <c r="CQ43" i="77"/>
  <c r="CS49" i="77"/>
  <c r="CU19" i="77"/>
  <c r="CR16" i="77"/>
  <c r="CS128" i="77"/>
  <c r="CT63" i="77"/>
  <c r="CT82" i="77"/>
  <c r="CU27" i="77"/>
  <c r="CT55" i="77"/>
  <c r="CR34" i="77"/>
  <c r="CS35" i="77"/>
  <c r="CQ33" i="77"/>
  <c r="CQ40" i="77"/>
  <c r="CU44" i="77"/>
  <c r="CR49" i="77"/>
  <c r="CS56" i="77"/>
  <c r="CU138" i="77"/>
  <c r="CQ30" i="77"/>
  <c r="CR83" i="77"/>
  <c r="CR37" i="77"/>
  <c r="CR24" i="77"/>
  <c r="CQ28" i="77"/>
  <c r="CQ57" i="77"/>
  <c r="CR91" i="77"/>
  <c r="CT113" i="77"/>
  <c r="CR84" i="77"/>
  <c r="CS87" i="77"/>
  <c r="CR40" i="77"/>
  <c r="CR38" i="77"/>
  <c r="CR86" i="77"/>
  <c r="CT50" i="77"/>
  <c r="CR136" i="77"/>
  <c r="CS150" i="77"/>
  <c r="CQ184" i="77"/>
  <c r="CR78" i="77"/>
  <c r="CQ117" i="77"/>
  <c r="CR77" i="77"/>
  <c r="CQ85" i="77"/>
  <c r="CR124" i="77"/>
  <c r="CQ125" i="77"/>
  <c r="CT139" i="77"/>
  <c r="CR79" i="77"/>
  <c r="CS95" i="77"/>
  <c r="CQ98" i="77"/>
  <c r="CQ132" i="77"/>
  <c r="CR137" i="77"/>
  <c r="CR128" i="77"/>
  <c r="CT188" i="77"/>
  <c r="CQ90" i="77"/>
  <c r="CS92" i="77"/>
  <c r="CQ178" i="77"/>
  <c r="CQ95" i="77"/>
  <c r="CU115" i="77"/>
  <c r="CT145" i="77"/>
  <c r="CQ169" i="77"/>
  <c r="CQ136" i="77"/>
  <c r="CR98" i="77"/>
  <c r="CQ99" i="77"/>
  <c r="CQ113" i="77"/>
  <c r="CS119" i="77"/>
  <c r="CS170" i="77"/>
  <c r="CR100" i="77"/>
  <c r="CQ160" i="77"/>
  <c r="CT94" i="77"/>
  <c r="CQ103" i="77"/>
  <c r="CR178" i="77"/>
  <c r="CS162" i="77"/>
  <c r="CT173" i="77"/>
  <c r="CR157" i="77"/>
  <c r="CT166" i="77"/>
  <c r="CT167" i="77"/>
  <c r="CT154" i="77"/>
  <c r="CT110" i="77"/>
  <c r="CQ138" i="77"/>
  <c r="CR133" i="77"/>
  <c r="CT152" i="77"/>
  <c r="CU153" i="77"/>
  <c r="CR142" i="77"/>
  <c r="CQ102" i="77"/>
  <c r="CQ93" i="77"/>
  <c r="CR97" i="77"/>
  <c r="CT123" i="77"/>
  <c r="CQ172" i="77"/>
  <c r="CS130" i="77"/>
  <c r="CQ176" i="77"/>
  <c r="CS184" i="77"/>
  <c r="CU131" i="77"/>
  <c r="CQ109" i="77"/>
  <c r="CQ112" i="77"/>
  <c r="CQ163" i="77"/>
  <c r="CQ164" i="77"/>
  <c r="CR189" i="77"/>
  <c r="CQ190" i="77"/>
  <c r="CU175" i="77"/>
  <c r="CT176" i="77"/>
  <c r="CR186" i="77"/>
  <c r="CQ174" i="77"/>
  <c r="CQ180" i="77"/>
  <c r="CT178" i="77"/>
  <c r="CU117" i="77"/>
  <c r="CU119" i="77"/>
  <c r="CT122" i="77"/>
  <c r="CU134" i="77"/>
  <c r="CS140" i="77"/>
  <c r="CQ143" i="77"/>
  <c r="CS163" i="77"/>
  <c r="CR187" i="77"/>
  <c r="CR135" i="77"/>
  <c r="S66" i="38"/>
  <c r="F159" i="38"/>
  <c r="I159" i="38"/>
  <c r="CQ191" i="77"/>
  <c r="CT172" i="77"/>
  <c r="CU179" i="77"/>
  <c r="CQ187" i="77"/>
  <c r="CT191" i="77"/>
  <c r="F31" i="83"/>
  <c r="S9" i="38"/>
  <c r="S28" i="38"/>
  <c r="S30" i="38"/>
  <c r="S34" i="38"/>
  <c r="S36" i="38"/>
  <c r="S46" i="38"/>
  <c r="W196" i="38"/>
  <c r="S68" i="38"/>
  <c r="S26" i="38"/>
  <c r="S8" i="38"/>
  <c r="S195" i="38"/>
  <c r="Q196" i="38"/>
  <c r="F198" i="38"/>
  <c r="L87" i="38"/>
  <c r="E176" i="38"/>
  <c r="E60" i="38"/>
  <c r="E62" i="38"/>
  <c r="G140" i="38"/>
  <c r="I140" i="38"/>
  <c r="S67" i="38"/>
  <c r="M71" i="38"/>
  <c r="M87" i="38"/>
  <c r="E181" i="38"/>
  <c r="S43" i="38"/>
  <c r="S41" i="38"/>
  <c r="S37" i="38"/>
  <c r="S35" i="38"/>
  <c r="S33" i="38"/>
  <c r="S87" i="38"/>
  <c r="W47" i="38"/>
  <c r="S47" i="38"/>
  <c r="W87" i="38"/>
  <c r="E87" i="38"/>
  <c r="E88" i="38"/>
  <c r="E90" i="38"/>
  <c r="L196" i="38"/>
  <c r="C206" i="38"/>
  <c r="F136" i="38"/>
  <c r="E186" i="38"/>
  <c r="E120" i="38"/>
  <c r="E122" i="38"/>
  <c r="E185" i="38"/>
  <c r="S69" i="38"/>
  <c r="L71" i="38"/>
  <c r="W71" i="38"/>
  <c r="E71" i="38"/>
  <c r="E72" i="38"/>
  <c r="E74" i="38"/>
  <c r="S193" i="38"/>
  <c r="S197" i="38"/>
  <c r="S199" i="38"/>
  <c r="E216" i="38"/>
  <c r="C207" i="38"/>
  <c r="F196" i="38"/>
  <c r="F197" i="38"/>
  <c r="E196" i="38"/>
  <c r="E197" i="38"/>
  <c r="S196" i="38"/>
  <c r="G144" i="38"/>
  <c r="I144" i="38"/>
  <c r="F60" i="38"/>
  <c r="F62" i="38"/>
  <c r="E177" i="38"/>
  <c r="E218" i="38"/>
  <c r="Q87" i="38"/>
  <c r="F89" i="38"/>
  <c r="D206" i="38"/>
  <c r="E206" i="38"/>
  <c r="Q71" i="38"/>
  <c r="F73" i="38"/>
  <c r="S71" i="38"/>
  <c r="F71" i="38"/>
  <c r="F72" i="38"/>
  <c r="I252" i="38"/>
  <c r="M196" i="38"/>
  <c r="E215" i="38"/>
  <c r="F106" i="38"/>
  <c r="F107" i="38"/>
  <c r="E184" i="38"/>
  <c r="K105" i="38"/>
  <c r="S105" i="38"/>
  <c r="F87" i="38"/>
  <c r="F88" i="38"/>
  <c r="F90" i="38"/>
  <c r="F74" i="38"/>
  <c r="E179" i="38"/>
  <c r="S72" i="38"/>
  <c r="S74" i="38"/>
  <c r="F199" i="38"/>
  <c r="E214" i="38"/>
  <c r="E175" i="38"/>
  <c r="G142" i="38"/>
  <c r="I142" i="38"/>
  <c r="D207" i="38"/>
  <c r="E207" i="38"/>
  <c r="E199" i="38"/>
  <c r="E213" i="38"/>
  <c r="C205" i="38"/>
  <c r="D205" i="38"/>
  <c r="E205" i="38"/>
  <c r="E210" i="38"/>
  <c r="E217" i="38"/>
  <c r="CT182" i="77"/>
  <c r="CU185" i="77"/>
  <c r="CQ183" i="77"/>
  <c r="CS186" i="77"/>
  <c r="CS185" i="77"/>
  <c r="CW166" i="77"/>
  <c r="CW97" i="77"/>
  <c r="CW95" i="77"/>
  <c r="CV103" i="77"/>
  <c r="CW141" i="77"/>
  <c r="CV83" i="77"/>
  <c r="CW185" i="77"/>
  <c r="CX129" i="77"/>
  <c r="CW28" i="77"/>
  <c r="L31" i="72"/>
  <c r="L48" i="72"/>
  <c r="N31" i="72"/>
  <c r="N33" i="72"/>
  <c r="S45" i="38"/>
  <c r="E48" i="38"/>
  <c r="E50" i="38"/>
  <c r="S17" i="38"/>
  <c r="S29" i="38"/>
  <c r="S20" i="38"/>
  <c r="S48" i="38"/>
  <c r="S50" i="38"/>
  <c r="E182" i="38"/>
  <c r="G165" i="38"/>
  <c r="I165" i="38"/>
  <c r="S38" i="38"/>
  <c r="S44" i="38"/>
  <c r="S22" i="38"/>
  <c r="S31" i="38"/>
  <c r="S40" i="38"/>
  <c r="S18" i="38"/>
  <c r="G141" i="38"/>
  <c r="I141" i="38"/>
  <c r="E174" i="38"/>
  <c r="F50" i="38"/>
  <c r="E178" i="38"/>
  <c r="I169" i="38"/>
  <c r="E183" i="38"/>
  <c r="F48" i="38"/>
  <c r="F24" i="83"/>
  <c r="F48" i="83"/>
  <c r="BK141" i="77"/>
  <c r="BL141" i="77"/>
  <c r="BM141" i="77"/>
  <c r="CX99" i="77"/>
  <c r="CX61" i="77"/>
  <c r="CX92" i="77"/>
  <c r="BK170" i="77"/>
  <c r="BL170" i="77"/>
  <c r="CX144" i="77"/>
  <c r="BK86" i="77"/>
  <c r="BM86" i="77"/>
  <c r="BL86" i="77"/>
  <c r="CX49" i="77"/>
  <c r="CX50" i="77"/>
  <c r="CX85" i="77"/>
  <c r="CV141" i="77"/>
  <c r="CW158" i="77"/>
  <c r="BL18" i="77"/>
  <c r="CV51" i="77"/>
  <c r="CV77" i="77"/>
  <c r="CW64" i="77"/>
  <c r="CV93" i="77"/>
  <c r="CW100" i="77"/>
  <c r="CX170" i="77"/>
  <c r="CX18" i="77"/>
  <c r="BK40" i="77"/>
  <c r="BL40" i="77"/>
  <c r="BM40" i="77"/>
  <c r="CX190" i="77"/>
  <c r="CV170" i="77"/>
  <c r="CV173" i="77"/>
  <c r="CV119" i="77"/>
  <c r="CV36" i="77"/>
  <c r="BK36" i="77"/>
  <c r="BM36" i="77"/>
  <c r="BM164" i="77"/>
  <c r="BL164" i="77"/>
  <c r="BK159" i="77"/>
  <c r="BM159" i="77"/>
  <c r="CV147" i="77"/>
  <c r="CV131" i="77"/>
  <c r="BK131" i="77"/>
  <c r="BL131" i="77"/>
  <c r="F49" i="83"/>
  <c r="F50" i="83"/>
  <c r="BM14" i="77"/>
  <c r="BL14" i="77"/>
  <c r="F52" i="83"/>
  <c r="P53" i="83"/>
  <c r="P52" i="83"/>
  <c r="P54" i="83"/>
  <c r="BL23" i="77"/>
  <c r="BM23" i="77"/>
  <c r="BL172" i="77"/>
  <c r="BM172" i="77"/>
  <c r="BL110" i="77"/>
  <c r="BM110" i="77"/>
  <c r="CX86" i="77"/>
  <c r="CX136" i="77"/>
  <c r="CY173" i="77"/>
  <c r="CY84" i="77"/>
  <c r="CY177" i="77"/>
  <c r="CY79" i="77"/>
  <c r="CY62" i="77"/>
  <c r="CY105" i="77"/>
  <c r="CY147" i="77"/>
  <c r="CX156" i="77"/>
  <c r="BK148" i="77"/>
  <c r="BK53" i="77"/>
  <c r="CX130" i="77"/>
  <c r="CX160" i="77"/>
  <c r="CX162" i="77"/>
  <c r="CX164" i="77"/>
  <c r="BK46" i="77"/>
  <c r="BM46" i="77"/>
  <c r="CV26" i="77"/>
  <c r="BK30" i="77"/>
  <c r="CY41" i="77"/>
  <c r="CX48" i="77"/>
  <c r="CX55" i="77"/>
  <c r="CV64" i="77"/>
  <c r="CW73" i="77"/>
  <c r="CY73" i="77"/>
  <c r="BK75" i="77"/>
  <c r="CX84" i="77"/>
  <c r="CX91" i="77"/>
  <c r="CX98" i="77"/>
  <c r="CX128" i="77"/>
  <c r="CX166" i="77"/>
  <c r="BK173" i="77"/>
  <c r="BL173" i="77"/>
  <c r="CX72" i="77"/>
  <c r="BK103" i="77"/>
  <c r="BL103" i="77"/>
  <c r="CY72" i="77"/>
  <c r="BK147" i="77"/>
  <c r="BK181" i="77"/>
  <c r="CY83" i="77"/>
  <c r="CY131" i="77"/>
  <c r="CX177" i="77"/>
  <c r="CX183" i="77"/>
  <c r="CY95" i="77"/>
  <c r="BK35" i="77"/>
  <c r="CY146" i="77"/>
  <c r="BK29" i="77"/>
  <c r="BL29" i="77"/>
  <c r="CX78" i="77"/>
  <c r="CY154" i="77"/>
  <c r="CX159" i="77"/>
  <c r="CV31" i="77"/>
  <c r="BL58" i="77"/>
  <c r="BL157" i="77"/>
  <c r="CX88" i="77"/>
  <c r="CX90" i="77"/>
  <c r="CY128" i="77"/>
  <c r="BK68" i="77"/>
  <c r="BL68" i="77"/>
  <c r="CX70" i="77"/>
  <c r="CX180" i="77"/>
  <c r="BM15" i="77"/>
  <c r="BK133" i="77"/>
  <c r="BM133" i="77"/>
  <c r="CX95" i="77"/>
  <c r="CX36" i="77"/>
  <c r="BK43" i="77"/>
  <c r="CX71" i="77"/>
  <c r="CY181" i="77"/>
  <c r="BK82" i="77"/>
  <c r="CY46" i="77"/>
  <c r="CY68" i="77"/>
  <c r="CX30" i="77"/>
  <c r="CX45" i="77"/>
  <c r="CX87" i="77"/>
  <c r="CY92" i="77"/>
  <c r="BK119" i="77"/>
  <c r="BL56" i="77"/>
  <c r="BM56" i="77"/>
  <c r="BL138" i="77"/>
  <c r="BM138" i="77"/>
  <c r="BL178" i="77"/>
  <c r="BM178" i="77"/>
  <c r="CY191" i="77"/>
  <c r="BL156" i="77"/>
  <c r="BM156" i="77"/>
  <c r="BL75" i="77"/>
  <c r="BM75" i="77"/>
  <c r="CY167" i="77"/>
  <c r="BM43" i="77"/>
  <c r="BL43" i="77"/>
  <c r="BK66" i="77"/>
  <c r="CV118" i="77"/>
  <c r="CY118" i="77"/>
  <c r="BK118" i="77"/>
  <c r="BL118" i="77"/>
  <c r="BK169" i="77"/>
  <c r="CV169" i="77"/>
  <c r="CY169" i="77"/>
  <c r="BK19" i="77"/>
  <c r="BL19" i="77"/>
  <c r="CX32" i="77"/>
  <c r="BK124" i="77"/>
  <c r="BM124" i="77"/>
  <c r="BK165" i="77"/>
  <c r="CV142" i="77"/>
  <c r="CY142" i="77"/>
  <c r="CY35" i="77"/>
  <c r="CY156" i="77"/>
  <c r="CX64" i="77"/>
  <c r="CX73" i="77"/>
  <c r="BM108" i="77"/>
  <c r="CX17" i="77"/>
  <c r="CX150" i="77"/>
  <c r="BL187" i="77"/>
  <c r="CX69" i="77"/>
  <c r="CY90" i="77"/>
  <c r="CV160" i="77"/>
  <c r="CY160" i="77"/>
  <c r="BK160" i="77"/>
  <c r="BL99" i="77"/>
  <c r="BM99" i="77"/>
  <c r="CY170" i="77"/>
  <c r="CY14" i="77"/>
  <c r="CX58" i="77"/>
  <c r="CX101" i="77"/>
  <c r="CY179" i="77"/>
  <c r="BK42" i="77"/>
  <c r="CV42" i="77"/>
  <c r="CY42" i="77"/>
  <c r="CY157" i="77"/>
  <c r="CX44" i="77"/>
  <c r="CX54" i="77"/>
  <c r="CY81" i="77"/>
  <c r="CY86" i="77"/>
  <c r="CV151" i="77"/>
  <c r="CY151" i="77"/>
  <c r="BK151" i="77"/>
  <c r="BM72" i="77"/>
  <c r="CX74" i="77"/>
  <c r="CX83" i="77"/>
  <c r="CX121" i="77"/>
  <c r="CY129" i="77"/>
  <c r="CY159" i="77"/>
  <c r="CX168" i="77"/>
  <c r="CY144" i="77"/>
  <c r="BK185" i="77"/>
  <c r="CY39" i="77"/>
  <c r="CX93" i="77"/>
  <c r="BK167" i="77"/>
  <c r="BM167" i="77"/>
  <c r="CX120" i="77"/>
  <c r="BM73" i="77"/>
  <c r="BL154" i="77"/>
  <c r="BM154" i="77"/>
  <c r="CX189" i="77"/>
  <c r="CY56" i="77"/>
  <c r="CX148" i="77"/>
  <c r="BK33" i="77"/>
  <c r="CV33" i="77"/>
  <c r="CY33" i="77"/>
  <c r="CV85" i="77"/>
  <c r="CY85" i="77"/>
  <c r="BK85" i="77"/>
  <c r="BL85" i="77"/>
  <c r="BK96" i="77"/>
  <c r="BM96" i="77"/>
  <c r="CX178" i="77"/>
  <c r="BK105" i="77"/>
  <c r="BK27" i="77"/>
  <c r="CV27" i="77"/>
  <c r="CY27" i="77"/>
  <c r="CY70" i="77"/>
  <c r="CY76" i="77"/>
  <c r="CV99" i="77"/>
  <c r="CY99" i="77"/>
  <c r="BK189" i="77"/>
  <c r="CY135" i="77"/>
  <c r="BK144" i="77"/>
  <c r="CX158" i="77"/>
  <c r="BM170" i="77"/>
  <c r="BK65" i="77"/>
  <c r="BM65" i="77"/>
  <c r="BK137" i="77"/>
  <c r="CV137" i="77"/>
  <c r="CY137" i="77"/>
  <c r="BM31" i="77"/>
  <c r="BL159" i="77"/>
  <c r="BK41" i="77"/>
  <c r="BM41" i="77"/>
  <c r="CX14" i="77"/>
  <c r="BK21" i="77"/>
  <c r="BL21" i="77"/>
  <c r="CX23" i="77"/>
  <c r="CY111" i="77"/>
  <c r="CX115" i="77"/>
  <c r="CY89" i="77"/>
  <c r="CX131" i="77"/>
  <c r="BK84" i="77"/>
  <c r="CY100" i="77"/>
  <c r="CY116" i="77"/>
  <c r="CY26" i="77"/>
  <c r="CY30" i="77"/>
  <c r="CY32" i="77"/>
  <c r="CX59" i="77"/>
  <c r="CY110" i="77"/>
  <c r="CX135" i="77"/>
  <c r="CY138" i="77"/>
  <c r="CY148" i="77"/>
  <c r="CY189" i="77"/>
  <c r="BL46" i="77"/>
  <c r="CV120" i="77"/>
  <c r="CY120" i="77"/>
  <c r="CY108" i="77"/>
  <c r="CY140" i="77"/>
  <c r="CY16" i="77"/>
  <c r="BK145" i="77"/>
  <c r="CX68" i="77"/>
  <c r="CV106" i="77"/>
  <c r="CY106" i="77"/>
  <c r="CW163" i="77"/>
  <c r="CY163" i="77"/>
  <c r="BK163" i="77"/>
  <c r="CY172" i="77"/>
  <c r="CX181" i="77"/>
  <c r="BK183" i="77"/>
  <c r="BM183" i="77"/>
  <c r="CV187" i="77"/>
  <c r="CY50" i="77"/>
  <c r="BK61" i="77"/>
  <c r="BL61" i="77"/>
  <c r="CX65" i="77"/>
  <c r="CX122" i="77"/>
  <c r="CY152" i="77"/>
  <c r="CY165" i="77"/>
  <c r="CY119" i="77"/>
  <c r="CY40" i="77"/>
  <c r="BK24" i="77"/>
  <c r="BM24" i="77"/>
  <c r="BK59" i="77"/>
  <c r="BM59" i="77"/>
  <c r="CX63" i="77"/>
  <c r="BK76" i="77"/>
  <c r="CX94" i="77"/>
  <c r="CX108" i="77"/>
  <c r="CX114" i="77"/>
  <c r="CX116" i="77"/>
  <c r="BK128" i="77"/>
  <c r="BL128" i="77"/>
  <c r="CX138" i="77"/>
  <c r="CX140" i="77"/>
  <c r="CX157" i="77"/>
  <c r="BK177" i="77"/>
  <c r="BK179" i="77"/>
  <c r="CY183" i="77"/>
  <c r="CX188" i="77"/>
  <c r="BK190" i="77"/>
  <c r="BK47" i="77"/>
  <c r="CV24" i="77"/>
  <c r="CY24" i="77"/>
  <c r="CY184" i="77"/>
  <c r="BK17" i="77"/>
  <c r="CX34" i="77"/>
  <c r="CX76" i="77"/>
  <c r="BK83" i="77"/>
  <c r="BL83" i="77"/>
  <c r="BK90" i="77"/>
  <c r="BL90" i="77"/>
  <c r="CX112" i="77"/>
  <c r="CX126" i="77"/>
  <c r="CX132" i="77"/>
  <c r="CX15" i="77"/>
  <c r="CX107" i="77"/>
  <c r="CX123" i="77"/>
  <c r="CY18" i="77"/>
  <c r="BK37" i="77"/>
  <c r="BM37" i="77"/>
  <c r="BK39" i="77"/>
  <c r="CX43" i="77"/>
  <c r="BK51" i="77"/>
  <c r="CY58" i="77"/>
  <c r="CX117" i="77"/>
  <c r="CY133" i="77"/>
  <c r="BK174" i="77"/>
  <c r="BK62" i="77"/>
  <c r="BL62" i="77"/>
  <c r="CX113" i="77"/>
  <c r="BK115" i="77"/>
  <c r="BL115" i="77"/>
  <c r="BK125" i="77"/>
  <c r="BL125" i="77"/>
  <c r="CX169" i="77"/>
  <c r="CX172" i="77"/>
  <c r="CX185" i="77"/>
  <c r="BM66" i="77"/>
  <c r="BL66" i="77"/>
  <c r="CW121" i="77"/>
  <c r="CY121" i="77"/>
  <c r="BK121" i="77"/>
  <c r="CV143" i="77"/>
  <c r="CY143" i="77"/>
  <c r="BK143" i="77"/>
  <c r="BL37" i="77"/>
  <c r="BM64" i="77"/>
  <c r="BL64" i="77"/>
  <c r="CW113" i="77"/>
  <c r="BK113" i="77"/>
  <c r="CV102" i="77"/>
  <c r="CY102" i="77"/>
  <c r="BK102" i="77"/>
  <c r="CV104" i="77"/>
  <c r="CY104" i="77"/>
  <c r="BK104" i="77"/>
  <c r="BL162" i="77"/>
  <c r="BM162" i="77"/>
  <c r="BM16" i="77"/>
  <c r="BL16" i="77"/>
  <c r="BL70" i="77"/>
  <c r="BM70" i="77"/>
  <c r="CW91" i="77"/>
  <c r="CY91" i="77"/>
  <c r="BK91" i="77"/>
  <c r="CV87" i="77"/>
  <c r="CY87" i="77"/>
  <c r="BK87" i="77"/>
  <c r="BM106" i="77"/>
  <c r="BL106" i="77"/>
  <c r="CW67" i="77"/>
  <c r="CY67" i="77"/>
  <c r="BK67" i="77"/>
  <c r="BL74" i="77"/>
  <c r="BM74" i="77"/>
  <c r="CV28" i="77"/>
  <c r="CY28" i="77"/>
  <c r="BK28" i="77"/>
  <c r="CY88" i="77"/>
  <c r="BL179" i="77"/>
  <c r="BM179" i="77"/>
  <c r="BL142" i="77"/>
  <c r="BM142" i="77"/>
  <c r="CV80" i="77"/>
  <c r="CY80" i="77"/>
  <c r="BK80" i="77"/>
  <c r="CV139" i="77"/>
  <c r="CY139" i="77"/>
  <c r="BK139" i="77"/>
  <c r="BM34" i="77"/>
  <c r="CW52" i="77"/>
  <c r="CY52" i="77"/>
  <c r="BK52" i="77"/>
  <c r="BK78" i="77"/>
  <c r="CV78" i="77"/>
  <c r="CY78" i="77"/>
  <c r="BM57" i="77"/>
  <c r="BL57" i="77"/>
  <c r="BM118" i="77"/>
  <c r="CY174" i="77"/>
  <c r="BK48" i="77"/>
  <c r="CV48" i="77"/>
  <c r="CY48" i="77"/>
  <c r="BM79" i="77"/>
  <c r="BL79" i="77"/>
  <c r="BK129" i="77"/>
  <c r="CW149" i="77"/>
  <c r="CY149" i="77"/>
  <c r="BK149" i="77"/>
  <c r="BM61" i="77"/>
  <c r="CY21" i="77"/>
  <c r="CV155" i="77"/>
  <c r="BK155" i="77"/>
  <c r="BK168" i="77"/>
  <c r="CV168" i="77"/>
  <c r="CY168" i="77"/>
  <c r="CY175" i="77"/>
  <c r="CV59" i="77"/>
  <c r="CY59" i="77"/>
  <c r="CY77" i="77"/>
  <c r="CW153" i="77"/>
  <c r="CY153" i="77"/>
  <c r="BK153" i="77"/>
  <c r="BM131" i="77"/>
  <c r="CY57" i="77"/>
  <c r="CV132" i="77"/>
  <c r="CY132" i="77"/>
  <c r="BK132" i="77"/>
  <c r="CV98" i="77"/>
  <c r="CY98" i="77"/>
  <c r="BK98" i="77"/>
  <c r="BK127" i="77"/>
  <c r="CW127" i="77"/>
  <c r="CY127" i="77"/>
  <c r="CV34" i="77"/>
  <c r="CY34" i="77"/>
  <c r="CY66" i="77"/>
  <c r="CV94" i="77"/>
  <c r="CY94" i="77"/>
  <c r="BK94" i="77"/>
  <c r="CW180" i="77"/>
  <c r="CY180" i="77"/>
  <c r="BK180" i="77"/>
  <c r="CY155" i="77"/>
  <c r="BK182" i="77"/>
  <c r="CV182" i="77"/>
  <c r="CY182" i="77"/>
  <c r="CY51" i="77"/>
  <c r="CV55" i="77"/>
  <c r="CY55" i="77"/>
  <c r="BK55" i="77"/>
  <c r="BM166" i="77"/>
  <c r="BL166" i="77"/>
  <c r="CY71" i="77"/>
  <c r="CV74" i="77"/>
  <c r="CY74" i="77"/>
  <c r="CY112" i="77"/>
  <c r="BM188" i="77"/>
  <c r="BL188" i="77"/>
  <c r="BL36" i="77"/>
  <c r="BL135" i="77"/>
  <c r="BM135" i="77"/>
  <c r="BK63" i="77"/>
  <c r="CY43" i="77"/>
  <c r="CV25" i="77"/>
  <c r="CY25" i="77"/>
  <c r="BK25" i="77"/>
  <c r="CY150" i="77"/>
  <c r="BK186" i="77"/>
  <c r="CY166" i="77"/>
  <c r="BK60" i="77"/>
  <c r="CV60" i="77"/>
  <c r="CY60" i="77"/>
  <c r="CV134" i="77"/>
  <c r="CY134" i="77"/>
  <c r="BK134" i="77"/>
  <c r="BL140" i="77"/>
  <c r="CV162" i="77"/>
  <c r="CY162" i="77"/>
  <c r="CY103" i="77"/>
  <c r="CV97" i="77"/>
  <c r="CY97" i="77"/>
  <c r="BK97" i="77"/>
  <c r="CW136" i="77"/>
  <c r="CY136" i="77"/>
  <c r="BK136" i="77"/>
  <c r="CV161" i="77"/>
  <c r="CY161" i="77"/>
  <c r="BK161" i="77"/>
  <c r="BL177" i="77"/>
  <c r="BM177" i="77"/>
  <c r="BM190" i="77"/>
  <c r="BL190" i="77"/>
  <c r="BM130" i="77"/>
  <c r="BM173" i="77"/>
  <c r="BM26" i="77"/>
  <c r="BM152" i="77"/>
  <c r="BL152" i="77"/>
  <c r="BK45" i="77"/>
  <c r="BK175" i="77"/>
  <c r="BK107" i="77"/>
  <c r="CV107" i="77"/>
  <c r="CY107" i="77"/>
  <c r="CV109" i="77"/>
  <c r="CY109" i="77"/>
  <c r="BK109" i="77"/>
  <c r="BK150" i="77"/>
  <c r="CV150" i="77"/>
  <c r="BL120" i="77"/>
  <c r="BM29" i="77"/>
  <c r="CY125" i="77"/>
  <c r="CY36" i="77"/>
  <c r="BK69" i="77"/>
  <c r="CV69" i="77"/>
  <c r="CY69" i="77"/>
  <c r="BM92" i="77"/>
  <c r="BL147" i="77"/>
  <c r="BM147" i="77"/>
  <c r="BK184" i="77"/>
  <c r="CY17" i="77"/>
  <c r="CV117" i="77"/>
  <c r="CY117" i="77"/>
  <c r="BK117" i="77"/>
  <c r="CY65" i="77"/>
  <c r="CY20" i="77"/>
  <c r="CY22" i="77"/>
  <c r="CW44" i="77"/>
  <c r="CY44" i="77"/>
  <c r="BK44" i="77"/>
  <c r="CY63" i="77"/>
  <c r="CW93" i="77"/>
  <c r="CY93" i="77"/>
  <c r="BK93" i="77"/>
  <c r="CX109" i="77"/>
  <c r="BK111" i="77"/>
  <c r="CV123" i="77"/>
  <c r="CY123" i="77"/>
  <c r="BK123" i="77"/>
  <c r="CY141" i="77"/>
  <c r="CY113" i="77"/>
  <c r="BK38" i="77"/>
  <c r="CV38" i="77"/>
  <c r="CY38" i="77"/>
  <c r="CX56" i="77"/>
  <c r="CY61" i="77"/>
  <c r="CY96" i="77"/>
  <c r="BK100" i="77"/>
  <c r="CX119" i="77"/>
  <c r="CY75" i="77"/>
  <c r="CY122" i="77"/>
  <c r="CY124" i="77"/>
  <c r="CY185" i="77"/>
  <c r="BK158" i="77"/>
  <c r="CV158" i="77"/>
  <c r="CY158" i="77"/>
  <c r="BK81" i="77"/>
  <c r="CY186" i="77"/>
  <c r="BK112" i="77"/>
  <c r="BL77" i="77"/>
  <c r="BM77" i="77"/>
  <c r="CW114" i="77"/>
  <c r="CY114" i="77"/>
  <c r="BK114" i="77"/>
  <c r="CY19" i="77"/>
  <c r="BM54" i="77"/>
  <c r="CY178" i="77"/>
  <c r="CY53" i="77"/>
  <c r="CY29" i="77"/>
  <c r="BK50" i="77"/>
  <c r="CX81" i="77"/>
  <c r="CW101" i="77"/>
  <c r="CY101" i="77"/>
  <c r="BK101" i="77"/>
  <c r="BK122" i="77"/>
  <c r="CX145" i="77"/>
  <c r="BK116" i="77"/>
  <c r="CY187" i="77"/>
  <c r="CY190" i="77"/>
  <c r="BK71" i="77"/>
  <c r="BM174" i="77"/>
  <c r="BL174" i="77"/>
  <c r="CY164" i="77"/>
  <c r="CY31" i="77"/>
  <c r="CX149" i="77"/>
  <c r="BK176" i="77"/>
  <c r="CW176" i="77"/>
  <c r="CY176" i="77"/>
  <c r="BK88" i="77"/>
  <c r="BL183" i="77"/>
  <c r="CX97" i="77"/>
  <c r="CY115" i="77"/>
  <c r="CX124" i="77"/>
  <c r="BK126" i="77"/>
  <c r="CX151" i="77"/>
  <c r="CY82" i="77"/>
  <c r="BK20" i="77"/>
  <c r="BK22" i="77"/>
  <c r="BK49" i="77"/>
  <c r="CV49" i="77"/>
  <c r="CY49" i="77"/>
  <c r="BK32" i="77"/>
  <c r="BK146" i="77"/>
  <c r="CY64" i="77"/>
  <c r="BK95" i="77"/>
  <c r="CX187" i="77"/>
  <c r="BK89" i="77"/>
  <c r="CY145" i="77"/>
  <c r="CX46" i="77"/>
  <c r="CY126" i="77"/>
  <c r="BK191" i="77"/>
  <c r="O41" i="82"/>
  <c r="O30" i="82"/>
  <c r="S30" i="82"/>
  <c r="T30" i="82"/>
  <c r="S37" i="82"/>
  <c r="T37" i="82"/>
  <c r="O13" i="82"/>
  <c r="P13" i="82"/>
  <c r="M25" i="82"/>
  <c r="M40" i="82"/>
  <c r="M28" i="82"/>
  <c r="O32" i="82"/>
  <c r="M27" i="82"/>
  <c r="O27" i="82"/>
  <c r="P27" i="82"/>
  <c r="S23" i="82"/>
  <c r="T23" i="82"/>
  <c r="M71" i="82"/>
  <c r="M70" i="82"/>
  <c r="M75" i="82"/>
  <c r="M18" i="82"/>
  <c r="M29" i="82"/>
  <c r="O38" i="82"/>
  <c r="O12" i="82"/>
  <c r="O43" i="82"/>
  <c r="S19" i="82"/>
  <c r="T19" i="82"/>
  <c r="P19" i="82"/>
  <c r="S81" i="82"/>
  <c r="T81" i="82"/>
  <c r="P81" i="82"/>
  <c r="S83" i="82"/>
  <c r="T83" i="82"/>
  <c r="P83" i="82"/>
  <c r="S55" i="82"/>
  <c r="T55" i="82"/>
  <c r="P55" i="82"/>
  <c r="S70" i="82"/>
  <c r="T70" i="82"/>
  <c r="P70" i="82"/>
  <c r="P71" i="82"/>
  <c r="S71" i="82"/>
  <c r="T71" i="82"/>
  <c r="S7" i="82"/>
  <c r="T7" i="82"/>
  <c r="P7" i="82"/>
  <c r="P75" i="82"/>
  <c r="S75" i="82"/>
  <c r="T75" i="82"/>
  <c r="S28" i="82"/>
  <c r="T28" i="82"/>
  <c r="P28" i="82"/>
  <c r="P69" i="82"/>
  <c r="S69" i="82"/>
  <c r="T69" i="82"/>
  <c r="P45" i="82"/>
  <c r="O53" i="82"/>
  <c r="O61" i="82"/>
  <c r="O78" i="82"/>
  <c r="M62" i="82"/>
  <c r="M22" i="82"/>
  <c r="M7" i="82"/>
  <c r="P30" i="82"/>
  <c r="P46" i="82"/>
  <c r="O79" i="82"/>
  <c r="O63" i="82"/>
  <c r="M80" i="82"/>
  <c r="S15" i="82"/>
  <c r="T15" i="82"/>
  <c r="O58" i="82"/>
  <c r="M83" i="82"/>
  <c r="O51" i="82"/>
  <c r="P51" i="82"/>
  <c r="O68" i="82"/>
  <c r="M55" i="82"/>
  <c r="S48" i="82"/>
  <c r="T48" i="82"/>
  <c r="M81" i="82"/>
  <c r="O31" i="82"/>
  <c r="O39" i="82"/>
  <c r="P57" i="82"/>
  <c r="P65" i="82"/>
  <c r="O72" i="82"/>
  <c r="M19" i="82"/>
  <c r="M76" i="82"/>
  <c r="O66" i="82"/>
  <c r="P74" i="82"/>
  <c r="P59" i="82"/>
  <c r="O67" i="82"/>
  <c r="O85" i="82"/>
  <c r="P85" i="82"/>
  <c r="O77" i="82"/>
  <c r="P77" i="82"/>
  <c r="M36" i="82"/>
  <c r="S22" i="82"/>
  <c r="T22" i="82"/>
  <c r="S80" i="82"/>
  <c r="T80" i="82"/>
  <c r="P80" i="82"/>
  <c r="S14" i="82"/>
  <c r="T14" i="82"/>
  <c r="P14" i="82"/>
  <c r="S40" i="82"/>
  <c r="T40" i="82"/>
  <c r="P40" i="82"/>
  <c r="P73" i="82"/>
  <c r="S73" i="82"/>
  <c r="T73" i="82"/>
  <c r="S82" i="82"/>
  <c r="T82" i="82"/>
  <c r="P82" i="82"/>
  <c r="S24" i="82"/>
  <c r="T24" i="82"/>
  <c r="P24" i="82"/>
  <c r="P10" i="82"/>
  <c r="S10" i="82"/>
  <c r="T10" i="82"/>
  <c r="P36" i="82"/>
  <c r="S36" i="82"/>
  <c r="T36" i="82"/>
  <c r="P29" i="82"/>
  <c r="S29" i="82"/>
  <c r="T29" i="82"/>
  <c r="S62" i="82"/>
  <c r="T62" i="82"/>
  <c r="P62" i="82"/>
  <c r="S47" i="82"/>
  <c r="T47" i="82"/>
  <c r="P47" i="82"/>
  <c r="S25" i="82"/>
  <c r="T25" i="82"/>
  <c r="P25" i="82"/>
  <c r="P84" i="82"/>
  <c r="S84" i="82"/>
  <c r="T84" i="82"/>
  <c r="P26" i="82"/>
  <c r="S26" i="82"/>
  <c r="T26" i="82"/>
  <c r="S17" i="82"/>
  <c r="T17" i="82"/>
  <c r="P17" i="82"/>
  <c r="S64" i="82"/>
  <c r="T64" i="82"/>
  <c r="P64" i="82"/>
  <c r="S76" i="82"/>
  <c r="T76" i="82"/>
  <c r="P76" i="82"/>
  <c r="P54" i="82"/>
  <c r="S54" i="82"/>
  <c r="T54" i="82"/>
  <c r="S18" i="82"/>
  <c r="T18" i="82"/>
  <c r="P18" i="82"/>
  <c r="S51" i="82"/>
  <c r="T51" i="82"/>
  <c r="M82" i="82"/>
  <c r="O42" i="82"/>
  <c r="O49" i="82"/>
  <c r="M84" i="82"/>
  <c r="P8" i="82"/>
  <c r="M54" i="82"/>
  <c r="M24" i="82"/>
  <c r="M10" i="82"/>
  <c r="M17" i="82"/>
  <c r="M64" i="82"/>
  <c r="BL181" i="77"/>
  <c r="BM181" i="77"/>
  <c r="BL53" i="77"/>
  <c r="BM53" i="77"/>
  <c r="BL148" i="77"/>
  <c r="BM148" i="77"/>
  <c r="BM83" i="77"/>
  <c r="BL124" i="77"/>
  <c r="BL119" i="77"/>
  <c r="BM119" i="77"/>
  <c r="BL133" i="77"/>
  <c r="BM103" i="77"/>
  <c r="BM68" i="77"/>
  <c r="BM82" i="77"/>
  <c r="BL82" i="77"/>
  <c r="BL35" i="77"/>
  <c r="BM35" i="77"/>
  <c r="BM30" i="77"/>
  <c r="BL30" i="77"/>
  <c r="BL65" i="77"/>
  <c r="BL169" i="77"/>
  <c r="BM169" i="77"/>
  <c r="BL145" i="77"/>
  <c r="BM145" i="77"/>
  <c r="BM128" i="77"/>
  <c r="BM76" i="77"/>
  <c r="BL76" i="77"/>
  <c r="BL160" i="77"/>
  <c r="BM160" i="77"/>
  <c r="BM90" i="77"/>
  <c r="BM125" i="77"/>
  <c r="BL33" i="77"/>
  <c r="BM33" i="77"/>
  <c r="BL41" i="77"/>
  <c r="BL24" i="77"/>
  <c r="BL96" i="77"/>
  <c r="BM115" i="77"/>
  <c r="BM62" i="77"/>
  <c r="BM19" i="77"/>
  <c r="BL51" i="77"/>
  <c r="BM51" i="77"/>
  <c r="BL163" i="77"/>
  <c r="BM163" i="77"/>
  <c r="BM17" i="77"/>
  <c r="BL17" i="77"/>
  <c r="BL137" i="77"/>
  <c r="BM137" i="77"/>
  <c r="BM47" i="77"/>
  <c r="BL47" i="77"/>
  <c r="BL144" i="77"/>
  <c r="BM144" i="77"/>
  <c r="BM105" i="77"/>
  <c r="BL105" i="77"/>
  <c r="BL151" i="77"/>
  <c r="BM151" i="77"/>
  <c r="BL167" i="77"/>
  <c r="BL39" i="77"/>
  <c r="BM39" i="77"/>
  <c r="BM42" i="77"/>
  <c r="BL42" i="77"/>
  <c r="BM165" i="77"/>
  <c r="BL165" i="77"/>
  <c r="BM85" i="77"/>
  <c r="BM185" i="77"/>
  <c r="BL185" i="77"/>
  <c r="BL27" i="77"/>
  <c r="BM27" i="77"/>
  <c r="BL59" i="77"/>
  <c r="BM21" i="77"/>
  <c r="BM189" i="77"/>
  <c r="BL189" i="77"/>
  <c r="BM84" i="77"/>
  <c r="BL84" i="77"/>
  <c r="BL116" i="77"/>
  <c r="BM116" i="77"/>
  <c r="BL123" i="77"/>
  <c r="BM123" i="77"/>
  <c r="BM132" i="77"/>
  <c r="BL132" i="77"/>
  <c r="BL28" i="77"/>
  <c r="BM28" i="77"/>
  <c r="BL101" i="77"/>
  <c r="BM101" i="77"/>
  <c r="BL93" i="77"/>
  <c r="BM93" i="77"/>
  <c r="BM55" i="77"/>
  <c r="BL55" i="77"/>
  <c r="BL48" i="77"/>
  <c r="BM48" i="77"/>
  <c r="BM104" i="77"/>
  <c r="BL104" i="77"/>
  <c r="BL50" i="77"/>
  <c r="BM50" i="77"/>
  <c r="BM161" i="77"/>
  <c r="BL161" i="77"/>
  <c r="BL102" i="77"/>
  <c r="BM102" i="77"/>
  <c r="BL44" i="77"/>
  <c r="BM44" i="77"/>
  <c r="BM25" i="77"/>
  <c r="BL25" i="77"/>
  <c r="BM191" i="77"/>
  <c r="BL191" i="77"/>
  <c r="BL182" i="77"/>
  <c r="BM182" i="77"/>
  <c r="BM88" i="77"/>
  <c r="BL88" i="77"/>
  <c r="BL100" i="77"/>
  <c r="BM100" i="77"/>
  <c r="BL150" i="77"/>
  <c r="BM150" i="77"/>
  <c r="BM97" i="77"/>
  <c r="BL97" i="77"/>
  <c r="BL180" i="77"/>
  <c r="BM180" i="77"/>
  <c r="BM87" i="77"/>
  <c r="BL87" i="77"/>
  <c r="BL113" i="77"/>
  <c r="BM113" i="77"/>
  <c r="BM176" i="77"/>
  <c r="BL176" i="77"/>
  <c r="BM109" i="77"/>
  <c r="BL109" i="77"/>
  <c r="BM63" i="77"/>
  <c r="BL63" i="77"/>
  <c r="BL168" i="77"/>
  <c r="BM168" i="77"/>
  <c r="BL89" i="77"/>
  <c r="BM89" i="77"/>
  <c r="BL94" i="77"/>
  <c r="BM94" i="77"/>
  <c r="BM155" i="77"/>
  <c r="BL155" i="77"/>
  <c r="BL114" i="77"/>
  <c r="BM114" i="77"/>
  <c r="BM158" i="77"/>
  <c r="BL158" i="77"/>
  <c r="BM60" i="77"/>
  <c r="BL60" i="77"/>
  <c r="BM122" i="77"/>
  <c r="BL122" i="77"/>
  <c r="BM111" i="77"/>
  <c r="BL111" i="77"/>
  <c r="BM139" i="77"/>
  <c r="BL139" i="77"/>
  <c r="BM126" i="77"/>
  <c r="BL126" i="77"/>
  <c r="BL69" i="77"/>
  <c r="BM69" i="77"/>
  <c r="BM80" i="77"/>
  <c r="BL80" i="77"/>
  <c r="BM186" i="77"/>
  <c r="BL186" i="77"/>
  <c r="BM153" i="77"/>
  <c r="BL153" i="77"/>
  <c r="BM67" i="77"/>
  <c r="BL67" i="77"/>
  <c r="BL136" i="77"/>
  <c r="BM136" i="77"/>
  <c r="BM95" i="77"/>
  <c r="BL95" i="77"/>
  <c r="BM117" i="77"/>
  <c r="BL117" i="77"/>
  <c r="BL107" i="77"/>
  <c r="BM107" i="77"/>
  <c r="BM78" i="77"/>
  <c r="BL78" i="77"/>
  <c r="BL91" i="77"/>
  <c r="BM91" i="77"/>
  <c r="BM38" i="77"/>
  <c r="BL38" i="77"/>
  <c r="BM146" i="77"/>
  <c r="BL146" i="77"/>
  <c r="BL175" i="77"/>
  <c r="BM175" i="77"/>
  <c r="BL143" i="77"/>
  <c r="BM143" i="77"/>
  <c r="BM32" i="77"/>
  <c r="BL32" i="77"/>
  <c r="BL112" i="77"/>
  <c r="BM112" i="77"/>
  <c r="BM45" i="77"/>
  <c r="BL45" i="77"/>
  <c r="BL134" i="77"/>
  <c r="BM134" i="77"/>
  <c r="BM52" i="77"/>
  <c r="BL52" i="77"/>
  <c r="BL149" i="77"/>
  <c r="BM149" i="77"/>
  <c r="BL121" i="77"/>
  <c r="BM121" i="77"/>
  <c r="BL49" i="77"/>
  <c r="BM49" i="77"/>
  <c r="BL71" i="77"/>
  <c r="BM71" i="77"/>
  <c r="BM184" i="77"/>
  <c r="BL184" i="77"/>
  <c r="BM127" i="77"/>
  <c r="BL127" i="77"/>
  <c r="BM22" i="77"/>
  <c r="BL22" i="77"/>
  <c r="BL81" i="77"/>
  <c r="BM81" i="77"/>
  <c r="BL98" i="77"/>
  <c r="BM98" i="77"/>
  <c r="BL129" i="77"/>
  <c r="BM129" i="77"/>
  <c r="BM20" i="77"/>
  <c r="BL20" i="77"/>
  <c r="S41" i="82"/>
  <c r="T41" i="82"/>
  <c r="P41" i="82"/>
  <c r="S13" i="82"/>
  <c r="T13" i="82"/>
  <c r="S32" i="82"/>
  <c r="T32" i="82"/>
  <c r="P32" i="82"/>
  <c r="S43" i="82"/>
  <c r="T43" i="82"/>
  <c r="P43" i="82"/>
  <c r="S77" i="82"/>
  <c r="T77" i="82"/>
  <c r="P12" i="82"/>
  <c r="S12" i="82"/>
  <c r="T12" i="82"/>
  <c r="S38" i="82"/>
  <c r="T38" i="82"/>
  <c r="P38" i="82"/>
  <c r="S31" i="82"/>
  <c r="T31" i="82"/>
  <c r="P31" i="82"/>
  <c r="S63" i="82"/>
  <c r="T63" i="82"/>
  <c r="P63" i="82"/>
  <c r="S79" i="82"/>
  <c r="T79" i="82"/>
  <c r="P79" i="82"/>
  <c r="S67" i="82"/>
  <c r="T67" i="82"/>
  <c r="P67" i="82"/>
  <c r="S53" i="82"/>
  <c r="T53" i="82"/>
  <c r="P53" i="82"/>
  <c r="S39" i="82"/>
  <c r="T39" i="82"/>
  <c r="P39" i="82"/>
  <c r="M113" i="82"/>
  <c r="P68" i="82"/>
  <c r="S68" i="82"/>
  <c r="T68" i="82"/>
  <c r="S58" i="82"/>
  <c r="T58" i="82"/>
  <c r="P58" i="82"/>
  <c r="S66" i="82"/>
  <c r="T66" i="82"/>
  <c r="P66" i="82"/>
  <c r="S72" i="82"/>
  <c r="T72" i="82"/>
  <c r="P72" i="82"/>
  <c r="P78" i="82"/>
  <c r="S78" i="82"/>
  <c r="T78" i="82"/>
  <c r="S61" i="82"/>
  <c r="T61" i="82"/>
  <c r="P61" i="82"/>
  <c r="S42" i="82"/>
  <c r="T42" i="82"/>
  <c r="P42" i="82"/>
  <c r="S49" i="82"/>
  <c r="T49" i="82"/>
  <c r="P49" i="82"/>
  <c r="P113" i="8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Nahum Canteño Santiago</author>
  </authors>
  <commentList>
    <comment ref="F27" authorId="0" shapeId="0" xr:uid="{41BC2AAD-28BF-43A8-B50D-5BC3B2CEF7ED}">
      <text>
        <r>
          <rPr>
            <b/>
            <sz val="9"/>
            <color indexed="81"/>
            <rFont val="Tahoma"/>
            <family val="2"/>
          </rPr>
          <t xml:space="preserve">Nahum Canteño Santiago:
traslado de  cable caais hasta 35 mm
</t>
        </r>
      </text>
    </comment>
  </commentList>
</comments>
</file>

<file path=xl/sharedStrings.xml><?xml version="1.0" encoding="utf-8"?>
<sst xmlns="http://schemas.openxmlformats.org/spreadsheetml/2006/main" count="1311" uniqueCount="682">
  <si>
    <t>MANO DE OBRA</t>
  </si>
  <si>
    <t>TOTAL</t>
  </si>
  <si>
    <t>DESCRIPCION</t>
  </si>
  <si>
    <t>Cantidad</t>
  </si>
  <si>
    <t>Total</t>
  </si>
  <si>
    <t>LIQUIDACION DE MANO DE OBRA</t>
  </si>
  <si>
    <t>MATRICULA</t>
  </si>
  <si>
    <t>U.M.</t>
  </si>
  <si>
    <t>LIQUIDACION DE  MATERIALES</t>
  </si>
  <si>
    <t>CANT.
PEDIR</t>
  </si>
  <si>
    <t>MAT. PROPORCIONADO POR LDS</t>
  </si>
  <si>
    <t>Vereda 10cm</t>
  </si>
  <si>
    <t>Juntas de Dilatacion</t>
  </si>
  <si>
    <t>Descuentos</t>
  </si>
  <si>
    <t>N°</t>
  </si>
  <si>
    <t>Sub Total</t>
  </si>
  <si>
    <t>Descuentos Juntas</t>
  </si>
  <si>
    <t>Pista 20cm</t>
  </si>
  <si>
    <t>Grass</t>
  </si>
  <si>
    <t>Sondeos</t>
  </si>
  <si>
    <t>M3</t>
  </si>
  <si>
    <t>Eliminacion de Desmonte</t>
  </si>
  <si>
    <t>REPARACION 10cm</t>
  </si>
  <si>
    <t>REPARACION 20cm</t>
  </si>
  <si>
    <t>AFIRMADO</t>
  </si>
  <si>
    <t>SONDEOS</t>
  </si>
  <si>
    <t>ELIMINACION DESMONTE</t>
  </si>
  <si>
    <t>Total S/.</t>
  </si>
  <si>
    <t>Largo</t>
  </si>
  <si>
    <t>Ancho</t>
  </si>
  <si>
    <t>m2</t>
  </si>
  <si>
    <t>Prof.</t>
  </si>
  <si>
    <t>m3</t>
  </si>
  <si>
    <t>*091845</t>
  </si>
  <si>
    <t>*091830</t>
  </si>
  <si>
    <t>*095265</t>
  </si>
  <si>
    <t>*095280</t>
  </si>
  <si>
    <t>*095282</t>
  </si>
  <si>
    <t>*095227</t>
  </si>
  <si>
    <t>*095210</t>
  </si>
  <si>
    <t>*091794</t>
  </si>
  <si>
    <t>Sardinel 20cm</t>
  </si>
  <si>
    <t>Observ.</t>
  </si>
  <si>
    <t>*091820</t>
  </si>
  <si>
    <t>*095230</t>
  </si>
  <si>
    <t>SE</t>
  </si>
  <si>
    <t>Zanja</t>
  </si>
  <si>
    <t>P1</t>
  </si>
  <si>
    <t>P2</t>
  </si>
  <si>
    <t>P3</t>
  </si>
  <si>
    <t>P4</t>
  </si>
  <si>
    <t>E1</t>
  </si>
  <si>
    <t>E2</t>
  </si>
  <si>
    <t>PM</t>
  </si>
  <si>
    <t>Rot.</t>
  </si>
  <si>
    <t>Rep.</t>
  </si>
  <si>
    <t>Afirmad.</t>
  </si>
  <si>
    <t>Descuento</t>
  </si>
  <si>
    <t>Vereda 5cm (Prov.)</t>
  </si>
  <si>
    <t>Cant.</t>
  </si>
  <si>
    <t>OBS.</t>
  </si>
  <si>
    <t>V1</t>
  </si>
  <si>
    <t>S1</t>
  </si>
  <si>
    <t>V2</t>
  </si>
  <si>
    <t>S2</t>
  </si>
  <si>
    <t>V3</t>
  </si>
  <si>
    <t>S3</t>
  </si>
  <si>
    <t>V4</t>
  </si>
  <si>
    <t>S4</t>
  </si>
  <si>
    <t>V5</t>
  </si>
  <si>
    <t>S5</t>
  </si>
  <si>
    <t>V6</t>
  </si>
  <si>
    <t>S6</t>
  </si>
  <si>
    <t>V7</t>
  </si>
  <si>
    <t>S7</t>
  </si>
  <si>
    <t>V8</t>
  </si>
  <si>
    <t>S8</t>
  </si>
  <si>
    <t>V9</t>
  </si>
  <si>
    <t>S9</t>
  </si>
  <si>
    <t>V10</t>
  </si>
  <si>
    <t>S10</t>
  </si>
  <si>
    <t>V11</t>
  </si>
  <si>
    <t>S11</t>
  </si>
  <si>
    <t>V12</t>
  </si>
  <si>
    <t>S12</t>
  </si>
  <si>
    <t>V13</t>
  </si>
  <si>
    <t>S13</t>
  </si>
  <si>
    <t>V14</t>
  </si>
  <si>
    <t>S14</t>
  </si>
  <si>
    <t>V15</t>
  </si>
  <si>
    <t>S15</t>
  </si>
  <si>
    <t>V16</t>
  </si>
  <si>
    <t>S16</t>
  </si>
  <si>
    <t>V17</t>
  </si>
  <si>
    <t>S17</t>
  </si>
  <si>
    <t>V18</t>
  </si>
  <si>
    <t>S18</t>
  </si>
  <si>
    <t>Asfalto 5cm</t>
  </si>
  <si>
    <t>A1</t>
  </si>
  <si>
    <t>A2</t>
  </si>
  <si>
    <t xml:space="preserve">Piso Especial </t>
  </si>
  <si>
    <t>Pe1</t>
  </si>
  <si>
    <t>Pe2</t>
  </si>
  <si>
    <t>Pe3</t>
  </si>
  <si>
    <t>Pe4</t>
  </si>
  <si>
    <t>Pe5</t>
  </si>
  <si>
    <t>Pe6</t>
  </si>
  <si>
    <t>Pe7</t>
  </si>
  <si>
    <t>G1</t>
  </si>
  <si>
    <t>G2</t>
  </si>
  <si>
    <t>G3</t>
  </si>
  <si>
    <t>G4</t>
  </si>
  <si>
    <t>G5</t>
  </si>
  <si>
    <t>G6</t>
  </si>
  <si>
    <t>G7</t>
  </si>
  <si>
    <t>G8</t>
  </si>
  <si>
    <t>So1</t>
  </si>
  <si>
    <t>So2</t>
  </si>
  <si>
    <t>So3</t>
  </si>
  <si>
    <t>So4</t>
  </si>
  <si>
    <t>So5</t>
  </si>
  <si>
    <t>So6</t>
  </si>
  <si>
    <t>TIPO</t>
  </si>
  <si>
    <t>% ESP.</t>
  </si>
  <si>
    <t>Casc.10</t>
  </si>
  <si>
    <t>Casc.20</t>
  </si>
  <si>
    <t>Afirmado</t>
  </si>
  <si>
    <t>Tubo 4"</t>
  </si>
  <si>
    <t xml:space="preserve">RESUMEN DE REPARACIONES </t>
  </si>
  <si>
    <t xml:space="preserve">ROTURA PISTA </t>
  </si>
  <si>
    <t>Rotura Asfalto</t>
  </si>
  <si>
    <t>REPARACION 5cm</t>
  </si>
  <si>
    <t>ASFALTO 5cm</t>
  </si>
  <si>
    <t>PISO ESPECIAL</t>
  </si>
  <si>
    <t>*091800</t>
  </si>
  <si>
    <t>JUNTAS DE DILATACION</t>
  </si>
  <si>
    <t>S/,</t>
  </si>
  <si>
    <t>*095240</t>
  </si>
  <si>
    <t>ROTURA VEREDA (c/maquina)</t>
  </si>
  <si>
    <t>ROTURA VEREDA (s/maquina)</t>
  </si>
  <si>
    <t>*091840</t>
  </si>
  <si>
    <t>V4*</t>
  </si>
  <si>
    <t>P5</t>
  </si>
  <si>
    <t>P6</t>
  </si>
  <si>
    <t>P7</t>
  </si>
  <si>
    <t>P8</t>
  </si>
  <si>
    <t>A3</t>
  </si>
  <si>
    <t>A4</t>
  </si>
  <si>
    <t>A5</t>
  </si>
  <si>
    <t>A6</t>
  </si>
  <si>
    <t>A7</t>
  </si>
  <si>
    <t>A8</t>
  </si>
  <si>
    <t>Area    (m2)</t>
  </si>
  <si>
    <t>Prof    (m)</t>
  </si>
  <si>
    <t>Esponj.</t>
  </si>
  <si>
    <t>CANT</t>
  </si>
  <si>
    <t>Rot. Vereda 5</t>
  </si>
  <si>
    <t>Rot. Vereda 10</t>
  </si>
  <si>
    <t>Rot. Vereda 15</t>
  </si>
  <si>
    <t>Rot. Vereda 20</t>
  </si>
  <si>
    <t>Rot. Asfalto 5cm</t>
  </si>
  <si>
    <t>Tubo 2"</t>
  </si>
  <si>
    <t>Tubo 6"</t>
  </si>
  <si>
    <t>Cruzada Tp.3</t>
  </si>
  <si>
    <t>Cruzada Tp.5 y 7</t>
  </si>
  <si>
    <t>Cruzada Tp.9</t>
  </si>
  <si>
    <t>Pozo a Tierra</t>
  </si>
  <si>
    <t>Base Tab. TAM3</t>
  </si>
  <si>
    <t>Base Tab. TAM4</t>
  </si>
  <si>
    <t>Poste 8m (BT) (cim.)</t>
  </si>
  <si>
    <t>Poste 10m (Cim.)</t>
  </si>
  <si>
    <t>Poste 11m (Cim.)</t>
  </si>
  <si>
    <t>Poste 13m (Cim.)</t>
  </si>
  <si>
    <t>Poste 15m (Cim.)</t>
  </si>
  <si>
    <t>Afirmado vereda</t>
  </si>
  <si>
    <t xml:space="preserve">Riel de proteccion </t>
  </si>
  <si>
    <t>Descripción</t>
  </si>
  <si>
    <t>*091810</t>
  </si>
  <si>
    <t>*095275</t>
  </si>
  <si>
    <t>espesor</t>
  </si>
  <si>
    <t>factor</t>
  </si>
  <si>
    <t>GRASS</t>
  </si>
  <si>
    <t>Vereda 15cm</t>
  </si>
  <si>
    <t>REPARACION 15cm</t>
  </si>
  <si>
    <t>CANT.
DEVOLVER</t>
  </si>
  <si>
    <t>CINTA AZUL</t>
  </si>
  <si>
    <t>Rollo 01  &lt;&gt; 5 a 6 tubos 6"</t>
  </si>
  <si>
    <t>Rollo 01  &lt;&gt; 7 a 8 tubos 4"</t>
  </si>
  <si>
    <t>ml</t>
  </si>
  <si>
    <t>CUADRO DE REP CX</t>
  </si>
  <si>
    <t>V1*</t>
  </si>
  <si>
    <t>V2*</t>
  </si>
  <si>
    <t>V3*</t>
  </si>
  <si>
    <t>V5*</t>
  </si>
  <si>
    <t>CUADRO DE REP BT</t>
  </si>
  <si>
    <t>Cuello</t>
  </si>
  <si>
    <t>Flecha</t>
  </si>
  <si>
    <t>Poste 8m (BT) (enterrado)</t>
  </si>
  <si>
    <t>Poste 10m (BT) (enterrado)</t>
  </si>
  <si>
    <t>Poste 11m (BT) (enterrado)</t>
  </si>
  <si>
    <t>Poste de Fierro 6.40m.(Cim.)</t>
  </si>
  <si>
    <t>Poste de Fierro 7m.(Cim.)</t>
  </si>
  <si>
    <t>Boveda de Concreto</t>
  </si>
  <si>
    <t>Pozo atierra horizontal</t>
  </si>
  <si>
    <t>Unidad:</t>
  </si>
  <si>
    <t>Uniforme, EPP y Kit básico de herramientas para Capataz</t>
  </si>
  <si>
    <t>Uniforme, EPP y Kit básico de herramientas para Operario</t>
  </si>
  <si>
    <t>Uniforme, EPP y Kit básico de herramientas para Ayudante</t>
  </si>
  <si>
    <t>Grúa Hiab 175</t>
  </si>
  <si>
    <t>Camión 4 ton</t>
  </si>
  <si>
    <t>Capataz de Obra.</t>
  </si>
  <si>
    <t>Operario</t>
  </si>
  <si>
    <t>Ayudante</t>
  </si>
  <si>
    <t>Kit de equipos para obras</t>
  </si>
  <si>
    <t>E3</t>
  </si>
  <si>
    <t>BM1</t>
  </si>
  <si>
    <t>BM2</t>
  </si>
  <si>
    <t>BCI</t>
  </si>
  <si>
    <t>So7</t>
  </si>
  <si>
    <t>So8</t>
  </si>
  <si>
    <t>So9</t>
  </si>
  <si>
    <t>So10</t>
  </si>
  <si>
    <t>V19</t>
  </si>
  <si>
    <t>S19</t>
  </si>
  <si>
    <t>V20</t>
  </si>
  <si>
    <t>S20</t>
  </si>
  <si>
    <t>V21</t>
  </si>
  <si>
    <t>S21</t>
  </si>
  <si>
    <t>V22</t>
  </si>
  <si>
    <t>S22</t>
  </si>
  <si>
    <t>V23</t>
  </si>
  <si>
    <t>S23</t>
  </si>
  <si>
    <t>V24</t>
  </si>
  <si>
    <t>S24</t>
  </si>
  <si>
    <t>V25</t>
  </si>
  <si>
    <t>S25</t>
  </si>
  <si>
    <t>V26</t>
  </si>
  <si>
    <t>S26</t>
  </si>
  <si>
    <t>V27</t>
  </si>
  <si>
    <t>S27</t>
  </si>
  <si>
    <t>V28</t>
  </si>
  <si>
    <t>S28</t>
  </si>
  <si>
    <t>V29</t>
  </si>
  <si>
    <t>S29</t>
  </si>
  <si>
    <t>V30</t>
  </si>
  <si>
    <t>S30</t>
  </si>
  <si>
    <t>V31</t>
  </si>
  <si>
    <t>S31</t>
  </si>
  <si>
    <t>V32</t>
  </si>
  <si>
    <t>S32</t>
  </si>
  <si>
    <t>V33</t>
  </si>
  <si>
    <t>S33</t>
  </si>
  <si>
    <t>V34</t>
  </si>
  <si>
    <t>S34</t>
  </si>
  <si>
    <t>V35</t>
  </si>
  <si>
    <t>S35</t>
  </si>
  <si>
    <t>P9</t>
  </si>
  <si>
    <t>P10</t>
  </si>
  <si>
    <t>P11</t>
  </si>
  <si>
    <t>P12</t>
  </si>
  <si>
    <t>AP</t>
  </si>
  <si>
    <r>
      <t>P.A.</t>
    </r>
    <r>
      <rPr>
        <sz val="9"/>
        <color indexed="10"/>
        <rFont val="Arial"/>
        <family val="2"/>
      </rPr>
      <t>H</t>
    </r>
    <r>
      <rPr>
        <sz val="9"/>
        <rFont val="Arial"/>
        <family val="2"/>
      </rPr>
      <t>.</t>
    </r>
  </si>
  <si>
    <t>R.V.</t>
  </si>
  <si>
    <t>L</t>
  </si>
  <si>
    <t xml:space="preserve">SST  :  </t>
  </si>
  <si>
    <t>M.S.</t>
  </si>
  <si>
    <t>M.D.</t>
  </si>
  <si>
    <t>15/400</t>
  </si>
  <si>
    <t>13/300</t>
  </si>
  <si>
    <t>13/400</t>
  </si>
  <si>
    <t>A-33</t>
  </si>
  <si>
    <t>AC-21</t>
  </si>
  <si>
    <t>R.S.</t>
  </si>
  <si>
    <t>P.A.T.</t>
  </si>
  <si>
    <t>P.A.A.</t>
  </si>
  <si>
    <t>1 riel</t>
  </si>
  <si>
    <t>2 riel</t>
  </si>
  <si>
    <t>3R.S.</t>
  </si>
  <si>
    <t>4 riel</t>
  </si>
  <si>
    <t>S.G.</t>
  </si>
  <si>
    <t>Adic.</t>
  </si>
  <si>
    <t>Acarreo material p/cimentado</t>
  </si>
  <si>
    <t>Acarreo material p/pozo tierra</t>
  </si>
  <si>
    <t>Descripción matrícula:</t>
  </si>
  <si>
    <t>Especificación:</t>
  </si>
  <si>
    <t>Rend. Día:</t>
  </si>
  <si>
    <t>Jornada:</t>
  </si>
  <si>
    <t>H-H</t>
  </si>
  <si>
    <t>P.U. (S/.)</t>
  </si>
  <si>
    <t>Total (S/.</t>
  </si>
  <si>
    <t>Sub - Total</t>
  </si>
  <si>
    <t>UNIFORME Y EQUIPOS PERSONALES</t>
  </si>
  <si>
    <t>Horas</t>
  </si>
  <si>
    <t>MAQUINARIA Y EQUIPOS</t>
  </si>
  <si>
    <t>TRANSPORTE</t>
  </si>
  <si>
    <t>H-M</t>
  </si>
  <si>
    <t>TOTAL(S/.)</t>
  </si>
  <si>
    <t>Subtotal General</t>
  </si>
  <si>
    <t>Porcentaje del Contratista</t>
  </si>
  <si>
    <t>Ladrillo (unidad)</t>
  </si>
  <si>
    <t>MT/SUBT</t>
  </si>
  <si>
    <t>MT/AER.</t>
  </si>
  <si>
    <t>BT/SUBT.</t>
  </si>
  <si>
    <t>BT/AER.</t>
  </si>
  <si>
    <t>AP/AER.</t>
  </si>
  <si>
    <t>CX/SUBT.</t>
  </si>
  <si>
    <t xml:space="preserve">Cantidad Total </t>
  </si>
  <si>
    <t>Total Final</t>
  </si>
  <si>
    <t>Cant. Final</t>
  </si>
  <si>
    <t>Factor espesor asfalto</t>
  </si>
  <si>
    <t>Eliminacion de Desmonte MT/AEREO</t>
  </si>
  <si>
    <t>MARCA</t>
  </si>
  <si>
    <t>S/.</t>
  </si>
  <si>
    <t>SECUENCIA FACT.</t>
  </si>
  <si>
    <t>CUADRO DE SEGUIMIENTO DE LIQUIDACIONES</t>
  </si>
  <si>
    <t>N° SST</t>
  </si>
  <si>
    <t>CR TECSUR</t>
  </si>
  <si>
    <t>CLIENTE</t>
  </si>
  <si>
    <t>DESCRIPCIÓN</t>
  </si>
  <si>
    <t>DIRECCIÓN</t>
  </si>
  <si>
    <t>DISTRITO</t>
  </si>
  <si>
    <t>FECHA INICIO REAL</t>
  </si>
  <si>
    <t>CONTRATISTA</t>
  </si>
  <si>
    <t>FECHA FIN REAL</t>
  </si>
  <si>
    <t>CAPATAZ RESPONSABLE</t>
  </si>
  <si>
    <t>SUPERVISOR TECSUR</t>
  </si>
  <si>
    <t>LIQUIDADOR CTTA</t>
  </si>
  <si>
    <t>LIQUIDADOR TECSUR</t>
  </si>
  <si>
    <t>NEXTEL  LIQUIDADOR CTTA</t>
  </si>
  <si>
    <t>*090238</t>
  </si>
  <si>
    <t>*095233</t>
  </si>
  <si>
    <t>INCLUYE DESMONTE</t>
  </si>
  <si>
    <t>Pastoral c/luminaria</t>
  </si>
  <si>
    <r>
      <t>P.A.</t>
    </r>
    <r>
      <rPr>
        <sz val="9"/>
        <color indexed="10"/>
        <rFont val="Arial"/>
        <family val="2"/>
      </rPr>
      <t>T.</t>
    </r>
  </si>
  <si>
    <t>Pozo  Tipico</t>
  </si>
  <si>
    <t>Pozo  Horizontal</t>
  </si>
  <si>
    <r>
      <t>P.A.</t>
    </r>
    <r>
      <rPr>
        <sz val="9"/>
        <color indexed="10"/>
        <rFont val="Arial"/>
        <family val="2"/>
      </rPr>
      <t>A</t>
    </r>
    <r>
      <rPr>
        <sz val="9"/>
        <rFont val="Arial"/>
        <family val="2"/>
      </rPr>
      <t>.</t>
    </r>
  </si>
  <si>
    <t>Pozo  Altermativo (Sal-Bentonita)</t>
  </si>
  <si>
    <t>Mensula Doble</t>
  </si>
  <si>
    <t>Mensula Simple</t>
  </si>
  <si>
    <t xml:space="preserve">Retenida Violin </t>
  </si>
  <si>
    <r>
      <t>P.A.</t>
    </r>
    <r>
      <rPr>
        <sz val="9"/>
        <color indexed="10"/>
        <rFont val="Arial"/>
        <family val="2"/>
      </rPr>
      <t>A.</t>
    </r>
  </si>
  <si>
    <t>R.V. (s)</t>
  </si>
  <si>
    <t>Retenida Violin (s/zapata sicadur)</t>
  </si>
  <si>
    <t>R.Y.</t>
  </si>
  <si>
    <t>R.V.(s)</t>
  </si>
  <si>
    <t>Retenida tipo Y</t>
  </si>
  <si>
    <t>Retenida Simple</t>
  </si>
  <si>
    <t>Lonchera (Caja Distrib.)</t>
  </si>
  <si>
    <t>FV-7.5</t>
  </si>
  <si>
    <t>FV-8.7</t>
  </si>
  <si>
    <t>10/300</t>
  </si>
  <si>
    <t>Exist.</t>
  </si>
  <si>
    <t>PARCIAL 01</t>
  </si>
  <si>
    <t>PARCIAL 02</t>
  </si>
  <si>
    <t>PARCIAL 03</t>
  </si>
  <si>
    <t>DIFERENCIA X LIQUIDAR</t>
  </si>
  <si>
    <t>Tipos Estructura</t>
  </si>
  <si>
    <t>SE 01</t>
  </si>
  <si>
    <t>SE 02</t>
  </si>
  <si>
    <t>P13</t>
  </si>
  <si>
    <t>P14</t>
  </si>
  <si>
    <t>P15</t>
  </si>
  <si>
    <t>Flecha 5%</t>
  </si>
  <si>
    <t xml:space="preserve"> MT/AER.</t>
  </si>
  <si>
    <t xml:space="preserve"> BT/SUBT.</t>
  </si>
  <si>
    <t xml:space="preserve"> BT/AER.</t>
  </si>
  <si>
    <t xml:space="preserve"> CX/SUBT.</t>
  </si>
  <si>
    <t xml:space="preserve"> Parcial Liquidado
TOTAL</t>
  </si>
  <si>
    <t>Dif. x Liquidar
TOTAL</t>
  </si>
  <si>
    <t>Cant. Facturado
TOTAL</t>
  </si>
  <si>
    <t>AP/SUBT.</t>
  </si>
  <si>
    <t>LUMINARIA LED P.VIAS LOCAL RESIDENCIAL TP.ALUMBRAD</t>
  </si>
  <si>
    <t>GGG</t>
  </si>
  <si>
    <t>*098823</t>
  </si>
  <si>
    <t>*090248</t>
  </si>
  <si>
    <t>*090482</t>
  </si>
  <si>
    <t>*091320</t>
  </si>
  <si>
    <t>*091280</t>
  </si>
  <si>
    <t>*090143</t>
  </si>
  <si>
    <t>*090142</t>
  </si>
  <si>
    <t>*090636</t>
  </si>
  <si>
    <t>*990004</t>
  </si>
  <si>
    <t>*091796</t>
  </si>
  <si>
    <t>*090634</t>
  </si>
  <si>
    <t>*090320</t>
  </si>
  <si>
    <t>*090392</t>
  </si>
  <si>
    <t>*090394</t>
  </si>
  <si>
    <t>*090080</t>
  </si>
  <si>
    <t>*091608</t>
  </si>
  <si>
    <t>*091631</t>
  </si>
  <si>
    <t>*098670</t>
  </si>
  <si>
    <t>*090633</t>
  </si>
  <si>
    <t>*093242</t>
  </si>
  <si>
    <t>*091240</t>
  </si>
  <si>
    <t>*091346</t>
  </si>
  <si>
    <t>Viaje</t>
  </si>
  <si>
    <t>Descripcion</t>
  </si>
  <si>
    <t>Acarreo de desmonte</t>
  </si>
  <si>
    <t>*010250</t>
  </si>
  <si>
    <t>*010251</t>
  </si>
  <si>
    <t>*010213</t>
  </si>
  <si>
    <t>GRAPA (HEBILLA) AC. INOX. P.FLEJE 19MM. ANCHO</t>
  </si>
  <si>
    <t>*090632</t>
  </si>
  <si>
    <t>*010100</t>
  </si>
  <si>
    <t>*010101</t>
  </si>
  <si>
    <t>*090471</t>
  </si>
  <si>
    <t>*090470</t>
  </si>
  <si>
    <t>*095266</t>
  </si>
  <si>
    <t>*010210</t>
  </si>
  <si>
    <t>*094395</t>
  </si>
  <si>
    <t>*090630</t>
  </si>
  <si>
    <t>*091797</t>
  </si>
  <si>
    <t>*010500</t>
  </si>
  <si>
    <t>*091842</t>
  </si>
  <si>
    <t>*090060</t>
  </si>
  <si>
    <t>*090191</t>
  </si>
  <si>
    <t>POSTE POLIESTER REFORZADO CON FIBRA DE VIDRIO 9 / 200 / 150 / 285 P.A.P. Y/O L.A.B.T.</t>
  </si>
  <si>
    <t>*090144</t>
  </si>
  <si>
    <t>*090065</t>
  </si>
  <si>
    <t>*094913</t>
  </si>
  <si>
    <t>*094918</t>
  </si>
  <si>
    <t>*090810</t>
  </si>
  <si>
    <t xml:space="preserve">traslado de poste retirado </t>
  </si>
  <si>
    <t xml:space="preserve">Saldo </t>
  </si>
  <si>
    <t>Acarreo de equipos cabria - Ida</t>
  </si>
  <si>
    <t>Acarreo de equipos cabria - Vuelta</t>
  </si>
  <si>
    <t>Acarreo de equipos Tilfor y otros - Ida</t>
  </si>
  <si>
    <t>Acarreo de equipos Tilfor y otros - Vuelta</t>
  </si>
  <si>
    <t>Acarreo de agregados para cimentacion</t>
  </si>
  <si>
    <t>LUMINARIA LED P.VIAS COLECTORAS TIPO ALUMBRADO III, 220V, 60HZ, CLASE II, PREPARADA PARA TELEGESTION</t>
  </si>
  <si>
    <t xml:space="preserve">traslado de poste instalado </t>
  </si>
  <si>
    <t>CINTA AISLANTE TERMOPLASTICA DE PVC DE 19MM X 18,3</t>
  </si>
  <si>
    <t>*090370</t>
  </si>
  <si>
    <t>*091316</t>
  </si>
  <si>
    <t>*090391</t>
  </si>
  <si>
    <t>*090395</t>
  </si>
  <si>
    <t>*093241</t>
  </si>
  <si>
    <t>*093247</t>
  </si>
  <si>
    <t>*090061</t>
  </si>
  <si>
    <t>*090064</t>
  </si>
  <si>
    <t>*093044</t>
  </si>
  <si>
    <t>*093081</t>
  </si>
  <si>
    <t>*090189</t>
  </si>
  <si>
    <t>*098669</t>
  </si>
  <si>
    <t>*091322</t>
  </si>
  <si>
    <t>TRASLADO SOLO ACOMETIDA AÉREA</t>
  </si>
  <si>
    <t>*090319</t>
  </si>
  <si>
    <t>*090468</t>
  </si>
  <si>
    <t>*091356</t>
  </si>
  <si>
    <t>*091357</t>
  </si>
  <si>
    <t xml:space="preserve">Factor </t>
  </si>
  <si>
    <t>I</t>
  </si>
  <si>
    <t>*090228</t>
  </si>
  <si>
    <t>H-H = Cantidad Recurso * Jornada / Rendimiento</t>
  </si>
  <si>
    <t>Traslado</t>
  </si>
  <si>
    <t xml:space="preserve">Las H-H y H-M representan las horas totales de los recursos requeridas para la ejecución de la actividad. Este cálculo no aplica para la asignación de materiales adicionales. </t>
  </si>
  <si>
    <t>Nota</t>
  </si>
  <si>
    <t>Instalacion</t>
  </si>
  <si>
    <t>Total S/</t>
  </si>
  <si>
    <t>Total metros</t>
  </si>
  <si>
    <t>Vano 04</t>
  </si>
  <si>
    <t>Vano 03</t>
  </si>
  <si>
    <t>Vano 02</t>
  </si>
  <si>
    <t>Vano 01</t>
  </si>
  <si>
    <t>Factor T</t>
  </si>
  <si>
    <t>5005</t>
  </si>
  <si>
    <t>Camioneta 4x4</t>
  </si>
  <si>
    <t>5004</t>
  </si>
  <si>
    <t>5002</t>
  </si>
  <si>
    <t>Matrícula</t>
  </si>
  <si>
    <t>4008</t>
  </si>
  <si>
    <t>Equipo Smartphone con plan de datos y GPS</t>
  </si>
  <si>
    <t>4001</t>
  </si>
  <si>
    <t>Kit de señalización en vías de tránsito vehicular</t>
  </si>
  <si>
    <t>004039</t>
  </si>
  <si>
    <t>3002</t>
  </si>
  <si>
    <t>3001</t>
  </si>
  <si>
    <t>3000</t>
  </si>
  <si>
    <t>1002</t>
  </si>
  <si>
    <t>1001</t>
  </si>
  <si>
    <t>1000</t>
  </si>
  <si>
    <t>M</t>
  </si>
  <si>
    <t>Electromecánica</t>
  </si>
  <si>
    <t>Tipo Obra:</t>
  </si>
  <si>
    <t>Aéreo</t>
  </si>
  <si>
    <t>Tipo Estructura:</t>
  </si>
  <si>
    <t>BAJA TENSIÓN (BT)</t>
  </si>
  <si>
    <t>Nivel Tensión:</t>
  </si>
  <si>
    <t>Cable autosoportado</t>
  </si>
  <si>
    <t>Subfamilia:</t>
  </si>
  <si>
    <t>Cables, conductores y acometidas</t>
  </si>
  <si>
    <t>Familia:</t>
  </si>
  <si>
    <t>Obras y Mantenimiento</t>
  </si>
  <si>
    <t>Tipo Actividad:</t>
  </si>
  <si>
    <t>1 - instalaci¢n de cable areo autosoportado de baja tensi¢n en cobre o aluminio</t>
  </si>
  <si>
    <t>CABLE AUTOSOPORTADO DE BT CU O AL MAYOR DE 10 HASTA 25 mm2</t>
  </si>
  <si>
    <t>Código de matrícula:</t>
  </si>
  <si>
    <t>FORMATO DE RECURSOS POR MATRÍCULAS - ANALISIS COSTOS UNITARIOS</t>
  </si>
  <si>
    <t>*091411</t>
  </si>
  <si>
    <t xml:space="preserve">traslado de cable de comunicación </t>
  </si>
  <si>
    <t>FLEJE DE ACERO INOXIDABLE TIPO AISI 316 DE 19MM (3/4") ANCHO P.ALTA CORROSION</t>
  </si>
  <si>
    <t xml:space="preserve">cuello </t>
  </si>
  <si>
    <t xml:space="preserve">Ancho </t>
  </si>
  <si>
    <t>*090497</t>
  </si>
  <si>
    <t>*098203</t>
  </si>
  <si>
    <t>*094911</t>
  </si>
  <si>
    <t>*093045</t>
  </si>
  <si>
    <t>*090139</t>
  </si>
  <si>
    <t>RETIRO CABLE AUTOSOPORTADO DE BT CU O AL MAYOR DE 10 HASTA 25 mm2</t>
  </si>
  <si>
    <t>*090138</t>
  </si>
  <si>
    <t>RETIRO CABLE AUTOSOPORTADO DE BT CU O AL MAYOR DE 25 HASTA 50 mm2</t>
  </si>
  <si>
    <t>*090137</t>
  </si>
  <si>
    <t>RETIRO DE CABLE AUTOSOPORTADO DE BT CU O AL MAYOR DE 50 HASTA 120 mm2</t>
  </si>
  <si>
    <t>*090491</t>
  </si>
  <si>
    <t>RETIRO DE POSTE TUBULAR DE ACERO EN ZONA INACCESIBLE &lt;7</t>
  </si>
  <si>
    <t>Alexander Argandoña</t>
  </si>
  <si>
    <t>CONECTOR BIMET.FORRADO TP.PERFORACION / PIERCING P.COND.CU - AL 10 - 35 / 1,5 - 6MM2 FASE AISL.</t>
  </si>
  <si>
    <t>CONECTOR .CUÑA.TP.UDC.REF.CU.16/6-10MM2   25/1.5-6MM2</t>
  </si>
  <si>
    <t>EMPALME DERECHO DERIVACION UNIPOLAR AUTOFUNDENTE P.CABLE SECO 6-120 / 1,5-120MM2 EN RED AEREA B.T.</t>
  </si>
  <si>
    <t>CONDUCTOR CABLEADO UNIPOLAR TIPO TW 16MM2 COLOR AMARILLO 450 / 750V</t>
  </si>
  <si>
    <t>CONDUCTOR SOLIDO TWT 450/750V.BIPOLAR   2X 1.5 MM2 (INDOPRENE)</t>
  </si>
  <si>
    <t>ABRAZADERA ACERO GALV.SIMPLE 3/16" X 1 1/2" P.PASTORAL 48MM / POSTE 152MM DIAM.</t>
  </si>
  <si>
    <t>CONECTOR DE DERIVACION DE COBRE ESTANADO TP.CUNA P.CONDUCTOR DE COBRE 6 - 10 / 1,5 - 4MM2</t>
  </si>
  <si>
    <t>PASTORAL JP</t>
  </si>
  <si>
    <t>PASTORAL CHILENO CORTO</t>
  </si>
  <si>
    <t>PASTORAL BASTON</t>
  </si>
  <si>
    <t>LUMINARIA .LED TP.IV,220V,60HZ,CL.II,SIN TELEG. 90W</t>
  </si>
  <si>
    <t>LUMINARIA .LED TP.III,220V,60HZ,CL.II,SIN TELEG. 165W</t>
  </si>
  <si>
    <t>CONECTOR CUÑA TP UDC. REF. CU.70/35MM2</t>
  </si>
  <si>
    <t>CONECTOR DE DERIVACION DE COBRE ESTAÑADO TP.CUÑA P.CONDUCTOR DE COBRE 70 / 70MM2</t>
  </si>
  <si>
    <t>CONECTOR DE DERIVACION DE COBRE ESTAÑADO TP.CUÑA P.CONDUCTOR DE COBRE 70 / 2,5-4-6MM2</t>
  </si>
  <si>
    <t>CONECTOR DE DERIVACION DE COBRE ESTAÑADO TP.CUÑA P.CONDUCTOR DE COBRE 70 / 1,5 MM2</t>
  </si>
  <si>
    <t>CONECTOR DE DERIVACION DE COBRE ESTAÑADO TP.CUÑA P.CONDUCTOR DE COBRE 35 / 1,5 - 2,5MM2</t>
  </si>
  <si>
    <t>CONECTOR DE DERIVACION DE COBRE ESTAÑADO TP.CUÑA P.CONDUCTOR DE COBRE 70 / 16MM2</t>
  </si>
  <si>
    <t>EMPALME DERECHO DERIVACION UNIPOLAR AUTOFUNDENTE P.CABLE SECO 6-120 / 10-120MM2 CONEX. TRIFASICA BT</t>
  </si>
  <si>
    <t>POSTE DE POLIESTER REFORZADO EN FIBRA DE VIDRIO 8,7 / 200 / 150 / 300 F.S. 2 P.A.P. Y/O L.A.B.T. O M</t>
  </si>
  <si>
    <t>POSTE DE POLIESTER REFORZADO EN FIBRA DE VIDRIO 7,5 / 150 / 150 / 270 P.A.P. Y/O L.A.B.T. O M</t>
  </si>
  <si>
    <t>GRAPA DE DOS VIAS CON 2 PERNOS GALV.CALIENTE</t>
  </si>
  <si>
    <t>GRAPA DE UNA VIA CON 2 PERNOS GALV.CALIENTE</t>
  </si>
  <si>
    <t>OJAL ROSCADO AC.GALV.,DE 5/8PULG.D. X80MML. P.L.A.</t>
  </si>
  <si>
    <t>GUARDACABO DE ACERO GALV. P.CABLE 13MM DIAM. 1,5MM ESPESOR P.PROTEGER CABLE PORTANTE</t>
  </si>
  <si>
    <t>ARANDELA CUADRADA PLANA DE ACERO GALV. 55 X 4,5MM C.AGUJERO 17,5MM DIAM</t>
  </si>
  <si>
    <t>MENSULA DE MADERA DE 4" X 5" X 4 PIES CON TRATAMIENTO CCB</t>
  </si>
  <si>
    <t>DIAGONAL ACERO GALV. 45MM X 45MM X 1,07M X 4MM</t>
  </si>
  <si>
    <t>ABRAZADERA DE ACERO GALV. 160 - 190MM DIAM. C.4 PERNOS DE AJUSTE P.SOPORTE DEL BRAZO DE APOYO</t>
  </si>
  <si>
    <t>VARILLA ROSCADA AC.GALV. 16MMD. X 450MML. L.AEREAS</t>
  </si>
  <si>
    <t>VARILLA ROSCADA AC.GALV. 16MMD. X 250MML. L.AEREAS</t>
  </si>
  <si>
    <t>CAJA NO METALICA DE DERIVACION Y ACOMETIDA EN REDES AEREAS DE BAJA TENSION</t>
  </si>
  <si>
    <t>CABLE DE ENERGIA AUTOPORTANTE TIPO CAAI-S VW-1 3X16 MM2 PARA REDES AEREAS B.T.</t>
  </si>
  <si>
    <t>ABRAZADERA POSTE C.A.150MMD.C/GANCHO ACOMET.DOMIC.</t>
  </si>
  <si>
    <t>CONECTOR BIMET.FORRADO TP.PERFORACION / PIERCING P.COND.CU - AL 25 - 70 / 10 - 35MM2 FASE AISL.</t>
  </si>
  <si>
    <t>ARANDELA CUADRADA CURVA DE ACERO GALV. 55 X 5MM C.AGUJERO 17,5MM DIAM</t>
  </si>
  <si>
    <t>PERNO CON OJAL DE ACERO GALV. 5/8" X 10", ROSCA 6" C.ACCESORIOS</t>
  </si>
  <si>
    <t>CABLE AO.GO.TIPO "B" DE 5/16".5080KG.MANO IZQ.7 HILOS.P.RETENIDA</t>
  </si>
  <si>
    <t>AMARRE PREFORMADO P.SUJECION CABLE DE VIENTO DE ACERO GALV. 5/16" DIAM. CLASE C</t>
  </si>
  <si>
    <t>AISLADOR DE TENSION, PORCELANA, CLASE 54-2  P.VIENTO</t>
  </si>
  <si>
    <t>BRAZO DE APOYO TP.VIOLIN DE ACERO GALV. 2" X 875MM C.ACCESORIOS</t>
  </si>
  <si>
    <t>CANALETA PROTECTORA ACERO GALV. 2200MM P.PROTEGER CABLE P.VIENTO</t>
  </si>
  <si>
    <t>ESLABON ANGULAR DE ACERO GALV. 17,50MM P.ENLACE EN ESTRUCTURAS DE REDES AEREAS</t>
  </si>
  <si>
    <t>CONECTOR BIMET.FORRADO TP.PERFORACION / PIERCING P.COND.CU - AL 16 / 10MM2 FASE AISL.</t>
  </si>
  <si>
    <t>PERNO ACERO GALV. DE CABEZA HEXAGONAL 5/8" X 10", GRADO 5</t>
  </si>
  <si>
    <t>CRUCETA SIMETRICA DE MADERA DE 4" X 4" X 1,3 PIES CON TRATAMIENTO CCB</t>
  </si>
  <si>
    <t>CONECTOR DERIV.TP.CUÑA MINIW. AA 16/CU 1.5-6 MM2.</t>
  </si>
  <si>
    <t>CONEC.CUÑA.TP.UDC.REF.CU.10/6-10MM2   16/1.5-4MM2</t>
  </si>
  <si>
    <t>EMPALME DERECHO - DERIVACION SIMETRICO UNIPOLAR AUTOFUNDENTE P.CABLE SECO 6-16 / 6-16MM2 B.T.</t>
  </si>
  <si>
    <t>ETIQUETAS MARCACION EMPALMES SUBTERRANEOS 85X50MM.</t>
  </si>
  <si>
    <t>CINTA SENALIZADORA AMARILLA P.CABLES SUBTERRANEOS 220V P.LUZ DEL SUR</t>
  </si>
  <si>
    <t>CABLE DE ENERGIA BIPOLAR TIPO N2XY 2 - 1 X 6MM2 0,6 / 1KV</t>
  </si>
  <si>
    <t>TEMPLADOR P.ACOMETIDA DOMICILIARIA EN L.A.DE B.T.</t>
  </si>
  <si>
    <t>EMPALME DERECHO DERIVACION SIMETRICO UNIPOLAR AUTOFUNDENTE P.CABLE SECO 35-95 / 6-35MM2 B.T.</t>
  </si>
  <si>
    <t>CONECTOR DERIV.TP.CUÑA MINIW. AA 16/CU 16 MM2.</t>
  </si>
  <si>
    <t>PLANCHA DE COBRE P.LINEA A TIERRA C.AGUJERO 20MM DIAM.</t>
  </si>
  <si>
    <t>EMPALME DERECHO DERIVACION UNIPOLAR AUTOFUNDENTE P.CABLE SECO 6-120 / 10-120MM2 CONEX. MONOFASICA BT</t>
  </si>
  <si>
    <t>CONECTOR DERIV.TP.CUÑA MINIW. AA 16/CU 10 MM2.</t>
  </si>
  <si>
    <t>TUBO PVC TP. SAP P. INST. ELECT.  1"   DIAM.</t>
  </si>
  <si>
    <t>TUBO PVC TP. SAP P. INST. ELECT.  2" DIAM.</t>
  </si>
  <si>
    <t>CABLE CONCENTRICO BIPOLAR DE COBRE 6MM2 P.ACOMETIDA MONOFASICA EN RED BAJA TENSION</t>
  </si>
  <si>
    <t>CABLE DE ENERGIA TRIPOLAR TIPO N2XY 3 - 1 X 16MM2 0,6 / 1KV</t>
  </si>
  <si>
    <t>CABLE DE ENERGIA TRIPOLAR TIPO N2XY 3 - 1 X 70MM2 0,6 / 1KV</t>
  </si>
  <si>
    <t>EMPALME DERECHO DERIVACION SIMETRICO UNIPOLAR AUTOFUNDENTE P.CABLE SECO 240-300 / 70-300MM2 B.T.</t>
  </si>
  <si>
    <t>CONECTOR MECANICO EN DERIVACION DE ALEACION DE ALUMINIO P.CABLES DE ALUMINIO 240-300/70-300MM2, B.T</t>
  </si>
  <si>
    <t>SOPORTE FIN DE LINEA LIVIANO AC.GALV.     SAE 1020</t>
  </si>
  <si>
    <t>EMPALME DERECHO DERIVACION ASIMETRICO TRIPOLAR TERMOCONTRAIBLE P.CABLE NKY / SECO AL 6-16/6-16MM2</t>
  </si>
  <si>
    <t>CINTA AISLANTE MASTIC DE GOMA AUTOFUNDENTE C.SOPORTE DE PVC 102MM X 3M X 2,29MM 600V COLOR NEGRO</t>
  </si>
  <si>
    <t>EMPALME TERMOCONTRAIBLE UNIPOLAR DERECHO/DERIVACION P. CABLE SECO B.T. 6-16/6-16 MM2.</t>
  </si>
  <si>
    <t>TUBO DE PVC TIPO SAP DE 3/4" / 20MM DIAM.P.INSTALACION ELECTRICA</t>
  </si>
  <si>
    <t>EMPALME TERMOCONTRAIBLE UNIPOLAR DERECHO/DERIVACION P. CABLE SECO B.T. 300/10-300 MM2.</t>
  </si>
  <si>
    <t>EMPALME DERECHO - DERIVACION ASIMETRICO AUTOFUNDENTE P.CABLE NKY / CABLE SECO 6-16 / 6-16MM2 B.T.</t>
  </si>
  <si>
    <t>TEMPLADOR P. ACOMETIDA DOMICILIARIA L.A./B.T. TRIP</t>
  </si>
  <si>
    <t>CABLE DE ENERGIA AUTOPORTANTE TIPO CAAI-S VW-1 3X35+1X16 MM2 PARA REDES AEREAS B.T.</t>
  </si>
  <si>
    <t>CABLE CONCENTRICO BIPOLAR DE COBRE 4MM2 P.ACOMETIDA MONOFASICA EN RED BAJA TENSION</t>
  </si>
  <si>
    <t>ZAPATA DE CONCRETO DE 400 MMD. P. VIENTO</t>
  </si>
  <si>
    <t>BARRA C.OJO (VARILLA DOBLADA SOLDADA) DE ANCLAJE DE ACERO GALV. 5/8" X 2400MM C.ACCESORIOS P.VIENTO</t>
  </si>
  <si>
    <t>CONEC.CUÑA.TP.UDC.REF.CU.25-35/16-25MM2.</t>
  </si>
  <si>
    <t>CONEC.CUÑA.TP.UDC.REF.CU.16/16MM2   25/10MM2</t>
  </si>
  <si>
    <t>CONEC.CUÑA.TP.UDC.REF.CU.35/35MM2   50/16-35MM2   70/25MM2</t>
  </si>
  <si>
    <t/>
  </si>
  <si>
    <t>*090163</t>
  </si>
  <si>
    <t>*090430</t>
  </si>
  <si>
    <t>*090310</t>
  </si>
  <si>
    <t>Inspección de poste (s/supervisión)</t>
  </si>
  <si>
    <t>Inspección previa por reforma de redes por refuerzo o cambio de poste</t>
  </si>
  <si>
    <t>COLOCACIÓN DE TRÍPODES PARA TRABAJOS EN POSTES DE FE Y DE CAC DE 8,7 M</t>
  </si>
  <si>
    <t>INSTALACIÓN DE POSTES DE PRFV HASTA 8.7 M EN ZONA INACCESIBLE CON CIMENTACIÓN</t>
  </si>
  <si>
    <t>RETIRO DE POSTES DE PRFV HASTA 8.7 M EN ZONA INACCESIBLE CON CIMENTACIÓN</t>
  </si>
  <si>
    <t>ESCALAMIENTO DE POSTE CON ESCALERA</t>
  </si>
  <si>
    <t>LUMINARIA 125/250 HG  70/150/250/400 W NA. O FAROLA COMPLETA MASIVO</t>
  </si>
  <si>
    <t>RETIRO DE LUMINARIA 125/250 HG  70/150/250/400 W NA. O FAROLA COMPLETA MASIVO</t>
  </si>
  <si>
    <t>TRASLADO LUMINARIA 125/250 HG  70/150/250/400 W NA. O FAROLA COMPLETA MASIVO</t>
  </si>
  <si>
    <t>CONEXION A LUMINARIA</t>
  </si>
  <si>
    <t>PASTORAL SIMPLE CUALQUIER TIPO DISPERSO MENOR A 6 PASTORALES</t>
  </si>
  <si>
    <t>RETIRO PASTORAL SIMPLE CUALQUIER TIPO DISPERSO MENOR A 6 PASTORALES</t>
  </si>
  <si>
    <t>TRASLADO PASTORAL SIMPLE CUALQUIER TIPO DISPERSO MENOR A 6 PASTORALES</t>
  </si>
  <si>
    <t>CABLE AUTOSOPORTADO DE BT CU O AL MAYOR DE 50 HASTA 120 mm2</t>
  </si>
  <si>
    <t>TRASLADO CABLE AUTOSOPORTADO DE BT CU O AL MAYOR DE 50 HASTA 120 mm2</t>
  </si>
  <si>
    <t>CABLE AUTOSOPORTADO DE BT CU O AL MAYOR DE 25 HASTA 50 mm2</t>
  </si>
  <si>
    <t>HORA DE OPERARIO (TRASLADO DE CABLES INACCESIBLE &lt;=35MM)</t>
  </si>
  <si>
    <t>RETIRO DE POSTE TUBULAR DE ACERO EN ZONA INACCESIBLE &gt;7</t>
  </si>
  <si>
    <t>TRASLADO DE POSTES DE CONCRETO A ZONA DE DISPOSICIÓN FINAL</t>
  </si>
  <si>
    <t>Eliminación de escombros temporal y final</t>
  </si>
  <si>
    <t>APERTURA DE HOYO PARA POSTE TERR ROCOSO (&gt;10)</t>
  </si>
  <si>
    <t>APERTURA DE HOYO PARA POSTE TERR. NORMAL (&gt;10)</t>
  </si>
  <si>
    <t>TRASLADO MANUAL DE POSTE DE Fe DE 7 M EN ZONA INACCESIBLE/PENDIENTE</t>
  </si>
  <si>
    <t>RETENIDA-TEMPLADOR AEREO MT Y BT.</t>
  </si>
  <si>
    <t>RETIRO RETENIDA-TEMPLADOR AEREO MT Y BT</t>
  </si>
  <si>
    <t>PERNO PARA ANCLAJE CABLE AUTOSOPORTADO</t>
  </si>
  <si>
    <t>RETIRO PERNO PARA ANCLAJE CABLE AUTOSOPORTADO</t>
  </si>
  <si>
    <t>PUNTO DE FIJACION  CABLE AUTOSOPORTADO</t>
  </si>
  <si>
    <t>RETIRO PUNTO DE FIJACION  CABLE AUTOSOPORTADO</t>
  </si>
  <si>
    <t>CONDUC. CU O AL DESN./FORRADO HASTA 25 mm2 (TW CORTOCIRCUITADO)</t>
  </si>
  <si>
    <t>Empalme aéreo BT con conector cuña, mecánico o a compresión tubular - Por fase</t>
  </si>
  <si>
    <t>EMPALME UNIPOLAR CABLE NYY RECT.O DERIV. HASTA 35 mm2</t>
  </si>
  <si>
    <t>COLOCACIÓN DE CRUCETA O MENSULA SIMPLE DE MADERA O FIERRO</t>
  </si>
  <si>
    <t>RETIRO DE CRUCETA O MENSULA SIMPLE DE MADERA O FIERRO</t>
  </si>
  <si>
    <t>COLOCACIÓN DE CRUCETA O MÉNSULA DOBLE DE MADERA</t>
  </si>
  <si>
    <t>RETIRO CRUCETA O MÉNSULA DOBLE DE MADERA</t>
  </si>
  <si>
    <t>ACARREO DE MATERIALES PARA CIMENTACION DE POSTE BT EN ZONA DE DIFÍCIL ACCESO</t>
  </si>
  <si>
    <t>CAJA DE DISTRIBUC. ACOM. DOMIC. EN POSTE O PARED  (INCLUYE ALIMENTACION A CAJA)</t>
  </si>
  <si>
    <t>RETIRO CAJA DE DISTRIBUC. ACOM. DOMIC. EN POSTE O PARED  (INCLUYE ALIMENTACION A CAJA)</t>
  </si>
  <si>
    <t>TRASLADO CAJA DE DISTRIBUC. ACOM. DOMIC. EN POSTE O PARED  (INCLUYE ALIMENTACION A CAJA)</t>
  </si>
  <si>
    <t>SUBIDA A POSTE DE CONCRETO O FIERRO C/EMPALME P/AP</t>
  </si>
  <si>
    <t>DIAGONAL PARA CRUCETA DE MADERA O FIERRO</t>
  </si>
  <si>
    <t>RETIRO DIAGONAL PARA CRUCETA DE MADERA O FIERRO</t>
  </si>
  <si>
    <t>ABRAZADERA PARA PERFIL DE ESTRUCTURA MT</t>
  </si>
  <si>
    <t>RETIRO ABRAZADERA PARA PERFIL DE ESTRUCTURA MT</t>
  </si>
  <si>
    <t>Punta de diamante para cimentacion de postes BT</t>
  </si>
  <si>
    <t>CIMENTACIÓN PARA POSTE HASTA 9m  POSTE NUEVO (SIN SOLERA)</t>
  </si>
  <si>
    <t>RETIRO CABLE NYY BT HASTA 3-1x16mm2</t>
  </si>
  <si>
    <t>CONECTOR CUALQUIER TIPO HASTA 300 mm2 EN COBRE O ALUMINIO</t>
  </si>
  <si>
    <t>Instalación de tubo corrugado/aplicación de silicona en camioneta tipo combi</t>
  </si>
  <si>
    <t>SOLERA DE CONCRETO PARA CUALQUIER TIPO DE POSTE</t>
  </si>
  <si>
    <t>RETIRO CORONA 4 GANCHOS PARA ACOMETIDA DOMICILIARIA</t>
  </si>
  <si>
    <t>CORONA 4 GANCHOS PARA ACOMETIDA DOMICILIARIA</t>
  </si>
  <si>
    <t>CABLEADO DE SISTEMA DE PUESTA A TIERRA PARA POSTE NUEVO</t>
  </si>
  <si>
    <t>ROTURA DE VEREDA CUALQUIER ESPESOR S/MAQ.CORTADORA</t>
  </si>
  <si>
    <t>CORTE DE VEREDA PARA CAMBIO DE POSTE (&lt;2M2)</t>
  </si>
  <si>
    <t>Reparación de vereda para trabajos en poste</t>
  </si>
  <si>
    <t>HORA DE CUADRILLA DE MANTENIMIENTO CON GRUA DE 9 TN Y TRES PERSONAS</t>
  </si>
  <si>
    <t>TRASLADO DE CABLES DE COMUNICACIÓN</t>
  </si>
  <si>
    <t>Uso por hora de martillo demoledor a costo propietario</t>
  </si>
  <si>
    <t>Uso por hora de grupo electrógeno a costo propietario</t>
  </si>
  <si>
    <t>RETIRO DE POSTES HASTA 10 M INSTALACIÓN CON CABRIA</t>
  </si>
  <si>
    <t>ARRASTRE DE POSTE CAC HASTA 9M ZONA INACCES (PEND &gt;30° O GRADAS)</t>
  </si>
  <si>
    <t>ARRASTRE DE POSTE DE CONCRETO  B.T.</t>
  </si>
  <si>
    <t>Hora de Capataz</t>
  </si>
  <si>
    <t>HORA DE OPERARIO</t>
  </si>
  <si>
    <t>HORA DE CUADRILLA DE MANTENIMIENTO CON CAMIÓN DE 4 TN Y CUATRO PERSONAS</t>
  </si>
  <si>
    <t>Hora de movilidad para cuadrilla (camión 4TN)</t>
  </si>
  <si>
    <t>CAMBIO DE POSTE INACCESIBLE CON CABRIA DE CAC POR PRFV MENOR A 10M S/VEREDA</t>
  </si>
  <si>
    <t>CAMBIO DE POSTE INACCESIBLE CON CABRIA  DE CAC POR PRFV  MENOR A 10M C/VEREDA</t>
  </si>
  <si>
    <t>PORTALINEA DE PASO O REMATE DE 1 A 5 VIAS</t>
  </si>
  <si>
    <t>RETENIDA SIMPLE O VIOLIN MT O BT</t>
  </si>
  <si>
    <t>Vano 05</t>
  </si>
  <si>
    <t>Vano 06</t>
  </si>
  <si>
    <t>Poste</t>
  </si>
  <si>
    <t>*091448</t>
  </si>
  <si>
    <t>RETIRO DE CABLE NYBY - NKY BT  HASTA 3x16mm2</t>
  </si>
  <si>
    <t>MT</t>
  </si>
  <si>
    <t>*093043</t>
  </si>
  <si>
    <t>TRASLADO DE ABRAZADERA TIPO CORONA CON GANCHOS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</si>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</sst>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-* #,##0_-;\-* #,##0_-;_-* &quot;-&quot;_-;_-@_-"/>
    <numFmt numFmtId="43" formatCode="_-* #,##0.00_-;\-* #,##0.00_-;_-* &quot;-&quot;??_-;_-@_-"/>
    <numFmt numFmtId="172" formatCode="&quot;S/&quot;#,##0.00;\-&quot;S/&quot;#,##0.00"/>
    <numFmt numFmtId="176" formatCode="_ * #,##0.00_ ;_ * \-#,##0.00_ ;_ * &quot;-&quot;??_ ;_ @_ "/>
    <numFmt numFmtId="178" formatCode="_(* #,##0.00_);_(* \(#,##0.00\);_(* &quot;-&quot;??_);_(@_)"/>
    <numFmt numFmtId="181" formatCode="&quot;S/&quot;#,##0;&quot;S/&quot;\-#,##0"/>
    <numFmt numFmtId="182" formatCode="0.000"/>
    <numFmt numFmtId="183" formatCode="0.0000"/>
    <numFmt numFmtId="184" formatCode="0.000%"/>
    <numFmt numFmtId="185" formatCode="0.0000%"/>
    <numFmt numFmtId="186" formatCode="0.00000%"/>
    <numFmt numFmtId="187" formatCode="#,##0.000"/>
    <numFmt numFmtId="188" formatCode="\K&quot;$&quot;#,##0_);\(\K&quot;$&quot;#,##0\)"/>
    <numFmt numFmtId="189" formatCode="#,##0.0_);\(#,##0.0\)"/>
    <numFmt numFmtId="190" formatCode="\(0\)"/>
    <numFmt numFmtId="191" formatCode="#,##0.00&quot;F&quot;_);\(#,##0.00&quot;F&quot;\)"/>
    <numFmt numFmtId="192" formatCode="_ * #,##0.00_)_F_ ;_ * \(#,##0.00\)_F_ ;_ * &quot;-&quot;??_)_F_ ;_ @_ "/>
    <numFmt numFmtId="194" formatCode="_([$€]* #,##0.00_);_([$€]* \(#,##0.00\);_([$€]* &quot;-&quot;??_);_(@_)"/>
    <numFmt numFmtId="195" formatCode="0.00;[Red]0.00"/>
    <numFmt numFmtId="197" formatCode="0.00_);[Red]\(0.00\)"/>
    <numFmt numFmtId="198" formatCode="0.000_);[Red]\(0.000\)"/>
    <numFmt numFmtId="200" formatCode="0.0000_);[Red]\(0.0000\)"/>
    <numFmt numFmtId="202" formatCode="#,##0.0000"/>
    <numFmt numFmtId="203" formatCode="_(* #,##0.00_);[Red]_(* \(#,##0.00\);_(* &quot;-&quot;???_);_(@_)"/>
    <numFmt numFmtId="204" formatCode="_(* #,##0.00_);[Red]_(* \(#,##0.00\);_(* &quot;-&quot;??_);_(@_)"/>
    <numFmt numFmtId="206" formatCode="#,##0.000000"/>
  </numFmts>
  <fonts count="76">
    <font>
      <sz val="10"/>
      <name val="Arial"/>
    </font>
    <font>
      <sz val="10"/>
      <name val="Arial"/>
    </font>
    <font>
      <sz val="8"/>
      <name val="Times New Roman"/>
      <family val="1"/>
    </font>
    <font>
      <sz val="10"/>
      <name val="BERNHARD"/>
    </font>
    <font>
      <sz val="10"/>
      <name val="Helv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Helv"/>
    </font>
    <font>
      <sz val="12"/>
      <color indexed="9"/>
      <name val="Helv"/>
    </font>
    <font>
      <sz val="7"/>
      <name val="Small Fonts"/>
      <family val="2"/>
    </font>
    <font>
      <sz val="11"/>
      <name val="‚l‚r –¾’©"/>
      <charset val="128"/>
    </font>
    <font>
      <sz val="10"/>
      <name val="MS Sans Serif"/>
      <family val="2"/>
    </font>
    <font>
      <sz val="8"/>
      <name val="Helv"/>
    </font>
    <font>
      <b/>
      <sz val="8"/>
      <color indexed="8"/>
      <name val="Helv"/>
    </font>
    <font>
      <b/>
      <sz val="9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color indexed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9"/>
      <color indexed="18"/>
      <name val="Arial"/>
      <family val="2"/>
    </font>
    <font>
      <sz val="9"/>
      <color indexed="10"/>
      <name val="Arial"/>
      <family val="2"/>
    </font>
    <font>
      <sz val="10"/>
      <color indexed="18"/>
      <name val="Arial"/>
      <family val="2"/>
    </font>
    <font>
      <sz val="9"/>
      <color indexed="10"/>
      <name val="Geneva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18"/>
      <name val="Arial"/>
      <family val="2"/>
    </font>
    <font>
      <b/>
      <sz val="11"/>
      <color indexed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b/>
      <sz val="9"/>
      <color indexed="12"/>
      <name val="Arial"/>
      <family val="2"/>
    </font>
    <font>
      <sz val="9"/>
      <color indexed="18"/>
      <name val="Arial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color indexed="9"/>
      <name val="Arial"/>
      <family val="2"/>
    </font>
    <font>
      <b/>
      <u/>
      <sz val="12"/>
      <color indexed="12"/>
      <name val="Comic Sans MS"/>
      <family val="4"/>
    </font>
    <font>
      <sz val="10"/>
      <name val="Courier"/>
      <family val="3"/>
    </font>
    <font>
      <sz val="9"/>
      <name val="Tahoma"/>
      <family val="2"/>
    </font>
    <font>
      <sz val="11"/>
      <color indexed="12"/>
      <name val="Arial"/>
      <family val="2"/>
    </font>
    <font>
      <sz val="11"/>
      <color indexed="22"/>
      <name val="Arial"/>
      <family val="2"/>
    </font>
    <font>
      <b/>
      <sz val="11"/>
      <color indexed="12"/>
      <name val="Arial"/>
      <family val="2"/>
    </font>
    <font>
      <sz val="11"/>
      <color indexed="62"/>
      <name val="Calibri"/>
      <family val="2"/>
    </font>
    <font>
      <sz val="8"/>
      <color indexed="62"/>
      <name val="Arial"/>
      <family val="2"/>
    </font>
    <font>
      <sz val="9"/>
      <color indexed="62"/>
      <name val="Arial"/>
      <family val="2"/>
    </font>
    <font>
      <sz val="9"/>
      <name val="Cambria"/>
      <family val="1"/>
    </font>
    <font>
      <sz val="9"/>
      <color indexed="9"/>
      <name val="Arial"/>
      <family val="2"/>
    </font>
    <font>
      <b/>
      <sz val="10"/>
      <color indexed="9"/>
      <name val="Arial"/>
      <family val="2"/>
    </font>
    <font>
      <sz val="10"/>
      <name val="Cambria"/>
      <family val="1"/>
    </font>
    <font>
      <b/>
      <sz val="10"/>
      <color indexed="8"/>
      <name val="Arial"/>
      <family val="2"/>
    </font>
    <font>
      <b/>
      <sz val="7"/>
      <name val="Arial"/>
      <family val="2"/>
    </font>
    <font>
      <b/>
      <sz val="20"/>
      <name val="Arial"/>
      <family val="2"/>
    </font>
    <font>
      <sz val="7"/>
      <name val="Arial"/>
      <family val="2"/>
    </font>
    <font>
      <b/>
      <sz val="9"/>
      <color indexed="81"/>
      <name val="Tahoma"/>
      <family val="2"/>
    </font>
    <font>
      <b/>
      <sz val="9"/>
      <name val="Cambria"/>
      <family val="1"/>
    </font>
    <font>
      <b/>
      <sz val="10"/>
      <name val="Cambria"/>
      <family val="1"/>
    </font>
    <font>
      <b/>
      <u/>
      <sz val="10"/>
      <name val="Arial"/>
      <family val="2"/>
    </font>
    <font>
      <sz val="8"/>
      <name val="Arial"/>
      <family val="2"/>
    </font>
    <font>
      <sz val="10"/>
      <color theme="5" tint="-0.249977111117893"/>
      <name val="Arial"/>
      <family val="2"/>
    </font>
    <font>
      <sz val="10"/>
      <color theme="1"/>
      <name val="Arial"/>
      <family val="2"/>
    </font>
    <font>
      <b/>
      <sz val="10"/>
      <color theme="3" tint="0.39997558519241921"/>
      <name val="Arial"/>
      <family val="2"/>
    </font>
    <font>
      <sz val="9"/>
      <color theme="6" tint="-0.249977111117893"/>
      <name val="Arial"/>
      <family val="2"/>
    </font>
    <font>
      <sz val="10"/>
      <color theme="3" tint="-0.249977111117893"/>
      <name val="Arial"/>
      <family val="2"/>
    </font>
    <font>
      <sz val="9"/>
      <color theme="5" tint="-0.249977111117893"/>
      <name val="Arial"/>
      <family val="2"/>
    </font>
    <font>
      <sz val="9"/>
      <color theme="9" tint="-0.249977111117893"/>
      <name val="Arial"/>
      <family val="2"/>
    </font>
    <font>
      <sz val="9"/>
      <color rgb="FF0000FF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2060"/>
      <name val="Arial"/>
      <family val="2"/>
    </font>
    <font>
      <sz val="10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5"/>
      </patternFill>
    </fill>
    <fill>
      <patternFill patternType="solid">
        <fgColor theme="0"/>
        <bgColor indexed="9"/>
      </pattern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00B050"/>
        </stop>
      </gradient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49"/>
      </top>
      <bottom style="hair">
        <color indexed="49"/>
      </bottom>
      <diagonal/>
    </border>
    <border>
      <left style="hair">
        <color indexed="64"/>
      </left>
      <right/>
      <top style="hair">
        <color indexed="49"/>
      </top>
      <bottom style="hair">
        <color indexed="49"/>
      </bottom>
      <diagonal/>
    </border>
    <border>
      <left style="hair">
        <color indexed="64"/>
      </left>
      <right style="hair">
        <color indexed="64"/>
      </right>
      <top style="hair">
        <color indexed="4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49"/>
      </bottom>
      <diagonal/>
    </border>
    <border>
      <left/>
      <right style="hair">
        <color indexed="64"/>
      </right>
      <top style="hair">
        <color indexed="49"/>
      </top>
      <bottom style="hair">
        <color indexed="49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49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4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40"/>
      </bottom>
      <diagonal/>
    </border>
    <border>
      <left style="hair">
        <color indexed="64"/>
      </left>
      <right/>
      <top style="thin">
        <color indexed="64"/>
      </top>
      <bottom style="hair">
        <color indexed="4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40"/>
      </bottom>
      <diagonal/>
    </border>
    <border>
      <left/>
      <right style="thin">
        <color indexed="64"/>
      </right>
      <top style="thin">
        <color indexed="64"/>
      </top>
      <bottom style="hair">
        <color indexed="40"/>
      </bottom>
      <diagonal/>
    </border>
    <border>
      <left style="thin">
        <color indexed="64"/>
      </left>
      <right/>
      <top style="hair">
        <color indexed="40"/>
      </top>
      <bottom style="hair">
        <color indexed="40"/>
      </bottom>
      <diagonal/>
    </border>
    <border>
      <left style="hair">
        <color indexed="64"/>
      </left>
      <right style="hair">
        <color indexed="64"/>
      </right>
      <top style="hair">
        <color indexed="40"/>
      </top>
      <bottom style="hair">
        <color indexed="40"/>
      </bottom>
      <diagonal/>
    </border>
    <border>
      <left style="hair">
        <color indexed="64"/>
      </left>
      <right/>
      <top style="hair">
        <color indexed="40"/>
      </top>
      <bottom style="hair">
        <color indexed="40"/>
      </bottom>
      <diagonal/>
    </border>
    <border>
      <left style="medium">
        <color indexed="64"/>
      </left>
      <right style="medium">
        <color indexed="64"/>
      </right>
      <top style="hair">
        <color indexed="40"/>
      </top>
      <bottom style="hair">
        <color indexed="40"/>
      </bottom>
      <diagonal/>
    </border>
    <border>
      <left/>
      <right style="thin">
        <color indexed="64"/>
      </right>
      <top style="hair">
        <color indexed="40"/>
      </top>
      <bottom style="hair">
        <color indexed="40"/>
      </bottom>
      <diagonal/>
    </border>
    <border>
      <left style="hair">
        <color indexed="64"/>
      </left>
      <right style="hair">
        <color indexed="64"/>
      </right>
      <top/>
      <bottom style="hair">
        <color indexed="40"/>
      </bottom>
      <diagonal/>
    </border>
    <border>
      <left/>
      <right style="hair">
        <color indexed="64"/>
      </right>
      <top style="hair">
        <color indexed="40"/>
      </top>
      <bottom style="hair">
        <color indexed="40"/>
      </bottom>
      <diagonal/>
    </border>
    <border>
      <left/>
      <right/>
      <top style="hair">
        <color indexed="40"/>
      </top>
      <bottom style="hair">
        <color indexed="40"/>
      </bottom>
      <diagonal/>
    </border>
    <border>
      <left style="thin">
        <color indexed="64"/>
      </left>
      <right/>
      <top style="hair">
        <color indexed="40"/>
      </top>
      <bottom/>
      <diagonal/>
    </border>
    <border>
      <left style="hair">
        <color indexed="64"/>
      </left>
      <right/>
      <top style="hair">
        <color indexed="40"/>
      </top>
      <bottom/>
      <diagonal/>
    </border>
    <border>
      <left style="hair">
        <color indexed="64"/>
      </left>
      <right style="hair">
        <color indexed="64"/>
      </right>
      <top style="hair">
        <color indexed="40"/>
      </top>
      <bottom/>
      <diagonal/>
    </border>
    <border>
      <left/>
      <right style="hair">
        <color indexed="64"/>
      </right>
      <top style="hair">
        <color indexed="40"/>
      </top>
      <bottom/>
      <diagonal/>
    </border>
    <border>
      <left style="medium">
        <color indexed="64"/>
      </left>
      <right style="medium">
        <color indexed="64"/>
      </right>
      <top style="hair">
        <color indexed="40"/>
      </top>
      <bottom/>
      <diagonal/>
    </border>
    <border>
      <left/>
      <right/>
      <top style="hair">
        <color indexed="40"/>
      </top>
      <bottom/>
      <diagonal/>
    </border>
    <border>
      <left/>
      <right style="thin">
        <color indexed="64"/>
      </right>
      <top style="hair">
        <color indexed="40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40"/>
      </bottom>
      <diagonal/>
    </border>
    <border>
      <left/>
      <right/>
      <top style="thin">
        <color indexed="64"/>
      </top>
      <bottom style="hair">
        <color indexed="40"/>
      </bottom>
      <diagonal/>
    </border>
    <border>
      <left style="double">
        <color indexed="23"/>
      </left>
      <right/>
      <top style="double">
        <color indexed="23"/>
      </top>
      <bottom/>
      <diagonal/>
    </border>
    <border>
      <left/>
      <right/>
      <top style="double">
        <color indexed="23"/>
      </top>
      <bottom/>
      <diagonal/>
    </border>
    <border>
      <left/>
      <right style="double">
        <color indexed="23"/>
      </right>
      <top style="double">
        <color indexed="23"/>
      </top>
      <bottom/>
      <diagonal/>
    </border>
    <border>
      <left style="double">
        <color indexed="23"/>
      </left>
      <right/>
      <top/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double">
        <color indexed="23"/>
      </right>
      <top/>
      <bottom/>
      <diagonal/>
    </border>
    <border>
      <left style="double">
        <color indexed="23"/>
      </left>
      <right/>
      <top style="double">
        <color indexed="23"/>
      </top>
      <bottom style="double">
        <color indexed="23"/>
      </bottom>
      <diagonal/>
    </border>
    <border>
      <left/>
      <right/>
      <top style="double">
        <color indexed="23"/>
      </top>
      <bottom style="double">
        <color indexed="23"/>
      </bottom>
      <diagonal/>
    </border>
    <border>
      <left/>
      <right style="double">
        <color indexed="23"/>
      </right>
      <top style="double">
        <color indexed="23"/>
      </top>
      <bottom style="double">
        <color indexed="23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double">
        <color indexed="23"/>
      </left>
      <right/>
      <top/>
      <bottom style="double">
        <color indexed="23"/>
      </bottom>
      <diagonal/>
    </border>
    <border>
      <left/>
      <right/>
      <top/>
      <bottom style="double">
        <color indexed="23"/>
      </bottom>
      <diagonal/>
    </border>
    <border>
      <left/>
      <right style="double">
        <color indexed="23"/>
      </right>
      <top/>
      <bottom style="double">
        <color indexed="23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17"/>
      </left>
      <right/>
      <top style="medium">
        <color indexed="17"/>
      </top>
      <bottom style="medium">
        <color indexed="17"/>
      </bottom>
      <diagonal/>
    </border>
    <border>
      <left/>
      <right/>
      <top style="medium">
        <color indexed="17"/>
      </top>
      <bottom style="medium">
        <color indexed="17"/>
      </bottom>
      <diagonal/>
    </border>
    <border>
      <left/>
      <right style="medium">
        <color indexed="17"/>
      </right>
      <top style="medium">
        <color indexed="17"/>
      </top>
      <bottom style="medium">
        <color indexed="17"/>
      </bottom>
      <diagonal/>
    </border>
    <border>
      <left style="medium">
        <color indexed="17"/>
      </left>
      <right style="medium">
        <color indexed="17"/>
      </right>
      <top style="medium">
        <color indexed="17"/>
      </top>
      <bottom style="medium">
        <color indexed="17"/>
      </bottom>
      <diagonal/>
    </border>
    <border>
      <left style="medium">
        <color indexed="30"/>
      </left>
      <right style="medium">
        <color indexed="30"/>
      </right>
      <top style="medium">
        <color indexed="30"/>
      </top>
      <bottom/>
      <diagonal/>
    </border>
    <border>
      <left style="medium">
        <color indexed="30"/>
      </left>
      <right style="medium">
        <color indexed="30"/>
      </right>
      <top style="medium">
        <color indexed="30"/>
      </top>
      <bottom style="medium">
        <color indexed="30"/>
      </bottom>
      <diagonal/>
    </border>
    <border>
      <left style="medium">
        <color indexed="17"/>
      </left>
      <right style="medium">
        <color indexed="17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17"/>
      </left>
      <right style="thin">
        <color indexed="17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17"/>
      </left>
      <right style="thin">
        <color indexed="17"/>
      </right>
      <top style="medium">
        <color indexed="17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30"/>
      </left>
      <right style="medium">
        <color indexed="30"/>
      </right>
      <top/>
      <bottom style="hair">
        <color indexed="23"/>
      </bottom>
      <diagonal/>
    </border>
    <border>
      <left style="medium">
        <color indexed="30"/>
      </left>
      <right/>
      <top/>
      <bottom style="hair">
        <color indexed="64"/>
      </bottom>
      <diagonal/>
    </border>
    <border>
      <left style="thin">
        <color indexed="17"/>
      </left>
      <right style="thin">
        <color indexed="17"/>
      </right>
      <top/>
      <bottom style="hair">
        <color indexed="64"/>
      </bottom>
      <diagonal/>
    </border>
    <border>
      <left/>
      <right/>
      <top style="medium">
        <color indexed="17"/>
      </top>
      <bottom/>
      <diagonal/>
    </border>
    <border>
      <left style="medium">
        <color indexed="30"/>
      </left>
      <right style="medium">
        <color indexed="3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30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30"/>
      </left>
      <right style="medium">
        <color indexed="30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30"/>
      </left>
      <right style="medium">
        <color indexed="30"/>
      </right>
      <top style="hair">
        <color indexed="64"/>
      </top>
      <bottom style="hair">
        <color indexed="23"/>
      </bottom>
      <diagonal/>
    </border>
    <border>
      <left style="thin">
        <color indexed="17"/>
      </left>
      <right style="thin">
        <color indexed="17"/>
      </right>
      <top style="hair">
        <color indexed="17"/>
      </top>
      <bottom style="hair">
        <color indexed="64"/>
      </bottom>
      <diagonal/>
    </border>
    <border>
      <left style="thin">
        <color indexed="17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17"/>
      </right>
      <top style="hair">
        <color indexed="64"/>
      </top>
      <bottom style="hair">
        <color indexed="64"/>
      </bottom>
      <diagonal/>
    </border>
    <border>
      <left style="medium">
        <color indexed="3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30"/>
      </right>
      <top style="hair">
        <color indexed="64"/>
      </top>
      <bottom style="hair">
        <color indexed="64"/>
      </bottom>
      <diagonal/>
    </border>
    <border>
      <left style="medium">
        <color indexed="30"/>
      </left>
      <right/>
      <top style="medium">
        <color indexed="30"/>
      </top>
      <bottom/>
      <diagonal/>
    </border>
    <border>
      <left/>
      <right style="medium">
        <color indexed="30"/>
      </right>
      <top style="medium">
        <color indexed="30"/>
      </top>
      <bottom/>
      <diagonal/>
    </border>
    <border>
      <left style="hair">
        <color indexed="64"/>
      </left>
      <right style="thin">
        <color indexed="17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30"/>
      </left>
      <right/>
      <top style="medium">
        <color indexed="30"/>
      </top>
      <bottom style="medium">
        <color indexed="30"/>
      </bottom>
      <diagonal/>
    </border>
    <border>
      <left/>
      <right/>
      <top style="medium">
        <color indexed="30"/>
      </top>
      <bottom style="medium">
        <color indexed="30"/>
      </bottom>
      <diagonal/>
    </border>
    <border>
      <left/>
      <right style="medium">
        <color indexed="30"/>
      </right>
      <top style="medium">
        <color indexed="30"/>
      </top>
      <bottom style="medium">
        <color indexed="30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  <border>
      <left style="hair">
        <color theme="3" tint="0.39994506668294322"/>
      </left>
      <right style="hair">
        <color theme="3" tint="0.39994506668294322"/>
      </right>
      <top style="thin">
        <color theme="3" tint="0.39994506668294322"/>
      </top>
      <bottom style="hair">
        <color theme="3" tint="0.39994506668294322"/>
      </bottom>
      <diagonal/>
    </border>
    <border>
      <left style="hair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hair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 style="hair">
        <color theme="3" tint="0.39994506668294322"/>
      </left>
      <right style="hair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  <border>
      <left style="hair">
        <color theme="3" tint="0.39994506668294322"/>
      </left>
      <right style="thin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  <border>
      <left style="thin">
        <color theme="3" tint="0.39994506668294322"/>
      </left>
      <right/>
      <top/>
      <bottom style="thin">
        <color theme="3" tint="0.39994506668294322"/>
      </bottom>
      <diagonal/>
    </border>
    <border>
      <left style="hair">
        <color theme="3" tint="0.39994506668294322"/>
      </left>
      <right style="hair">
        <color theme="3" tint="0.39994506668294322"/>
      </right>
      <top style="hair">
        <color theme="3" tint="0.39994506668294322"/>
      </top>
      <bottom style="thin">
        <color theme="3" tint="0.39994506668294322"/>
      </bottom>
      <diagonal/>
    </border>
    <border>
      <left style="hair">
        <color theme="3" tint="0.39994506668294322"/>
      </left>
      <right style="thin">
        <color theme="3" tint="0.39994506668294322"/>
      </right>
      <top style="hair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ck">
        <color theme="3" tint="0.39994506668294322"/>
      </bottom>
      <diagonal/>
    </border>
    <border>
      <left style="thin">
        <color indexed="24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indexed="17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17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14548173467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 style="medium">
        <color theme="4" tint="-0.24994659260841701"/>
      </right>
      <top/>
      <bottom/>
      <diagonal/>
    </border>
    <border>
      <left style="hair">
        <color indexed="64"/>
      </left>
      <right style="hair">
        <color indexed="64"/>
      </right>
      <top style="thin">
        <color theme="3" tint="0.39994506668294322"/>
      </top>
      <bottom style="hair">
        <color indexed="64"/>
      </bottom>
      <diagonal/>
    </border>
    <border>
      <left style="hair">
        <color indexed="64"/>
      </left>
      <right style="medium">
        <color theme="3" tint="0.39994506668294322"/>
      </right>
      <top style="medium">
        <color indexed="30"/>
      </top>
      <bottom style="hair">
        <color indexed="64"/>
      </bottom>
      <diagonal/>
    </border>
    <border>
      <left style="hair">
        <color indexed="64"/>
      </left>
      <right style="medium">
        <color theme="3" tint="0.39994506668294322"/>
      </right>
      <top style="hair">
        <color indexed="64"/>
      </top>
      <bottom style="hair">
        <color indexed="64"/>
      </bottom>
      <diagonal/>
    </border>
    <border>
      <left/>
      <right style="thin">
        <color theme="3" tint="0.39994506668294322"/>
      </right>
      <top style="hair">
        <color indexed="64"/>
      </top>
      <bottom style="hair">
        <color indexed="64"/>
      </bottom>
      <diagonal/>
    </border>
    <border>
      <left/>
      <right style="thin">
        <color theme="3" tint="0.39994506668294322"/>
      </right>
      <top style="hair">
        <color indexed="64"/>
      </top>
      <bottom style="thin">
        <color theme="3" tint="0.39994506668294322"/>
      </bottom>
      <diagonal/>
    </border>
    <border>
      <left style="medium">
        <color indexed="30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30"/>
      </left>
      <right style="thin">
        <color theme="3" tint="0.39994506668294322"/>
      </right>
      <top/>
      <bottom/>
      <diagonal/>
    </border>
    <border>
      <left style="medium">
        <color indexed="30"/>
      </left>
      <right style="thin">
        <color theme="3" tint="0.39994506668294322"/>
      </right>
      <top/>
      <bottom style="thin">
        <color theme="3" tint="0.39994506668294322"/>
      </bottom>
      <diagonal/>
    </border>
  </borders>
  <cellStyleXfs count="63">
    <xf numFmtId="0" fontId="0" fillId="0" borderId="0"/>
    <xf numFmtId="0" fontId="6" fillId="0" borderId="1"/>
    <xf numFmtId="0" fontId="42" fillId="0" borderId="1"/>
    <xf numFmtId="0" fontId="6" fillId="0" borderId="1"/>
    <xf numFmtId="0" fontId="42" fillId="0" borderId="1"/>
    <xf numFmtId="0" fontId="6" fillId="0" borderId="1"/>
    <xf numFmtId="0" fontId="39" fillId="0" borderId="1"/>
    <xf numFmtId="0" fontId="23" fillId="0" borderId="1"/>
    <xf numFmtId="0" fontId="23" fillId="0" borderId="1"/>
    <xf numFmtId="0" fontId="2" fillId="0" borderId="0">
      <alignment horizontal="center" wrapText="1"/>
      <protection locked="0"/>
    </xf>
    <xf numFmtId="191" fontId="1" fillId="0" borderId="0" applyFill="0" applyBorder="0" applyAlignment="0"/>
    <xf numFmtId="191" fontId="23" fillId="0" borderId="0" applyFill="0" applyBorder="0" applyAlignment="0"/>
    <xf numFmtId="0" fontId="28" fillId="0" borderId="0"/>
    <xf numFmtId="184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 applyNumberFormat="0" applyAlignment="0">
      <alignment horizontal="left"/>
    </xf>
    <xf numFmtId="0" fontId="6" fillId="0" borderId="0" applyNumberFormat="0" applyAlignment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28" fillId="0" borderId="0"/>
    <xf numFmtId="194" fontId="1" fillId="0" borderId="0" applyFont="0" applyFill="0" applyBorder="0" applyAlignment="0" applyProtection="0"/>
    <xf numFmtId="194" fontId="23" fillId="0" borderId="0" applyFont="0" applyFill="0" applyBorder="0" applyAlignment="0" applyProtection="0"/>
    <xf numFmtId="38" fontId="8" fillId="2" borderId="0" applyNumberFormat="0" applyBorder="0" applyAlignment="0" applyProtection="0"/>
    <xf numFmtId="0" fontId="9" fillId="0" borderId="2" applyNumberFormat="0" applyAlignment="0" applyProtection="0">
      <alignment horizontal="left" vertical="center"/>
    </xf>
    <xf numFmtId="0" fontId="9" fillId="0" borderId="3">
      <alignment horizontal="left" vertical="center"/>
    </xf>
    <xf numFmtId="10" fontId="8" fillId="3" borderId="1" applyNumberFormat="0" applyBorder="0" applyAlignment="0" applyProtection="0"/>
    <xf numFmtId="189" fontId="10" fillId="4" borderId="0"/>
    <xf numFmtId="189" fontId="11" fillId="5" borderId="0"/>
    <xf numFmtId="43" fontId="23" fillId="0" borderId="0" applyFont="0" applyFill="0" applyBorder="0" applyAlignment="0" applyProtection="0"/>
    <xf numFmtId="0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37" fontId="12" fillId="0" borderId="0"/>
    <xf numFmtId="183" fontId="1" fillId="0" borderId="0"/>
    <xf numFmtId="183" fontId="23" fillId="0" borderId="0"/>
    <xf numFmtId="0" fontId="23" fillId="0" borderId="0"/>
    <xf numFmtId="0" fontId="23" fillId="0" borderId="0"/>
    <xf numFmtId="0" fontId="6" fillId="0" borderId="1"/>
    <xf numFmtId="0" fontId="6" fillId="0" borderId="1"/>
    <xf numFmtId="0" fontId="1" fillId="0" borderId="0"/>
    <xf numFmtId="0" fontId="1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14" fontId="2" fillId="0" borderId="0">
      <alignment horizontal="center" wrapText="1"/>
      <protection locked="0"/>
    </xf>
    <xf numFmtId="10" fontId="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181" fontId="1" fillId="0" borderId="0"/>
    <xf numFmtId="181" fontId="23" fillId="0" borderId="0"/>
    <xf numFmtId="0" fontId="14" fillId="0" borderId="0" applyNumberFormat="0" applyFont="0" applyFill="0" applyBorder="0" applyAlignment="0" applyProtection="0">
      <alignment horizontal="left"/>
    </xf>
    <xf numFmtId="190" fontId="1" fillId="0" borderId="0" applyNumberFormat="0" applyFill="0" applyBorder="0" applyAlignment="0" applyProtection="0">
      <alignment horizontal="left"/>
    </xf>
    <xf numFmtId="190" fontId="23" fillId="0" borderId="0" applyNumberFormat="0" applyFill="0" applyBorder="0" applyAlignment="0" applyProtection="0">
      <alignment horizontal="left"/>
    </xf>
    <xf numFmtId="38" fontId="15" fillId="0" borderId="0"/>
    <xf numFmtId="40" fontId="16" fillId="0" borderId="0" applyBorder="0">
      <alignment horizontal="right"/>
    </xf>
  </cellStyleXfs>
  <cellXfs count="480">
    <xf numFmtId="0" fontId="0" fillId="0" borderId="0" xfId="0" applyBorder="1"/>
    <xf numFmtId="178" fontId="18" fillId="6" borderId="0" xfId="6" applyNumberFormat="1" applyFont="1" applyFill="1" applyBorder="1" applyAlignment="1">
      <alignment vertical="center"/>
    </xf>
    <xf numFmtId="178" fontId="26" fillId="6" borderId="4" xfId="6" applyNumberFormat="1" applyFont="1" applyFill="1" applyBorder="1" applyAlignment="1">
      <alignment horizontal="right" vertical="center"/>
    </xf>
    <xf numFmtId="178" fontId="25" fillId="6" borderId="0" xfId="6" applyNumberFormat="1" applyFont="1" applyFill="1" applyBorder="1" applyAlignment="1">
      <alignment horizontal="center" vertical="center"/>
    </xf>
    <xf numFmtId="178" fontId="25" fillId="6" borderId="3" xfId="6" applyNumberFormat="1" applyFont="1" applyFill="1" applyBorder="1" applyAlignment="1">
      <alignment horizontal="right" vertical="center"/>
    </xf>
    <xf numFmtId="178" fontId="36" fillId="6" borderId="0" xfId="6" applyNumberFormat="1" applyFont="1" applyFill="1" applyBorder="1" applyAlignment="1">
      <alignment horizontal="right" vertical="center"/>
    </xf>
    <xf numFmtId="178" fontId="25" fillId="6" borderId="0" xfId="6" applyNumberFormat="1" applyFont="1" applyFill="1" applyBorder="1" applyAlignment="1">
      <alignment horizontal="right" vertical="center"/>
    </xf>
    <xf numFmtId="178" fontId="26" fillId="6" borderId="0" xfId="6" applyNumberFormat="1" applyFont="1" applyFill="1" applyBorder="1" applyAlignment="1">
      <alignment horizontal="right" vertical="center"/>
    </xf>
    <xf numFmtId="178" fontId="37" fillId="6" borderId="0" xfId="6" applyNumberFormat="1" applyFont="1" applyFill="1" applyBorder="1" applyAlignment="1">
      <alignment horizontal="left"/>
    </xf>
    <xf numFmtId="178" fontId="18" fillId="6" borderId="5" xfId="6" applyNumberFormat="1" applyFont="1" applyFill="1" applyBorder="1"/>
    <xf numFmtId="178" fontId="36" fillId="6" borderId="5" xfId="6" applyNumberFormat="1" applyFont="1" applyFill="1" applyBorder="1"/>
    <xf numFmtId="178" fontId="18" fillId="6" borderId="5" xfId="6" applyNumberFormat="1" applyFont="1" applyFill="1" applyBorder="1" applyAlignment="1"/>
    <xf numFmtId="178" fontId="18" fillId="6" borderId="0" xfId="6" applyNumberFormat="1" applyFont="1" applyFill="1" applyBorder="1"/>
    <xf numFmtId="178" fontId="18" fillId="6" borderId="6" xfId="6" applyNumberFormat="1" applyFont="1" applyFill="1" applyBorder="1"/>
    <xf numFmtId="178" fontId="18" fillId="6" borderId="1" xfId="6" applyNumberFormat="1" applyFont="1" applyFill="1"/>
    <xf numFmtId="178" fontId="25" fillId="6" borderId="0" xfId="6" applyNumberFormat="1" applyFont="1" applyFill="1" applyBorder="1" applyAlignment="1">
      <alignment horizontal="left"/>
    </xf>
    <xf numFmtId="178" fontId="17" fillId="6" borderId="0" xfId="6" applyNumberFormat="1" applyFont="1" applyFill="1" applyBorder="1" applyAlignment="1">
      <alignment horizontal="left"/>
    </xf>
    <xf numFmtId="178" fontId="17" fillId="6" borderId="0" xfId="6" applyNumberFormat="1" applyFont="1" applyFill="1" applyBorder="1" applyAlignment="1"/>
    <xf numFmtId="178" fontId="36" fillId="6" borderId="0" xfId="6" applyNumberFormat="1" applyFont="1" applyFill="1" applyBorder="1"/>
    <xf numFmtId="178" fontId="25" fillId="6" borderId="0" xfId="6" applyNumberFormat="1" applyFont="1" applyFill="1" applyBorder="1" applyAlignment="1">
      <alignment horizontal="center"/>
    </xf>
    <xf numFmtId="178" fontId="36" fillId="6" borderId="0" xfId="6" applyNumberFormat="1" applyFont="1" applyFill="1" applyBorder="1" applyAlignment="1">
      <alignment horizontal="center" vertical="center"/>
    </xf>
    <xf numFmtId="178" fontId="36" fillId="6" borderId="1" xfId="6" applyNumberFormat="1" applyFont="1" applyFill="1" applyAlignment="1">
      <alignment horizontal="center" vertical="center"/>
    </xf>
    <xf numFmtId="178" fontId="25" fillId="6" borderId="0" xfId="6" applyNumberFormat="1" applyFont="1" applyFill="1" applyBorder="1" applyAlignment="1">
      <alignment vertical="center"/>
    </xf>
    <xf numFmtId="178" fontId="17" fillId="6" borderId="7" xfId="6" applyNumberFormat="1" applyFont="1" applyFill="1" applyBorder="1" applyAlignment="1">
      <alignment horizontal="center"/>
    </xf>
    <xf numFmtId="178" fontId="18" fillId="6" borderId="7" xfId="6" applyNumberFormat="1" applyFont="1" applyFill="1" applyBorder="1" applyAlignment="1">
      <alignment horizontal="center"/>
    </xf>
    <xf numFmtId="178" fontId="36" fillId="6" borderId="7" xfId="6" applyNumberFormat="1" applyFont="1" applyFill="1" applyBorder="1" applyAlignment="1">
      <alignment horizontal="center"/>
    </xf>
    <xf numFmtId="178" fontId="36" fillId="6" borderId="8" xfId="6" applyNumberFormat="1" applyFont="1" applyFill="1" applyBorder="1" applyAlignment="1">
      <alignment horizontal="center"/>
    </xf>
    <xf numFmtId="178" fontId="36" fillId="6" borderId="7" xfId="6" applyNumberFormat="1" applyFont="1" applyFill="1" applyBorder="1" applyAlignment="1">
      <alignment horizontal="left" vertical="center"/>
    </xf>
    <xf numFmtId="178" fontId="18" fillId="6" borderId="0" xfId="6" applyNumberFormat="1" applyFont="1" applyFill="1" applyBorder="1" applyAlignment="1"/>
    <xf numFmtId="178" fontId="18" fillId="6" borderId="0" xfId="6" applyNumberFormat="1" applyFont="1" applyFill="1" applyBorder="1" applyAlignment="1">
      <alignment horizontal="center"/>
    </xf>
    <xf numFmtId="178" fontId="36" fillId="6" borderId="0" xfId="6" applyNumberFormat="1" applyFont="1" applyFill="1" applyBorder="1" applyAlignment="1">
      <alignment horizontal="center"/>
    </xf>
    <xf numFmtId="178" fontId="36" fillId="6" borderId="7" xfId="6" applyNumberFormat="1" applyFont="1" applyFill="1" applyBorder="1" applyAlignment="1">
      <alignment horizontal="left"/>
    </xf>
    <xf numFmtId="178" fontId="17" fillId="6" borderId="9" xfId="6" applyNumberFormat="1" applyFont="1" applyFill="1" applyBorder="1" applyAlignment="1">
      <alignment horizontal="center"/>
    </xf>
    <xf numFmtId="178" fontId="18" fillId="6" borderId="9" xfId="6" applyNumberFormat="1" applyFont="1" applyFill="1" applyBorder="1" applyAlignment="1">
      <alignment horizontal="center"/>
    </xf>
    <xf numFmtId="178" fontId="36" fillId="6" borderId="9" xfId="6" applyNumberFormat="1" applyFont="1" applyFill="1" applyBorder="1" applyAlignment="1">
      <alignment horizontal="center"/>
    </xf>
    <xf numFmtId="178" fontId="36" fillId="6" borderId="10" xfId="6" applyNumberFormat="1" applyFont="1" applyFill="1" applyBorder="1" applyAlignment="1">
      <alignment horizontal="center"/>
    </xf>
    <xf numFmtId="178" fontId="36" fillId="6" borderId="9" xfId="6" applyNumberFormat="1" applyFont="1" applyFill="1" applyBorder="1" applyAlignment="1">
      <alignment horizontal="left" vertical="center"/>
    </xf>
    <xf numFmtId="178" fontId="36" fillId="6" borderId="9" xfId="6" applyNumberFormat="1" applyFont="1" applyFill="1" applyBorder="1" applyAlignment="1">
      <alignment horizontal="left"/>
    </xf>
    <xf numFmtId="178" fontId="36" fillId="6" borderId="11" xfId="6" applyNumberFormat="1" applyFont="1" applyFill="1" applyBorder="1" applyAlignment="1">
      <alignment horizontal="left"/>
    </xf>
    <xf numFmtId="178" fontId="18" fillId="6" borderId="11" xfId="6" applyNumberFormat="1" applyFont="1" applyFill="1" applyBorder="1" applyAlignment="1">
      <alignment horizontal="center"/>
    </xf>
    <xf numFmtId="178" fontId="17" fillId="6" borderId="12" xfId="6" applyNumberFormat="1" applyFont="1" applyFill="1" applyBorder="1" applyAlignment="1">
      <alignment horizontal="center"/>
    </xf>
    <xf numFmtId="178" fontId="18" fillId="6" borderId="4" xfId="6" applyNumberFormat="1" applyFont="1" applyFill="1" applyBorder="1" applyAlignment="1">
      <alignment horizontal="center"/>
    </xf>
    <xf numFmtId="178" fontId="26" fillId="6" borderId="4" xfId="6" applyNumberFormat="1" applyFont="1" applyFill="1" applyBorder="1" applyAlignment="1">
      <alignment horizontal="center"/>
    </xf>
    <xf numFmtId="178" fontId="26" fillId="6" borderId="13" xfId="6" applyNumberFormat="1" applyFont="1" applyFill="1" applyBorder="1" applyAlignment="1">
      <alignment horizontal="center"/>
    </xf>
    <xf numFmtId="178" fontId="36" fillId="6" borderId="4" xfId="6" applyNumberFormat="1" applyFont="1" applyFill="1" applyBorder="1" applyAlignment="1">
      <alignment horizontal="center"/>
    </xf>
    <xf numFmtId="178" fontId="17" fillId="6" borderId="4" xfId="6" applyNumberFormat="1" applyFont="1" applyFill="1" applyBorder="1" applyAlignment="1">
      <alignment horizontal="center"/>
    </xf>
    <xf numFmtId="178" fontId="18" fillId="6" borderId="13" xfId="6" applyNumberFormat="1" applyFont="1" applyFill="1" applyBorder="1" applyAlignment="1">
      <alignment horizontal="center"/>
    </xf>
    <xf numFmtId="178" fontId="25" fillId="6" borderId="14" xfId="6" applyNumberFormat="1" applyFont="1" applyFill="1" applyBorder="1" applyAlignment="1">
      <alignment horizontal="right" vertical="center"/>
    </xf>
    <xf numFmtId="178" fontId="25" fillId="6" borderId="6" xfId="6" applyNumberFormat="1" applyFont="1" applyFill="1" applyBorder="1" applyAlignment="1">
      <alignment horizontal="center"/>
    </xf>
    <xf numFmtId="178" fontId="17" fillId="6" borderId="14" xfId="6" applyNumberFormat="1" applyFont="1" applyFill="1" applyBorder="1" applyAlignment="1">
      <alignment horizontal="right"/>
    </xf>
    <xf numFmtId="178" fontId="25" fillId="6" borderId="3" xfId="6" applyNumberFormat="1" applyFont="1" applyFill="1" applyBorder="1" applyAlignment="1">
      <alignment horizontal="right"/>
    </xf>
    <xf numFmtId="178" fontId="26" fillId="6" borderId="15" xfId="6" applyNumberFormat="1" applyFont="1" applyFill="1" applyBorder="1" applyAlignment="1">
      <alignment horizontal="center"/>
    </xf>
    <xf numFmtId="178" fontId="17" fillId="6" borderId="1" xfId="6" applyNumberFormat="1" applyFont="1" applyFill="1" applyBorder="1" applyAlignment="1">
      <alignment horizontal="right"/>
    </xf>
    <xf numFmtId="178" fontId="25" fillId="6" borderId="14" xfId="6" applyNumberFormat="1" applyFont="1" applyFill="1" applyBorder="1" applyAlignment="1">
      <alignment horizontal="right"/>
    </xf>
    <xf numFmtId="178" fontId="36" fillId="6" borderId="12" xfId="6" applyNumberFormat="1" applyFont="1" applyFill="1" applyBorder="1"/>
    <xf numFmtId="178" fontId="18" fillId="6" borderId="16" xfId="6" applyNumberFormat="1" applyFont="1" applyFill="1" applyBorder="1"/>
    <xf numFmtId="178" fontId="25" fillId="6" borderId="17" xfId="6" applyNumberFormat="1" applyFont="1" applyFill="1" applyBorder="1" applyAlignment="1">
      <alignment horizontal="center"/>
    </xf>
    <xf numFmtId="178" fontId="17" fillId="6" borderId="0" xfId="6" applyNumberFormat="1" applyFont="1" applyFill="1" applyBorder="1" applyAlignment="1">
      <alignment horizontal="center"/>
    </xf>
    <xf numFmtId="178" fontId="25" fillId="6" borderId="18" xfId="6" applyNumberFormat="1" applyFont="1" applyFill="1" applyBorder="1" applyAlignment="1">
      <alignment horizontal="center"/>
    </xf>
    <xf numFmtId="178" fontId="18" fillId="6" borderId="19" xfId="6" applyNumberFormat="1" applyFont="1" applyFill="1" applyBorder="1"/>
    <xf numFmtId="178" fontId="18" fillId="6" borderId="20" xfId="6" applyNumberFormat="1" applyFont="1" applyFill="1" applyBorder="1"/>
    <xf numFmtId="178" fontId="26" fillId="6" borderId="20" xfId="6" applyNumberFormat="1" applyFont="1" applyFill="1" applyBorder="1" applyAlignment="1">
      <alignment horizontal="right" vertical="center"/>
    </xf>
    <xf numFmtId="178" fontId="22" fillId="6" borderId="20" xfId="6" applyNumberFormat="1" applyFont="1" applyFill="1" applyBorder="1" applyAlignment="1">
      <alignment horizontal="center"/>
    </xf>
    <xf numFmtId="178" fontId="22" fillId="6" borderId="21" xfId="6" applyNumberFormat="1" applyFont="1" applyFill="1" applyBorder="1" applyAlignment="1">
      <alignment horizontal="center"/>
    </xf>
    <xf numFmtId="178" fontId="22" fillId="6" borderId="0" xfId="6" applyNumberFormat="1" applyFont="1" applyFill="1" applyBorder="1" applyAlignment="1">
      <alignment horizontal="center"/>
    </xf>
    <xf numFmtId="178" fontId="26" fillId="6" borderId="22" xfId="6" applyNumberFormat="1" applyFont="1" applyFill="1" applyBorder="1" applyAlignment="1">
      <alignment horizontal="center"/>
    </xf>
    <xf numFmtId="178" fontId="18" fillId="6" borderId="4" xfId="6" applyNumberFormat="1" applyFont="1" applyFill="1" applyBorder="1"/>
    <xf numFmtId="178" fontId="25" fillId="6" borderId="0" xfId="6" applyNumberFormat="1" applyFont="1" applyFill="1" applyBorder="1" applyAlignment="1"/>
    <xf numFmtId="178" fontId="25" fillId="6" borderId="1" xfId="6" applyNumberFormat="1" applyFont="1" applyFill="1" applyBorder="1" applyAlignment="1">
      <alignment horizontal="center"/>
    </xf>
    <xf numFmtId="178" fontId="25" fillId="6" borderId="0" xfId="6" applyNumberFormat="1" applyFont="1" applyFill="1" applyBorder="1" applyAlignment="1">
      <alignment horizontal="right"/>
    </xf>
    <xf numFmtId="178" fontId="17" fillId="6" borderId="0" xfId="6" applyNumberFormat="1" applyFont="1" applyFill="1" applyBorder="1" applyAlignment="1">
      <alignment horizontal="right"/>
    </xf>
    <xf numFmtId="178" fontId="36" fillId="6" borderId="7" xfId="6" applyNumberFormat="1" applyFont="1" applyFill="1" applyBorder="1" applyAlignment="1">
      <alignment vertical="center"/>
    </xf>
    <xf numFmtId="178" fontId="36" fillId="6" borderId="9" xfId="6" applyNumberFormat="1" applyFont="1" applyFill="1" applyBorder="1" applyAlignment="1">
      <alignment vertical="center"/>
    </xf>
    <xf numFmtId="178" fontId="36" fillId="6" borderId="11" xfId="6" applyNumberFormat="1" applyFont="1" applyFill="1" applyBorder="1" applyAlignment="1">
      <alignment vertical="center"/>
    </xf>
    <xf numFmtId="178" fontId="36" fillId="6" borderId="11" xfId="6" applyNumberFormat="1" applyFont="1" applyFill="1" applyBorder="1" applyAlignment="1">
      <alignment horizontal="center"/>
    </xf>
    <xf numFmtId="178" fontId="25" fillId="6" borderId="4" xfId="6" applyNumberFormat="1" applyFont="1" applyFill="1" applyBorder="1" applyAlignment="1">
      <alignment horizontal="center"/>
    </xf>
    <xf numFmtId="178" fontId="36" fillId="6" borderId="14" xfId="6" applyNumberFormat="1" applyFont="1" applyFill="1" applyBorder="1"/>
    <xf numFmtId="178" fontId="36" fillId="6" borderId="3" xfId="6" applyNumberFormat="1" applyFont="1" applyFill="1" applyBorder="1"/>
    <xf numFmtId="178" fontId="18" fillId="6" borderId="1" xfId="6" applyNumberFormat="1" applyFont="1" applyFill="1" applyBorder="1"/>
    <xf numFmtId="178" fontId="18" fillId="6" borderId="12" xfId="6" applyNumberFormat="1" applyFont="1" applyFill="1" applyBorder="1"/>
    <xf numFmtId="178" fontId="36" fillId="6" borderId="0" xfId="6" applyNumberFormat="1" applyFont="1" applyFill="1" applyBorder="1" applyAlignment="1">
      <alignment horizontal="left"/>
    </xf>
    <xf numFmtId="178" fontId="17" fillId="6" borderId="14" xfId="6" applyNumberFormat="1" applyFont="1" applyFill="1" applyBorder="1" applyAlignment="1">
      <alignment horizontal="center"/>
    </xf>
    <xf numFmtId="178" fontId="18" fillId="6" borderId="3" xfId="6" applyNumberFormat="1" applyFont="1" applyFill="1" applyBorder="1" applyAlignment="1">
      <alignment horizontal="center"/>
    </xf>
    <xf numFmtId="178" fontId="26" fillId="6" borderId="3" xfId="6" applyNumberFormat="1" applyFont="1" applyFill="1" applyBorder="1" applyAlignment="1">
      <alignment horizontal="right" vertical="center"/>
    </xf>
    <xf numFmtId="178" fontId="26" fillId="6" borderId="3" xfId="6" applyNumberFormat="1" applyFont="1" applyFill="1" applyBorder="1" applyAlignment="1">
      <alignment horizontal="center"/>
    </xf>
    <xf numFmtId="178" fontId="26" fillId="6" borderId="6" xfId="6" applyNumberFormat="1" applyFont="1" applyFill="1" applyBorder="1" applyAlignment="1">
      <alignment horizontal="center"/>
    </xf>
    <xf numFmtId="178" fontId="25" fillId="6" borderId="12" xfId="6" applyNumberFormat="1" applyFont="1" applyFill="1" applyBorder="1" applyAlignment="1">
      <alignment horizontal="center"/>
    </xf>
    <xf numFmtId="178" fontId="36" fillId="6" borderId="0" xfId="6" applyNumberFormat="1" applyFont="1" applyFill="1" applyBorder="1" applyAlignment="1">
      <alignment vertical="center"/>
    </xf>
    <xf numFmtId="178" fontId="26" fillId="6" borderId="0" xfId="6" applyNumberFormat="1" applyFont="1" applyFill="1" applyBorder="1" applyAlignment="1">
      <alignment horizontal="center"/>
    </xf>
    <xf numFmtId="178" fontId="25" fillId="6" borderId="6" xfId="6" applyNumberFormat="1" applyFont="1" applyFill="1" applyBorder="1" applyAlignment="1">
      <alignment horizontal="right" vertical="center"/>
    </xf>
    <xf numFmtId="178" fontId="18" fillId="6" borderId="14" xfId="6" applyNumberFormat="1" applyFont="1" applyFill="1" applyBorder="1"/>
    <xf numFmtId="178" fontId="18" fillId="6" borderId="3" xfId="6" applyNumberFormat="1" applyFont="1" applyFill="1" applyBorder="1"/>
    <xf numFmtId="178" fontId="17" fillId="6" borderId="23" xfId="6" applyNumberFormat="1" applyFont="1" applyFill="1" applyBorder="1" applyAlignment="1">
      <alignment horizontal="center"/>
    </xf>
    <xf numFmtId="178" fontId="18" fillId="6" borderId="23" xfId="6" applyNumberFormat="1" applyFont="1" applyFill="1" applyBorder="1" applyAlignment="1">
      <alignment horizontal="center"/>
    </xf>
    <xf numFmtId="178" fontId="18" fillId="6" borderId="0" xfId="6" applyNumberFormat="1" applyFont="1" applyFill="1" applyBorder="1" applyAlignment="1">
      <alignment horizontal="left"/>
    </xf>
    <xf numFmtId="178" fontId="18" fillId="6" borderId="0" xfId="48" applyNumberFormat="1" applyFont="1" applyFill="1" applyBorder="1" applyAlignment="1">
      <alignment horizontal="left" vertical="center"/>
    </xf>
    <xf numFmtId="178" fontId="18" fillId="6" borderId="0" xfId="48" applyNumberFormat="1" applyFont="1" applyFill="1" applyBorder="1" applyAlignment="1">
      <alignment horizontal="center" vertical="center"/>
    </xf>
    <xf numFmtId="178" fontId="25" fillId="6" borderId="15" xfId="6" applyNumberFormat="1" applyFont="1" applyFill="1" applyBorder="1"/>
    <xf numFmtId="178" fontId="25" fillId="6" borderId="0" xfId="6" applyNumberFormat="1" applyFont="1" applyFill="1" applyBorder="1"/>
    <xf numFmtId="178" fontId="25" fillId="6" borderId="18" xfId="6" applyNumberFormat="1" applyFont="1" applyFill="1" applyBorder="1"/>
    <xf numFmtId="178" fontId="18" fillId="6" borderId="0" xfId="45" applyNumberFormat="1" applyFont="1" applyFill="1" applyBorder="1" applyAlignment="1">
      <alignment vertical="center"/>
    </xf>
    <xf numFmtId="178" fontId="18" fillId="6" borderId="0" xfId="47" applyNumberFormat="1" applyFont="1" applyFill="1" applyBorder="1"/>
    <xf numFmtId="178" fontId="18" fillId="6" borderId="20" xfId="47" applyNumberFormat="1" applyFont="1" applyFill="1" applyBorder="1"/>
    <xf numFmtId="178" fontId="25" fillId="6" borderId="22" xfId="6" applyNumberFormat="1" applyFont="1" applyFill="1" applyBorder="1"/>
    <xf numFmtId="178" fontId="36" fillId="6" borderId="1" xfId="6" applyNumberFormat="1" applyFont="1" applyFill="1"/>
    <xf numFmtId="178" fontId="18" fillId="6" borderId="1" xfId="6" applyNumberFormat="1" applyFont="1" applyFill="1" applyAlignment="1"/>
    <xf numFmtId="197" fontId="41" fillId="6" borderId="5" xfId="0" applyNumberFormat="1" applyFont="1" applyFill="1" applyBorder="1" applyAlignment="1">
      <alignment horizontal="left" vertical="center"/>
    </xf>
    <xf numFmtId="178" fontId="25" fillId="6" borderId="14" xfId="6" applyNumberFormat="1" applyFont="1" applyFill="1" applyBorder="1" applyAlignment="1">
      <alignment horizontal="center" vertical="center"/>
    </xf>
    <xf numFmtId="178" fontId="25" fillId="6" borderId="1" xfId="6" applyNumberFormat="1" applyFont="1" applyFill="1" applyBorder="1" applyAlignment="1">
      <alignment horizontal="center" vertical="center"/>
    </xf>
    <xf numFmtId="178" fontId="25" fillId="6" borderId="22" xfId="6" applyNumberFormat="1" applyFont="1" applyFill="1" applyBorder="1" applyAlignment="1">
      <alignment horizontal="center" vertical="center"/>
    </xf>
    <xf numFmtId="178" fontId="25" fillId="6" borderId="19" xfId="6" applyNumberFormat="1" applyFont="1" applyFill="1" applyBorder="1" applyAlignment="1">
      <alignment horizontal="center" vertical="center"/>
    </xf>
    <xf numFmtId="178" fontId="18" fillId="6" borderId="24" xfId="6" applyNumberFormat="1" applyFont="1" applyFill="1" applyBorder="1" applyAlignment="1">
      <alignment horizontal="center"/>
    </xf>
    <xf numFmtId="178" fontId="18" fillId="6" borderId="25" xfId="6" applyNumberFormat="1" applyFont="1" applyFill="1" applyBorder="1" applyAlignment="1">
      <alignment horizontal="center"/>
    </xf>
    <xf numFmtId="178" fontId="18" fillId="6" borderId="26" xfId="6" applyNumberFormat="1" applyFont="1" applyFill="1" applyBorder="1" applyAlignment="1">
      <alignment horizontal="center"/>
    </xf>
    <xf numFmtId="0" fontId="28" fillId="0" borderId="0" xfId="0" applyFont="1"/>
    <xf numFmtId="197" fontId="40" fillId="7" borderId="27" xfId="0" applyNumberFormat="1" applyFont="1" applyFill="1" applyBorder="1" applyAlignment="1">
      <alignment horizontal="center" vertical="center"/>
    </xf>
    <xf numFmtId="197" fontId="40" fillId="7" borderId="28" xfId="0" applyNumberFormat="1" applyFont="1" applyFill="1" applyBorder="1" applyAlignment="1">
      <alignment horizontal="center" vertical="center" wrapText="1"/>
    </xf>
    <xf numFmtId="197" fontId="40" fillId="7" borderId="29" xfId="0" applyNumberFormat="1" applyFont="1" applyFill="1" applyBorder="1" applyAlignment="1">
      <alignment horizontal="center" vertical="center" wrapText="1"/>
    </xf>
    <xf numFmtId="197" fontId="40" fillId="7" borderId="30" xfId="0" applyNumberFormat="1" applyFont="1" applyFill="1" applyBorder="1" applyAlignment="1">
      <alignment horizontal="center" vertical="center" wrapText="1"/>
    </xf>
    <xf numFmtId="0" fontId="32" fillId="6" borderId="5" xfId="6" applyNumberFormat="1" applyFont="1" applyFill="1" applyBorder="1" applyAlignment="1">
      <alignment horizontal="left"/>
    </xf>
    <xf numFmtId="178" fontId="32" fillId="6" borderId="5" xfId="6" applyNumberFormat="1" applyFont="1" applyFill="1" applyBorder="1" applyAlignment="1">
      <alignment horizontal="right"/>
    </xf>
    <xf numFmtId="197" fontId="40" fillId="7" borderId="31" xfId="0" applyNumberFormat="1" applyFont="1" applyFill="1" applyBorder="1" applyAlignment="1">
      <alignment horizontal="center" vertical="center" wrapText="1"/>
    </xf>
    <xf numFmtId="0" fontId="28" fillId="0" borderId="0" xfId="0" applyFont="1" applyBorder="1"/>
    <xf numFmtId="178" fontId="17" fillId="6" borderId="32" xfId="6" applyNumberFormat="1" applyFont="1" applyFill="1" applyBorder="1" applyAlignment="1">
      <alignment horizontal="center"/>
    </xf>
    <xf numFmtId="178" fontId="18" fillId="6" borderId="32" xfId="6" applyNumberFormat="1" applyFont="1" applyFill="1" applyBorder="1" applyAlignment="1">
      <alignment horizontal="center"/>
    </xf>
    <xf numFmtId="0" fontId="47" fillId="0" borderId="0" xfId="0" applyFont="1" applyFill="1" applyBorder="1" applyAlignment="1">
      <alignment horizontal="left" vertical="center"/>
    </xf>
    <xf numFmtId="178" fontId="49" fillId="6" borderId="12" xfId="6" applyNumberFormat="1" applyFont="1" applyFill="1" applyBorder="1" applyAlignment="1">
      <alignment horizontal="left"/>
    </xf>
    <xf numFmtId="178" fontId="49" fillId="6" borderId="16" xfId="6" applyNumberFormat="1" applyFont="1" applyFill="1" applyBorder="1" applyAlignment="1">
      <alignment horizontal="left"/>
    </xf>
    <xf numFmtId="178" fontId="49" fillId="6" borderId="16" xfId="47" applyNumberFormat="1" applyFont="1" applyFill="1" applyBorder="1"/>
    <xf numFmtId="178" fontId="49" fillId="6" borderId="19" xfId="47" applyNumberFormat="1" applyFont="1" applyFill="1" applyBorder="1"/>
    <xf numFmtId="178" fontId="49" fillId="6" borderId="0" xfId="47" applyNumberFormat="1" applyFont="1" applyFill="1" applyBorder="1"/>
    <xf numFmtId="178" fontId="52" fillId="6" borderId="0" xfId="6" applyNumberFormat="1" applyFont="1" applyFill="1" applyBorder="1" applyAlignment="1">
      <alignment horizontal="left"/>
    </xf>
    <xf numFmtId="178" fontId="51" fillId="6" borderId="0" xfId="6" applyNumberFormat="1" applyFont="1" applyFill="1" applyBorder="1"/>
    <xf numFmtId="178" fontId="51" fillId="6" borderId="0" xfId="6" applyNumberFormat="1" applyFont="1" applyFill="1" applyBorder="1" applyAlignment="1"/>
    <xf numFmtId="197" fontId="40" fillId="7" borderId="33" xfId="0" applyNumberFormat="1" applyFont="1" applyFill="1" applyBorder="1" applyAlignment="1">
      <alignment horizontal="center" vertical="center" wrapText="1"/>
    </xf>
    <xf numFmtId="197" fontId="18" fillId="9" borderId="34" xfId="0" applyNumberFormat="1" applyFont="1" applyFill="1" applyBorder="1" applyAlignment="1">
      <alignment vertical="center"/>
    </xf>
    <xf numFmtId="197" fontId="18" fillId="9" borderId="2" xfId="0" applyNumberFormat="1" applyFont="1" applyFill="1" applyBorder="1" applyAlignment="1">
      <alignment vertical="center"/>
    </xf>
    <xf numFmtId="197" fontId="25" fillId="9" borderId="2" xfId="0" applyNumberFormat="1" applyFont="1" applyFill="1" applyBorder="1" applyAlignment="1">
      <alignment horizontal="right" vertical="center"/>
    </xf>
    <xf numFmtId="197" fontId="25" fillId="9" borderId="2" xfId="0" applyNumberFormat="1" applyFont="1" applyFill="1" applyBorder="1" applyAlignment="1">
      <alignment horizontal="center" vertical="center"/>
    </xf>
    <xf numFmtId="4" fontId="28" fillId="9" borderId="35" xfId="0" applyNumberFormat="1" applyFont="1" applyFill="1" applyBorder="1"/>
    <xf numFmtId="197" fontId="8" fillId="9" borderId="36" xfId="0" applyNumberFormat="1" applyFont="1" applyFill="1" applyBorder="1" applyAlignment="1">
      <alignment horizontal="left" vertical="center"/>
    </xf>
    <xf numFmtId="197" fontId="18" fillId="9" borderId="37" xfId="0" applyNumberFormat="1" applyFont="1" applyFill="1" applyBorder="1" applyAlignment="1">
      <alignment horizontal="center" vertical="center"/>
    </xf>
    <xf numFmtId="197" fontId="18" fillId="9" borderId="38" xfId="0" applyNumberFormat="1" applyFont="1" applyFill="1" applyBorder="1" applyAlignment="1">
      <alignment horizontal="center" vertical="center"/>
    </xf>
    <xf numFmtId="178" fontId="35" fillId="9" borderId="39" xfId="0" applyNumberFormat="1" applyFont="1" applyFill="1" applyBorder="1" applyAlignment="1">
      <alignment horizontal="left" vertical="center"/>
    </xf>
    <xf numFmtId="4" fontId="43" fillId="9" borderId="40" xfId="0" applyNumberFormat="1" applyFont="1" applyFill="1" applyBorder="1" applyAlignment="1">
      <alignment horizontal="center" vertical="center"/>
    </xf>
    <xf numFmtId="197" fontId="8" fillId="9" borderId="41" xfId="0" applyNumberFormat="1" applyFont="1" applyFill="1" applyBorder="1" applyAlignment="1">
      <alignment horizontal="left" vertical="center"/>
    </xf>
    <xf numFmtId="197" fontId="18" fillId="9" borderId="42" xfId="0" applyNumberFormat="1" applyFont="1" applyFill="1" applyBorder="1" applyAlignment="1">
      <alignment horizontal="center" vertical="center"/>
    </xf>
    <xf numFmtId="197" fontId="18" fillId="9" borderId="43" xfId="0" applyNumberFormat="1" applyFont="1" applyFill="1" applyBorder="1" applyAlignment="1">
      <alignment horizontal="center" vertical="center"/>
    </xf>
    <xf numFmtId="178" fontId="35" fillId="9" borderId="44" xfId="0" applyNumberFormat="1" applyFont="1" applyFill="1" applyBorder="1" applyAlignment="1">
      <alignment horizontal="left" vertical="center"/>
    </xf>
    <xf numFmtId="4" fontId="43" fillId="9" borderId="45" xfId="0" applyNumberFormat="1" applyFont="1" applyFill="1" applyBorder="1" applyAlignment="1">
      <alignment horizontal="center" vertical="center"/>
    </xf>
    <xf numFmtId="198" fontId="18" fillId="9" borderId="46" xfId="0" applyNumberFormat="1" applyFont="1" applyFill="1" applyBorder="1" applyAlignment="1">
      <alignment horizontal="center" vertical="center"/>
    </xf>
    <xf numFmtId="9" fontId="18" fillId="9" borderId="47" xfId="54" applyFont="1" applyFill="1" applyBorder="1" applyAlignment="1">
      <alignment horizontal="center" vertical="center"/>
    </xf>
    <xf numFmtId="198" fontId="18" fillId="9" borderId="48" xfId="0" applyNumberFormat="1" applyFont="1" applyFill="1" applyBorder="1" applyAlignment="1">
      <alignment horizontal="center" vertical="center"/>
    </xf>
    <xf numFmtId="197" fontId="18" fillId="9" borderId="48" xfId="0" applyNumberFormat="1" applyFont="1" applyFill="1" applyBorder="1" applyAlignment="1">
      <alignment horizontal="center" vertical="center"/>
    </xf>
    <xf numFmtId="198" fontId="18" fillId="9" borderId="42" xfId="0" applyNumberFormat="1" applyFont="1" applyFill="1" applyBorder="1" applyAlignment="1">
      <alignment horizontal="center" vertical="center"/>
    </xf>
    <xf numFmtId="200" fontId="18" fillId="9" borderId="48" xfId="0" applyNumberFormat="1" applyFont="1" applyFill="1" applyBorder="1" applyAlignment="1">
      <alignment horizontal="center" vertical="center"/>
    </xf>
    <xf numFmtId="197" fontId="18" fillId="9" borderId="46" xfId="0" applyNumberFormat="1" applyFont="1" applyFill="1" applyBorder="1" applyAlignment="1">
      <alignment horizontal="center" vertical="center"/>
    </xf>
    <xf numFmtId="197" fontId="8" fillId="9" borderId="49" xfId="0" applyNumberFormat="1" applyFont="1" applyFill="1" applyBorder="1" applyAlignment="1">
      <alignment horizontal="left" vertical="center"/>
    </xf>
    <xf numFmtId="197" fontId="18" fillId="9" borderId="32" xfId="0" applyNumberFormat="1" applyFont="1" applyFill="1" applyBorder="1" applyAlignment="1">
      <alignment horizontal="center" vertical="center"/>
    </xf>
    <xf numFmtId="197" fontId="18" fillId="9" borderId="50" xfId="0" applyNumberFormat="1" applyFont="1" applyFill="1" applyBorder="1" applyAlignment="1">
      <alignment horizontal="center" vertical="center"/>
    </xf>
    <xf numFmtId="197" fontId="18" fillId="9" borderId="51" xfId="0" applyNumberFormat="1" applyFont="1" applyFill="1" applyBorder="1" applyAlignment="1">
      <alignment horizontal="center" vertical="center"/>
    </xf>
    <xf numFmtId="9" fontId="18" fillId="9" borderId="52" xfId="54" applyFont="1" applyFill="1" applyBorder="1" applyAlignment="1">
      <alignment horizontal="center" vertical="center"/>
    </xf>
    <xf numFmtId="178" fontId="35" fillId="9" borderId="53" xfId="0" applyNumberFormat="1" applyFont="1" applyFill="1" applyBorder="1" applyAlignment="1">
      <alignment horizontal="left" vertical="center"/>
    </xf>
    <xf numFmtId="197" fontId="18" fillId="9" borderId="54" xfId="0" applyNumberFormat="1" applyFont="1" applyFill="1" applyBorder="1" applyAlignment="1">
      <alignment horizontal="center" vertical="center"/>
    </xf>
    <xf numFmtId="4" fontId="43" fillId="9" borderId="55" xfId="0" applyNumberFormat="1" applyFont="1" applyFill="1" applyBorder="1" applyAlignment="1">
      <alignment horizontal="center" vertical="center"/>
    </xf>
    <xf numFmtId="9" fontId="18" fillId="9" borderId="56" xfId="54" applyFont="1" applyFill="1" applyBorder="1" applyAlignment="1">
      <alignment horizontal="center" vertical="center"/>
    </xf>
    <xf numFmtId="197" fontId="18" fillId="9" borderId="57" xfId="0" applyNumberFormat="1" applyFont="1" applyFill="1" applyBorder="1" applyAlignment="1">
      <alignment horizontal="center" vertical="center"/>
    </xf>
    <xf numFmtId="0" fontId="23" fillId="9" borderId="0" xfId="0" applyFont="1" applyFill="1" applyBorder="1"/>
    <xf numFmtId="0" fontId="0" fillId="9" borderId="0" xfId="0" applyFill="1" applyBorder="1"/>
    <xf numFmtId="0" fontId="63" fillId="9" borderId="124" xfId="0" applyFont="1" applyFill="1" applyBorder="1"/>
    <xf numFmtId="0" fontId="23" fillId="9" borderId="125" xfId="0" applyFont="1" applyFill="1" applyBorder="1"/>
    <xf numFmtId="0" fontId="0" fillId="9" borderId="125" xfId="0" applyFill="1" applyBorder="1"/>
    <xf numFmtId="2" fontId="63" fillId="9" borderId="126" xfId="0" applyNumberFormat="1" applyFont="1" applyFill="1" applyBorder="1"/>
    <xf numFmtId="0" fontId="63" fillId="9" borderId="127" xfId="0" applyFont="1" applyFill="1" applyBorder="1"/>
    <xf numFmtId="0" fontId="64" fillId="9" borderId="128" xfId="0" applyFont="1" applyFill="1" applyBorder="1"/>
    <xf numFmtId="2" fontId="63" fillId="9" borderId="129" xfId="0" applyNumberFormat="1" applyFont="1" applyFill="1" applyBorder="1"/>
    <xf numFmtId="0" fontId="63" fillId="9" borderId="130" xfId="0" applyFont="1" applyFill="1" applyBorder="1"/>
    <xf numFmtId="0" fontId="64" fillId="9" borderId="131" xfId="0" applyFont="1" applyFill="1" applyBorder="1"/>
    <xf numFmtId="2" fontId="63" fillId="9" borderId="132" xfId="0" applyNumberFormat="1" applyFont="1" applyFill="1" applyBorder="1"/>
    <xf numFmtId="2" fontId="63" fillId="10" borderId="133" xfId="0" applyNumberFormat="1" applyFont="1" applyFill="1" applyBorder="1"/>
    <xf numFmtId="0" fontId="65" fillId="9" borderId="0" xfId="0" applyFont="1" applyFill="1" applyBorder="1"/>
    <xf numFmtId="178" fontId="25" fillId="6" borderId="19" xfId="6" applyNumberFormat="1" applyFont="1" applyFill="1" applyBorder="1" applyAlignment="1">
      <alignment horizontal="right" vertical="center"/>
    </xf>
    <xf numFmtId="178" fontId="25" fillId="6" borderId="20" xfId="6" applyNumberFormat="1" applyFont="1" applyFill="1" applyBorder="1" applyAlignment="1">
      <alignment horizontal="right" vertical="center"/>
    </xf>
    <xf numFmtId="178" fontId="25" fillId="6" borderId="21" xfId="6" applyNumberFormat="1" applyFont="1" applyFill="1" applyBorder="1" applyAlignment="1">
      <alignment horizontal="center"/>
    </xf>
    <xf numFmtId="178" fontId="25" fillId="6" borderId="13" xfId="6" applyNumberFormat="1" applyFont="1" applyFill="1" applyBorder="1" applyAlignment="1">
      <alignment horizontal="center"/>
    </xf>
    <xf numFmtId="197" fontId="40" fillId="7" borderId="1" xfId="0" applyNumberFormat="1" applyFont="1" applyFill="1" applyBorder="1" applyAlignment="1">
      <alignment horizontal="center" vertical="center"/>
    </xf>
    <xf numFmtId="0" fontId="55" fillId="9" borderId="58" xfId="46" applyFont="1" applyFill="1" applyBorder="1" applyAlignment="1">
      <alignment vertical="center"/>
    </xf>
    <xf numFmtId="0" fontId="55" fillId="9" borderId="59" xfId="46" applyFont="1" applyFill="1" applyBorder="1" applyAlignment="1">
      <alignment vertical="center"/>
    </xf>
    <xf numFmtId="0" fontId="55" fillId="9" borderId="60" xfId="46" applyFont="1" applyFill="1" applyBorder="1" applyAlignment="1">
      <alignment vertical="center"/>
    </xf>
    <xf numFmtId="0" fontId="20" fillId="9" borderId="0" xfId="46" applyFont="1" applyFill="1" applyBorder="1" applyAlignment="1">
      <alignment vertical="center"/>
    </xf>
    <xf numFmtId="0" fontId="55" fillId="9" borderId="61" xfId="46" applyFont="1" applyFill="1" applyBorder="1" applyAlignment="1">
      <alignment vertical="center"/>
    </xf>
    <xf numFmtId="0" fontId="55" fillId="9" borderId="0" xfId="46" applyFont="1" applyFill="1" applyBorder="1" applyAlignment="1">
      <alignment vertical="center"/>
    </xf>
    <xf numFmtId="0" fontId="57" fillId="9" borderId="0" xfId="46" applyFont="1" applyFill="1" applyBorder="1" applyAlignment="1">
      <alignment horizontal="left" vertical="center"/>
    </xf>
    <xf numFmtId="0" fontId="55" fillId="9" borderId="62" xfId="46" applyFont="1" applyFill="1" applyBorder="1" applyAlignment="1">
      <alignment horizontal="center" vertical="center"/>
    </xf>
    <xf numFmtId="0" fontId="55" fillId="9" borderId="63" xfId="46" applyFont="1" applyFill="1" applyBorder="1" applyAlignment="1">
      <alignment vertical="center"/>
    </xf>
    <xf numFmtId="0" fontId="55" fillId="9" borderId="64" xfId="46" applyFont="1" applyFill="1" applyBorder="1" applyAlignment="1">
      <alignment vertical="center"/>
    </xf>
    <xf numFmtId="0" fontId="55" fillId="9" borderId="65" xfId="46" applyFont="1" applyFill="1" applyBorder="1" applyAlignment="1">
      <alignment horizontal="left" vertical="center"/>
    </xf>
    <xf numFmtId="0" fontId="17" fillId="9" borderId="65" xfId="46" applyFont="1" applyFill="1" applyBorder="1" applyAlignment="1">
      <alignment horizontal="left" vertical="center"/>
    </xf>
    <xf numFmtId="0" fontId="17" fillId="9" borderId="65" xfId="46" applyFont="1" applyFill="1" applyBorder="1" applyAlignment="1">
      <alignment horizontal="center" vertical="center"/>
    </xf>
    <xf numFmtId="0" fontId="55" fillId="9" borderId="65" xfId="46" applyFont="1" applyFill="1" applyBorder="1" applyAlignment="1">
      <alignment vertical="center"/>
    </xf>
    <xf numFmtId="0" fontId="55" fillId="9" borderId="66" xfId="46" applyFont="1" applyFill="1" applyBorder="1" applyAlignment="1">
      <alignment vertical="center"/>
    </xf>
    <xf numFmtId="0" fontId="57" fillId="9" borderId="61" xfId="46" applyFont="1" applyFill="1" applyBorder="1" applyAlignment="1">
      <alignment vertical="center"/>
    </xf>
    <xf numFmtId="0" fontId="57" fillId="9" borderId="0" xfId="46" applyFont="1" applyFill="1" applyBorder="1" applyAlignment="1">
      <alignment vertical="center"/>
    </xf>
    <xf numFmtId="0" fontId="57" fillId="9" borderId="63" xfId="46" applyFont="1" applyFill="1" applyBorder="1" applyAlignment="1">
      <alignment horizontal="left" vertical="center"/>
    </xf>
    <xf numFmtId="0" fontId="57" fillId="9" borderId="61" xfId="46" applyFont="1" applyFill="1" applyBorder="1" applyAlignment="1">
      <alignment horizontal="left" vertical="center"/>
    </xf>
    <xf numFmtId="0" fontId="17" fillId="9" borderId="62" xfId="46" applyFont="1" applyFill="1" applyBorder="1" applyAlignment="1">
      <alignment horizontal="left" vertical="center" indent="1"/>
    </xf>
    <xf numFmtId="0" fontId="21" fillId="9" borderId="67" xfId="46" applyFont="1" applyFill="1" applyBorder="1" applyAlignment="1">
      <alignment horizontal="left" vertical="center" indent="1"/>
    </xf>
    <xf numFmtId="0" fontId="55" fillId="9" borderId="68" xfId="46" applyFont="1" applyFill="1" applyBorder="1" applyAlignment="1">
      <alignment horizontal="left" vertical="center" indent="1"/>
    </xf>
    <xf numFmtId="0" fontId="18" fillId="9" borderId="0" xfId="46" applyFont="1" applyFill="1" applyBorder="1" applyAlignment="1">
      <alignment horizontal="left" vertical="center"/>
    </xf>
    <xf numFmtId="0" fontId="17" fillId="9" borderId="67" xfId="46" applyFont="1" applyFill="1" applyBorder="1" applyAlignment="1">
      <alignment horizontal="left" vertical="center" indent="1"/>
    </xf>
    <xf numFmtId="0" fontId="57" fillId="9" borderId="69" xfId="46" applyFont="1" applyFill="1" applyBorder="1" applyAlignment="1">
      <alignment horizontal="left" vertical="center" indent="1"/>
    </xf>
    <xf numFmtId="0" fontId="57" fillId="9" borderId="68" xfId="46" applyFont="1" applyFill="1" applyBorder="1" applyAlignment="1">
      <alignment horizontal="left" vertical="center" indent="1"/>
    </xf>
    <xf numFmtId="0" fontId="17" fillId="9" borderId="0" xfId="46" applyFont="1" applyFill="1" applyBorder="1" applyAlignment="1">
      <alignment horizontal="left" vertical="center" indent="1"/>
    </xf>
    <xf numFmtId="0" fontId="57" fillId="9" borderId="0" xfId="46" applyFont="1" applyFill="1" applyBorder="1" applyAlignment="1">
      <alignment horizontal="left" vertical="center" indent="1"/>
    </xf>
    <xf numFmtId="15" fontId="17" fillId="9" borderId="62" xfId="46" applyNumberFormat="1" applyFont="1" applyFill="1" applyBorder="1" applyAlignment="1">
      <alignment horizontal="left" vertical="center" indent="1"/>
    </xf>
    <xf numFmtId="16" fontId="57" fillId="9" borderId="0" xfId="46" applyNumberFormat="1" applyFont="1" applyFill="1" applyBorder="1" applyAlignment="1">
      <alignment horizontal="center" vertical="center"/>
    </xf>
    <xf numFmtId="0" fontId="18" fillId="9" borderId="0" xfId="46" applyFont="1" applyFill="1" applyBorder="1" applyAlignment="1">
      <alignment vertical="center"/>
    </xf>
    <xf numFmtId="0" fontId="17" fillId="9" borderId="0" xfId="46" applyFont="1" applyFill="1" applyBorder="1" applyAlignment="1">
      <alignment vertical="center"/>
    </xf>
    <xf numFmtId="0" fontId="57" fillId="9" borderId="70" xfId="46" applyFont="1" applyFill="1" applyBorder="1" applyAlignment="1">
      <alignment vertical="center"/>
    </xf>
    <xf numFmtId="0" fontId="57" fillId="9" borderId="71" xfId="46" applyFont="1" applyFill="1" applyBorder="1" applyAlignment="1">
      <alignment vertical="center"/>
    </xf>
    <xf numFmtId="0" fontId="57" fillId="9" borderId="72" xfId="46" applyFont="1" applyFill="1" applyBorder="1" applyAlignment="1">
      <alignment vertical="center"/>
    </xf>
    <xf numFmtId="178" fontId="29" fillId="6" borderId="73" xfId="7" applyNumberFormat="1" applyFont="1" applyFill="1" applyBorder="1" applyAlignment="1" applyProtection="1">
      <alignment horizontal="center" vertical="center"/>
      <protection locked="0"/>
    </xf>
    <xf numFmtId="178" fontId="25" fillId="6" borderId="16" xfId="6" applyNumberFormat="1" applyFont="1" applyFill="1" applyBorder="1"/>
    <xf numFmtId="178" fontId="18" fillId="6" borderId="74" xfId="45" applyNumberFormat="1" applyFont="1" applyFill="1" applyBorder="1" applyAlignment="1">
      <alignment vertical="center"/>
    </xf>
    <xf numFmtId="0" fontId="30" fillId="6" borderId="0" xfId="7" applyFont="1" applyFill="1" applyBorder="1" applyAlignment="1" applyProtection="1">
      <alignment horizontal="left" vertical="center"/>
      <protection locked="0"/>
    </xf>
    <xf numFmtId="0" fontId="30" fillId="6" borderId="0" xfId="7" applyFont="1" applyFill="1" applyBorder="1" applyAlignment="1" applyProtection="1">
      <alignment horizontal="center" vertical="center"/>
      <protection locked="0"/>
    </xf>
    <xf numFmtId="0" fontId="31" fillId="6" borderId="0" xfId="7" applyFont="1" applyFill="1" applyBorder="1" applyAlignment="1" applyProtection="1">
      <alignment horizontal="center" vertical="center"/>
      <protection locked="0"/>
    </xf>
    <xf numFmtId="0" fontId="30" fillId="6" borderId="0" xfId="7" applyFont="1" applyFill="1" applyBorder="1" applyAlignment="1" applyProtection="1">
      <alignment horizontal="center" vertical="center"/>
    </xf>
    <xf numFmtId="195" fontId="66" fillId="6" borderId="0" xfId="7" applyNumberFormat="1" applyFont="1" applyFill="1" applyBorder="1" applyAlignment="1" applyProtection="1">
      <alignment vertical="center"/>
      <protection locked="0"/>
    </xf>
    <xf numFmtId="0" fontId="29" fillId="6" borderId="0" xfId="7" applyFont="1" applyFill="1" applyBorder="1" applyAlignment="1" applyProtection="1">
      <alignment horizontal="center" vertical="center"/>
      <protection locked="0"/>
    </xf>
    <xf numFmtId="0" fontId="23" fillId="6" borderId="0" xfId="7" applyFont="1" applyFill="1" applyBorder="1" applyAlignment="1" applyProtection="1">
      <alignment vertical="center"/>
      <protection locked="0"/>
    </xf>
    <xf numFmtId="195" fontId="29" fillId="6" borderId="0" xfId="7" applyNumberFormat="1" applyFont="1" applyFill="1" applyBorder="1" applyAlignment="1" applyProtection="1">
      <alignment vertical="center"/>
    </xf>
    <xf numFmtId="0" fontId="18" fillId="6" borderId="0" xfId="7" applyFont="1" applyFill="1" applyBorder="1" applyAlignment="1" applyProtection="1">
      <alignment vertical="center"/>
      <protection locked="0"/>
    </xf>
    <xf numFmtId="1" fontId="20" fillId="6" borderId="0" xfId="7" applyNumberFormat="1" applyFont="1" applyFill="1" applyBorder="1" applyAlignment="1" applyProtection="1">
      <alignment horizontal="left" vertical="center"/>
      <protection locked="0"/>
    </xf>
    <xf numFmtId="0" fontId="27" fillId="6" borderId="0" xfId="7" applyFont="1" applyFill="1" applyBorder="1" applyAlignment="1" applyProtection="1">
      <alignment vertical="center"/>
      <protection locked="0"/>
    </xf>
    <xf numFmtId="195" fontId="23" fillId="6" borderId="0" xfId="7" applyNumberFormat="1" applyFont="1" applyFill="1" applyBorder="1" applyAlignment="1" applyProtection="1">
      <alignment vertical="center"/>
      <protection locked="0"/>
    </xf>
    <xf numFmtId="195" fontId="23" fillId="6" borderId="0" xfId="7" applyNumberFormat="1" applyFont="1" applyFill="1" applyBorder="1" applyAlignment="1" applyProtection="1">
      <alignment vertical="center"/>
    </xf>
    <xf numFmtId="195" fontId="18" fillId="6" borderId="0" xfId="7" applyNumberFormat="1" applyFont="1" applyFill="1" applyBorder="1" applyAlignment="1" applyProtection="1">
      <alignment vertical="center"/>
      <protection locked="0"/>
    </xf>
    <xf numFmtId="182" fontId="20" fillId="6" borderId="0" xfId="7" applyNumberFormat="1" applyFont="1" applyFill="1" applyBorder="1" applyAlignment="1" applyProtection="1">
      <alignment vertical="center"/>
    </xf>
    <xf numFmtId="182" fontId="23" fillId="6" borderId="0" xfId="7" applyNumberFormat="1" applyFont="1" applyFill="1" applyBorder="1" applyAlignment="1" applyProtection="1">
      <alignment vertical="center"/>
      <protection locked="0"/>
    </xf>
    <xf numFmtId="0" fontId="20" fillId="6" borderId="0" xfId="7" applyFont="1" applyFill="1" applyBorder="1" applyAlignment="1" applyProtection="1">
      <alignment vertical="center"/>
      <protection locked="0"/>
    </xf>
    <xf numFmtId="0" fontId="17" fillId="6" borderId="0" xfId="7" applyFont="1" applyFill="1" applyBorder="1" applyAlignment="1" applyProtection="1">
      <alignment vertical="center"/>
      <protection locked="0"/>
    </xf>
    <xf numFmtId="1" fontId="24" fillId="6" borderId="0" xfId="7" applyNumberFormat="1" applyFont="1" applyFill="1" applyBorder="1" applyAlignment="1" applyProtection="1">
      <alignment horizontal="left" vertical="center"/>
      <protection locked="0"/>
    </xf>
    <xf numFmtId="14" fontId="20" fillId="6" borderId="0" xfId="7" applyNumberFormat="1" applyFont="1" applyFill="1" applyBorder="1" applyAlignment="1" applyProtection="1">
      <alignment horizontal="left" vertical="center"/>
    </xf>
    <xf numFmtId="14" fontId="23" fillId="6" borderId="0" xfId="7" applyNumberFormat="1" applyFont="1" applyFill="1" applyBorder="1" applyAlignment="1" applyProtection="1">
      <alignment horizontal="left" vertical="center"/>
      <protection locked="0"/>
    </xf>
    <xf numFmtId="0" fontId="54" fillId="9" borderId="0" xfId="7" applyFont="1" applyFill="1" applyBorder="1" applyAlignment="1" applyProtection="1">
      <alignment vertical="center" wrapText="1"/>
    </xf>
    <xf numFmtId="0" fontId="54" fillId="0" borderId="0" xfId="7" applyFont="1" applyFill="1" applyBorder="1" applyAlignment="1" applyProtection="1">
      <alignment vertical="center" wrapText="1"/>
    </xf>
    <xf numFmtId="0" fontId="23" fillId="6" borderId="0" xfId="7" applyFont="1" applyFill="1" applyBorder="1" applyAlignment="1" applyProtection="1">
      <alignment horizontal="left" vertical="center"/>
      <protection locked="0"/>
    </xf>
    <xf numFmtId="195" fontId="23" fillId="9" borderId="0" xfId="7" applyNumberFormat="1" applyFont="1" applyFill="1" applyBorder="1" applyAlignment="1" applyProtection="1">
      <alignment vertical="center"/>
    </xf>
    <xf numFmtId="195" fontId="23" fillId="0" borderId="0" xfId="7" applyNumberFormat="1" applyFont="1" applyFill="1" applyBorder="1" applyAlignment="1" applyProtection="1">
      <alignment vertical="center"/>
    </xf>
    <xf numFmtId="49" fontId="23" fillId="6" borderId="0" xfId="7" applyNumberFormat="1" applyFont="1" applyFill="1" applyBorder="1" applyAlignment="1" applyProtection="1">
      <alignment vertical="center"/>
      <protection locked="0"/>
    </xf>
    <xf numFmtId="195" fontId="67" fillId="6" borderId="0" xfId="7" applyNumberFormat="1" applyFont="1" applyFill="1" applyBorder="1" applyAlignment="1" applyProtection="1">
      <alignment vertical="center"/>
      <protection locked="0"/>
    </xf>
    <xf numFmtId="195" fontId="68" fillId="6" borderId="0" xfId="7" applyNumberFormat="1" applyFont="1" applyFill="1" applyBorder="1" applyAlignment="1" applyProtection="1">
      <alignment vertical="center"/>
      <protection locked="0"/>
    </xf>
    <xf numFmtId="49" fontId="23" fillId="6" borderId="0" xfId="7" applyNumberFormat="1" applyFont="1" applyFill="1" applyBorder="1" applyAlignment="1" applyProtection="1">
      <alignment vertical="center"/>
    </xf>
    <xf numFmtId="195" fontId="69" fillId="6" borderId="0" xfId="7" applyNumberFormat="1" applyFont="1" applyFill="1" applyBorder="1" applyAlignment="1" applyProtection="1">
      <alignment vertical="center"/>
      <protection locked="0"/>
    </xf>
    <xf numFmtId="195" fontId="70" fillId="6" borderId="0" xfId="7" applyNumberFormat="1" applyFont="1" applyFill="1" applyBorder="1" applyAlignment="1" applyProtection="1">
      <alignment vertical="center"/>
      <protection locked="0"/>
    </xf>
    <xf numFmtId="1" fontId="20" fillId="6" borderId="0" xfId="7" applyNumberFormat="1" applyFont="1" applyFill="1" applyBorder="1" applyAlignment="1" applyProtection="1">
      <alignment horizontal="left" vertical="center"/>
    </xf>
    <xf numFmtId="1" fontId="23" fillId="6" borderId="0" xfId="7" applyNumberFormat="1" applyFont="1" applyFill="1" applyBorder="1" applyAlignment="1" applyProtection="1">
      <alignment horizontal="left" vertical="center"/>
      <protection locked="0"/>
    </xf>
    <xf numFmtId="195" fontId="71" fillId="6" borderId="0" xfId="7" applyNumberFormat="1" applyFont="1" applyFill="1" applyBorder="1" applyAlignment="1" applyProtection="1">
      <alignment vertical="center"/>
      <protection locked="0"/>
    </xf>
    <xf numFmtId="0" fontId="18" fillId="6" borderId="0" xfId="7" applyFont="1" applyFill="1" applyBorder="1" applyAlignment="1" applyProtection="1">
      <alignment horizontal="left" vertical="center"/>
      <protection locked="0"/>
    </xf>
    <xf numFmtId="0" fontId="17" fillId="6" borderId="0" xfId="7" applyFont="1" applyFill="1" applyBorder="1" applyAlignment="1" applyProtection="1">
      <alignment horizontal="center" vertical="center"/>
      <protection locked="0"/>
    </xf>
    <xf numFmtId="0" fontId="17" fillId="6" borderId="0" xfId="7" applyFont="1" applyFill="1" applyBorder="1" applyAlignment="1" applyProtection="1">
      <alignment horizontal="center" vertical="center"/>
    </xf>
    <xf numFmtId="0" fontId="18" fillId="6" borderId="0" xfId="7" applyFont="1" applyFill="1" applyBorder="1" applyAlignment="1" applyProtection="1">
      <alignment horizontal="left" vertical="center"/>
    </xf>
    <xf numFmtId="0" fontId="18" fillId="6" borderId="0" xfId="7" applyFont="1" applyFill="1" applyBorder="1" applyAlignment="1" applyProtection="1">
      <alignment horizontal="center" vertical="center"/>
      <protection locked="0"/>
    </xf>
    <xf numFmtId="0" fontId="54" fillId="11" borderId="75" xfId="7" applyFont="1" applyFill="1" applyBorder="1" applyAlignment="1" applyProtection="1">
      <alignment vertical="center" wrapText="1"/>
    </xf>
    <xf numFmtId="0" fontId="54" fillId="11" borderId="76" xfId="7" applyFont="1" applyFill="1" applyBorder="1" applyAlignment="1" applyProtection="1">
      <alignment vertical="center" wrapText="1"/>
    </xf>
    <xf numFmtId="0" fontId="54" fillId="11" borderId="77" xfId="7" applyFont="1" applyFill="1" applyBorder="1" applyAlignment="1" applyProtection="1">
      <alignment vertical="center" wrapText="1"/>
    </xf>
    <xf numFmtId="0" fontId="17" fillId="0" borderId="0" xfId="7" applyFont="1" applyFill="1" applyBorder="1" applyAlignment="1" applyProtection="1">
      <alignment horizontal="center" vertical="center"/>
    </xf>
    <xf numFmtId="0" fontId="17" fillId="12" borderId="0" xfId="7" applyFont="1" applyFill="1" applyBorder="1" applyAlignment="1" applyProtection="1">
      <alignment horizontal="center" vertical="center" wrapText="1"/>
    </xf>
    <xf numFmtId="0" fontId="29" fillId="6" borderId="0" xfId="7" applyFont="1" applyFill="1" applyBorder="1" applyAlignment="1" applyProtection="1">
      <alignment horizontal="left" vertical="center"/>
    </xf>
    <xf numFmtId="0" fontId="48" fillId="13" borderId="134" xfId="7" applyFont="1" applyFill="1" applyBorder="1" applyAlignment="1" applyProtection="1">
      <alignment horizontal="center" vertical="center" wrapText="1"/>
      <protection locked="0"/>
    </xf>
    <xf numFmtId="0" fontId="48" fillId="13" borderId="135" xfId="7" applyFont="1" applyFill="1" applyBorder="1" applyAlignment="1" applyProtection="1">
      <alignment horizontal="center" vertical="center" wrapText="1"/>
      <protection locked="0"/>
    </xf>
    <xf numFmtId="0" fontId="48" fillId="13" borderId="136" xfId="7" applyFont="1" applyFill="1" applyBorder="1" applyAlignment="1" applyProtection="1">
      <alignment horizontal="center" vertical="center" wrapText="1"/>
      <protection locked="0"/>
    </xf>
    <xf numFmtId="0" fontId="54" fillId="11" borderId="78" xfId="7" applyFont="1" applyFill="1" applyBorder="1" applyAlignment="1" applyProtection="1">
      <alignment horizontal="center" vertical="center" wrapText="1"/>
    </xf>
    <xf numFmtId="0" fontId="48" fillId="13" borderId="137" xfId="7" applyFont="1" applyFill="1" applyBorder="1" applyAlignment="1" applyProtection="1">
      <alignment horizontal="center" vertical="center" wrapText="1"/>
      <protection locked="0"/>
    </xf>
    <xf numFmtId="0" fontId="48" fillId="13" borderId="138" xfId="7" applyFont="1" applyFill="1" applyBorder="1" applyAlignment="1" applyProtection="1">
      <alignment horizontal="center" vertical="center" wrapText="1"/>
      <protection locked="0"/>
    </xf>
    <xf numFmtId="0" fontId="48" fillId="13" borderId="139" xfId="7" applyFont="1" applyFill="1" applyBorder="1" applyAlignment="1" applyProtection="1">
      <alignment horizontal="center" vertical="center" wrapText="1"/>
      <protection locked="0"/>
    </xf>
    <xf numFmtId="0" fontId="54" fillId="0" borderId="0" xfId="7" applyFont="1" applyFill="1" applyBorder="1" applyAlignment="1" applyProtection="1">
      <alignment horizontal="center" vertical="center" wrapText="1"/>
    </xf>
    <xf numFmtId="0" fontId="17" fillId="13" borderId="79" xfId="7" applyFont="1" applyFill="1" applyBorder="1" applyAlignment="1" applyProtection="1">
      <alignment horizontal="center" vertical="center" wrapText="1"/>
    </xf>
    <xf numFmtId="0" fontId="48" fillId="13" borderId="80" xfId="7" applyFont="1" applyFill="1" applyBorder="1" applyAlignment="1" applyProtection="1">
      <alignment horizontal="center" vertical="center" wrapText="1"/>
      <protection locked="0"/>
    </xf>
    <xf numFmtId="0" fontId="20" fillId="6" borderId="140" xfId="7" applyFont="1" applyFill="1" applyBorder="1" applyAlignment="1" applyProtection="1">
      <alignment horizontal="center" vertical="center"/>
      <protection locked="0"/>
    </xf>
    <xf numFmtId="0" fontId="54" fillId="11" borderId="77" xfId="7" applyFont="1" applyFill="1" applyBorder="1" applyAlignment="1" applyProtection="1">
      <alignment horizontal="center" vertical="center" wrapText="1"/>
    </xf>
    <xf numFmtId="0" fontId="54" fillId="11" borderId="76" xfId="7" applyFont="1" applyFill="1" applyBorder="1" applyAlignment="1" applyProtection="1">
      <alignment horizontal="center" vertical="center" wrapText="1"/>
    </xf>
    <xf numFmtId="0" fontId="54" fillId="0" borderId="81" xfId="7" applyFont="1" applyFill="1" applyBorder="1" applyAlignment="1" applyProtection="1">
      <alignment horizontal="center" vertical="center" wrapText="1"/>
    </xf>
    <xf numFmtId="0" fontId="20" fillId="6" borderId="0" xfId="7" applyFont="1" applyFill="1" applyBorder="1" applyAlignment="1" applyProtection="1">
      <alignment horizontal="center" vertical="center"/>
      <protection locked="0"/>
    </xf>
    <xf numFmtId="0" fontId="17" fillId="14" borderId="79" xfId="7" applyFont="1" applyFill="1" applyBorder="1" applyAlignment="1" applyProtection="1">
      <alignment horizontal="center" vertical="center" wrapText="1"/>
    </xf>
    <xf numFmtId="0" fontId="23" fillId="6" borderId="82" xfId="7" applyNumberFormat="1" applyFont="1" applyFill="1" applyBorder="1" applyAlignment="1" applyProtection="1">
      <alignment horizontal="center" vertical="center"/>
      <protection locked="0"/>
    </xf>
    <xf numFmtId="0" fontId="18" fillId="6" borderId="82" xfId="7" applyFont="1" applyFill="1" applyBorder="1" applyAlignment="1" applyProtection="1">
      <alignment vertical="center"/>
      <protection locked="0"/>
    </xf>
    <xf numFmtId="0" fontId="18" fillId="6" borderId="82" xfId="7" applyFont="1" applyFill="1" applyBorder="1" applyAlignment="1" applyProtection="1">
      <alignment horizontal="center" vertical="center"/>
      <protection locked="0"/>
    </xf>
    <xf numFmtId="0" fontId="18" fillId="6" borderId="141" xfId="7" applyFont="1" applyFill="1" applyBorder="1" applyAlignment="1" applyProtection="1">
      <alignment horizontal="center" vertical="center"/>
      <protection locked="0"/>
    </xf>
    <xf numFmtId="178" fontId="45" fillId="6" borderId="83" xfId="7" applyNumberFormat="1" applyFont="1" applyFill="1" applyBorder="1" applyAlignment="1" applyProtection="1">
      <alignment horizontal="center" vertical="center"/>
      <protection locked="0"/>
    </xf>
    <xf numFmtId="178" fontId="29" fillId="6" borderId="84" xfId="7" applyNumberFormat="1" applyFont="1" applyFill="1" applyBorder="1" applyAlignment="1" applyProtection="1">
      <alignment horizontal="center" vertical="center"/>
      <protection locked="0"/>
    </xf>
    <xf numFmtId="178" fontId="29" fillId="6" borderId="83" xfId="7" applyNumberFormat="1" applyFont="1" applyFill="1" applyBorder="1" applyAlignment="1" applyProtection="1">
      <alignment horizontal="center" vertical="center"/>
      <protection locked="0"/>
    </xf>
    <xf numFmtId="203" fontId="23" fillId="6" borderId="85" xfId="7" applyNumberFormat="1" applyFont="1" applyFill="1" applyBorder="1" applyAlignment="1" applyProtection="1">
      <alignment horizontal="center" vertical="center"/>
    </xf>
    <xf numFmtId="178" fontId="29" fillId="6" borderId="86" xfId="7" applyNumberFormat="1" applyFont="1" applyFill="1" applyBorder="1" applyAlignment="1" applyProtection="1">
      <alignment horizontal="center" vertical="center"/>
      <protection locked="0"/>
    </xf>
    <xf numFmtId="178" fontId="29" fillId="6" borderId="87" xfId="7" applyNumberFormat="1" applyFont="1" applyFill="1" applyBorder="1" applyAlignment="1" applyProtection="1">
      <alignment horizontal="center" vertical="center"/>
      <protection locked="0"/>
    </xf>
    <xf numFmtId="178" fontId="29" fillId="6" borderId="88" xfId="7" applyNumberFormat="1" applyFont="1" applyFill="1" applyBorder="1" applyAlignment="1" applyProtection="1">
      <alignment horizontal="center" vertical="center"/>
      <protection locked="0"/>
    </xf>
    <xf numFmtId="203" fontId="23" fillId="6" borderId="89" xfId="7" applyNumberFormat="1" applyFont="1" applyFill="1" applyBorder="1" applyAlignment="1" applyProtection="1">
      <alignment horizontal="center" vertical="center"/>
    </xf>
    <xf numFmtId="178" fontId="29" fillId="6" borderId="90" xfId="7" applyNumberFormat="1" applyFont="1" applyFill="1" applyBorder="1" applyAlignment="1" applyProtection="1">
      <alignment horizontal="center" vertical="center"/>
      <protection locked="0"/>
    </xf>
    <xf numFmtId="178" fontId="29" fillId="6" borderId="82" xfId="7" applyNumberFormat="1" applyFont="1" applyFill="1" applyBorder="1" applyAlignment="1" applyProtection="1">
      <alignment horizontal="center" vertical="center"/>
      <protection locked="0"/>
    </xf>
    <xf numFmtId="203" fontId="23" fillId="6" borderId="0" xfId="7" applyNumberFormat="1" applyFont="1" applyFill="1" applyBorder="1" applyAlignment="1" applyProtection="1">
      <alignment horizontal="center" vertical="center"/>
    </xf>
    <xf numFmtId="204" fontId="23" fillId="0" borderId="91" xfId="7" applyNumberFormat="1" applyFont="1" applyFill="1" applyBorder="1" applyAlignment="1" applyProtection="1">
      <alignment horizontal="center" vertical="center"/>
    </xf>
    <xf numFmtId="178" fontId="29" fillId="6" borderId="92" xfId="7" applyNumberFormat="1" applyFont="1" applyFill="1" applyBorder="1" applyAlignment="1" applyProtection="1">
      <alignment vertical="center"/>
      <protection locked="0"/>
    </xf>
    <xf numFmtId="178" fontId="29" fillId="6" borderId="82" xfId="7" applyNumberFormat="1" applyFont="1" applyFill="1" applyBorder="1" applyAlignment="1" applyProtection="1">
      <alignment vertical="center"/>
      <protection locked="0"/>
    </xf>
    <xf numFmtId="178" fontId="44" fillId="6" borderId="142" xfId="7" applyNumberFormat="1" applyFont="1" applyFill="1" applyBorder="1" applyAlignment="1" applyProtection="1">
      <alignment vertical="center"/>
      <protection locked="0"/>
    </xf>
    <xf numFmtId="203" fontId="29" fillId="6" borderId="93" xfId="7" applyNumberFormat="1" applyFont="1" applyFill="1" applyBorder="1" applyAlignment="1" applyProtection="1">
      <alignment horizontal="center" vertical="center"/>
    </xf>
    <xf numFmtId="203" fontId="23" fillId="6" borderId="94" xfId="7" applyNumberFormat="1" applyFont="1" applyFill="1" applyBorder="1" applyAlignment="1" applyProtection="1">
      <alignment horizontal="center" vertical="center"/>
    </xf>
    <xf numFmtId="204" fontId="29" fillId="0" borderId="95" xfId="7" applyNumberFormat="1" applyFont="1" applyFill="1" applyBorder="1" applyAlignment="1" applyProtection="1">
      <alignment horizontal="center" vertical="center"/>
    </xf>
    <xf numFmtId="0" fontId="29" fillId="6" borderId="96" xfId="7" applyNumberFormat="1" applyFont="1" applyFill="1" applyBorder="1" applyAlignment="1" applyProtection="1">
      <alignment horizontal="center" vertical="center"/>
      <protection locked="0"/>
    </xf>
    <xf numFmtId="0" fontId="23" fillId="6" borderId="86" xfId="7" applyNumberFormat="1" applyFont="1" applyFill="1" applyBorder="1" applyAlignment="1" applyProtection="1">
      <alignment horizontal="center" vertical="center"/>
      <protection locked="0"/>
    </xf>
    <xf numFmtId="178" fontId="29" fillId="6" borderId="97" xfId="7" applyNumberFormat="1" applyFont="1" applyFill="1" applyBorder="1" applyAlignment="1" applyProtection="1">
      <alignment horizontal="center" vertical="center"/>
      <protection locked="0"/>
    </xf>
    <xf numFmtId="178" fontId="29" fillId="6" borderId="98" xfId="7" applyNumberFormat="1" applyFont="1" applyFill="1" applyBorder="1" applyAlignment="1" applyProtection="1">
      <alignment horizontal="center" vertical="center"/>
      <protection locked="0"/>
    </xf>
    <xf numFmtId="178" fontId="29" fillId="6" borderId="99" xfId="7" applyNumberFormat="1" applyFont="1" applyFill="1" applyBorder="1" applyAlignment="1" applyProtection="1">
      <alignment vertical="center"/>
      <protection locked="0"/>
    </xf>
    <xf numFmtId="178" fontId="29" fillId="6" borderId="86" xfId="7" applyNumberFormat="1" applyFont="1" applyFill="1" applyBorder="1" applyAlignment="1" applyProtection="1">
      <alignment vertical="center"/>
      <protection locked="0"/>
    </xf>
    <xf numFmtId="178" fontId="44" fillId="6" borderId="143" xfId="7" applyNumberFormat="1" applyFont="1" applyFill="1" applyBorder="1" applyAlignment="1" applyProtection="1">
      <alignment vertical="center"/>
      <protection locked="0"/>
    </xf>
    <xf numFmtId="0" fontId="29" fillId="6" borderId="100" xfId="7" applyNumberFormat="1" applyFont="1" applyFill="1" applyBorder="1" applyAlignment="1" applyProtection="1">
      <alignment horizontal="center" vertical="center"/>
      <protection locked="0"/>
    </xf>
    <xf numFmtId="0" fontId="23" fillId="6" borderId="101" xfId="7" applyNumberFormat="1" applyFont="1" applyFill="1" applyBorder="1" applyAlignment="1" applyProtection="1">
      <alignment horizontal="center" vertical="center"/>
      <protection locked="0"/>
    </xf>
    <xf numFmtId="0" fontId="18" fillId="6" borderId="101" xfId="7" applyFont="1" applyFill="1" applyBorder="1" applyAlignment="1" applyProtection="1">
      <alignment horizontal="center" vertical="center"/>
      <protection locked="0"/>
    </xf>
    <xf numFmtId="178" fontId="29" fillId="6" borderId="102" xfId="7" applyNumberFormat="1" applyFont="1" applyFill="1" applyBorder="1" applyAlignment="1" applyProtection="1">
      <alignment horizontal="center" vertical="center"/>
      <protection locked="0"/>
    </xf>
    <xf numFmtId="178" fontId="29" fillId="6" borderId="103" xfId="7" applyNumberFormat="1" applyFont="1" applyFill="1" applyBorder="1" applyAlignment="1" applyProtection="1">
      <alignment horizontal="center" vertical="center"/>
      <protection locked="0"/>
    </xf>
    <xf numFmtId="178" fontId="29" fillId="6" borderId="104" xfId="7" applyNumberFormat="1" applyFont="1" applyFill="1" applyBorder="1" applyAlignment="1" applyProtection="1">
      <alignment horizontal="center" vertical="center"/>
      <protection locked="0"/>
    </xf>
    <xf numFmtId="178" fontId="29" fillId="6" borderId="101" xfId="7" applyNumberFormat="1" applyFont="1" applyFill="1" applyBorder="1" applyAlignment="1" applyProtection="1">
      <alignment horizontal="center" vertical="center"/>
      <protection locked="0"/>
    </xf>
    <xf numFmtId="178" fontId="29" fillId="6" borderId="105" xfId="7" applyNumberFormat="1" applyFont="1" applyFill="1" applyBorder="1" applyAlignment="1" applyProtection="1">
      <alignment horizontal="center" vertical="center"/>
      <protection locked="0"/>
    </xf>
    <xf numFmtId="204" fontId="23" fillId="0" borderId="106" xfId="7" applyNumberFormat="1" applyFont="1" applyFill="1" applyBorder="1" applyAlignment="1" applyProtection="1">
      <alignment horizontal="center" vertical="center"/>
    </xf>
    <xf numFmtId="0" fontId="20" fillId="6" borderId="20" xfId="7" applyNumberFormat="1" applyFont="1" applyFill="1" applyBorder="1" applyAlignment="1" applyProtection="1">
      <alignment horizontal="left" vertical="center"/>
      <protection locked="0"/>
    </xf>
    <xf numFmtId="0" fontId="18" fillId="6" borderId="20" xfId="7" applyFont="1" applyFill="1" applyBorder="1" applyAlignment="1" applyProtection="1">
      <alignment vertical="center"/>
      <protection locked="0"/>
    </xf>
    <xf numFmtId="0" fontId="18" fillId="6" borderId="20" xfId="7" applyFont="1" applyFill="1" applyBorder="1" applyAlignment="1" applyProtection="1">
      <alignment horizontal="center" vertical="center"/>
      <protection locked="0"/>
    </xf>
    <xf numFmtId="178" fontId="23" fillId="6" borderId="20" xfId="7" applyNumberFormat="1" applyFont="1" applyFill="1" applyBorder="1" applyAlignment="1" applyProtection="1">
      <alignment horizontal="center" vertical="center"/>
      <protection locked="0"/>
    </xf>
    <xf numFmtId="178" fontId="23" fillId="6" borderId="98" xfId="7" applyNumberFormat="1" applyFont="1" applyFill="1" applyBorder="1" applyAlignment="1" applyProtection="1">
      <alignment horizontal="center" vertical="center"/>
    </xf>
    <xf numFmtId="178" fontId="23" fillId="6" borderId="0" xfId="7" applyNumberFormat="1" applyFont="1" applyFill="1" applyBorder="1" applyAlignment="1" applyProtection="1">
      <alignment horizontal="center" vertical="center"/>
    </xf>
    <xf numFmtId="178" fontId="23" fillId="6" borderId="0" xfId="7" applyNumberFormat="1" applyFont="1" applyFill="1" applyBorder="1" applyAlignment="1" applyProtection="1">
      <alignment horizontal="center" vertical="center"/>
      <protection locked="0"/>
    </xf>
    <xf numFmtId="178" fontId="33" fillId="6" borderId="0" xfId="7" applyNumberFormat="1" applyFont="1" applyFill="1" applyBorder="1" applyAlignment="1" applyProtection="1">
      <alignment horizontal="center" vertical="center"/>
      <protection locked="0"/>
    </xf>
    <xf numFmtId="178" fontId="29" fillId="6" borderId="0" xfId="7" applyNumberFormat="1" applyFont="1" applyFill="1" applyBorder="1" applyAlignment="1" applyProtection="1">
      <alignment horizontal="center" vertical="center"/>
    </xf>
    <xf numFmtId="178" fontId="46" fillId="6" borderId="0" xfId="7" applyNumberFormat="1" applyFont="1" applyFill="1" applyBorder="1" applyAlignment="1" applyProtection="1">
      <alignment horizontal="center" vertical="center"/>
      <protection locked="0"/>
    </xf>
    <xf numFmtId="0" fontId="18" fillId="6" borderId="107" xfId="7" applyFont="1" applyFill="1" applyBorder="1" applyAlignment="1" applyProtection="1">
      <alignment horizontal="center" vertical="center"/>
      <protection locked="0"/>
    </xf>
    <xf numFmtId="204" fontId="23" fillId="0" borderId="108" xfId="7" applyNumberFormat="1" applyFont="1" applyFill="1" applyBorder="1" applyAlignment="1" applyProtection="1">
      <alignment horizontal="center" vertical="center"/>
    </xf>
    <xf numFmtId="178" fontId="44" fillId="6" borderId="144" xfId="7" applyNumberFormat="1" applyFont="1" applyFill="1" applyBorder="1" applyAlignment="1" applyProtection="1">
      <alignment vertical="center"/>
      <protection locked="0"/>
    </xf>
    <xf numFmtId="203" fontId="29" fillId="6" borderId="109" xfId="7" applyNumberFormat="1" applyFont="1" applyFill="1" applyBorder="1" applyAlignment="1" applyProtection="1">
      <alignment horizontal="center" vertical="center"/>
    </xf>
    <xf numFmtId="178" fontId="44" fillId="6" borderId="144" xfId="7" applyNumberFormat="1" applyFont="1" applyFill="1" applyBorder="1" applyAlignment="1" applyProtection="1">
      <alignment vertical="center" wrapText="1"/>
      <protection locked="0"/>
    </xf>
    <xf numFmtId="178" fontId="44" fillId="6" borderId="145" xfId="7" applyNumberFormat="1" applyFont="1" applyFill="1" applyBorder="1" applyAlignment="1" applyProtection="1">
      <alignment vertical="center"/>
      <protection locked="0"/>
    </xf>
    <xf numFmtId="182" fontId="38" fillId="6" borderId="0" xfId="7" applyNumberFormat="1" applyFont="1" applyFill="1" applyBorder="1" applyAlignment="1" applyProtection="1">
      <alignment vertical="center"/>
      <protection locked="0"/>
    </xf>
    <xf numFmtId="0" fontId="23" fillId="0" borderId="0" xfId="7" applyFont="1" applyFill="1" applyBorder="1" applyAlignment="1" applyProtection="1">
      <alignment vertical="center"/>
      <protection locked="0"/>
    </xf>
    <xf numFmtId="0" fontId="27" fillId="0" borderId="0" xfId="7" applyFont="1" applyFill="1" applyBorder="1" applyAlignment="1" applyProtection="1">
      <alignment vertical="center"/>
      <protection locked="0"/>
    </xf>
    <xf numFmtId="195" fontId="23" fillId="0" borderId="0" xfId="7" applyNumberFormat="1" applyFont="1" applyFill="1" applyBorder="1" applyAlignment="1" applyProtection="1">
      <alignment vertical="center"/>
      <protection locked="0"/>
    </xf>
    <xf numFmtId="182" fontId="20" fillId="0" borderId="0" xfId="7" applyNumberFormat="1" applyFont="1" applyFill="1" applyBorder="1" applyAlignment="1" applyProtection="1">
      <alignment vertical="center"/>
    </xf>
    <xf numFmtId="182" fontId="23" fillId="0" borderId="0" xfId="7" applyNumberFormat="1" applyFont="1" applyFill="1" applyBorder="1" applyAlignment="1" applyProtection="1">
      <alignment vertical="center"/>
      <protection locked="0"/>
    </xf>
    <xf numFmtId="49" fontId="30" fillId="6" borderId="0" xfId="7" applyNumberFormat="1" applyFont="1" applyFill="1" applyBorder="1" applyAlignment="1" applyProtection="1">
      <alignment horizontal="left" vertical="center"/>
      <protection locked="0"/>
    </xf>
    <xf numFmtId="0" fontId="23" fillId="9" borderId="0" xfId="7" applyFont="1" applyFill="1" applyBorder="1" applyAlignment="1" applyProtection="1">
      <alignment vertical="center"/>
      <protection locked="0"/>
    </xf>
    <xf numFmtId="0" fontId="21" fillId="6" borderId="0" xfId="7" applyFont="1" applyFill="1" applyBorder="1" applyAlignment="1" applyProtection="1">
      <alignment horizontal="center" vertical="center"/>
      <protection locked="0"/>
    </xf>
    <xf numFmtId="0" fontId="48" fillId="13" borderId="146" xfId="7" applyFont="1" applyFill="1" applyBorder="1" applyAlignment="1" applyProtection="1">
      <alignment horizontal="center" vertical="center" wrapText="1"/>
      <protection locked="0"/>
    </xf>
    <xf numFmtId="0" fontId="48" fillId="12" borderId="0" xfId="7" applyFont="1" applyFill="1" applyBorder="1" applyAlignment="1" applyProtection="1">
      <alignment horizontal="center" vertical="center" wrapText="1"/>
      <protection locked="0"/>
    </xf>
    <xf numFmtId="0" fontId="23" fillId="15" borderId="0" xfId="7" applyNumberFormat="1" applyFont="1" applyFill="1" applyBorder="1" applyAlignment="1" applyProtection="1">
      <alignment vertical="center" textRotation="90"/>
      <protection locked="0"/>
    </xf>
    <xf numFmtId="178" fontId="29" fillId="9" borderId="86" xfId="7" applyNumberFormat="1" applyFont="1" applyFill="1" applyBorder="1" applyAlignment="1" applyProtection="1">
      <alignment horizontal="center" vertical="center"/>
      <protection locked="0"/>
    </xf>
    <xf numFmtId="178" fontId="29" fillId="9" borderId="73" xfId="7" applyNumberFormat="1" applyFont="1" applyFill="1" applyBorder="1" applyAlignment="1" applyProtection="1">
      <alignment horizontal="center" vertical="center"/>
      <protection locked="0"/>
    </xf>
    <xf numFmtId="0" fontId="17" fillId="9" borderId="0" xfId="7" applyFont="1" applyFill="1" applyBorder="1" applyAlignment="1" applyProtection="1">
      <alignment horizontal="center" vertical="center"/>
      <protection locked="0"/>
    </xf>
    <xf numFmtId="0" fontId="23" fillId="9" borderId="147" xfId="7" applyFont="1" applyFill="1" applyBorder="1" applyAlignment="1" applyProtection="1">
      <alignment vertical="center"/>
      <protection locked="0"/>
    </xf>
    <xf numFmtId="178" fontId="30" fillId="9" borderId="86" xfId="7" applyNumberFormat="1" applyFont="1" applyFill="1" applyBorder="1" applyAlignment="1" applyProtection="1">
      <alignment horizontal="center" vertical="center"/>
      <protection locked="0"/>
    </xf>
    <xf numFmtId="0" fontId="20" fillId="9" borderId="0" xfId="7" applyFont="1" applyFill="1" applyBorder="1" applyAlignment="1" applyProtection="1">
      <alignment vertical="center"/>
      <protection locked="0"/>
    </xf>
    <xf numFmtId="2" fontId="34" fillId="9" borderId="0" xfId="7" applyNumberFormat="1" applyFont="1" applyFill="1" applyBorder="1" applyAlignment="1" applyProtection="1">
      <alignment horizontal="center" vertical="center"/>
      <protection locked="0"/>
    </xf>
    <xf numFmtId="203" fontId="23" fillId="9" borderId="110" xfId="7" applyNumberFormat="1" applyFill="1" applyBorder="1" applyAlignment="1">
      <alignment horizontal="center" vertical="center"/>
    </xf>
    <xf numFmtId="178" fontId="29" fillId="9" borderId="111" xfId="7" applyNumberFormat="1" applyFont="1" applyFill="1" applyBorder="1" applyAlignment="1">
      <alignment horizontal="center" vertical="center"/>
    </xf>
    <xf numFmtId="0" fontId="23" fillId="9" borderId="0" xfId="7" applyFill="1" applyBorder="1" applyAlignment="1" applyProtection="1">
      <alignment vertical="center"/>
      <protection locked="0"/>
    </xf>
    <xf numFmtId="2" fontId="0" fillId="9" borderId="0" xfId="0" applyNumberFormat="1" applyFill="1" applyBorder="1"/>
    <xf numFmtId="0" fontId="23" fillId="16" borderId="86" xfId="7" applyNumberFormat="1" applyFont="1" applyFill="1" applyBorder="1" applyAlignment="1" applyProtection="1">
      <alignment horizontal="center" vertical="center"/>
      <protection locked="0"/>
    </xf>
    <xf numFmtId="0" fontId="18" fillId="16" borderId="82" xfId="7" applyFont="1" applyFill="1" applyBorder="1" applyAlignment="1" applyProtection="1">
      <alignment vertical="center"/>
      <protection locked="0"/>
    </xf>
    <xf numFmtId="0" fontId="18" fillId="16" borderId="82" xfId="7" applyFont="1" applyFill="1" applyBorder="1" applyAlignment="1" applyProtection="1">
      <alignment horizontal="center" vertical="center"/>
      <protection locked="0"/>
    </xf>
    <xf numFmtId="49" fontId="29" fillId="9" borderId="97" xfId="7" applyNumberFormat="1" applyFont="1" applyFill="1" applyBorder="1" applyAlignment="1" applyProtection="1">
      <alignment horizontal="center" vertical="center"/>
      <protection locked="0"/>
    </xf>
    <xf numFmtId="178" fontId="72" fillId="9" borderId="86" xfId="7" applyNumberFormat="1" applyFont="1" applyFill="1" applyBorder="1" applyAlignment="1" applyProtection="1">
      <alignment horizontal="center" vertical="center"/>
      <protection locked="0"/>
    </xf>
    <xf numFmtId="178" fontId="72" fillId="9" borderId="73" xfId="7" applyNumberFormat="1" applyFont="1" applyFill="1" applyBorder="1" applyAlignment="1" applyProtection="1">
      <alignment horizontal="center" vertical="center"/>
      <protection locked="0"/>
    </xf>
    <xf numFmtId="178" fontId="73" fillId="9" borderId="86" xfId="7" applyNumberFormat="1" applyFont="1" applyFill="1" applyBorder="1" applyAlignment="1" applyProtection="1">
      <alignment horizontal="center" vertical="center"/>
      <protection locked="0"/>
    </xf>
    <xf numFmtId="178" fontId="73" fillId="9" borderId="73" xfId="7" applyNumberFormat="1" applyFont="1" applyFill="1" applyBorder="1" applyAlignment="1" applyProtection="1">
      <alignment horizontal="center" vertical="center"/>
      <protection locked="0"/>
    </xf>
    <xf numFmtId="0" fontId="20" fillId="9" borderId="147" xfId="7" applyFont="1" applyFill="1" applyBorder="1" applyAlignment="1" applyProtection="1">
      <alignment vertical="center"/>
      <protection locked="0"/>
    </xf>
    <xf numFmtId="178" fontId="30" fillId="9" borderId="112" xfId="7" applyNumberFormat="1" applyFont="1" applyFill="1" applyBorder="1" applyAlignment="1">
      <alignment horizontal="left" vertical="center" indent="1"/>
    </xf>
    <xf numFmtId="178" fontId="46" fillId="9" borderId="113" xfId="7" applyNumberFormat="1" applyFont="1" applyFill="1" applyBorder="1" applyAlignment="1">
      <alignment horizontal="right" vertical="center"/>
    </xf>
    <xf numFmtId="0" fontId="23" fillId="9" borderId="147" xfId="7" applyFill="1" applyBorder="1" applyAlignment="1" applyProtection="1">
      <alignment vertical="center"/>
      <protection locked="0"/>
    </xf>
    <xf numFmtId="0" fontId="23" fillId="9" borderId="1" xfId="44" applyFill="1" applyBorder="1"/>
    <xf numFmtId="0" fontId="23" fillId="9" borderId="1" xfId="44" applyFont="1" applyFill="1" applyBorder="1"/>
    <xf numFmtId="49" fontId="30" fillId="6" borderId="0" xfId="7" applyNumberFormat="1" applyFont="1" applyFill="1" applyBorder="1" applyAlignment="1">
      <alignment horizontal="center" vertical="center"/>
    </xf>
    <xf numFmtId="49" fontId="31" fillId="6" borderId="0" xfId="7" applyNumberFormat="1" applyFont="1" applyFill="1" applyBorder="1" applyAlignment="1">
      <alignment horizontal="center" vertical="center"/>
    </xf>
    <xf numFmtId="0" fontId="30" fillId="6" borderId="0" xfId="7" applyFont="1" applyFill="1" applyBorder="1" applyAlignment="1">
      <alignment horizontal="center" vertical="center"/>
    </xf>
    <xf numFmtId="195" fontId="23" fillId="6" borderId="0" xfId="7" applyNumberFormat="1" applyFill="1" applyBorder="1" applyAlignment="1">
      <alignment vertical="center"/>
    </xf>
    <xf numFmtId="195" fontId="23" fillId="6" borderId="0" xfId="7" applyNumberFormat="1" applyFill="1" applyBorder="1" applyAlignment="1" applyProtection="1">
      <alignment vertical="center"/>
      <protection locked="0"/>
    </xf>
    <xf numFmtId="49" fontId="32" fillId="6" borderId="0" xfId="7" applyNumberFormat="1" applyFont="1" applyFill="1" applyBorder="1" applyAlignment="1">
      <alignment horizontal="center" vertical="center"/>
    </xf>
    <xf numFmtId="49" fontId="23" fillId="6" borderId="0" xfId="7" applyNumberFormat="1" applyFill="1" applyBorder="1" applyAlignment="1" applyProtection="1">
      <alignment vertical="center"/>
      <protection locked="0"/>
    </xf>
    <xf numFmtId="1" fontId="20" fillId="6" borderId="0" xfId="7" applyNumberFormat="1" applyFont="1" applyFill="1" applyBorder="1" applyAlignment="1">
      <alignment horizontal="left" vertical="center"/>
    </xf>
    <xf numFmtId="0" fontId="23" fillId="6" borderId="0" xfId="7" applyFill="1" applyBorder="1" applyAlignment="1">
      <alignment vertical="center"/>
    </xf>
    <xf numFmtId="187" fontId="27" fillId="6" borderId="0" xfId="7" applyNumberFormat="1" applyFont="1" applyFill="1" applyBorder="1" applyAlignment="1">
      <alignment vertical="center"/>
    </xf>
    <xf numFmtId="195" fontId="19" fillId="6" borderId="0" xfId="7" applyNumberFormat="1" applyFont="1" applyFill="1" applyBorder="1" applyAlignment="1">
      <alignment vertical="center"/>
    </xf>
    <xf numFmtId="1" fontId="24" fillId="6" borderId="0" xfId="7" applyNumberFormat="1" applyFont="1" applyFill="1" applyBorder="1" applyAlignment="1">
      <alignment horizontal="left" vertical="center"/>
    </xf>
    <xf numFmtId="0" fontId="23" fillId="6" borderId="0" xfId="7" applyFill="1" applyBorder="1" applyAlignment="1">
      <alignment horizontal="left" vertical="center"/>
    </xf>
    <xf numFmtId="0" fontId="17" fillId="6" borderId="0" xfId="7" applyFont="1" applyFill="1" applyBorder="1" applyAlignment="1">
      <alignment horizontal="center" vertical="center"/>
    </xf>
    <xf numFmtId="0" fontId="54" fillId="9" borderId="0" xfId="7" applyFont="1" applyFill="1" applyBorder="1" applyAlignment="1">
      <alignment horizontal="center" vertical="center" wrapText="1"/>
    </xf>
    <xf numFmtId="0" fontId="48" fillId="13" borderId="135" xfId="7" applyFont="1" applyFill="1" applyBorder="1" applyAlignment="1">
      <alignment horizontal="center" vertical="center" wrapText="1"/>
    </xf>
    <xf numFmtId="0" fontId="54" fillId="11" borderId="75" xfId="7" applyFont="1" applyFill="1" applyBorder="1" applyAlignment="1">
      <alignment horizontal="center" vertical="center" wrapText="1"/>
    </xf>
    <xf numFmtId="0" fontId="54" fillId="11" borderId="77" xfId="7" applyFont="1" applyFill="1" applyBorder="1" applyAlignment="1">
      <alignment horizontal="center" vertical="center" wrapText="1"/>
    </xf>
    <xf numFmtId="0" fontId="17" fillId="13" borderId="114" xfId="7" applyFont="1" applyFill="1" applyBorder="1" applyAlignment="1">
      <alignment vertical="center" wrapText="1"/>
    </xf>
    <xf numFmtId="0" fontId="17" fillId="13" borderId="115" xfId="7" applyFont="1" applyFill="1" applyBorder="1" applyAlignment="1">
      <alignment vertical="center" wrapText="1"/>
    </xf>
    <xf numFmtId="0" fontId="17" fillId="14" borderId="79" xfId="7" applyFont="1" applyFill="1" applyBorder="1" applyAlignment="1">
      <alignment horizontal="center" vertical="center" wrapText="1"/>
    </xf>
    <xf numFmtId="0" fontId="50" fillId="9" borderId="82" xfId="7" applyFont="1" applyFill="1" applyBorder="1" applyAlignment="1">
      <alignment vertical="center"/>
    </xf>
    <xf numFmtId="0" fontId="53" fillId="9" borderId="82" xfId="7" applyFont="1" applyFill="1" applyBorder="1" applyAlignment="1">
      <alignment horizontal="center" vertical="center"/>
    </xf>
    <xf numFmtId="2" fontId="53" fillId="9" borderId="82" xfId="7" applyNumberFormat="1" applyFont="1" applyFill="1" applyBorder="1" applyAlignment="1">
      <alignment horizontal="center" vertical="center"/>
    </xf>
    <xf numFmtId="176" fontId="29" fillId="9" borderId="95" xfId="7" applyNumberFormat="1" applyFont="1" applyFill="1" applyBorder="1" applyAlignment="1">
      <alignment horizontal="center" vertical="center"/>
    </xf>
    <xf numFmtId="0" fontId="23" fillId="9" borderId="148" xfId="7" applyFill="1" applyBorder="1" applyAlignment="1" applyProtection="1">
      <alignment vertical="center"/>
      <protection locked="0"/>
    </xf>
    <xf numFmtId="0" fontId="59" fillId="9" borderId="82" xfId="7" applyFont="1" applyFill="1" applyBorder="1" applyAlignment="1">
      <alignment vertical="center"/>
    </xf>
    <xf numFmtId="0" fontId="60" fillId="9" borderId="82" xfId="7" applyFont="1" applyFill="1" applyBorder="1" applyAlignment="1">
      <alignment horizontal="center" vertical="center"/>
    </xf>
    <xf numFmtId="2" fontId="60" fillId="9" borderId="82" xfId="7" applyNumberFormat="1" applyFont="1" applyFill="1" applyBorder="1" applyAlignment="1">
      <alignment horizontal="center" vertical="center"/>
    </xf>
    <xf numFmtId="176" fontId="30" fillId="9" borderId="95" xfId="7" applyNumberFormat="1" applyFont="1" applyFill="1" applyBorder="1" applyAlignment="1">
      <alignment horizontal="center" vertical="center"/>
    </xf>
    <xf numFmtId="0" fontId="18" fillId="9" borderId="0" xfId="7" applyFont="1" applyFill="1" applyBorder="1" applyAlignment="1" applyProtection="1">
      <alignment horizontal="center" vertical="center"/>
      <protection locked="0"/>
    </xf>
    <xf numFmtId="178" fontId="29" fillId="9" borderId="112" xfId="7" applyNumberFormat="1" applyFont="1" applyFill="1" applyBorder="1" applyAlignment="1">
      <alignment horizontal="left" vertical="center" indent="1"/>
    </xf>
    <xf numFmtId="178" fontId="44" fillId="9" borderId="113" xfId="7" applyNumberFormat="1" applyFont="1" applyFill="1" applyBorder="1" applyAlignment="1">
      <alignment horizontal="right" vertical="center"/>
    </xf>
    <xf numFmtId="0" fontId="74" fillId="9" borderId="0" xfId="0" applyFont="1" applyFill="1" applyBorder="1"/>
    <xf numFmtId="178" fontId="29" fillId="9" borderId="116" xfId="7" applyNumberFormat="1" applyFont="1" applyFill="1" applyBorder="1" applyAlignment="1">
      <alignment horizontal="center" vertical="center"/>
    </xf>
    <xf numFmtId="178" fontId="74" fillId="17" borderId="1" xfId="0" applyNumberFormat="1" applyFont="1" applyFill="1" applyBorder="1"/>
    <xf numFmtId="49" fontId="30" fillId="9" borderId="90" xfId="7" applyNumberFormat="1" applyFont="1" applyFill="1" applyBorder="1" applyAlignment="1" applyProtection="1">
      <alignment horizontal="center" vertical="center"/>
      <protection locked="0"/>
    </xf>
    <xf numFmtId="49" fontId="30" fillId="18" borderId="90" xfId="7" applyNumberFormat="1" applyFont="1" applyFill="1" applyBorder="1" applyAlignment="1" applyProtection="1">
      <alignment horizontal="center" vertical="center"/>
      <protection locked="0"/>
    </xf>
    <xf numFmtId="0" fontId="23" fillId="9" borderId="0" xfId="43" applyFill="1"/>
    <xf numFmtId="172" fontId="23" fillId="9" borderId="0" xfId="43" applyNumberFormat="1" applyFill="1"/>
    <xf numFmtId="172" fontId="23" fillId="9" borderId="1" xfId="43" applyNumberFormat="1" applyFill="1" applyBorder="1"/>
    <xf numFmtId="41" fontId="23" fillId="9" borderId="1" xfId="43" applyNumberFormat="1" applyFill="1" applyBorder="1"/>
    <xf numFmtId="0" fontId="23" fillId="9" borderId="1" xfId="43" applyFill="1" applyBorder="1"/>
    <xf numFmtId="2" fontId="23" fillId="19" borderId="0" xfId="43" applyNumberFormat="1" applyFill="1"/>
    <xf numFmtId="0" fontId="23" fillId="19" borderId="0" xfId="43" applyFill="1"/>
    <xf numFmtId="0" fontId="23" fillId="0" borderId="0" xfId="43"/>
    <xf numFmtId="0" fontId="23" fillId="16" borderId="1" xfId="43" applyFill="1" applyBorder="1"/>
    <xf numFmtId="4" fontId="23" fillId="0" borderId="1" xfId="43" applyNumberFormat="1" applyBorder="1"/>
    <xf numFmtId="0" fontId="23" fillId="0" borderId="1" xfId="43" applyBorder="1"/>
    <xf numFmtId="0" fontId="20" fillId="0" borderId="1" xfId="43" applyFont="1" applyBorder="1"/>
    <xf numFmtId="4" fontId="20" fillId="0" borderId="1" xfId="43" applyNumberFormat="1" applyFont="1" applyBorder="1"/>
    <xf numFmtId="206" fontId="23" fillId="0" borderId="1" xfId="43" applyNumberFormat="1" applyBorder="1"/>
    <xf numFmtId="202" fontId="19" fillId="0" borderId="1" xfId="43" applyNumberFormat="1" applyFont="1" applyBorder="1"/>
    <xf numFmtId="49" fontId="19" fillId="0" borderId="1" xfId="43" applyNumberFormat="1" applyFont="1" applyBorder="1"/>
    <xf numFmtId="0" fontId="20" fillId="2" borderId="1" xfId="43" applyFont="1" applyFill="1" applyBorder="1"/>
    <xf numFmtId="0" fontId="20" fillId="0" borderId="0" xfId="43" applyFont="1"/>
    <xf numFmtId="202" fontId="19" fillId="19" borderId="1" xfId="43" applyNumberFormat="1" applyFont="1" applyFill="1" applyBorder="1"/>
    <xf numFmtId="4" fontId="23" fillId="19" borderId="1" xfId="43" applyNumberFormat="1" applyFill="1" applyBorder="1"/>
    <xf numFmtId="0" fontId="23" fillId="0" borderId="21" xfId="43" applyBorder="1"/>
    <xf numFmtId="0" fontId="23" fillId="0" borderId="20" xfId="43" applyBorder="1"/>
    <xf numFmtId="0" fontId="23" fillId="0" borderId="19" xfId="43" applyBorder="1"/>
    <xf numFmtId="0" fontId="23" fillId="0" borderId="17" xfId="43" applyBorder="1"/>
    <xf numFmtId="202" fontId="23" fillId="0" borderId="0" xfId="43" applyNumberFormat="1"/>
    <xf numFmtId="0" fontId="23" fillId="0" borderId="16" xfId="43" applyBorder="1"/>
    <xf numFmtId="0" fontId="20" fillId="0" borderId="16" xfId="43" applyFont="1" applyBorder="1"/>
    <xf numFmtId="9" fontId="48" fillId="13" borderId="139" xfId="7" applyNumberFormat="1" applyFont="1" applyFill="1" applyBorder="1" applyAlignment="1" applyProtection="1">
      <alignment horizontal="center" vertical="center" wrapText="1"/>
      <protection locked="0"/>
    </xf>
    <xf numFmtId="195" fontId="20" fillId="6" borderId="0" xfId="7" applyNumberFormat="1" applyFont="1" applyFill="1" applyBorder="1" applyAlignment="1" applyProtection="1">
      <alignment vertical="center"/>
    </xf>
    <xf numFmtId="0" fontId="75" fillId="0" borderId="0" xfId="0" applyFont="1" applyBorder="1"/>
    <xf numFmtId="0" fontId="0" fillId="0" borderId="0" xfId="0"/>
    <xf numFmtId="178" fontId="30" fillId="6" borderId="98" xfId="7" applyNumberFormat="1" applyFont="1" applyFill="1" applyBorder="1" applyAlignment="1" applyProtection="1">
      <alignment horizontal="center" vertical="center"/>
      <protection locked="0"/>
    </xf>
    <xf numFmtId="0" fontId="29" fillId="6" borderId="117" xfId="7" applyFont="1" applyFill="1" applyBorder="1" applyAlignment="1" applyProtection="1">
      <alignment horizontal="center" vertical="center"/>
      <protection locked="0"/>
    </xf>
    <xf numFmtId="0" fontId="29" fillId="6" borderId="96" xfId="7" applyFont="1" applyFill="1" applyBorder="1" applyAlignment="1" applyProtection="1">
      <alignment horizontal="center" vertical="center"/>
      <protection locked="0"/>
    </xf>
    <xf numFmtId="0" fontId="30" fillId="6" borderId="96" xfId="7" applyFont="1" applyFill="1" applyBorder="1" applyAlignment="1" applyProtection="1">
      <alignment horizontal="center" vertical="center"/>
      <protection locked="0"/>
    </xf>
    <xf numFmtId="0" fontId="29" fillId="16" borderId="96" xfId="7" applyFont="1" applyFill="1" applyBorder="1" applyAlignment="1" applyProtection="1">
      <alignment horizontal="center" vertical="center"/>
      <protection locked="0"/>
    </xf>
    <xf numFmtId="0" fontId="56" fillId="9" borderId="59" xfId="46" applyFont="1" applyFill="1" applyBorder="1" applyAlignment="1">
      <alignment horizontal="center" vertical="center"/>
    </xf>
    <xf numFmtId="0" fontId="56" fillId="9" borderId="0" xfId="46" applyFont="1" applyFill="1" applyBorder="1" applyAlignment="1">
      <alignment horizontal="center" vertical="center"/>
    </xf>
    <xf numFmtId="0" fontId="17" fillId="13" borderId="118" xfId="7" applyFont="1" applyFill="1" applyBorder="1" applyAlignment="1" applyProtection="1">
      <alignment horizontal="center" vertical="center" wrapText="1"/>
    </xf>
    <xf numFmtId="0" fontId="17" fillId="13" borderId="119" xfId="7" applyFont="1" applyFill="1" applyBorder="1" applyAlignment="1" applyProtection="1">
      <alignment horizontal="center" vertical="center" wrapText="1"/>
    </xf>
    <xf numFmtId="0" fontId="17" fillId="13" borderId="120" xfId="7" applyFont="1" applyFill="1" applyBorder="1" applyAlignment="1" applyProtection="1">
      <alignment horizontal="center" vertical="center" wrapText="1"/>
    </xf>
    <xf numFmtId="0" fontId="20" fillId="0" borderId="12" xfId="43" applyFont="1" applyBorder="1" applyAlignment="1">
      <alignment horizontal="center"/>
    </xf>
    <xf numFmtId="0" fontId="20" fillId="0" borderId="4" xfId="43" applyFont="1" applyBorder="1" applyAlignment="1">
      <alignment horizontal="center"/>
    </xf>
    <xf numFmtId="0" fontId="20" fillId="0" borderId="13" xfId="43" applyFont="1" applyBorder="1" applyAlignment="1">
      <alignment horizontal="center"/>
    </xf>
    <xf numFmtId="0" fontId="61" fillId="8" borderId="1" xfId="43" applyFont="1" applyFill="1" applyBorder="1" applyAlignment="1">
      <alignment horizontal="center" vertical="center"/>
    </xf>
    <xf numFmtId="0" fontId="23" fillId="8" borderId="1" xfId="43" applyFill="1" applyBorder="1"/>
    <xf numFmtId="0" fontId="23" fillId="8" borderId="1" xfId="43" applyFill="1" applyBorder="1" applyAlignment="1">
      <alignment vertical="center" wrapText="1"/>
    </xf>
    <xf numFmtId="0" fontId="23" fillId="0" borderId="1" xfId="43" applyBorder="1" applyAlignment="1">
      <alignment vertical="center" wrapText="1"/>
    </xf>
    <xf numFmtId="0" fontId="20" fillId="8" borderId="14" xfId="43" applyFont="1" applyFill="1" applyBorder="1" applyAlignment="1">
      <alignment horizontal="center" vertical="center"/>
    </xf>
    <xf numFmtId="0" fontId="20" fillId="0" borderId="3" xfId="43" applyFont="1" applyBorder="1" applyAlignment="1">
      <alignment horizontal="center" vertical="center"/>
    </xf>
    <xf numFmtId="0" fontId="20" fillId="0" borderId="6" xfId="43" applyFont="1" applyBorder="1" applyAlignment="1">
      <alignment horizontal="center" vertical="center"/>
    </xf>
    <xf numFmtId="197" fontId="40" fillId="7" borderId="14" xfId="0" applyNumberFormat="1" applyFont="1" applyFill="1" applyBorder="1" applyAlignment="1">
      <alignment horizontal="center" vertical="center"/>
    </xf>
    <xf numFmtId="197" fontId="40" fillId="7" borderId="3" xfId="0" applyNumberFormat="1" applyFont="1" applyFill="1" applyBorder="1" applyAlignment="1">
      <alignment horizontal="center" vertical="center"/>
    </xf>
    <xf numFmtId="197" fontId="40" fillId="7" borderId="6" xfId="0" applyNumberFormat="1" applyFont="1" applyFill="1" applyBorder="1" applyAlignment="1">
      <alignment horizontal="center" vertical="center"/>
    </xf>
    <xf numFmtId="178" fontId="25" fillId="6" borderId="14" xfId="6" applyNumberFormat="1" applyFont="1" applyFill="1" applyBorder="1" applyAlignment="1">
      <alignment horizontal="center" vertical="center"/>
    </xf>
    <xf numFmtId="178" fontId="25" fillId="6" borderId="3" xfId="6" applyNumberFormat="1" applyFont="1" applyFill="1" applyBorder="1" applyAlignment="1">
      <alignment horizontal="center" vertical="center"/>
    </xf>
    <xf numFmtId="178" fontId="25" fillId="6" borderId="6" xfId="6" applyNumberFormat="1" applyFont="1" applyFill="1" applyBorder="1" applyAlignment="1">
      <alignment horizontal="center" vertical="center"/>
    </xf>
    <xf numFmtId="178" fontId="25" fillId="6" borderId="14" xfId="6" applyNumberFormat="1" applyFont="1" applyFill="1" applyBorder="1" applyAlignment="1">
      <alignment horizontal="center"/>
    </xf>
    <xf numFmtId="178" fontId="25" fillId="6" borderId="3" xfId="6" applyNumberFormat="1" applyFont="1" applyFill="1" applyBorder="1" applyAlignment="1">
      <alignment horizontal="center"/>
    </xf>
    <xf numFmtId="178" fontId="25" fillId="6" borderId="6" xfId="6" applyNumberFormat="1" applyFont="1" applyFill="1" applyBorder="1" applyAlignment="1">
      <alignment horizontal="center"/>
    </xf>
    <xf numFmtId="178" fontId="25" fillId="6" borderId="1" xfId="6" applyNumberFormat="1" applyFont="1" applyFill="1" applyBorder="1" applyAlignment="1">
      <alignment horizontal="center" vertical="center"/>
    </xf>
    <xf numFmtId="197" fontId="40" fillId="7" borderId="121" xfId="0" applyNumberFormat="1" applyFont="1" applyFill="1" applyBorder="1" applyAlignment="1">
      <alignment horizontal="center" vertical="center"/>
    </xf>
    <xf numFmtId="197" fontId="40" fillId="7" borderId="122" xfId="0" applyNumberFormat="1" applyFont="1" applyFill="1" applyBorder="1" applyAlignment="1">
      <alignment horizontal="center" vertical="center"/>
    </xf>
    <xf numFmtId="197" fontId="40" fillId="7" borderId="123" xfId="0" applyNumberFormat="1" applyFont="1" applyFill="1" applyBorder="1" applyAlignment="1">
      <alignment horizontal="center" vertical="center"/>
    </xf>
    <xf numFmtId="178" fontId="25" fillId="6" borderId="0" xfId="6" applyNumberFormat="1" applyFont="1" applyFill="1" applyBorder="1" applyAlignment="1">
      <alignment horizontal="center" vertical="center"/>
    </xf>
  </cellXfs>
  <cellStyles count="63">
    <cellStyle name="_Plantilla de Liquidaicon" xfId="1" xr:uid="{F56B499D-5413-4AC5-AA4E-7D3A13A84DA3}"/>
    <cellStyle name="_Plantilla de Liquidaicon_Escombro" xfId="2" xr:uid="{C10F18ED-AD1E-482E-A8E7-F8B8E766ABFC}"/>
    <cellStyle name="_Plantilla de Liquidaicon_Escombro 2" xfId="3" xr:uid="{F74D1E51-E463-4517-80D9-F28DB1C4EF29}"/>
    <cellStyle name="_Plantilla de Liquidaicon_METRADOS" xfId="4" xr:uid="{E89290D8-BAF7-4719-9189-C21DFCE47195}"/>
    <cellStyle name="_Plantilla de Liquidaicon_METRADOS 2" xfId="5" xr:uid="{465C80C0-2E5A-43D4-B37A-BD32E04C0DF9}"/>
    <cellStyle name="A3 297 x 420 mm" xfId="6" xr:uid="{1DB84BE7-E114-418C-867E-367CFE1F82EB}"/>
    <cellStyle name="A3 297 x 420 mm 2" xfId="7" xr:uid="{589D8403-48E1-42C3-AD91-63390A77380A}"/>
    <cellStyle name="A3 297 x 420 mm_897493liq" xfId="8" xr:uid="{B99551B3-8ED8-4F16-91E0-A835AA1F28BB}"/>
    <cellStyle name="args.style" xfId="9" xr:uid="{794B6FDF-BDFF-4E55-965F-E923CC1F7E83}"/>
    <cellStyle name="Calc Currency (0)" xfId="10" xr:uid="{ECF01DD1-2B4C-40B7-88AD-71B6A3422C70}"/>
    <cellStyle name="Calc Currency (0) 2" xfId="11" xr:uid="{D84B8C6F-81C1-498F-8E63-A54EC3FA5285}"/>
    <cellStyle name="Cancel" xfId="12" xr:uid="{95B96B57-494F-4C47-95E3-4296B4F157CC}"/>
    <cellStyle name="Comma [0]_!!!GO" xfId="13" xr:uid="{5987F616-0A82-4196-8AC6-E28EACDC5F56}"/>
    <cellStyle name="Comma_!!!GO" xfId="14" xr:uid="{CD79831A-AF1B-4FAB-8C79-A66017B93CD0}"/>
    <cellStyle name="Comma0 - Modelo1" xfId="15" xr:uid="{71FE443E-8969-4577-A2CB-5D6B0F5BEEF3}"/>
    <cellStyle name="Comma0 - Style1" xfId="16" xr:uid="{46F071CF-859E-4DED-8D61-5ADCECFC736B}"/>
    <cellStyle name="Comma0 - Style2" xfId="17" xr:uid="{C8B5F815-DE3F-40DD-8E05-7B8CF9345F26}"/>
    <cellStyle name="Comma1 - Modelo2" xfId="18" xr:uid="{41F81AB4-A1ED-4597-97E0-5D00F2205904}"/>
    <cellStyle name="Comma1 - Style1" xfId="19" xr:uid="{BA9325E7-67F8-451A-AD45-9EB8E1787BDF}"/>
    <cellStyle name="Comma1 - Style2" xfId="20" xr:uid="{92AC1556-D4D9-4A31-9F84-1720F917CF3D}"/>
    <cellStyle name="Copied" xfId="21" xr:uid="{8C545502-FE7C-49EB-A9E2-482A1EA0EAB3}"/>
    <cellStyle name="COST1" xfId="22" xr:uid="{8C7ABD53-E62E-48A0-BF39-E76EC21802ED}"/>
    <cellStyle name="Currency [0]_!!!GO" xfId="23" xr:uid="{F5437AAA-8EBB-4A1C-9EA7-8ABC041D0E45}"/>
    <cellStyle name="Currency_!!!GO" xfId="24" xr:uid="{BE1716FB-B8FA-4FCD-A083-16759D3BB841}"/>
    <cellStyle name="Entered" xfId="25" xr:uid="{80AC239F-D907-476E-9253-25865D8AFBF8}"/>
    <cellStyle name="Estilo 1" xfId="26" xr:uid="{15216C11-152F-4D07-B6BF-839946E77EFA}"/>
    <cellStyle name="Euro" xfId="27" xr:uid="{8145E75E-5CCD-48E1-B5D7-6581714CF6D5}"/>
    <cellStyle name="Euro 2" xfId="28" xr:uid="{A32B5B2D-ED4A-41AE-A563-0EFD2C13B949}"/>
    <cellStyle name="Grey" xfId="29" xr:uid="{E7431D28-4FCB-43BE-999F-B3E9B3AF3DBE}"/>
    <cellStyle name="Header1" xfId="30" xr:uid="{751B8F2E-D1C3-4D19-AF81-311C38641F5B}"/>
    <cellStyle name="Header2" xfId="31" xr:uid="{41A2C91E-C823-4679-BAA1-F1CA811C1276}"/>
    <cellStyle name="Input [yellow]" xfId="32" xr:uid="{624D5ABC-72CD-4BC1-B283-EDE14FDD4BAE}"/>
    <cellStyle name="Input Cells" xfId="33" xr:uid="{0794A0C3-A6D2-4DB0-99CE-E464A27AD79D}"/>
    <cellStyle name="Linked Cells" xfId="34" xr:uid="{493B524E-9709-4E59-98E5-4E11DF57CAF7}"/>
    <cellStyle name="Millares 2" xfId="35" xr:uid="{33216697-84C3-4974-87D8-E7C0F6B12061}"/>
    <cellStyle name="Milliers [0]_!!!GO" xfId="36" xr:uid="{F71F7FCF-A21F-4E71-839E-A5B3A2C43896}"/>
    <cellStyle name="Milliers_!!!GO" xfId="37" xr:uid="{B36A505C-6AF4-44C6-96FF-EF08ED75AE62}"/>
    <cellStyle name="Monétaire [0]_!!!GO" xfId="38" xr:uid="{0329C054-16CF-4C65-8B5C-8B054C3C3981}"/>
    <cellStyle name="Monétaire_!!!GO" xfId="39" xr:uid="{460235A5-876F-4CB0-BDA4-BC3D4CE2A8AA}"/>
    <cellStyle name="no dec" xfId="40" xr:uid="{E0488656-C7E5-465E-A4E6-7590A3DB7CDD}"/>
    <cellStyle name="Normal" xfId="0" builtinId="0"/>
    <cellStyle name="Normal - Style1" xfId="41" xr:uid="{1D8E97FB-B086-4D4D-B2C7-DD749D186C38}"/>
    <cellStyle name="Normal - Style1 2" xfId="42" xr:uid="{AB8A9BB2-51F3-452D-A398-45AAA63B733B}"/>
    <cellStyle name="Normal 2" xfId="43" xr:uid="{074C7918-1F80-482E-9C78-C382A2F865B6}"/>
    <cellStyle name="Normal 3" xfId="44" xr:uid="{B68697A8-4294-44CE-8890-8A87B849F2C4}"/>
    <cellStyle name="Normal_Base de Datos Varias" xfId="45" xr:uid="{2C61D5F9-0780-490E-BEB1-4A2D45C8AF57}"/>
    <cellStyle name="Normal_Caratula_Plantilla_liquidacion_SST_Orion" xfId="46" xr:uid="{D28AB094-CE0B-4CF9-9F20-EBD20F6E902C}"/>
    <cellStyle name="Normal_Informe pers-unid-fact" xfId="47" xr:uid="{50210BB0-CCA2-4D6A-B533-0ECF36FA7A01}"/>
    <cellStyle name="Normal_VEREDAS" xfId="48" xr:uid="{17D0AD2F-4D81-4A8C-92FB-04C71AF91083}"/>
    <cellStyle name="Œ…‹æØ‚è [0.00]_!!!GO" xfId="49" xr:uid="{F7BB5D55-ADBD-4DDD-B179-206D7F2ECBE2}"/>
    <cellStyle name="Œ…‹æØ‚è_!!!GO" xfId="50" xr:uid="{72C4FF85-E655-4541-812B-7F9218ED8979}"/>
    <cellStyle name="per.style" xfId="51" xr:uid="{5254F019-6A51-487F-AFC0-2CFD41CC50A8}"/>
    <cellStyle name="Percent [2]" xfId="52" xr:uid="{A36019A5-5CEC-4343-AA24-56CD71A2A1A7}"/>
    <cellStyle name="Percent [2] 2" xfId="53" xr:uid="{34EBD4F6-C5AF-4B0F-9CFF-7D13FF4FAD5A}"/>
    <cellStyle name="Porcentaje" xfId="54" builtinId="5"/>
    <cellStyle name="Porcentaje 2" xfId="55" xr:uid="{2136C004-E286-476A-89E5-B7BF473F550A}"/>
    <cellStyle name="pricing" xfId="56" xr:uid="{39EAAE60-1C1F-4CC3-9BD0-165FD3BD93D8}"/>
    <cellStyle name="pricing 2" xfId="57" xr:uid="{CC938147-F998-4A9A-90B1-F5CE57778E67}"/>
    <cellStyle name="PSChar" xfId="58" xr:uid="{18F76554-7D5D-455C-88A5-4A95750A40CC}"/>
    <cellStyle name="RevList" xfId="59" xr:uid="{ED9341F4-E37C-4B98-99F5-96688C0551FC}"/>
    <cellStyle name="RevList 2" xfId="60" xr:uid="{68F4E53A-81A3-4A5A-91B6-41075B27AA69}"/>
    <cellStyle name="RM" xfId="61" xr:uid="{7EC8F354-68D4-4A10-BD63-828F9323160F}"/>
    <cellStyle name="Subtotal" xfId="62" xr:uid="{0D81EE65-8198-4A34-96A9-A1D1B58D8B00}"/>
  </cellStyles>
  <dxfs count="173">
    <dxf>
      <font>
        <condense val="0"/>
        <extend val="0"/>
        <color indexed="18"/>
      </font>
      <fill>
        <patternFill>
          <fgColor indexed="31"/>
          <bgColor indexed="31"/>
        </patternFill>
      </fill>
    </dxf>
    <dxf>
      <font>
        <condense val="0"/>
        <extend val="0"/>
        <color indexed="12"/>
      </font>
      <fill>
        <patternFill>
          <bgColor indexed="26"/>
        </patternFill>
      </fill>
    </dxf>
    <dxf>
      <font>
        <condense val="0"/>
        <extend val="0"/>
        <color indexed="12"/>
      </font>
      <fill>
        <patternFill>
          <bgColor indexed="49"/>
        </patternFill>
      </fill>
    </dxf>
    <dxf>
      <font>
        <condense val="0"/>
        <extend val="0"/>
        <color indexed="9"/>
      </font>
      <fill>
        <patternFill>
          <bgColor indexed="61"/>
        </patternFill>
      </fill>
    </dxf>
    <dxf>
      <font>
        <condense val="0"/>
        <extend val="0"/>
        <color indexed="18"/>
      </font>
      <fill>
        <patternFill>
          <bgColor indexed="42"/>
        </patternFill>
      </fill>
    </dxf>
    <dxf>
      <font>
        <condense val="0"/>
        <extend val="0"/>
        <color indexed="18"/>
      </font>
      <fill>
        <patternFill>
          <bgColor indexed="9"/>
        </patternFill>
      </fill>
    </dxf>
    <dxf>
      <font>
        <condense val="0"/>
        <extend val="0"/>
        <color indexed="18"/>
      </font>
      <fill>
        <patternFill>
          <bgColor indexed="49"/>
        </patternFill>
      </fill>
    </dxf>
    <dxf>
      <font>
        <condense val="0"/>
        <extend val="0"/>
        <color indexed="18"/>
      </font>
      <fill>
        <patternFill>
          <bgColor indexed="45"/>
        </patternFill>
      </fill>
    </dxf>
    <dxf>
      <font>
        <condense val="0"/>
        <extend val="0"/>
        <color indexed="18"/>
      </font>
      <fill>
        <patternFill>
          <bgColor indexed="51"/>
        </patternFill>
      </fill>
    </dxf>
    <dxf>
      <font>
        <condense val="0"/>
        <extend val="0"/>
        <color indexed="18"/>
      </font>
      <fill>
        <patternFill>
          <bgColor indexed="46"/>
        </patternFill>
      </fill>
    </dxf>
    <dxf>
      <font>
        <condense val="0"/>
        <extend val="0"/>
        <color indexed="9"/>
      </font>
      <fill>
        <patternFill>
          <bgColor indexed="48"/>
        </patternFill>
      </fill>
    </dxf>
    <dxf>
      <font>
        <condense val="0"/>
        <extend val="0"/>
        <color indexed="18"/>
      </font>
      <fill>
        <patternFill>
          <bgColor indexed="44"/>
        </patternFill>
      </fill>
    </dxf>
    <dxf>
      <font>
        <condense val="0"/>
        <extend val="0"/>
        <color indexed="18"/>
      </font>
      <fill>
        <patternFill>
          <bgColor indexed="47"/>
        </patternFill>
      </fill>
    </dxf>
    <dxf>
      <font>
        <condense val="0"/>
        <extend val="0"/>
        <color indexed="18"/>
      </font>
      <fill>
        <patternFill>
          <bgColor indexed="31"/>
        </patternFill>
      </fill>
    </dxf>
    <dxf>
      <font>
        <condense val="0"/>
        <extend val="0"/>
        <color indexed="18"/>
      </font>
      <fill>
        <patternFill>
          <bgColor indexed="26"/>
        </patternFill>
      </fill>
    </dxf>
    <dxf>
      <font>
        <condense val="0"/>
        <extend val="0"/>
        <color indexed="18"/>
      </font>
      <fill>
        <patternFill>
          <bgColor indexed="27"/>
        </patternFill>
      </fill>
    </dxf>
    <dxf>
      <font>
        <condense val="0"/>
        <extend val="0"/>
        <color indexed="1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auto="1"/>
      </font>
      <fill>
        <patternFill>
          <bgColor rgb="FFEBFFFF"/>
        </patternFill>
      </fill>
    </dxf>
    <dxf>
      <fill>
        <patternFill>
          <bgColor rgb="FFEFFFFF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auto="1"/>
      </font>
      <fill>
        <patternFill>
          <bgColor rgb="FFEBFFFF"/>
        </patternFill>
      </fill>
    </dxf>
    <dxf>
      <fill>
        <patternFill>
          <bgColor rgb="FFEF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auto="1"/>
      </font>
      <fill>
        <patternFill>
          <bgColor rgb="FFEBFFFF"/>
        </patternFill>
      </fill>
    </dxf>
    <dxf>
      <fill>
        <patternFill>
          <bgColor rgb="FFEF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auto="1"/>
      </font>
      <fill>
        <patternFill>
          <bgColor rgb="FFEBFFFF"/>
        </patternFill>
      </fill>
    </dxf>
    <dxf>
      <fill>
        <patternFill>
          <bgColor rgb="FFEF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B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auto="1"/>
      </font>
      <fill>
        <patternFill>
          <bgColor rgb="FFEBFFFF"/>
        </patternFill>
      </fill>
    </dxf>
    <dxf>
      <fill>
        <patternFill>
          <bgColor rgb="FFEF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FFFFF"/>
        </patternFill>
      </fill>
    </dxf>
    <dxf>
      <fill>
        <patternFill>
          <bgColor rgb="FFEFFFFF"/>
        </patternFill>
      </fill>
    </dxf>
    <dxf>
      <font>
        <b/>
        <i val="0"/>
        <condense val="0"/>
        <extend val="0"/>
        <color auto="1"/>
      </font>
      <fill>
        <patternFill>
          <fgColor indexed="42"/>
          <bgColor indexed="42"/>
        </patternFill>
      </fill>
    </dxf>
    <dxf>
      <font>
        <b/>
        <i val="0"/>
        <condense val="0"/>
        <extend val="0"/>
        <color auto="1"/>
      </font>
      <fill>
        <patternFill>
          <fgColor indexed="13"/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FFFFF"/>
        </patternFill>
      </fill>
    </dxf>
    <dxf>
      <fill>
        <patternFill>
          <bgColor rgb="FFEFFFFF"/>
        </patternFill>
      </fill>
    </dxf>
    <dxf>
      <font>
        <b/>
        <i val="0"/>
        <condense val="0"/>
        <extend val="0"/>
        <color auto="1"/>
      </font>
      <fill>
        <patternFill>
          <fgColor indexed="42"/>
          <bgColor indexed="42"/>
        </patternFill>
      </fill>
    </dxf>
    <dxf>
      <font>
        <b/>
        <i val="0"/>
        <condense val="0"/>
        <extend val="0"/>
        <color auto="1"/>
      </font>
      <fill>
        <patternFill>
          <fgColor indexed="13"/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FFFFF"/>
        </patternFill>
      </fill>
    </dxf>
    <dxf>
      <fill>
        <patternFill>
          <bgColor rgb="FFEFFFFF"/>
        </patternFill>
      </fill>
    </dxf>
    <dxf>
      <font>
        <b/>
        <i val="0"/>
        <condense val="0"/>
        <extend val="0"/>
        <color auto="1"/>
      </font>
      <fill>
        <patternFill>
          <fgColor indexed="42"/>
          <bgColor indexed="42"/>
        </patternFill>
      </fill>
    </dxf>
    <dxf>
      <font>
        <b/>
        <i val="0"/>
        <condense val="0"/>
        <extend val="0"/>
        <color auto="1"/>
      </font>
      <fill>
        <patternFill>
          <fgColor indexed="13"/>
          <bgColor rgb="FFFFFF99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EFFFFF"/>
        </patternFill>
      </fill>
    </dxf>
    <dxf>
      <fill>
        <patternFill>
          <bgColor rgb="FFEFFFFF"/>
        </patternFill>
      </fill>
    </dxf>
    <dxf>
      <font>
        <b/>
        <i val="0"/>
        <condense val="0"/>
        <extend val="0"/>
        <color auto="1"/>
      </font>
      <fill>
        <patternFill>
          <fgColor indexed="42"/>
          <bgColor indexed="42"/>
        </patternFill>
      </fill>
    </dxf>
    <dxf>
      <font>
        <b/>
        <i val="0"/>
        <condense val="0"/>
        <extend val="0"/>
        <color auto="1"/>
      </font>
      <fill>
        <patternFill>
          <fgColor indexed="13"/>
          <bgColor rgb="FFFFFF99"/>
        </patternFill>
      </fill>
    </dxf>
    <dxf>
      <fill>
        <patternFill>
          <bgColor rgb="FFFFFF00"/>
        </patternFill>
      </fill>
    </dxf>
    <dxf>
      <font>
        <b/>
        <i val="0"/>
        <condense val="0"/>
        <extend val="0"/>
        <color auto="1"/>
      </font>
      <fill>
        <patternFill>
          <fgColor indexed="42"/>
          <bgColor indexed="42"/>
        </patternFill>
      </fill>
    </dxf>
    <dxf>
      <font>
        <b/>
        <i val="0"/>
        <condense val="0"/>
        <extend val="0"/>
        <color auto="1"/>
      </font>
      <fill>
        <patternFill>
          <fgColor indexed="13"/>
          <bgColor rgb="FFFFFF99"/>
        </patternFill>
      </fill>
    </dxf>
    <dxf>
      <font>
        <b/>
        <i val="0"/>
        <condense val="0"/>
        <extend val="0"/>
        <color auto="1"/>
      </font>
      <fill>
        <patternFill>
          <fgColor indexed="42"/>
          <bgColor indexed="42"/>
        </patternFill>
      </fill>
    </dxf>
    <dxf>
      <font>
        <b/>
        <i val="0"/>
        <condense val="0"/>
        <extend val="0"/>
        <color auto="1"/>
      </font>
      <fill>
        <patternFill>
          <fgColor indexed="13"/>
          <bgColor rgb="FFFFFF99"/>
        </patternFill>
      </fill>
    </dxf>
    <dxf>
      <font>
        <color auto="1"/>
      </font>
      <fill>
        <patternFill>
          <bgColor rgb="FFEFFFFF"/>
        </patternFill>
      </fill>
    </dxf>
    <dxf>
      <fill>
        <patternFill>
          <bgColor rgb="FFEFFFFF"/>
        </patternFill>
      </fill>
    </dxf>
    <dxf>
      <font>
        <condense val="0"/>
        <extend val="0"/>
        <color indexed="18"/>
      </font>
    </dxf>
    <dxf>
      <font>
        <condense val="0"/>
        <extend val="0"/>
        <color indexed="18"/>
      </font>
    </dxf>
    <dxf>
      <font>
        <b/>
        <i val="0"/>
        <condense val="0"/>
        <extend val="0"/>
        <color auto="1"/>
      </font>
      <fill>
        <patternFill>
          <fgColor indexed="42"/>
          <bgColor indexed="42"/>
        </patternFill>
      </fill>
    </dxf>
    <dxf>
      <font>
        <b/>
        <i val="0"/>
        <condense val="0"/>
        <extend val="0"/>
        <color auto="1"/>
      </font>
      <fill>
        <patternFill>
          <fgColor indexed="13"/>
          <bgColor rgb="FFFFFF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58\Coordinacion\VAC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58\Coordinacion\Users\YACUSA\AppData\Local\Microsoft\Windows\Temporary%20Internet%20Files\Content.IE5\NRGWOZ73\VACI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58\Coordinacion\Liquidacion\pu220419.v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58\Coordinacion\Users\YACUSA\AppData\Local\Microsoft\Windows\Temporary%20Internet%20Files\Content.IE5\NRGWOZ73\Temp\Materiale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santi/Downloads/partidas%20M.O.%20%20julio%202024%20(3).xlsx" TargetMode="External"/><Relationship Id="rId1" Type="http://schemas.openxmlformats.org/officeDocument/2006/relationships/externalLinkPath" Target="/Users/santi/Downloads/partidas%20M.O.%20%20julio%202024%20(3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escargas/reporte_movimiento%20-%202025-08-11T153946.847.xlsx" TargetMode="External"/><Relationship Id="rId1" Type="http://schemas.openxmlformats.org/officeDocument/2006/relationships/externalLinkPath" Target="/Descargas/reporte_movimiento%20-%202025-08-11T153946.84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#¡REF"/>
      <sheetName val="CONTROL"/>
      <sheetName val="VACIO"/>
      <sheetName val="VIGIL_POLICIAL"/>
      <sheetName val="MAT"/>
      <sheetName val="base2007"/>
      <sheetName val="5370"/>
      <sheetName val="base2006"/>
      <sheetName val="SEGUIMIENTO"/>
      <sheetName val="Hoja2"/>
      <sheetName val="CONSOLIDADO"/>
      <sheetName val="PRODUCCION LAB MONOFASICO ANUAL"/>
      <sheetName val="Data"/>
      <sheetName val="Acc. Inc. y Cuasi."/>
      <sheetName val="Datos"/>
      <sheetName val=" Paralizad_ Pend. de maniob"/>
      <sheetName val="vii"/>
      <sheetName val="Universo"/>
      <sheetName val="EJECUCION"/>
      <sheetName val="TRAB. POR LIQUIDAR"/>
      <sheetName val="ORDENES 2005"/>
      <sheetName val="Mano de Obra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#¡REF"/>
      <sheetName val="CONTROL"/>
      <sheetName val="VACIO"/>
      <sheetName val="VIGIL_POLICIAL"/>
      <sheetName val="MAT"/>
      <sheetName val="base2007"/>
      <sheetName val="5370"/>
      <sheetName val="base2006"/>
      <sheetName val="SEGUIMIENTO"/>
      <sheetName val="Hoja2"/>
      <sheetName val="CONSOLIDADO"/>
      <sheetName val="PRODUCCION LAB MONOFASICO ANUAL"/>
      <sheetName val="Data"/>
      <sheetName val="Acc. Inc. y Cuasi."/>
      <sheetName val="Datos"/>
      <sheetName val=" Paralizad_ Pend. de maniob"/>
      <sheetName val="vii"/>
      <sheetName val="Universo"/>
      <sheetName val="EJECUCION"/>
      <sheetName val="TRAB. POR LIQUIDAR"/>
      <sheetName val="ORDENES 2005"/>
      <sheetName val="Mano de Obra"/>
      <sheetName val="Material"/>
      <sheetName val="Caratula "/>
      <sheetName val="M. OBRA"/>
      <sheetName val="METRADOS"/>
      <sheetName val="Vereda-Escombro"/>
      <sheetName val="SUPERV.CAP."/>
      <sheetName val="Compensación Nocturno"/>
      <sheetName val="FACT.SERV."/>
      <sheetName val="HORAS EXTRAS"/>
      <sheetName val="H.E."/>
      <sheetName val="VIATICOS"/>
      <sheetName val="HE"/>
      <sheetName val="Traslado - Acarreo"/>
      <sheetName val="Pozo Horizontal"/>
      <sheetName val="Inst. varilla retenida"/>
      <sheetName val="Adic."/>
      <sheetName val="Calculo TW Bco.Med."/>
      <sheetName val="RESUMEN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etalle"/>
      <sheetName val="MAT"/>
      <sheetName val="MANO DE OBRA ACTUALIZADA"/>
    </sheetNames>
    <sheetDataSet>
      <sheetData sheetId="0"/>
      <sheetData sheetId="1" refreshError="1"/>
      <sheetData sheetId="2" refreshError="1">
        <row r="5">
          <cell r="B5" t="str">
            <v>Matricula</v>
          </cell>
          <cell r="C5" t="str">
            <v>Marca</v>
          </cell>
          <cell r="D5" t="str">
            <v>Descripción</v>
          </cell>
        </row>
        <row r="6">
          <cell r="B6">
            <v>911050</v>
          </cell>
          <cell r="C6" t="str">
            <v>ELR</v>
          </cell>
          <cell r="D6" t="str">
            <v>PERNO HO.GALV.CAB.EXAG.   1/4" X 3/4"     C/TUERCA</v>
          </cell>
        </row>
        <row r="7">
          <cell r="B7">
            <v>911050</v>
          </cell>
          <cell r="C7" t="str">
            <v>MDP</v>
          </cell>
          <cell r="D7" t="str">
            <v>PERNO HO.GALV.CAB.EXAG.   1/4" X 3/4"     C/TUERCA</v>
          </cell>
        </row>
        <row r="8">
          <cell r="B8">
            <v>911051</v>
          </cell>
          <cell r="C8" t="str">
            <v>CIN</v>
          </cell>
          <cell r="D8" t="str">
            <v>PERNO HO.GALV.CAB.EXAG.   1/4" X 1"       C/TUERCA</v>
          </cell>
        </row>
        <row r="9">
          <cell r="B9">
            <v>911051</v>
          </cell>
          <cell r="C9" t="str">
            <v>CMD</v>
          </cell>
          <cell r="D9" t="str">
            <v>PERNO HO.GALV.CAB.EXAG.   1/4" X 1"       C/TUERCA</v>
          </cell>
        </row>
        <row r="10">
          <cell r="B10">
            <v>911051</v>
          </cell>
          <cell r="C10" t="str">
            <v>MDP</v>
          </cell>
          <cell r="D10" t="str">
            <v>PERNO HO.GALV.CAB.EXAG.   1/4" X 1"       C/TUERCA</v>
          </cell>
        </row>
        <row r="11">
          <cell r="B11">
            <v>911051</v>
          </cell>
          <cell r="C11" t="str">
            <v>SEI</v>
          </cell>
          <cell r="D11" t="str">
            <v>PERNO HO.GALV.CAB.EXAG.   1/4" X 1"       C/TUERCA</v>
          </cell>
        </row>
        <row r="12">
          <cell r="B12">
            <v>911052</v>
          </cell>
          <cell r="C12" t="str">
            <v>CMD</v>
          </cell>
          <cell r="D12" t="str">
            <v>PERNO HO.GALV.CAB.EXAG.   1/4" X 1.1/2"   C/TUERCA</v>
          </cell>
        </row>
        <row r="13">
          <cell r="B13">
            <v>911052</v>
          </cell>
          <cell r="C13" t="str">
            <v>PTT</v>
          </cell>
          <cell r="D13" t="str">
            <v>PERNO HO.GALV.CAB.EXAG.   1/4" X 1.1/2"   C/TUERCA</v>
          </cell>
        </row>
        <row r="14">
          <cell r="B14">
            <v>911052</v>
          </cell>
          <cell r="C14" t="str">
            <v>SES</v>
          </cell>
          <cell r="D14" t="str">
            <v>PERNO HO.GALV.CAB.EXAG.   1/4" X 1.1/2"   C/TUERCA</v>
          </cell>
        </row>
        <row r="15">
          <cell r="B15">
            <v>911055</v>
          </cell>
          <cell r="C15" t="str">
            <v>CBC</v>
          </cell>
          <cell r="D15" t="str">
            <v>PERNO HO.GALV.CAB.EXAG.   1/4" X 3"       C/TUERCA</v>
          </cell>
        </row>
        <row r="16">
          <cell r="B16">
            <v>911055</v>
          </cell>
          <cell r="C16" t="str">
            <v>ELR</v>
          </cell>
          <cell r="D16" t="str">
            <v>PERNO HO.GALV.CAB.EXAG.   1/4" X 3"       C/TUERCA</v>
          </cell>
        </row>
        <row r="17">
          <cell r="B17">
            <v>911055</v>
          </cell>
          <cell r="C17" t="str">
            <v>SEI</v>
          </cell>
          <cell r="D17" t="str">
            <v>PERNO HO.GALV.CAB.EXAG.   1/4" X 3"       C/TUERCA</v>
          </cell>
        </row>
        <row r="18">
          <cell r="B18">
            <v>911062</v>
          </cell>
          <cell r="C18" t="str">
            <v>CIN</v>
          </cell>
          <cell r="D18" t="str">
            <v>PERNO HO.GALV.CAB.EXAG.   5/16" X 1.1/2"  C/TUERCA</v>
          </cell>
        </row>
        <row r="19">
          <cell r="B19">
            <v>911062</v>
          </cell>
          <cell r="C19" t="str">
            <v>CMD</v>
          </cell>
          <cell r="D19" t="str">
            <v>PERNO HO.GALV.CAB.EXAG.   5/16" X 1.1/2"  C/TUERCA</v>
          </cell>
        </row>
        <row r="20">
          <cell r="B20">
            <v>911062</v>
          </cell>
          <cell r="C20" t="str">
            <v>MDP</v>
          </cell>
          <cell r="D20" t="str">
            <v>PERNO HO.GALV.CAB.EXAG.   5/16" X 1.1/2"  C/TUERCA</v>
          </cell>
        </row>
        <row r="21">
          <cell r="B21">
            <v>911062</v>
          </cell>
          <cell r="C21" t="str">
            <v>SEI</v>
          </cell>
          <cell r="D21" t="str">
            <v>PERNO HO.GALV.CAB.EXAG.   5/16" X 1.1/2"  C/TUERCA</v>
          </cell>
        </row>
        <row r="22">
          <cell r="B22">
            <v>911064</v>
          </cell>
          <cell r="C22" t="str">
            <v>CIN</v>
          </cell>
          <cell r="D22" t="str">
            <v>PERNO HO.GALV.CAB.EXAG.   5/16" X 2"      C/TUERCA</v>
          </cell>
        </row>
        <row r="23">
          <cell r="B23">
            <v>911064</v>
          </cell>
          <cell r="C23" t="str">
            <v>CMD</v>
          </cell>
          <cell r="D23" t="str">
            <v>PERNO HO.GALV.CAB.EXAG.   5/16" X 2"      C/TUERCA</v>
          </cell>
        </row>
        <row r="24">
          <cell r="B24">
            <v>911064</v>
          </cell>
          <cell r="C24" t="str">
            <v>MDP</v>
          </cell>
          <cell r="D24" t="str">
            <v>PERNO HO.GALV.CAB.EXAG.   5/16" X 2"      C/TUERCA</v>
          </cell>
        </row>
        <row r="25">
          <cell r="B25">
            <v>911070</v>
          </cell>
          <cell r="C25" t="str">
            <v>CIN</v>
          </cell>
          <cell r="D25" t="str">
            <v>PERNO HO.GALV.CAB.EXAG.   3/8" X 1"       C/TUERCA</v>
          </cell>
        </row>
        <row r="26">
          <cell r="B26">
            <v>911070</v>
          </cell>
          <cell r="C26" t="str">
            <v>CMD</v>
          </cell>
          <cell r="D26" t="str">
            <v>PERNO HO.GALV.CAB.EXAG.   3/8" X 1"       C/TUERCA</v>
          </cell>
        </row>
        <row r="27">
          <cell r="B27">
            <v>911070</v>
          </cell>
          <cell r="C27" t="str">
            <v>MDP</v>
          </cell>
          <cell r="D27" t="str">
            <v>PERNO HO.GALV.CAB.EXAG.   3/8" X 1"       C/TUERCA</v>
          </cell>
        </row>
        <row r="28">
          <cell r="B28">
            <v>911071</v>
          </cell>
          <cell r="C28" t="str">
            <v>CIN</v>
          </cell>
          <cell r="D28" t="str">
            <v>PERNO HO.GALV.CAB.EXAG.   3/8" X 1.1/2"   C/TUERCA</v>
          </cell>
        </row>
        <row r="29">
          <cell r="B29">
            <v>978091</v>
          </cell>
          <cell r="C29" t="str">
            <v>GGG</v>
          </cell>
          <cell r="D29" t="str">
            <v>TORNILLO AUTOROSCANTE DE ACERO TROPICALIZADO CABEZA ESPECIAL ANTI - ROBO 1/8" / NUMERO 6 X 5/8"</v>
          </cell>
        </row>
        <row r="30">
          <cell r="B30">
            <v>911071</v>
          </cell>
          <cell r="C30" t="str">
            <v>CMD</v>
          </cell>
          <cell r="D30" t="str">
            <v>PERNO HO.GALV.CAB.EXAG.   3/8" X 1.1/2"   C/TUERCA</v>
          </cell>
        </row>
        <row r="31">
          <cell r="B31">
            <v>911071</v>
          </cell>
          <cell r="C31" t="str">
            <v>MDP</v>
          </cell>
          <cell r="D31" t="str">
            <v>PERNO HO.GALV.CAB.EXAG.   3/8" X 1.1/2"   C/TUERCA</v>
          </cell>
        </row>
        <row r="32">
          <cell r="B32">
            <v>911071</v>
          </cell>
          <cell r="C32" t="str">
            <v>SEI</v>
          </cell>
          <cell r="D32" t="str">
            <v>PERNO HO.GALV.CAB.EXAG.   3/8" X 1.1/2"   C/TUERCA</v>
          </cell>
        </row>
        <row r="33">
          <cell r="B33">
            <v>911072</v>
          </cell>
          <cell r="C33" t="str">
            <v>CIN</v>
          </cell>
          <cell r="D33" t="str">
            <v>PERNO HO.GALV.CAB.EXAG.   3/8" X 2"       C/TUERCA</v>
          </cell>
        </row>
        <row r="34">
          <cell r="B34">
            <v>911072</v>
          </cell>
          <cell r="C34" t="str">
            <v>CMD</v>
          </cell>
          <cell r="D34" t="str">
            <v>PERNO HO.GALV.CAB.EXAG.   3/8" X 2"       C/TUERCA</v>
          </cell>
        </row>
        <row r="35">
          <cell r="B35">
            <v>911072</v>
          </cell>
          <cell r="C35" t="str">
            <v>MDP</v>
          </cell>
          <cell r="D35" t="str">
            <v>PERNO HO.GALV.CAB.EXAG.   3/8" X 2"       C/TUERCA</v>
          </cell>
        </row>
        <row r="36">
          <cell r="B36">
            <v>911073</v>
          </cell>
          <cell r="C36" t="str">
            <v>CIN</v>
          </cell>
          <cell r="D36" t="str">
            <v>PERNO HO.GALV.CAB.EXAG.   3/8" X 2.1/2"   C/TUERCA</v>
          </cell>
        </row>
        <row r="37">
          <cell r="B37">
            <v>911073</v>
          </cell>
          <cell r="C37" t="str">
            <v>CMD</v>
          </cell>
          <cell r="D37" t="str">
            <v>PERNO HO.GALV.CAB.EXAG.   3/8" X 2.1/2"   C/TUERCA</v>
          </cell>
        </row>
        <row r="38">
          <cell r="B38">
            <v>911073</v>
          </cell>
          <cell r="C38" t="str">
            <v>ELR</v>
          </cell>
          <cell r="D38" t="str">
            <v>PERNO HO.GALV.CAB.EXAG.   3/8" X 2.1/2"   C/TUERCA</v>
          </cell>
        </row>
        <row r="39">
          <cell r="B39">
            <v>911073</v>
          </cell>
          <cell r="C39" t="str">
            <v>MDP</v>
          </cell>
          <cell r="D39" t="str">
            <v>PERNO HO.GALV.CAB.EXAG.   3/8" X 2.1/2"   C/TUERCA</v>
          </cell>
        </row>
        <row r="40">
          <cell r="B40">
            <v>911073</v>
          </cell>
          <cell r="C40" t="str">
            <v>SEI</v>
          </cell>
          <cell r="D40" t="str">
            <v>PERNO HO.GALV.CAB.EXAG.   3/8" X 2.1/2"   C/TUERCA</v>
          </cell>
        </row>
        <row r="41">
          <cell r="B41">
            <v>911074</v>
          </cell>
          <cell r="C41" t="str">
            <v>CBC</v>
          </cell>
          <cell r="D41" t="str">
            <v>PERNO HO.GALV.CAB.EXAG.   3/8" X 3"       C/TUERCA</v>
          </cell>
        </row>
        <row r="42">
          <cell r="B42">
            <v>911074</v>
          </cell>
          <cell r="C42" t="str">
            <v>CMD</v>
          </cell>
          <cell r="D42" t="str">
            <v>PERNO HO.GALV.CAB.EXAG.   3/8" X 3"       C/TUERCA</v>
          </cell>
        </row>
        <row r="43">
          <cell r="B43">
            <v>911074</v>
          </cell>
          <cell r="C43" t="str">
            <v>ELR</v>
          </cell>
          <cell r="D43" t="str">
            <v>PERNO HO.GALV.CAB.EXAG.   3/8" X 3"       C/TUERCA</v>
          </cell>
        </row>
        <row r="44">
          <cell r="B44">
            <v>911074</v>
          </cell>
          <cell r="C44" t="str">
            <v>SEI</v>
          </cell>
          <cell r="D44" t="str">
            <v>PERNO HO.GALV.CAB.EXAG.   3/8" X 3"       C/TUERCA</v>
          </cell>
        </row>
        <row r="45">
          <cell r="B45">
            <v>911076</v>
          </cell>
          <cell r="C45" t="str">
            <v>CMD</v>
          </cell>
          <cell r="D45" t="str">
            <v>PERNO HO.GALV.CAB.EXAG.   3/8" X 3.1/2"   C/TUERCA</v>
          </cell>
        </row>
        <row r="46">
          <cell r="B46">
            <v>911080</v>
          </cell>
          <cell r="C46" t="str">
            <v>CMD</v>
          </cell>
          <cell r="D46" t="str">
            <v>PERNO HO.GALV.CAB.EXAG.   3/8" X 6"       C/TUERCA</v>
          </cell>
        </row>
        <row r="47">
          <cell r="B47">
            <v>911080</v>
          </cell>
          <cell r="C47" t="str">
            <v>PTT</v>
          </cell>
          <cell r="D47" t="str">
            <v>PERNO HO.GALV.CAB.EXAG.   3/8" X 6"       C/TUERCA</v>
          </cell>
        </row>
        <row r="48">
          <cell r="B48">
            <v>911080</v>
          </cell>
          <cell r="C48" t="str">
            <v>SES</v>
          </cell>
          <cell r="D48" t="str">
            <v>PERNO HO.GALV.CAB.EXAG.   3/8" X 6"       C/TUERCA</v>
          </cell>
        </row>
        <row r="49">
          <cell r="B49">
            <v>911083</v>
          </cell>
          <cell r="C49" t="str">
            <v>CIN</v>
          </cell>
          <cell r="D49" t="str">
            <v>PERNO HO.GALV.CAB.EXAG.   1/2" X 1"       C/TUERCA</v>
          </cell>
        </row>
        <row r="50">
          <cell r="B50">
            <v>911083</v>
          </cell>
          <cell r="C50" t="str">
            <v>CMD</v>
          </cell>
          <cell r="D50" t="str">
            <v>PERNO HO.GALV.CAB.EXAG.   1/2" X 1"       C/TUERCA</v>
          </cell>
        </row>
        <row r="51">
          <cell r="B51">
            <v>911083</v>
          </cell>
          <cell r="C51" t="str">
            <v>MDP</v>
          </cell>
          <cell r="D51" t="str">
            <v>PERNO HO.GALV.CAB.EXAG.   1/2" X 1"       C/TUERCA</v>
          </cell>
        </row>
        <row r="52">
          <cell r="B52">
            <v>911087</v>
          </cell>
          <cell r="C52" t="str">
            <v>CIN</v>
          </cell>
          <cell r="D52" t="str">
            <v>PERNO HO.GALV.CAB.EXAG.   1/2" X 2"       C/TUERCA</v>
          </cell>
        </row>
        <row r="53">
          <cell r="B53">
            <v>911087</v>
          </cell>
          <cell r="C53" t="str">
            <v>CMD</v>
          </cell>
          <cell r="D53" t="str">
            <v>PERNO HO.GALV.CAB.EXAG.   1/2" X 2"       C/TUERCA</v>
          </cell>
        </row>
        <row r="54">
          <cell r="B54">
            <v>911087</v>
          </cell>
          <cell r="C54" t="str">
            <v>MDP</v>
          </cell>
          <cell r="D54" t="str">
            <v>PERNO HO.GALV.CAB.EXAG.   1/2" X 2"       C/TUERCA</v>
          </cell>
        </row>
        <row r="55">
          <cell r="B55">
            <v>911087</v>
          </cell>
          <cell r="C55" t="str">
            <v>SEI</v>
          </cell>
          <cell r="D55" t="str">
            <v>PERNO HO.GALV.CAB.EXAG.   1/2" X 2"       C/TUERCA</v>
          </cell>
        </row>
        <row r="56">
          <cell r="B56">
            <v>911088</v>
          </cell>
          <cell r="C56" t="str">
            <v>CBC</v>
          </cell>
          <cell r="D56" t="str">
            <v>PERNO HO.GALV.CAB.EXAG.   1/2" X 2.1/2"   C/TUERCA</v>
          </cell>
        </row>
        <row r="57">
          <cell r="B57">
            <v>911088</v>
          </cell>
          <cell r="C57" t="str">
            <v>CMD</v>
          </cell>
          <cell r="D57" t="str">
            <v>PERNO HO.GALV.CAB.EXAG.   1/2" X 2.1/2"   C/TUERCA</v>
          </cell>
        </row>
        <row r="58">
          <cell r="B58">
            <v>911088</v>
          </cell>
          <cell r="C58" t="str">
            <v>ELR</v>
          </cell>
          <cell r="D58" t="str">
            <v>PERNO HO.GALV.CAB.EXAG.   1/2" X 2.1/2"   C/TUERCA</v>
          </cell>
        </row>
        <row r="59">
          <cell r="B59">
            <v>911088</v>
          </cell>
          <cell r="C59" t="str">
            <v>SEI</v>
          </cell>
          <cell r="D59" t="str">
            <v>PERNO HO.GALV.CAB.EXAG.   1/2" X 2.1/2"   C/TUERCA</v>
          </cell>
        </row>
        <row r="60">
          <cell r="B60">
            <v>911092</v>
          </cell>
          <cell r="C60" t="str">
            <v>CBC</v>
          </cell>
          <cell r="D60" t="str">
            <v>PERNO HO.GALV.CAB.EXAG.   1/2" X 4"       C/TUERCA</v>
          </cell>
        </row>
        <row r="61">
          <cell r="B61">
            <v>911092</v>
          </cell>
          <cell r="C61" t="str">
            <v>CMD</v>
          </cell>
          <cell r="D61" t="str">
            <v>PERNO HO.GALV.CAB.EXAG.   1/2" X 4"       C/TUERCA</v>
          </cell>
        </row>
        <row r="62">
          <cell r="B62">
            <v>911092</v>
          </cell>
          <cell r="C62" t="str">
            <v>ELR</v>
          </cell>
          <cell r="D62" t="str">
            <v>PERNO HO.GALV.CAB.EXAG.   1/2" X 4"       C/TUERCA</v>
          </cell>
        </row>
        <row r="63">
          <cell r="B63">
            <v>911092</v>
          </cell>
          <cell r="C63" t="str">
            <v>MDP</v>
          </cell>
          <cell r="D63" t="str">
            <v>PERNO HO.GALV.CAB.EXAG.   1/2" X 4"       C/TUERCA</v>
          </cell>
        </row>
        <row r="64">
          <cell r="B64">
            <v>911092</v>
          </cell>
          <cell r="C64" t="str">
            <v>SEI</v>
          </cell>
          <cell r="D64" t="str">
            <v>PERNO HO.GALV.CAB.EXAG.   1/2" X 4"       C/TUERCA</v>
          </cell>
        </row>
        <row r="65">
          <cell r="B65">
            <v>911093</v>
          </cell>
          <cell r="C65" t="str">
            <v>CIN</v>
          </cell>
          <cell r="D65" t="str">
            <v>PERNO HO.GALV.CAB.EXAG.   1/2" X 5"       C/TUERCA</v>
          </cell>
        </row>
        <row r="66">
          <cell r="B66">
            <v>911093</v>
          </cell>
          <cell r="C66" t="str">
            <v>CMD</v>
          </cell>
          <cell r="D66" t="str">
            <v>PERNO HO.GALV.CAB.EXAG.   1/2" X 5"       C/TUERCA</v>
          </cell>
        </row>
        <row r="67">
          <cell r="B67">
            <v>911093</v>
          </cell>
          <cell r="C67" t="str">
            <v>MDP</v>
          </cell>
          <cell r="D67" t="str">
            <v>PERNO HO.GALV.CAB.EXAG.   1/2" X 5"       C/TUERCA</v>
          </cell>
        </row>
        <row r="68">
          <cell r="B68">
            <v>911094</v>
          </cell>
          <cell r="C68" t="str">
            <v>BRL</v>
          </cell>
          <cell r="D68" t="str">
            <v>PERNO HO.GALV.CAB.EXAG.   1/2" X 6"       C/TUERCA</v>
          </cell>
        </row>
        <row r="69">
          <cell r="B69">
            <v>911094</v>
          </cell>
          <cell r="C69" t="str">
            <v>CBC</v>
          </cell>
          <cell r="D69" t="str">
            <v>PERNO HO.GALV.CAB.EXAG.   1/2" X 6"       C/TUERCA</v>
          </cell>
        </row>
        <row r="70">
          <cell r="B70">
            <v>911094</v>
          </cell>
          <cell r="C70" t="str">
            <v>CMD</v>
          </cell>
          <cell r="D70" t="str">
            <v>PERNO HO.GALV.CAB.EXAG.   1/2" X 6"       C/TUERCA</v>
          </cell>
        </row>
        <row r="71">
          <cell r="B71">
            <v>911094</v>
          </cell>
          <cell r="C71" t="str">
            <v>ELR</v>
          </cell>
          <cell r="D71" t="str">
            <v>PERNO HO.GALV.CAB.EXAG.   1/2" X 6"       C/TUERCA</v>
          </cell>
        </row>
        <row r="72">
          <cell r="B72">
            <v>911094</v>
          </cell>
          <cell r="C72" t="str">
            <v>MDP</v>
          </cell>
          <cell r="D72" t="str">
            <v>PERNO HO.GALV.CAB.EXAG.   1/2" X 6"       C/TUERCA</v>
          </cell>
        </row>
        <row r="73">
          <cell r="B73">
            <v>911094</v>
          </cell>
          <cell r="C73" t="str">
            <v>SEI</v>
          </cell>
          <cell r="D73" t="str">
            <v>PERNO HO.GALV.CAB.EXAG.   1/2" X 6"       C/TUERCA</v>
          </cell>
        </row>
        <row r="74">
          <cell r="B74">
            <v>911104</v>
          </cell>
          <cell r="C74" t="str">
            <v>CMD</v>
          </cell>
          <cell r="D74" t="str">
            <v>PERNO HO.GALV.CAB.EXAG.   5/8" X 1"      C/TUERCA</v>
          </cell>
        </row>
        <row r="75">
          <cell r="B75">
            <v>911104</v>
          </cell>
          <cell r="C75" t="str">
            <v>PTT</v>
          </cell>
          <cell r="D75" t="str">
            <v>PERNO HO.GALV.CAB.EXAG.   5/8" X 1"      C/TUERCA</v>
          </cell>
        </row>
        <row r="76">
          <cell r="B76">
            <v>911104</v>
          </cell>
          <cell r="C76" t="str">
            <v>SES</v>
          </cell>
          <cell r="D76" t="str">
            <v>PERNO HO.GALV.CAB.EXAG.   5/8" X 1"      C/TUERCA</v>
          </cell>
        </row>
        <row r="77">
          <cell r="B77">
            <v>911108</v>
          </cell>
          <cell r="C77" t="str">
            <v>CMD</v>
          </cell>
          <cell r="D77" t="str">
            <v>PERNO HO.GALV.CAB.EXAG.   5/8" X 2"       C/TUERCA</v>
          </cell>
        </row>
        <row r="78">
          <cell r="B78">
            <v>911108</v>
          </cell>
          <cell r="C78" t="str">
            <v>PTT</v>
          </cell>
          <cell r="D78" t="str">
            <v>PERNO HO.GALV.CAB.EXAG.   5/8" X 2"       C/TUERCA</v>
          </cell>
        </row>
        <row r="79">
          <cell r="B79">
            <v>911108</v>
          </cell>
          <cell r="C79" t="str">
            <v>SES</v>
          </cell>
          <cell r="D79" t="str">
            <v>PERNO HO.GALV.CAB.EXAG.   5/8" X 2"       C/TUERCA</v>
          </cell>
        </row>
        <row r="80">
          <cell r="B80">
            <v>911109</v>
          </cell>
          <cell r="C80" t="str">
            <v>CMD</v>
          </cell>
          <cell r="D80" t="str">
            <v>PERNO DE ACERO GALV. DE CABEZA HEXAGONAL 5/8" X 2 1/2" C.ACCESORIOS</v>
          </cell>
        </row>
        <row r="81">
          <cell r="B81">
            <v>911109</v>
          </cell>
          <cell r="C81" t="str">
            <v>PTT</v>
          </cell>
          <cell r="D81" t="str">
            <v>PERNO DE ACERO GALV. DE CABEZA HEXAGONAL 5/8" X 2 1/2" C.ACCESORIOS</v>
          </cell>
        </row>
        <row r="82">
          <cell r="B82">
            <v>911109</v>
          </cell>
          <cell r="C82" t="str">
            <v>SES</v>
          </cell>
          <cell r="D82" t="str">
            <v>PERNO DE ACERO GALV. DE CABEZA HEXAGONAL 5/8" X 2 1/2" C.ACCESORIOS</v>
          </cell>
        </row>
        <row r="83">
          <cell r="B83">
            <v>911111</v>
          </cell>
          <cell r="C83" t="str">
            <v>CBC</v>
          </cell>
          <cell r="D83" t="str">
            <v>PERNO DE ACERO GALV. DE CABEZA HEXAGONAL 5/8" X 3" C.ACCESORIOS</v>
          </cell>
        </row>
        <row r="84">
          <cell r="B84">
            <v>911111</v>
          </cell>
          <cell r="C84" t="str">
            <v>CMD</v>
          </cell>
          <cell r="D84" t="str">
            <v>PERNO DE ACERO GALV. DE CABEZA HEXAGONAL 5/8" X 3" C.ACCESORIOS</v>
          </cell>
        </row>
        <row r="85">
          <cell r="B85">
            <v>911111</v>
          </cell>
          <cell r="C85" t="str">
            <v>ELR</v>
          </cell>
          <cell r="D85" t="str">
            <v>PERNO DE ACERO GALV. DE CABEZA HEXAGONAL 5/8" X 3" C.ACCESORIOS</v>
          </cell>
        </row>
        <row r="86">
          <cell r="B86">
            <v>911111</v>
          </cell>
          <cell r="C86" t="str">
            <v>SEI</v>
          </cell>
          <cell r="D86" t="str">
            <v>PERNO DE ACERO GALV. DE CABEZA HEXAGONAL 5/8" X 3" C.ACCESORIOS</v>
          </cell>
        </row>
        <row r="87">
          <cell r="B87">
            <v>911113</v>
          </cell>
          <cell r="C87" t="str">
            <v>CBC</v>
          </cell>
          <cell r="D87" t="str">
            <v>PERNO HO.GALV.CAB.EXAG.   5/8" X 4"       C/TUERCA</v>
          </cell>
        </row>
        <row r="88">
          <cell r="B88">
            <v>911113</v>
          </cell>
          <cell r="C88" t="str">
            <v>ELR</v>
          </cell>
          <cell r="D88" t="str">
            <v>PERNO HO.GALV.CAB.EXAG.   5/8" X 4"       C/TUERCA</v>
          </cell>
        </row>
        <row r="89">
          <cell r="B89">
            <v>911113</v>
          </cell>
          <cell r="C89" t="str">
            <v>SEI</v>
          </cell>
          <cell r="D89" t="str">
            <v>PERNO HO.GALV.CAB.EXAG.   5/8" X 4"       C/TUERCA</v>
          </cell>
        </row>
        <row r="90">
          <cell r="B90">
            <v>911118</v>
          </cell>
          <cell r="C90" t="str">
            <v>CBC</v>
          </cell>
          <cell r="D90" t="str">
            <v>PERNO HO.GALV.CAB.EXAG.   5/8" X 8"      C/TUERCA</v>
          </cell>
        </row>
        <row r="91">
          <cell r="B91">
            <v>911118</v>
          </cell>
          <cell r="C91" t="str">
            <v>CMD</v>
          </cell>
          <cell r="D91" t="str">
            <v>PERNO HO.GALV.CAB.EXAG.   5/8" X 8"      C/TUERCA</v>
          </cell>
        </row>
        <row r="92">
          <cell r="B92">
            <v>911118</v>
          </cell>
          <cell r="C92" t="str">
            <v>ELR</v>
          </cell>
          <cell r="D92" t="str">
            <v>PERNO HO.GALV.CAB.EXAG.   5/8" X 8"      C/TUERCA</v>
          </cell>
        </row>
        <row r="93">
          <cell r="B93">
            <v>911118</v>
          </cell>
          <cell r="C93" t="str">
            <v>MDP</v>
          </cell>
          <cell r="D93" t="str">
            <v>PERNO HO.GALV.CAB.EXAG.   5/8" X 8"      C/TUERCA</v>
          </cell>
        </row>
        <row r="94">
          <cell r="B94">
            <v>911118</v>
          </cell>
          <cell r="C94" t="str">
            <v>SEI</v>
          </cell>
          <cell r="D94" t="str">
            <v>PERNO HO.GALV.CAB.EXAG.   5/8" X 8"      C/TUERCA</v>
          </cell>
        </row>
        <row r="95">
          <cell r="B95">
            <v>911142</v>
          </cell>
          <cell r="C95" t="str">
            <v>CBC</v>
          </cell>
          <cell r="D95" t="str">
            <v>PERNO HO.GALV.CAB.EXAG.   3/4" X 7"       C/TUERCA</v>
          </cell>
        </row>
        <row r="96">
          <cell r="B96">
            <v>911142</v>
          </cell>
          <cell r="C96" t="str">
            <v>ELR</v>
          </cell>
          <cell r="D96" t="str">
            <v>PERNO HO.GALV.CAB.EXAG.   3/4" X 7"       C/TUERCA</v>
          </cell>
        </row>
        <row r="97">
          <cell r="B97">
            <v>911142</v>
          </cell>
          <cell r="C97" t="str">
            <v>SEI</v>
          </cell>
          <cell r="D97" t="str">
            <v>PERNO HO.GALV.CAB.EXAG.   3/4" X 7"       C/TUERCA</v>
          </cell>
        </row>
        <row r="98">
          <cell r="B98">
            <v>911143</v>
          </cell>
          <cell r="C98" t="str">
            <v>CBC</v>
          </cell>
          <cell r="D98" t="str">
            <v>PERNO HO.GALV.CAB.EXAG.   3/4" X 8"</v>
          </cell>
        </row>
        <row r="99">
          <cell r="B99">
            <v>911143</v>
          </cell>
          <cell r="C99" t="str">
            <v>ELR</v>
          </cell>
          <cell r="D99" t="str">
            <v>PERNO HO.GALV.CAB.EXAG.   3/4" X 8"</v>
          </cell>
        </row>
        <row r="100">
          <cell r="B100">
            <v>911143</v>
          </cell>
          <cell r="C100" t="str">
            <v>SEI</v>
          </cell>
          <cell r="D100" t="str">
            <v>PERNO HO.GALV.CAB.EXAG.   3/4" X 8"</v>
          </cell>
        </row>
        <row r="101">
          <cell r="B101">
            <v>911170</v>
          </cell>
          <cell r="C101" t="str">
            <v>CIN</v>
          </cell>
          <cell r="D101" t="str">
            <v>PERNO HO.GALV.CAB.EXAG.5/16X1P.C/TUERCA *SID-127</v>
          </cell>
        </row>
        <row r="102">
          <cell r="B102">
            <v>911170</v>
          </cell>
          <cell r="C102" t="str">
            <v>CMD</v>
          </cell>
          <cell r="D102" t="str">
            <v>PERNO HO.GALV.CAB.EXAG.5/16X1P.C/TUERCA *SID-127</v>
          </cell>
        </row>
        <row r="103">
          <cell r="B103">
            <v>911170</v>
          </cell>
          <cell r="C103" t="str">
            <v>MDP</v>
          </cell>
          <cell r="D103" t="str">
            <v>PERNO HO.GALV.CAB.EXAG.5/16X1P.C/TUERCA *SID-127</v>
          </cell>
        </row>
        <row r="104">
          <cell r="B104">
            <v>911170</v>
          </cell>
          <cell r="C104" t="str">
            <v>SEI</v>
          </cell>
          <cell r="D104" t="str">
            <v>PERNO HO.GALV.CAB.EXAG.5/16X1P.C/TUERCA *SID-127</v>
          </cell>
        </row>
        <row r="105">
          <cell r="B105">
            <v>911171</v>
          </cell>
          <cell r="C105" t="str">
            <v>CIN</v>
          </cell>
          <cell r="D105" t="str">
            <v>PERNO HO.GALV.CAB.EXAG.1/2X1.1/2P.C/TUERCA*SID-127</v>
          </cell>
        </row>
        <row r="106">
          <cell r="B106">
            <v>911171</v>
          </cell>
          <cell r="C106" t="str">
            <v>CMD</v>
          </cell>
          <cell r="D106" t="str">
            <v>PERNO HO.GALV.CAB.EXAG.1/2X1.1/2P.C/TUERCA*SID-127</v>
          </cell>
        </row>
        <row r="107">
          <cell r="B107">
            <v>911171</v>
          </cell>
          <cell r="C107" t="str">
            <v>MDP</v>
          </cell>
          <cell r="D107" t="str">
            <v>PERNO HO.GALV.CAB.EXAG.1/2X1.1/2P.C/TUERCA*SID-127</v>
          </cell>
        </row>
        <row r="108">
          <cell r="B108">
            <v>911172</v>
          </cell>
          <cell r="C108" t="str">
            <v>CBC</v>
          </cell>
          <cell r="D108" t="str">
            <v>PERNO HO.GALV.CAB.EXAG.1/2X3P.C/TUERCA * SID-127</v>
          </cell>
        </row>
        <row r="109">
          <cell r="B109">
            <v>911172</v>
          </cell>
          <cell r="C109" t="str">
            <v>CMD</v>
          </cell>
          <cell r="D109" t="str">
            <v>PERNO HO.GALV.CAB.EXAG.1/2X3P.C/TUERCA * SID-127</v>
          </cell>
        </row>
        <row r="110">
          <cell r="B110">
            <v>911172</v>
          </cell>
          <cell r="C110" t="str">
            <v>ELR</v>
          </cell>
          <cell r="D110" t="str">
            <v>PERNO HO.GALV.CAB.EXAG.1/2X3P.C/TUERCA * SID-127</v>
          </cell>
        </row>
        <row r="111">
          <cell r="B111">
            <v>911172</v>
          </cell>
          <cell r="C111" t="str">
            <v>SEI</v>
          </cell>
          <cell r="D111" t="str">
            <v>PERNO HO.GALV.CAB.EXAG.1/2X3P.C/TUERCA * SID-127</v>
          </cell>
        </row>
        <row r="112">
          <cell r="B112">
            <v>911611</v>
          </cell>
          <cell r="C112" t="str">
            <v>CIN</v>
          </cell>
          <cell r="D112" t="str">
            <v>PERNO AC. GALV.CAB.EXAG.  25MML. M16 RSC.CORRIDA</v>
          </cell>
        </row>
        <row r="113">
          <cell r="B113">
            <v>911611</v>
          </cell>
          <cell r="C113" t="str">
            <v>CMD</v>
          </cell>
          <cell r="D113" t="str">
            <v>PERNO AC. GALV.CAB.EXAG.  25MML. M16 RSC.CORRIDA</v>
          </cell>
        </row>
        <row r="114">
          <cell r="B114">
            <v>911611</v>
          </cell>
          <cell r="C114" t="str">
            <v>MDP</v>
          </cell>
          <cell r="D114" t="str">
            <v>PERNO AC. GALV.CAB.EXAG.  25MML. M16 RSC.CORRIDA</v>
          </cell>
        </row>
        <row r="115">
          <cell r="B115">
            <v>961911</v>
          </cell>
          <cell r="C115" t="str">
            <v>BRL</v>
          </cell>
          <cell r="D115" t="str">
            <v>TORNILLO AUTOROSCANTE DE ACERO GALV. C.CABEZA REDONDA 11/32" / NUMERO 10 X 1/2"</v>
          </cell>
        </row>
        <row r="116">
          <cell r="B116">
            <v>961911</v>
          </cell>
          <cell r="C116" t="str">
            <v>CMD</v>
          </cell>
          <cell r="D116" t="str">
            <v>TORNILLO AUTOROSCANTE DE ACERO GALV. C.CABEZA REDONDA 11/32" / NUMERO 10 X 1/2"</v>
          </cell>
        </row>
        <row r="117">
          <cell r="B117">
            <v>961911</v>
          </cell>
          <cell r="C117" t="str">
            <v>CTO</v>
          </cell>
          <cell r="D117" t="str">
            <v>TORNILLO AUTOROSCANTE DE ACERO GALV. C.CABEZA REDONDA 11/32" / NUMERO 10 X 1/2"</v>
          </cell>
        </row>
        <row r="118">
          <cell r="B118">
            <v>961911</v>
          </cell>
          <cell r="C118" t="str">
            <v>FBS</v>
          </cell>
          <cell r="D118" t="str">
            <v>TORNILLO AUTOROSCANTE DE ACERO GALV. C.CABEZA REDONDA 11/32" / NUMERO 10 X 1/2"</v>
          </cell>
        </row>
        <row r="119">
          <cell r="B119">
            <v>961911</v>
          </cell>
          <cell r="C119" t="str">
            <v>SEI</v>
          </cell>
          <cell r="D119" t="str">
            <v>TORNILLO AUTOROSCANTE DE ACERO GALV. C.CABEZA REDONDA 11/32" / NUMERO 10 X 1/2"</v>
          </cell>
        </row>
        <row r="120">
          <cell r="B120">
            <v>961912</v>
          </cell>
          <cell r="C120" t="str">
            <v>BRL</v>
          </cell>
          <cell r="D120" t="str">
            <v>TORNILLO AUTOROSCANTE DE ACERO GALV. C.CABEZA REDONDA 11/32" / NUMERO 10 X 3/4"</v>
          </cell>
        </row>
        <row r="121">
          <cell r="B121">
            <v>961912</v>
          </cell>
          <cell r="C121" t="str">
            <v>CMD</v>
          </cell>
          <cell r="D121" t="str">
            <v>TORNILLO AUTOROSCANTE DE ACERO GALV. C.CABEZA REDONDA 11/32" / NUMERO 10 X 3/4"</v>
          </cell>
        </row>
        <row r="122">
          <cell r="B122">
            <v>961912</v>
          </cell>
          <cell r="C122" t="str">
            <v>CTO</v>
          </cell>
          <cell r="D122" t="str">
            <v>TORNILLO AUTOROSCANTE DE ACERO GALV. C.CABEZA REDONDA 11/32" / NUMERO 10 X 3/4"</v>
          </cell>
        </row>
        <row r="123">
          <cell r="B123">
            <v>961912</v>
          </cell>
          <cell r="C123" t="str">
            <v>FBS</v>
          </cell>
          <cell r="D123" t="str">
            <v>TORNILLO AUTOROSCANTE DE ACERO GALV. C.CABEZA REDONDA 11/32" / NUMERO 10 X 3/4"</v>
          </cell>
        </row>
        <row r="124">
          <cell r="B124">
            <v>961912</v>
          </cell>
          <cell r="C124" t="str">
            <v>SEI</v>
          </cell>
          <cell r="D124" t="str">
            <v>TORNILLO AUTOROSCANTE DE ACERO GALV. C.CABEZA REDONDA 11/32" / NUMERO 10 X 3/4"</v>
          </cell>
        </row>
        <row r="125">
          <cell r="B125">
            <v>962113</v>
          </cell>
          <cell r="C125" t="str">
            <v>CMD</v>
          </cell>
          <cell r="D125" t="str">
            <v>TORNILLO HO.GALV.CAB.RED. P.METAL 5/16" X 1.1/2"</v>
          </cell>
        </row>
        <row r="126">
          <cell r="B126">
            <v>965015</v>
          </cell>
          <cell r="C126" t="str">
            <v>CMD</v>
          </cell>
          <cell r="D126" t="str">
            <v>TORNILLO HO.NEGRO CAB.RED. P.METAL    5/16" X 3/4"</v>
          </cell>
        </row>
        <row r="127">
          <cell r="B127">
            <v>965016</v>
          </cell>
          <cell r="C127" t="str">
            <v>CMD</v>
          </cell>
          <cell r="D127" t="str">
            <v>TORNILLO HO.NEGRO CAB.RED. P.METAL      5/16" X 1"</v>
          </cell>
        </row>
        <row r="128">
          <cell r="B128">
            <v>965018</v>
          </cell>
          <cell r="C128" t="str">
            <v>CMD</v>
          </cell>
          <cell r="D128" t="str">
            <v>TORNILLO HO.NEGRO CAB.RED. P.METAL     1/4" X 3/4"</v>
          </cell>
        </row>
        <row r="129">
          <cell r="B129">
            <v>965019</v>
          </cell>
          <cell r="C129" t="str">
            <v>CMD</v>
          </cell>
          <cell r="D129" t="str">
            <v>TORNILLO HO.NEGRO CAB.RED. P.METAL       1/4" X 1"</v>
          </cell>
        </row>
        <row r="130">
          <cell r="B130">
            <v>965217</v>
          </cell>
          <cell r="C130" t="str">
            <v>CMD</v>
          </cell>
          <cell r="D130" t="str">
            <v>TORNILLO HO. CAB.RED. P.MADERA NO.8-9        3/4"</v>
          </cell>
        </row>
        <row r="131">
          <cell r="B131">
            <v>965217</v>
          </cell>
          <cell r="C131" t="str">
            <v>MDP</v>
          </cell>
          <cell r="D131" t="str">
            <v>TORNILLO HO. CAB.RED. P.MADERA NO.8-9        3/4"</v>
          </cell>
        </row>
        <row r="132">
          <cell r="B132">
            <v>966065</v>
          </cell>
          <cell r="C132" t="str">
            <v>CMD</v>
          </cell>
          <cell r="D132" t="str">
            <v>TORNILLO HO.NEGRO CAB.PLANA METAL       3/16" X 1"</v>
          </cell>
        </row>
        <row r="133">
          <cell r="B133">
            <v>966066</v>
          </cell>
          <cell r="C133" t="str">
            <v>CMD</v>
          </cell>
          <cell r="D133" t="str">
            <v>TORNILLO HO.NEGRO CAB.PLANA METAL   3/16" X 1.1/2"</v>
          </cell>
        </row>
        <row r="134">
          <cell r="B134">
            <v>966072</v>
          </cell>
          <cell r="C134" t="str">
            <v>CMD</v>
          </cell>
          <cell r="D134" t="str">
            <v>TORNILLO HO.NEGRO CAB.PLANA P.METAL      1/4" X 1"</v>
          </cell>
        </row>
        <row r="135">
          <cell r="B135">
            <v>966258</v>
          </cell>
          <cell r="C135" t="str">
            <v>CMD</v>
          </cell>
          <cell r="D135" t="str">
            <v>TORNILLO HO.NEGRO CAB.PLANA P.MADERA NO.6-7     1"</v>
          </cell>
        </row>
        <row r="136">
          <cell r="B136">
            <v>966264</v>
          </cell>
          <cell r="C136" t="str">
            <v>CMD</v>
          </cell>
          <cell r="D136" t="str">
            <v>TORNILLO HO.NEGRO CAB.PLANA P.MADERA NO.8-9     1"</v>
          </cell>
        </row>
        <row r="137">
          <cell r="B137">
            <v>978090</v>
          </cell>
          <cell r="C137" t="str">
            <v>BRL</v>
          </cell>
          <cell r="D137" t="str">
            <v>TORNILLO AUTOROSCANTE DE ACERO TROPICALIZADO CABEZA ESPECIAL ANTI - ROBO 1/8" / NUMERO 6 X 1"</v>
          </cell>
        </row>
        <row r="138">
          <cell r="B138">
            <v>978098</v>
          </cell>
          <cell r="C138" t="str">
            <v>BRL</v>
          </cell>
          <cell r="D138" t="str">
            <v>TORNILLO AUTOROSCANTE DE ACERO TROPICALIZADO CABEZA ESPECIAL ANTI - ROBO 11/32" / NUMERO 10 X 1/2"</v>
          </cell>
        </row>
        <row r="139">
          <cell r="B139">
            <v>978098</v>
          </cell>
          <cell r="C139" t="str">
            <v>CBC</v>
          </cell>
          <cell r="D139" t="str">
            <v>TORNILLO AUTOROSCANTE DE ACERO TROPICALIZADO CABEZA ESPECIAL ANTI - ROBO 11/32" / NUMERO 10 X 1/2"</v>
          </cell>
        </row>
        <row r="140">
          <cell r="B140">
            <v>978098</v>
          </cell>
          <cell r="C140" t="str">
            <v>CMD</v>
          </cell>
          <cell r="D140" t="str">
            <v>TORNILLO AUTOROSCANTE DE ACERO TROPICALIZADO CABEZA ESPECIAL ANTI - ROBO 11/32" / NUMERO 10 X 1/2"</v>
          </cell>
        </row>
        <row r="141">
          <cell r="B141">
            <v>978098</v>
          </cell>
          <cell r="C141" t="str">
            <v>FBS</v>
          </cell>
          <cell r="D141" t="str">
            <v>TORNILLO AUTOROSCANTE DE ACERO TROPICALIZADO CABEZA ESPECIAL ANTI - ROBO 11/32" / NUMERO 10 X 1/2"</v>
          </cell>
        </row>
        <row r="142">
          <cell r="B142">
            <v>978098</v>
          </cell>
          <cell r="C142" t="str">
            <v>SEI</v>
          </cell>
          <cell r="D142" t="str">
            <v>TORNILLO AUTOROSCANTE DE ACERO TROPICALIZADO CABEZA ESPECIAL ANTI - ROBO 11/32" / NUMERO 10 X 1/2"</v>
          </cell>
        </row>
        <row r="143">
          <cell r="B143">
            <v>978101</v>
          </cell>
          <cell r="C143" t="str">
            <v>CIN</v>
          </cell>
          <cell r="D143" t="str">
            <v>TORNILLO AUTOROSCANTE DE ACERO TROPICALIZADO CABEZA ESPECIAL ANTI - ROBO 11/32" / NUMERO 10 X 3/4"</v>
          </cell>
        </row>
        <row r="144">
          <cell r="B144">
            <v>978101</v>
          </cell>
          <cell r="C144" t="str">
            <v>CMD</v>
          </cell>
          <cell r="D144" t="str">
            <v>TORNILLO AUTOROSCANTE DE ACERO TROPICALIZADO CABEZA ESPECIAL ANTI - ROBO 11/32" / NUMERO 10 X 3/4"</v>
          </cell>
        </row>
        <row r="145">
          <cell r="B145">
            <v>978101</v>
          </cell>
          <cell r="C145" t="str">
            <v>MDP</v>
          </cell>
          <cell r="D145" t="str">
            <v>TORNILLO AUTOROSCANTE DE ACERO TROPICALIZADO CABEZA ESPECIAL ANTI - ROBO 11/32" / NUMERO 10 X 3/4"</v>
          </cell>
        </row>
        <row r="146">
          <cell r="B146">
            <v>978101</v>
          </cell>
          <cell r="C146" t="str">
            <v>SEI</v>
          </cell>
          <cell r="D146" t="str">
            <v>TORNILLO AUTOROSCANTE DE ACERO TROPICALIZADO CABEZA ESPECIAL ANTI - ROBO 11/32" / NUMERO 10 X 3/4"</v>
          </cell>
        </row>
        <row r="147">
          <cell r="B147">
            <v>979015</v>
          </cell>
          <cell r="C147" t="str">
            <v>CMD</v>
          </cell>
          <cell r="D147" t="str">
            <v>TIRAFONDO HO.GALV.  3/8" X 1.1/2"</v>
          </cell>
        </row>
        <row r="148">
          <cell r="B148">
            <v>979015</v>
          </cell>
          <cell r="C148" t="str">
            <v>MDP</v>
          </cell>
          <cell r="D148" t="str">
            <v>TIRAFONDO HO.GALV.  3/8" X 1.1/2"</v>
          </cell>
        </row>
        <row r="149">
          <cell r="B149">
            <v>979015</v>
          </cell>
          <cell r="C149" t="str">
            <v>SEI</v>
          </cell>
          <cell r="D149" t="str">
            <v>TIRAFONDO HO.GALV.  3/8" X 1.1/2"</v>
          </cell>
        </row>
        <row r="150">
          <cell r="B150">
            <v>979016</v>
          </cell>
          <cell r="C150" t="str">
            <v>CMD</v>
          </cell>
          <cell r="D150" t="str">
            <v>TIRAFONDO HO.GALV.  3/8" X 2"</v>
          </cell>
        </row>
        <row r="151">
          <cell r="B151">
            <v>979016</v>
          </cell>
          <cell r="C151" t="str">
            <v>MDP</v>
          </cell>
          <cell r="D151" t="str">
            <v>TIRAFONDO HO.GALV.  3/8" X 2"</v>
          </cell>
        </row>
        <row r="152">
          <cell r="B152">
            <v>979016</v>
          </cell>
          <cell r="C152" t="str">
            <v>SEI</v>
          </cell>
          <cell r="D152" t="str">
            <v>TIRAFONDO HO.GALV.  3/8" X 2"</v>
          </cell>
        </row>
        <row r="153">
          <cell r="B153">
            <v>979017</v>
          </cell>
          <cell r="C153" t="str">
            <v>CMD</v>
          </cell>
          <cell r="D153" t="str">
            <v>TIRAFONDO HO.GALV.  3/8" X 2.1/2"</v>
          </cell>
        </row>
        <row r="154">
          <cell r="B154">
            <v>979017</v>
          </cell>
          <cell r="C154" t="str">
            <v>MDP</v>
          </cell>
          <cell r="D154" t="str">
            <v>TIRAFONDO HO.GALV.  3/8" X 2.1/2"</v>
          </cell>
        </row>
        <row r="155">
          <cell r="B155">
            <v>979017</v>
          </cell>
          <cell r="C155" t="str">
            <v>SEI</v>
          </cell>
          <cell r="D155" t="str">
            <v>TIRAFONDO HO.GALV.  3/8" X 2.1/2"</v>
          </cell>
        </row>
        <row r="156">
          <cell r="B156">
            <v>979018</v>
          </cell>
          <cell r="C156" t="str">
            <v>CMD</v>
          </cell>
          <cell r="D156" t="str">
            <v>TIRAFONDO HO.GALV.  3/8" X 3"</v>
          </cell>
        </row>
        <row r="157">
          <cell r="B157">
            <v>979018</v>
          </cell>
          <cell r="C157" t="str">
            <v>MDP</v>
          </cell>
          <cell r="D157" t="str">
            <v>TIRAFONDO HO.GALV.  3/8" X 3"</v>
          </cell>
        </row>
        <row r="158">
          <cell r="B158">
            <v>979022</v>
          </cell>
          <cell r="C158" t="str">
            <v>CMD</v>
          </cell>
          <cell r="D158" t="str">
            <v>TIRAFONDO HO.GALV.  1/2" X 3"</v>
          </cell>
        </row>
        <row r="159">
          <cell r="B159">
            <v>979022</v>
          </cell>
          <cell r="C159" t="str">
            <v>MDP</v>
          </cell>
          <cell r="D159" t="str">
            <v>TIRAFONDO HO.GALV.  1/2" X 3"</v>
          </cell>
        </row>
        <row r="160">
          <cell r="B160">
            <v>979102</v>
          </cell>
          <cell r="C160" t="str">
            <v>CMD</v>
          </cell>
          <cell r="D160" t="str">
            <v>TIRAFONDO HO.GALVANIZADO               5/16" X 2"</v>
          </cell>
        </row>
        <row r="161">
          <cell r="B161">
            <v>979102</v>
          </cell>
          <cell r="C161" t="str">
            <v>MDP</v>
          </cell>
          <cell r="D161" t="str">
            <v>TIRAFONDO HO.GALVANIZADO               5/16" X 2"</v>
          </cell>
        </row>
        <row r="162">
          <cell r="B162">
            <v>989032</v>
          </cell>
          <cell r="C162" t="str">
            <v>EMS</v>
          </cell>
          <cell r="D162" t="str">
            <v>TUERCA CONICA DE BRONCE P.SISTEMA ANTIRROBO 5/16" X 5/8" X 3/8"</v>
          </cell>
        </row>
        <row r="163">
          <cell r="B163">
            <v>989032</v>
          </cell>
          <cell r="C163" t="str">
            <v>FAS</v>
          </cell>
          <cell r="D163" t="str">
            <v>TUERCA CONICA DE BRONCE P.SISTEMA ANTIRROBO 5/16" X 5/8" X 3/8"</v>
          </cell>
        </row>
        <row r="164">
          <cell r="B164">
            <v>989032</v>
          </cell>
          <cell r="C164" t="str">
            <v>TAL</v>
          </cell>
          <cell r="D164" t="str">
            <v>TUERCA CONICA DE BRONCE P.SISTEMA ANTIRROBO 5/16" X 5/8" X 3/8"</v>
          </cell>
        </row>
        <row r="165">
          <cell r="B165">
            <v>991112</v>
          </cell>
          <cell r="C165" t="str">
            <v>ELR</v>
          </cell>
          <cell r="D165" t="str">
            <v>ARANDELA PLANA AC.GALV. PERNO  5/16"</v>
          </cell>
        </row>
        <row r="166">
          <cell r="B166">
            <v>991112</v>
          </cell>
          <cell r="C166" t="str">
            <v>MDP</v>
          </cell>
          <cell r="D166" t="str">
            <v>ARANDELA PLANA AC.GALV. PERNO  5/16"</v>
          </cell>
        </row>
        <row r="167">
          <cell r="B167">
            <v>991112</v>
          </cell>
          <cell r="C167" t="str">
            <v>PTT</v>
          </cell>
          <cell r="D167" t="str">
            <v>ARANDELA PLANA AC.GALV. PERNO  5/16"</v>
          </cell>
        </row>
        <row r="168">
          <cell r="B168">
            <v>991112</v>
          </cell>
          <cell r="C168" t="str">
            <v>SEI</v>
          </cell>
          <cell r="D168" t="str">
            <v>ARANDELA PLANA AC.GALV. PERNO  5/16"</v>
          </cell>
        </row>
        <row r="169">
          <cell r="B169">
            <v>991113</v>
          </cell>
          <cell r="C169" t="str">
            <v>BRL</v>
          </cell>
          <cell r="D169" t="str">
            <v>ARANDELA PLANA AC.GALV. PERNO  3/8"</v>
          </cell>
        </row>
        <row r="170">
          <cell r="B170">
            <v>991113</v>
          </cell>
          <cell r="C170" t="str">
            <v>CMD</v>
          </cell>
          <cell r="D170" t="str">
            <v>ARANDELA PLANA AC.GALV. PERNO  3/8"</v>
          </cell>
        </row>
        <row r="171">
          <cell r="B171">
            <v>991113</v>
          </cell>
          <cell r="C171" t="str">
            <v>ELR</v>
          </cell>
          <cell r="D171" t="str">
            <v>ARANDELA PLANA AC.GALV. PERNO  3/8"</v>
          </cell>
        </row>
        <row r="172">
          <cell r="B172">
            <v>991113</v>
          </cell>
          <cell r="C172" t="str">
            <v>MDP</v>
          </cell>
          <cell r="D172" t="str">
            <v>ARANDELA PLANA AC.GALV. PERNO  3/8"</v>
          </cell>
        </row>
        <row r="173">
          <cell r="B173">
            <v>991113</v>
          </cell>
          <cell r="C173" t="str">
            <v>PTT</v>
          </cell>
          <cell r="D173" t="str">
            <v>ARANDELA PLANA AC.GALV. PERNO  3/8"</v>
          </cell>
        </row>
        <row r="174">
          <cell r="B174">
            <v>991113</v>
          </cell>
          <cell r="C174" t="str">
            <v>SEI</v>
          </cell>
          <cell r="D174" t="str">
            <v>ARANDELA PLANA AC.GALV. PERNO  3/8"</v>
          </cell>
        </row>
        <row r="175">
          <cell r="B175">
            <v>991115</v>
          </cell>
          <cell r="C175" t="str">
            <v>BRL</v>
          </cell>
          <cell r="D175" t="str">
            <v>ARANDELA PLANA AC.GALV. PERNO  1/2"</v>
          </cell>
        </row>
        <row r="176">
          <cell r="B176">
            <v>991115</v>
          </cell>
          <cell r="C176" t="str">
            <v>CBC</v>
          </cell>
          <cell r="D176" t="str">
            <v>ARANDELA PLANA AC.GALV. PERNO  1/2"</v>
          </cell>
        </row>
        <row r="177">
          <cell r="B177">
            <v>991115</v>
          </cell>
          <cell r="C177" t="str">
            <v>MDP</v>
          </cell>
          <cell r="D177" t="str">
            <v>ARANDELA PLANA AC.GALV. PERNO  1/2"</v>
          </cell>
        </row>
        <row r="178">
          <cell r="B178">
            <v>991115</v>
          </cell>
          <cell r="C178" t="str">
            <v>PTT</v>
          </cell>
          <cell r="D178" t="str">
            <v>ARANDELA PLANA AC.GALV. PERNO  1/2"</v>
          </cell>
        </row>
        <row r="179">
          <cell r="B179">
            <v>991115</v>
          </cell>
          <cell r="C179" t="str">
            <v>SEI</v>
          </cell>
          <cell r="D179" t="str">
            <v>ARANDELA PLANA AC.GALV. PERNO  1/2"</v>
          </cell>
        </row>
        <row r="180">
          <cell r="B180">
            <v>991117</v>
          </cell>
          <cell r="C180" t="str">
            <v>BRL</v>
          </cell>
          <cell r="D180" t="str">
            <v>ARANDELA PLANA AC.GALV. PERNO  5/8"</v>
          </cell>
        </row>
        <row r="181">
          <cell r="B181">
            <v>991117</v>
          </cell>
          <cell r="C181" t="str">
            <v>CBC</v>
          </cell>
          <cell r="D181" t="str">
            <v>ARANDELA PLANA AC.GALV. PERNO  5/8"</v>
          </cell>
        </row>
        <row r="182">
          <cell r="B182">
            <v>991117</v>
          </cell>
          <cell r="C182" t="str">
            <v>PTT</v>
          </cell>
          <cell r="D182" t="str">
            <v>ARANDELA PLANA AC.GALV. PERNO  5/8"</v>
          </cell>
        </row>
        <row r="183">
          <cell r="B183">
            <v>991117</v>
          </cell>
          <cell r="C183" t="str">
            <v>SEI</v>
          </cell>
          <cell r="D183" t="str">
            <v>ARANDELA PLANA AC.GALV. PERNO  5/8"</v>
          </cell>
        </row>
        <row r="184">
          <cell r="B184">
            <v>991121</v>
          </cell>
          <cell r="C184" t="str">
            <v>CMD</v>
          </cell>
          <cell r="D184" t="str">
            <v>ARANDELA PLANA AC.GALV. 1/4 PULG.</v>
          </cell>
        </row>
        <row r="185">
          <cell r="B185">
            <v>991121</v>
          </cell>
          <cell r="C185" t="str">
            <v>ELR</v>
          </cell>
          <cell r="D185" t="str">
            <v>ARANDELA PLANA AC.GALV. 1/4 PULG.</v>
          </cell>
        </row>
        <row r="186">
          <cell r="B186">
            <v>991121</v>
          </cell>
          <cell r="C186" t="str">
            <v>MDP</v>
          </cell>
          <cell r="D186" t="str">
            <v>ARANDELA PLANA AC.GALV. 1/4 PULG.</v>
          </cell>
        </row>
        <row r="187">
          <cell r="B187">
            <v>991121</v>
          </cell>
          <cell r="C187" t="str">
            <v>PTT</v>
          </cell>
          <cell r="D187" t="str">
            <v>ARANDELA PLANA AC.GALV. 1/4 PULG.</v>
          </cell>
        </row>
        <row r="188">
          <cell r="B188">
            <v>991121</v>
          </cell>
          <cell r="C188" t="str">
            <v>SEI</v>
          </cell>
          <cell r="D188" t="str">
            <v>ARANDELA PLANA AC.GALV. 1/4 PULG.</v>
          </cell>
        </row>
        <row r="189">
          <cell r="B189">
            <v>992113</v>
          </cell>
          <cell r="C189" t="str">
            <v>BRL</v>
          </cell>
          <cell r="D189" t="str">
            <v>ARANDELA PRESION AC.GALV. P.PERNO DE 3/8"</v>
          </cell>
        </row>
        <row r="190">
          <cell r="B190">
            <v>992113</v>
          </cell>
          <cell r="C190" t="str">
            <v>CBC</v>
          </cell>
          <cell r="D190" t="str">
            <v>ARANDELA PRESION AC.GALV. P.PERNO DE 3/8"</v>
          </cell>
        </row>
        <row r="191">
          <cell r="B191">
            <v>992115</v>
          </cell>
          <cell r="C191" t="str">
            <v>BRL</v>
          </cell>
          <cell r="D191" t="str">
            <v>ARANDELA PRESION AC.GALV. P.PERNO DE 1/2"</v>
          </cell>
        </row>
        <row r="192">
          <cell r="B192">
            <v>992115</v>
          </cell>
          <cell r="C192" t="str">
            <v>CBC</v>
          </cell>
          <cell r="D192" t="str">
            <v>ARANDELA PRESION AC.GALV. P.PERNO DE 1/2"</v>
          </cell>
        </row>
        <row r="193">
          <cell r="B193">
            <v>1014207</v>
          </cell>
          <cell r="C193" t="str">
            <v>BAN</v>
          </cell>
          <cell r="D193" t="str">
            <v>FLEJE AC. INOX. ANCHO 13MM.</v>
          </cell>
        </row>
        <row r="194">
          <cell r="B194">
            <v>1014207</v>
          </cell>
          <cell r="C194" t="str">
            <v>HAB</v>
          </cell>
          <cell r="D194" t="str">
            <v>FLEJE AC. INOX. ANCHO 13MM.</v>
          </cell>
        </row>
        <row r="195">
          <cell r="B195">
            <v>1014207</v>
          </cell>
          <cell r="C195" t="str">
            <v>ITS</v>
          </cell>
          <cell r="D195" t="str">
            <v>FLEJE AC. INOX. ANCHO 13MM.</v>
          </cell>
        </row>
        <row r="196">
          <cell r="B196">
            <v>1014207</v>
          </cell>
          <cell r="C196" t="str">
            <v>PET</v>
          </cell>
          <cell r="D196" t="str">
            <v>FLEJE AC. INOX. ANCHO 13MM.</v>
          </cell>
        </row>
        <row r="197">
          <cell r="B197">
            <v>1014214</v>
          </cell>
          <cell r="C197" t="str">
            <v>BAN</v>
          </cell>
          <cell r="D197" t="str">
            <v>FLEJE AC. INOX. ANCHO 19MM.</v>
          </cell>
        </row>
        <row r="198">
          <cell r="B198">
            <v>1014214</v>
          </cell>
          <cell r="C198" t="str">
            <v>HAB</v>
          </cell>
          <cell r="D198" t="str">
            <v>FLEJE AC. INOX. ANCHO 19MM.</v>
          </cell>
        </row>
        <row r="199">
          <cell r="B199">
            <v>1014214</v>
          </cell>
          <cell r="C199" t="str">
            <v>ITS</v>
          </cell>
          <cell r="D199" t="str">
            <v>FLEJE AC. INOX. ANCHO 19MM.</v>
          </cell>
        </row>
        <row r="200">
          <cell r="B200">
            <v>1014214</v>
          </cell>
          <cell r="C200" t="str">
            <v>PET</v>
          </cell>
          <cell r="D200" t="str">
            <v>FLEJE AC. INOX. ANCHO 19MM.</v>
          </cell>
        </row>
        <row r="201">
          <cell r="B201">
            <v>1014216</v>
          </cell>
          <cell r="C201" t="str">
            <v>BAN</v>
          </cell>
          <cell r="D201" t="str">
            <v>FLEJE AC. INOX.  0.8 X 19 MM. X 30 M.</v>
          </cell>
        </row>
        <row r="202">
          <cell r="B202">
            <v>1014216</v>
          </cell>
          <cell r="C202" t="str">
            <v>PET</v>
          </cell>
          <cell r="D202" t="str">
            <v>FLEJE AC. INOX.  0.8 X 19 MM. X 30 M.</v>
          </cell>
        </row>
        <row r="203">
          <cell r="B203">
            <v>1014307</v>
          </cell>
          <cell r="C203" t="str">
            <v>BAN</v>
          </cell>
          <cell r="D203" t="str">
            <v>GRAPA (HEBILLA) AC. INOX. P.FLEJE 13MM. ANCHO</v>
          </cell>
        </row>
        <row r="204">
          <cell r="B204">
            <v>1014307</v>
          </cell>
          <cell r="C204" t="str">
            <v>HAB</v>
          </cell>
          <cell r="D204" t="str">
            <v>GRAPA (HEBILLA) AC. INOX. P.FLEJE 13MM. ANCHO</v>
          </cell>
        </row>
        <row r="205">
          <cell r="B205">
            <v>1014307</v>
          </cell>
          <cell r="C205" t="str">
            <v>ITS</v>
          </cell>
          <cell r="D205" t="str">
            <v>GRAPA (HEBILLA) AC. INOX. P.FLEJE 13MM. ANCHO</v>
          </cell>
        </row>
        <row r="206">
          <cell r="B206">
            <v>1014307</v>
          </cell>
          <cell r="C206" t="str">
            <v>PET</v>
          </cell>
          <cell r="D206" t="str">
            <v>GRAPA (HEBILLA) AC. INOX. P.FLEJE 13MM. ANCHO</v>
          </cell>
        </row>
        <row r="207">
          <cell r="B207">
            <v>1014309</v>
          </cell>
          <cell r="C207" t="str">
            <v>BAN</v>
          </cell>
          <cell r="D207" t="str">
            <v>GRAPA (HEBILLA) AC. INOX. P.FLEJE 19MM. ANCHO</v>
          </cell>
        </row>
        <row r="208">
          <cell r="B208">
            <v>1014309</v>
          </cell>
          <cell r="C208" t="str">
            <v>HAB</v>
          </cell>
          <cell r="D208" t="str">
            <v>GRAPA (HEBILLA) AC. INOX. P.FLEJE 19MM. ANCHO</v>
          </cell>
        </row>
        <row r="209">
          <cell r="B209">
            <v>1014309</v>
          </cell>
          <cell r="C209" t="str">
            <v>ITS</v>
          </cell>
          <cell r="D209" t="str">
            <v>GRAPA (HEBILLA) AC. INOX. P.FLEJE 19MM. ANCHO</v>
          </cell>
        </row>
        <row r="210">
          <cell r="B210">
            <v>1014309</v>
          </cell>
          <cell r="C210" t="str">
            <v>PET</v>
          </cell>
          <cell r="D210" t="str">
            <v>GRAPA (HEBILLA) AC. INOX. P.FLEJE 19MM. ANCHO</v>
          </cell>
        </row>
        <row r="211">
          <cell r="B211">
            <v>1015413</v>
          </cell>
          <cell r="C211" t="str">
            <v>CBC</v>
          </cell>
          <cell r="D211" t="str">
            <v>GUARDACABO DE ACERO GALV. P.CABLE 13MM DIAM. 1,5MM ESPESOR P.PROTEGER CABLE PORTANTE</v>
          </cell>
        </row>
        <row r="212">
          <cell r="B212">
            <v>1015413</v>
          </cell>
          <cell r="C212" t="str">
            <v>ELD</v>
          </cell>
          <cell r="D212" t="str">
            <v>GUARDACABO DE ACERO GALV. P.CABLE 13MM DIAM. 1,5MM ESPESOR P.PROTEGER CABLE PORTANTE</v>
          </cell>
        </row>
        <row r="213">
          <cell r="B213">
            <v>1021007</v>
          </cell>
          <cell r="C213" t="str">
            <v>FTE</v>
          </cell>
          <cell r="D213" t="str">
            <v>CANDADO AMAESTRADO DE AC.CROMADO  25 X 45 X 60MM.</v>
          </cell>
        </row>
        <row r="214">
          <cell r="B214">
            <v>1021113</v>
          </cell>
          <cell r="C214" t="str">
            <v>FTE</v>
          </cell>
          <cell r="D214" t="str">
            <v>CANDADO DE BRONCE TP.SERIADO 50MM LONG. P.SED C.S. CHACARILLA</v>
          </cell>
        </row>
        <row r="215">
          <cell r="B215">
            <v>1021113</v>
          </cell>
          <cell r="C215" t="str">
            <v>TRA</v>
          </cell>
          <cell r="D215" t="str">
            <v>CANDADO DE BRONCE TP.SERIADO 50MM LONG. P.SED C.S. CHACARILLA</v>
          </cell>
        </row>
        <row r="216">
          <cell r="B216">
            <v>1021114</v>
          </cell>
          <cell r="C216" t="str">
            <v>FTE</v>
          </cell>
          <cell r="D216" t="str">
            <v>CANDADO DE BRONCE TP.SERIADO 50MM LONG. P.SED C.S. SAN JUAN</v>
          </cell>
        </row>
        <row r="217">
          <cell r="B217">
            <v>1021114</v>
          </cell>
          <cell r="C217" t="str">
            <v>TRA</v>
          </cell>
          <cell r="D217" t="str">
            <v>CANDADO DE BRONCE TP.SERIADO 50MM LONG. P.SED C.S. SAN JUAN</v>
          </cell>
        </row>
        <row r="218">
          <cell r="B218">
            <v>1021115</v>
          </cell>
          <cell r="C218" t="str">
            <v>FTE</v>
          </cell>
          <cell r="D218" t="str">
            <v>CANDADO DE BRONCE TP.SERIADO 50MM LONG. P.MAXIMETRO C.S. SAN JUAN</v>
          </cell>
        </row>
        <row r="219">
          <cell r="B219">
            <v>1021115</v>
          </cell>
          <cell r="C219" t="str">
            <v>TRA</v>
          </cell>
          <cell r="D219" t="str">
            <v>CANDADO DE BRONCE TP.SERIADO 50MM LONG. P.MAXIMETRO C.S. SAN JUAN</v>
          </cell>
        </row>
        <row r="220">
          <cell r="B220">
            <v>1021118</v>
          </cell>
          <cell r="C220" t="str">
            <v>FTE</v>
          </cell>
          <cell r="D220" t="str">
            <v>CANDADO DE BRONCE TP.SERIADO 50MM LONG. P.MAXIMETRO C.S. VITARTE</v>
          </cell>
        </row>
        <row r="221">
          <cell r="B221">
            <v>1021118</v>
          </cell>
          <cell r="C221" t="str">
            <v>TRA</v>
          </cell>
          <cell r="D221" t="str">
            <v>CANDADO DE BRONCE TP.SERIADO 50MM LONG. P.MAXIMETRO C.S. VITARTE</v>
          </cell>
        </row>
        <row r="222">
          <cell r="B222">
            <v>1021120</v>
          </cell>
          <cell r="C222" t="str">
            <v>B&amp;D</v>
          </cell>
          <cell r="D222" t="str">
            <v>CANDADO DE BRONCE TP.SERIADO 50MM LONG. C.ROTULADO P.SUBESTACIONES DE DISTRIBUCION</v>
          </cell>
        </row>
        <row r="223">
          <cell r="B223">
            <v>1021120</v>
          </cell>
          <cell r="C223" t="str">
            <v>FTE</v>
          </cell>
          <cell r="D223" t="str">
            <v>CANDADO DE BRONCE TP.SERIADO 50MM LONG. C.ROTULADO P.SUBESTACIONES DE DISTRIBUCION</v>
          </cell>
        </row>
        <row r="224">
          <cell r="B224">
            <v>1021120</v>
          </cell>
          <cell r="C224" t="str">
            <v>FXS</v>
          </cell>
          <cell r="D224" t="str">
            <v>CANDADO DE BRONCE TP.SERIADO 50MM LONG. C.ROTULADO P.SUBESTACIONES DE DISTRIBUCION</v>
          </cell>
        </row>
        <row r="225">
          <cell r="B225">
            <v>1021123</v>
          </cell>
          <cell r="C225" t="str">
            <v>B&amp;D</v>
          </cell>
          <cell r="D225" t="str">
            <v>CANDADO DE BRONCE TP.SERIADO 50MM LONG. C.ROTULADO P.MAXIMETRO</v>
          </cell>
        </row>
        <row r="226">
          <cell r="B226">
            <v>1021123</v>
          </cell>
          <cell r="C226" t="str">
            <v>FTE</v>
          </cell>
          <cell r="D226" t="str">
            <v>CANDADO DE BRONCE TP.SERIADO 50MM LONG. C.ROTULADO P.MAXIMETRO</v>
          </cell>
        </row>
        <row r="227">
          <cell r="B227">
            <v>1021123</v>
          </cell>
          <cell r="C227" t="str">
            <v>FXS</v>
          </cell>
          <cell r="D227" t="str">
            <v>CANDADO DE BRONCE TP.SERIADO 50MM LONG. C.ROTULADO P.MAXIMETRO</v>
          </cell>
        </row>
        <row r="228">
          <cell r="B228">
            <v>1021234</v>
          </cell>
          <cell r="C228" t="str">
            <v>KES</v>
          </cell>
          <cell r="D228" t="str">
            <v>CERRADURA UNIVERSAL AMAESTRADO P.CJ.MET.TABLERO</v>
          </cell>
        </row>
        <row r="229">
          <cell r="B229">
            <v>1021240</v>
          </cell>
          <cell r="C229" t="str">
            <v>BRK</v>
          </cell>
          <cell r="D229" t="str">
            <v>CERRADURA TP. BARRIL MODELO G1</v>
          </cell>
        </row>
        <row r="230">
          <cell r="B230">
            <v>1021242</v>
          </cell>
          <cell r="C230" t="str">
            <v>BRK</v>
          </cell>
          <cell r="D230" t="str">
            <v>CERRADURA TP. BARRIL MODELO G2</v>
          </cell>
        </row>
        <row r="231">
          <cell r="B231">
            <v>1021244</v>
          </cell>
          <cell r="C231" t="str">
            <v>BRK</v>
          </cell>
          <cell r="D231" t="str">
            <v>CERRADURA TP. BARRIL MODELO G3</v>
          </cell>
        </row>
        <row r="232">
          <cell r="B232">
            <v>1021255</v>
          </cell>
          <cell r="C232" t="str">
            <v>MLK</v>
          </cell>
          <cell r="D232" t="str">
            <v>CERRADURA DE ACERO C.SISTEMA DE CILINDRO DE PINES, LLAVE INTELIGENTE P.PUERTA DE SUBESTACION</v>
          </cell>
        </row>
        <row r="233">
          <cell r="B233">
            <v>1021257</v>
          </cell>
          <cell r="C233" t="str">
            <v>MCO</v>
          </cell>
          <cell r="D233" t="str">
            <v>CERRADURA DE ACERO C.SISTEMA DE CILINDRO DE PINES, LLAVE DE CORTES ANGULARES P.PUERTA DE SUBESTACION</v>
          </cell>
        </row>
        <row r="234">
          <cell r="B234">
            <v>1021419</v>
          </cell>
          <cell r="C234" t="str">
            <v>FAS</v>
          </cell>
          <cell r="D234" t="str">
            <v>LLAVE MAESTRA P.CERRADURA CJ.MED. EN TAB.DISTRIB.</v>
          </cell>
        </row>
        <row r="235">
          <cell r="B235">
            <v>1021419</v>
          </cell>
          <cell r="C235" t="str">
            <v>TAL</v>
          </cell>
          <cell r="D235" t="str">
            <v>LLAVE MAESTRA P.CERRADURA CJ.MED. EN TAB.DISTRIB.</v>
          </cell>
        </row>
        <row r="236">
          <cell r="B236">
            <v>1021431</v>
          </cell>
          <cell r="C236" t="str">
            <v>IAT</v>
          </cell>
          <cell r="D236" t="str">
            <v>LLAVE TRIANG. AC.CROMADO P.CERRADURA</v>
          </cell>
        </row>
        <row r="237">
          <cell r="B237">
            <v>1021431</v>
          </cell>
          <cell r="C237" t="str">
            <v>TAL</v>
          </cell>
          <cell r="D237" t="str">
            <v>LLAVE TRIANG. AC.CROMADO P.CERRADURA</v>
          </cell>
        </row>
        <row r="238">
          <cell r="B238">
            <v>1021441</v>
          </cell>
          <cell r="C238" t="str">
            <v>BRK</v>
          </cell>
          <cell r="D238" t="str">
            <v>LLAVE P. CERRADURA TP.BARRIL MODELO G1 P.MED.DIRECTA</v>
          </cell>
        </row>
        <row r="239">
          <cell r="B239">
            <v>1021442</v>
          </cell>
          <cell r="C239" t="str">
            <v>BRK</v>
          </cell>
          <cell r="D239" t="str">
            <v>LLAVE P.CERRADURA TP.BARRIL MODELO G2 P.MED.INDIRECTA</v>
          </cell>
        </row>
        <row r="240">
          <cell r="B240">
            <v>1021446</v>
          </cell>
          <cell r="C240" t="str">
            <v>BRK</v>
          </cell>
          <cell r="D240" t="str">
            <v>LLAVE P.CERRADURA TP.BARRIL MODLO G3 P.MED.INDIRECTA</v>
          </cell>
        </row>
        <row r="241">
          <cell r="B241">
            <v>1021917</v>
          </cell>
          <cell r="C241" t="str">
            <v>KES</v>
          </cell>
          <cell r="D241" t="str">
            <v>CILINDRO AMAESTRADO P. CERRADURA EN SE.</v>
          </cell>
        </row>
        <row r="242">
          <cell r="B242">
            <v>1022910</v>
          </cell>
          <cell r="C242" t="str">
            <v>CMD</v>
          </cell>
          <cell r="D242" t="str">
            <v>ARMELLA DE ACERO GALV. 1/4" X 2"</v>
          </cell>
        </row>
        <row r="243">
          <cell r="B243">
            <v>1022910</v>
          </cell>
          <cell r="C243" t="str">
            <v>ELC</v>
          </cell>
          <cell r="D243" t="str">
            <v>ARMELLA DE ACERO GALV. 1/4" X 2"</v>
          </cell>
        </row>
        <row r="244">
          <cell r="B244">
            <v>1022910</v>
          </cell>
          <cell r="C244" t="str">
            <v>ELD</v>
          </cell>
          <cell r="D244" t="str">
            <v>ARMELLA DE ACERO GALV. 1/4" X 2"</v>
          </cell>
        </row>
        <row r="245">
          <cell r="B245">
            <v>1035121</v>
          </cell>
          <cell r="C245" t="str">
            <v>FNP</v>
          </cell>
          <cell r="D245" t="str">
            <v>CURVA PVC TP. SAP P. INST. ELECT. 90  3/4" P.CURVAS</v>
          </cell>
        </row>
        <row r="246">
          <cell r="B246">
            <v>1035121</v>
          </cell>
          <cell r="C246" t="str">
            <v>MAT</v>
          </cell>
          <cell r="D246" t="str">
            <v>CURVA PVC TP. SAP P. INST. ELECT. 90  3/4" P.CURVAS</v>
          </cell>
        </row>
        <row r="247">
          <cell r="B247">
            <v>1035121</v>
          </cell>
          <cell r="C247" t="str">
            <v>PLS</v>
          </cell>
          <cell r="D247" t="str">
            <v>CURVA PVC TP. SAP P. INST. ELECT. 90  3/4" P.CURVAS</v>
          </cell>
        </row>
        <row r="248">
          <cell r="B248">
            <v>1035121</v>
          </cell>
          <cell r="C248" t="str">
            <v>PTB</v>
          </cell>
          <cell r="D248" t="str">
            <v>CURVA PVC TP. SAP P. INST. ELECT. 90  3/4" P.CURVAS</v>
          </cell>
        </row>
        <row r="249">
          <cell r="B249">
            <v>1035123</v>
          </cell>
          <cell r="C249" t="str">
            <v>FNP</v>
          </cell>
          <cell r="D249" t="str">
            <v>CURVA PVC TP. SAP P. INST. ELECT. 90   1" DIAM.</v>
          </cell>
        </row>
        <row r="250">
          <cell r="B250">
            <v>1035123</v>
          </cell>
          <cell r="C250" t="str">
            <v>MAT</v>
          </cell>
          <cell r="D250" t="str">
            <v>CURVA PVC TP. SAP P. INST. ELECT. 90   1" DIAM.</v>
          </cell>
        </row>
        <row r="251">
          <cell r="B251">
            <v>1035123</v>
          </cell>
          <cell r="C251" t="str">
            <v>PLS</v>
          </cell>
          <cell r="D251" t="str">
            <v>CURVA PVC TP. SAP P. INST. ELECT. 90   1" DIAM.</v>
          </cell>
        </row>
        <row r="252">
          <cell r="B252">
            <v>1035123</v>
          </cell>
          <cell r="C252" t="str">
            <v>PTB</v>
          </cell>
          <cell r="D252" t="str">
            <v>CURVA PVC TP. SAP P. INST. ELECT. 90   1" DIAM.</v>
          </cell>
        </row>
        <row r="253">
          <cell r="B253">
            <v>1035124</v>
          </cell>
          <cell r="C253" t="str">
            <v>FNP</v>
          </cell>
          <cell r="D253" t="str">
            <v>CURVA PVC TP. SAP P. INST. ELECT. 90   1.1/2" DIAM.</v>
          </cell>
        </row>
        <row r="254">
          <cell r="B254">
            <v>1035124</v>
          </cell>
          <cell r="C254" t="str">
            <v>MAT</v>
          </cell>
          <cell r="D254" t="str">
            <v>CURVA PVC TP. SAP P. INST. ELECT. 90   1.1/2" DIAM.</v>
          </cell>
        </row>
        <row r="255">
          <cell r="B255">
            <v>1035124</v>
          </cell>
          <cell r="C255" t="str">
            <v>PLS</v>
          </cell>
          <cell r="D255" t="str">
            <v>CURVA PVC TP. SAP P. INST. ELECT. 90   1.1/2" DIAM.</v>
          </cell>
        </row>
        <row r="256">
          <cell r="B256">
            <v>1035124</v>
          </cell>
          <cell r="C256" t="str">
            <v>PTB</v>
          </cell>
          <cell r="D256" t="str">
            <v>CURVA PVC TP. SAP P. INST. ELECT. 90   1.1/2" DIAM.</v>
          </cell>
        </row>
        <row r="257">
          <cell r="B257">
            <v>1035125</v>
          </cell>
          <cell r="C257" t="str">
            <v>FNP</v>
          </cell>
          <cell r="D257" t="str">
            <v>CURVA PVC TP. SAP P. INST. ELECT. 90   2" DIAM.</v>
          </cell>
        </row>
        <row r="258">
          <cell r="B258">
            <v>1035125</v>
          </cell>
          <cell r="C258" t="str">
            <v>MAT</v>
          </cell>
          <cell r="D258" t="str">
            <v>CURVA PVC TP. SAP P. INST. ELECT. 90   2" DIAM.</v>
          </cell>
        </row>
        <row r="259">
          <cell r="B259">
            <v>1035125</v>
          </cell>
          <cell r="C259" t="str">
            <v>PLS</v>
          </cell>
          <cell r="D259" t="str">
            <v>CURVA PVC TP. SAP P. INST. ELECT. 90   2" DIAM.</v>
          </cell>
        </row>
        <row r="260">
          <cell r="B260">
            <v>1035125</v>
          </cell>
          <cell r="C260" t="str">
            <v>PTB</v>
          </cell>
          <cell r="D260" t="str">
            <v>CURVA PVC TP. SAP P. INST. ELECT. 90   2" DIAM.</v>
          </cell>
        </row>
        <row r="261">
          <cell r="B261">
            <v>1035127</v>
          </cell>
          <cell r="C261" t="str">
            <v>FNP</v>
          </cell>
          <cell r="D261" t="str">
            <v>CURVA PVC TP. SAP P. INST. ELECT. 90   3" DIAM.</v>
          </cell>
        </row>
        <row r="262">
          <cell r="B262">
            <v>1035127</v>
          </cell>
          <cell r="C262" t="str">
            <v>MAT</v>
          </cell>
          <cell r="D262" t="str">
            <v>CURVA PVC TP. SAP P. INST. ELECT. 90   3" DIAM.</v>
          </cell>
        </row>
        <row r="263">
          <cell r="B263">
            <v>1035127</v>
          </cell>
          <cell r="C263" t="str">
            <v>PLS</v>
          </cell>
          <cell r="D263" t="str">
            <v>CURVA PVC TP. SAP P. INST. ELECT. 90   3" DIAM.</v>
          </cell>
        </row>
        <row r="264">
          <cell r="B264">
            <v>1035127</v>
          </cell>
          <cell r="C264" t="str">
            <v>PTB</v>
          </cell>
          <cell r="D264" t="str">
            <v>CURVA PVC TP. SAP P. INST. ELECT. 90   3" DIAM.</v>
          </cell>
        </row>
        <row r="265">
          <cell r="B265">
            <v>1035128</v>
          </cell>
          <cell r="C265" t="str">
            <v>FNP</v>
          </cell>
          <cell r="D265" t="str">
            <v>CURVA PVC TP. SAP P. INST. ELECT. 90   4" DIAM.</v>
          </cell>
        </row>
        <row r="266">
          <cell r="B266">
            <v>1035128</v>
          </cell>
          <cell r="C266" t="str">
            <v>MAT</v>
          </cell>
          <cell r="D266" t="str">
            <v>CURVA PVC TP. SAP P. INST. ELECT. 90   4" DIAM.</v>
          </cell>
        </row>
        <row r="267">
          <cell r="B267">
            <v>1035128</v>
          </cell>
          <cell r="C267" t="str">
            <v>PLS</v>
          </cell>
          <cell r="D267" t="str">
            <v>CURVA PVC TP. SAP P. INST. ELECT. 90   4" DIAM.</v>
          </cell>
        </row>
        <row r="268">
          <cell r="B268">
            <v>1035128</v>
          </cell>
          <cell r="C268" t="str">
            <v>PTB</v>
          </cell>
          <cell r="D268" t="str">
            <v>CURVA PVC TP. SAP P. INST. ELECT. 90   4" DIAM.</v>
          </cell>
        </row>
        <row r="269">
          <cell r="B269">
            <v>1035712</v>
          </cell>
          <cell r="C269" t="str">
            <v>AMA</v>
          </cell>
          <cell r="D269" t="str">
            <v>TUBO DE PVC TIPO SAP DE 3/4" / 20MM DIAM.P.INSTALACION ELECTRICA</v>
          </cell>
        </row>
        <row r="270">
          <cell r="B270">
            <v>1035712</v>
          </cell>
          <cell r="C270" t="str">
            <v>FNP</v>
          </cell>
          <cell r="D270" t="str">
            <v>TUBO DE PVC TIPO SAP DE 3/4" / 20MM DIAM.P.INSTALACION ELECTRICA</v>
          </cell>
        </row>
        <row r="271">
          <cell r="B271">
            <v>1035712</v>
          </cell>
          <cell r="C271" t="str">
            <v>MAT</v>
          </cell>
          <cell r="D271" t="str">
            <v>TUBO DE PVC TIPO SAP DE 3/4" / 20MM DIAM.P.INSTALACION ELECTRICA</v>
          </cell>
        </row>
        <row r="272">
          <cell r="B272">
            <v>1035712</v>
          </cell>
          <cell r="C272" t="str">
            <v>PLS</v>
          </cell>
          <cell r="D272" t="str">
            <v>TUBO DE PVC TIPO SAP DE 3/4" / 20MM DIAM.P.INSTALACION ELECTRICA</v>
          </cell>
        </row>
        <row r="273">
          <cell r="B273">
            <v>1035712</v>
          </cell>
          <cell r="C273" t="str">
            <v>PTB</v>
          </cell>
          <cell r="D273" t="str">
            <v>TUBO DE PVC TIPO SAP DE 3/4" / 20MM DIAM.P.INSTALACION ELECTRICA</v>
          </cell>
        </row>
        <row r="274">
          <cell r="B274">
            <v>1035714</v>
          </cell>
          <cell r="C274" t="str">
            <v>AMA</v>
          </cell>
          <cell r="D274" t="str">
            <v>TUBO PVC TP. SAP P. INST. ELECT.  1"   DIAM.</v>
          </cell>
        </row>
        <row r="275">
          <cell r="B275">
            <v>1035714</v>
          </cell>
          <cell r="C275" t="str">
            <v>FNP</v>
          </cell>
          <cell r="D275" t="str">
            <v>TUBO PVC TP. SAP P. INST. ELECT.  1"   DIAM.</v>
          </cell>
        </row>
        <row r="276">
          <cell r="B276">
            <v>1035714</v>
          </cell>
          <cell r="C276" t="str">
            <v>MAT</v>
          </cell>
          <cell r="D276" t="str">
            <v>TUBO PVC TP. SAP P. INST. ELECT.  1"   DIAM.</v>
          </cell>
        </row>
        <row r="277">
          <cell r="B277">
            <v>1035714</v>
          </cell>
          <cell r="C277" t="str">
            <v>PLS</v>
          </cell>
          <cell r="D277" t="str">
            <v>TUBO PVC TP. SAP P. INST. ELECT.  1"   DIAM.</v>
          </cell>
        </row>
        <row r="278">
          <cell r="B278">
            <v>1035714</v>
          </cell>
          <cell r="C278" t="str">
            <v>PTB</v>
          </cell>
          <cell r="D278" t="str">
            <v>TUBO PVC TP. SAP P. INST. ELECT.  1"   DIAM.</v>
          </cell>
        </row>
        <row r="279">
          <cell r="B279">
            <v>1035715</v>
          </cell>
          <cell r="C279" t="str">
            <v>AMA</v>
          </cell>
          <cell r="D279" t="str">
            <v>TUBO PVC TP. SAP P. INST. ELECT.  1.1/4" DIAM.</v>
          </cell>
        </row>
        <row r="280">
          <cell r="B280">
            <v>1035716</v>
          </cell>
          <cell r="C280" t="str">
            <v>AMA</v>
          </cell>
          <cell r="D280" t="str">
            <v>TUBO PVC TP. SAP P. INST. ELECT.  1.1/2" DIAM.</v>
          </cell>
        </row>
        <row r="281">
          <cell r="B281">
            <v>1035718</v>
          </cell>
          <cell r="C281" t="str">
            <v>PTB</v>
          </cell>
          <cell r="D281" t="str">
            <v>TUBO PVC TP. SAP P. INST. ELECT.  2" DIAM.</v>
          </cell>
        </row>
        <row r="282">
          <cell r="B282">
            <v>1035721</v>
          </cell>
          <cell r="C282" t="str">
            <v>PTB</v>
          </cell>
          <cell r="D282" t="str">
            <v>TUBO PVC TP. SAP P. INST. ELECT.  3" DIAM.</v>
          </cell>
        </row>
        <row r="283">
          <cell r="B283">
            <v>1035732</v>
          </cell>
          <cell r="C283" t="str">
            <v>PTB</v>
          </cell>
          <cell r="D283" t="str">
            <v>TUBO PVC TP. SAP P. INST. ELECT.  4" DIAM.</v>
          </cell>
        </row>
        <row r="284">
          <cell r="B284">
            <v>1035744</v>
          </cell>
          <cell r="C284" t="str">
            <v>MAT</v>
          </cell>
          <cell r="D284" t="str">
            <v>TUBO DE PVC TIPO SEL DE 1" / 20MM DIAM.P.INSTALACION ELECTRICA</v>
          </cell>
        </row>
        <row r="285">
          <cell r="B285">
            <v>1035745</v>
          </cell>
          <cell r="C285" t="str">
            <v>AMA</v>
          </cell>
          <cell r="D285" t="str">
            <v>TUBO DE PVC TIPO SEL DE 1 1/4" / 25MM DIAM.P.INSTALACION ELECTRICA</v>
          </cell>
        </row>
        <row r="286">
          <cell r="B286">
            <v>1035745</v>
          </cell>
          <cell r="C286" t="str">
            <v>MAT</v>
          </cell>
          <cell r="D286" t="str">
            <v>TUBO DE PVC TIPO SEL DE 1 1/4" / 25MM DIAM.P.INSTALACION ELECTRICA</v>
          </cell>
        </row>
        <row r="287">
          <cell r="B287">
            <v>1035745</v>
          </cell>
          <cell r="C287" t="str">
            <v>PLS</v>
          </cell>
          <cell r="D287" t="str">
            <v>TUBO DE PVC TIPO SEL DE 1 1/4" / 25MM DIAM.P.INSTALACION ELECTRICA</v>
          </cell>
        </row>
        <row r="288">
          <cell r="B288">
            <v>1035745</v>
          </cell>
          <cell r="C288" t="str">
            <v>PTB</v>
          </cell>
          <cell r="D288" t="str">
            <v>TUBO DE PVC TIPO SEL DE 1 1/4" / 25MM DIAM.P.INSTALACION ELECTRICA</v>
          </cell>
        </row>
        <row r="289">
          <cell r="B289">
            <v>1035746</v>
          </cell>
          <cell r="C289" t="str">
            <v>AMA</v>
          </cell>
          <cell r="D289" t="str">
            <v>TUBO DE PVC TIPO SEL DE 1 1/2" / 35MM DIAM.P.INSTALACION ELECTRICA</v>
          </cell>
        </row>
        <row r="290">
          <cell r="B290">
            <v>1035746</v>
          </cell>
          <cell r="C290" t="str">
            <v>MAT</v>
          </cell>
          <cell r="D290" t="str">
            <v>TUBO DE PVC TIPO SEL DE 1 1/2" / 35MM DIAM.P.INSTALACION ELECTRICA</v>
          </cell>
        </row>
        <row r="291">
          <cell r="B291">
            <v>1035746</v>
          </cell>
          <cell r="C291" t="str">
            <v>PLS</v>
          </cell>
          <cell r="D291" t="str">
            <v>TUBO DE PVC TIPO SEL DE 1 1/2" / 35MM DIAM.P.INSTALACION ELECTRICA</v>
          </cell>
        </row>
        <row r="292">
          <cell r="B292">
            <v>1035746</v>
          </cell>
          <cell r="C292" t="str">
            <v>PTB</v>
          </cell>
          <cell r="D292" t="str">
            <v>TUBO DE PVC TIPO SEL DE 1 1/2" / 35MM DIAM.P.INSTALACION ELECTRICA</v>
          </cell>
        </row>
        <row r="293">
          <cell r="B293">
            <v>1074123</v>
          </cell>
          <cell r="C293" t="str">
            <v>LEG</v>
          </cell>
          <cell r="D293" t="str">
            <v>BORNE RESINA TERMOPLAST.TETRAP. 30A. 500V.   16MM2</v>
          </cell>
        </row>
        <row r="294">
          <cell r="B294">
            <v>1074132</v>
          </cell>
          <cell r="C294" t="str">
            <v>ENT</v>
          </cell>
          <cell r="D294" t="str">
            <v>BORNERA CONEXION P.RELE MULTIFUNCION B.T.</v>
          </cell>
        </row>
        <row r="295">
          <cell r="B295">
            <v>1074160</v>
          </cell>
          <cell r="C295" t="str">
            <v>ENT</v>
          </cell>
          <cell r="D295" t="str">
            <v>BORNERA CONEXION P.MED.ELECTR. 5 BORNES/10KV.</v>
          </cell>
        </row>
        <row r="296">
          <cell r="B296">
            <v>1074175</v>
          </cell>
          <cell r="C296" t="str">
            <v>ENT</v>
          </cell>
          <cell r="D296" t="str">
            <v>JUEGO BORNERAS SECCIONABLES 8 BORNES 8AWG 600V 5 BORNES 5H 10KV 3 BORNES P.TOMA BT P.RIEL DIN STD</v>
          </cell>
        </row>
        <row r="297">
          <cell r="B297">
            <v>1074176</v>
          </cell>
          <cell r="C297" t="str">
            <v>ENT</v>
          </cell>
          <cell r="D297" t="str">
            <v>JUEGO BORNERAS SECCIONABLES 10 BORNES 8AWG 600V 7 BORNES 7H 22,9KV 3 BORNES P.TOMA BT P.RIEL DIN STD</v>
          </cell>
        </row>
        <row r="298">
          <cell r="B298">
            <v>1074179</v>
          </cell>
          <cell r="C298" t="str">
            <v>ENT</v>
          </cell>
          <cell r="D298" t="str">
            <v>BORNERA SECCIONABLE P. SISTEMA DE MEDICION 3 BORNES P.SISTEMA EN BAJA TENSION</v>
          </cell>
        </row>
        <row r="299">
          <cell r="B299">
            <v>1074180</v>
          </cell>
          <cell r="C299" t="str">
            <v>ENT</v>
          </cell>
          <cell r="D299" t="str">
            <v>BORNERA CONEXION P.MED.ELECTR. 6 BORNES/B.T.</v>
          </cell>
        </row>
        <row r="300">
          <cell r="B300">
            <v>1213116</v>
          </cell>
          <cell r="C300" t="str">
            <v>BAC</v>
          </cell>
          <cell r="D300" t="str">
            <v>ALICATE AISL.PTA.PLANA BOC.DENTADA Y CORTE  210MML</v>
          </cell>
        </row>
        <row r="301">
          <cell r="B301">
            <v>1213116</v>
          </cell>
          <cell r="C301" t="str">
            <v>KLE</v>
          </cell>
          <cell r="D301" t="str">
            <v>ALICATE AISL.PTA.PLANA BOC.DENTADA Y CORTE  210MML</v>
          </cell>
        </row>
        <row r="302">
          <cell r="B302">
            <v>1213116</v>
          </cell>
          <cell r="C302" t="str">
            <v>STA</v>
          </cell>
          <cell r="D302" t="str">
            <v>ALICATE AISL.PTA.PLANA BOC.DENTADA Y CORTE  210MML</v>
          </cell>
        </row>
        <row r="303">
          <cell r="B303">
            <v>1213120</v>
          </cell>
          <cell r="C303" t="str">
            <v>SIB</v>
          </cell>
          <cell r="D303" t="str">
            <v>ALICATE DE PINZAS 200MM L. PUNTA SEMI REDONDA AISLADA 1000V.</v>
          </cell>
        </row>
        <row r="304">
          <cell r="B304">
            <v>1213123</v>
          </cell>
          <cell r="C304" t="str">
            <v>KPX</v>
          </cell>
          <cell r="D304" t="str">
            <v>ALICATE "PINZA" BOCA LARGA SEMI REDONDA AISLADO 168 MM (6 1/2") LONG. APROX.</v>
          </cell>
        </row>
        <row r="305">
          <cell r="B305">
            <v>1213123</v>
          </cell>
          <cell r="C305" t="str">
            <v>SIB</v>
          </cell>
          <cell r="D305" t="str">
            <v>ALICATE "PINZA" BOCA LARGA SEMI REDONDA AISLADO 168 MM (6 1/2") LONG. APROX.</v>
          </cell>
        </row>
        <row r="306">
          <cell r="B306">
            <v>1213136</v>
          </cell>
          <cell r="C306" t="str">
            <v>BAC</v>
          </cell>
          <cell r="D306" t="str">
            <v>ALICATE ACERO AISL. 10 KV. PTA.PLANA BOCA DENT. DOBLE CORTE 203MML TAM.2</v>
          </cell>
        </row>
        <row r="307">
          <cell r="B307">
            <v>1213136</v>
          </cell>
          <cell r="C307" t="str">
            <v>KLE</v>
          </cell>
          <cell r="D307" t="str">
            <v>ALICATE ACERO AISL. 10 KV. PTA.PLANA BOCA DENT. DOBLE CORTE 203MML TAM.2</v>
          </cell>
        </row>
        <row r="308">
          <cell r="B308">
            <v>1213136</v>
          </cell>
          <cell r="C308" t="str">
            <v>STA</v>
          </cell>
          <cell r="D308" t="str">
            <v>ALICATE ACERO AISL. 10 KV. PTA.PLANA BOCA DENT. DOBLE CORTE 203MML TAM.2</v>
          </cell>
        </row>
        <row r="309">
          <cell r="B309">
            <v>1213138</v>
          </cell>
          <cell r="C309" t="str">
            <v>DRC</v>
          </cell>
          <cell r="D309" t="str">
            <v>ALICATE UNIVERSAL AISLADO 185 MM (7") LONG. APROX.</v>
          </cell>
        </row>
        <row r="310">
          <cell r="B310">
            <v>1213138</v>
          </cell>
          <cell r="C310" t="str">
            <v>KPX</v>
          </cell>
          <cell r="D310" t="str">
            <v>ALICATE UNIVERSAL AISLADO 185 MM (7") LONG. APROX.</v>
          </cell>
        </row>
        <row r="311">
          <cell r="B311">
            <v>1213138</v>
          </cell>
          <cell r="C311" t="str">
            <v>SIB</v>
          </cell>
          <cell r="D311" t="str">
            <v>ALICATE UNIVERSAL AISLADO 185 MM (7") LONG. APROX.</v>
          </cell>
        </row>
        <row r="312">
          <cell r="B312">
            <v>1213138</v>
          </cell>
          <cell r="C312" t="str">
            <v>WHA</v>
          </cell>
          <cell r="D312" t="str">
            <v>ALICATE UNIVERSAL AISLADO 185 MM (7") LONG. APROX.</v>
          </cell>
        </row>
        <row r="313">
          <cell r="B313">
            <v>1213144</v>
          </cell>
          <cell r="C313" t="str">
            <v>DRC</v>
          </cell>
          <cell r="D313" t="str">
            <v>ALICATE UNIVERSAL DE MATERIAL AISLANTE (COMPOSITE) 200MM.</v>
          </cell>
        </row>
        <row r="314">
          <cell r="B314">
            <v>1213145</v>
          </cell>
          <cell r="C314" t="str">
            <v>KPX</v>
          </cell>
          <cell r="D314" t="str">
            <v>ALICATE UNIVERSAL AISLADO 210 MM (8") LONG. APROX.</v>
          </cell>
        </row>
        <row r="315">
          <cell r="B315">
            <v>1213145</v>
          </cell>
          <cell r="C315" t="str">
            <v>SIB</v>
          </cell>
          <cell r="D315" t="str">
            <v>ALICATE UNIVERSAL AISLADO 210 MM (8") LONG. APROX.</v>
          </cell>
        </row>
        <row r="316">
          <cell r="B316">
            <v>1213145</v>
          </cell>
          <cell r="C316" t="str">
            <v>WHA</v>
          </cell>
          <cell r="D316" t="str">
            <v>ALICATE UNIVERSAL AISLADO 210 MM (8") LONG. APROX.</v>
          </cell>
        </row>
        <row r="317">
          <cell r="B317">
            <v>1213250</v>
          </cell>
          <cell r="C317" t="str">
            <v>DRC</v>
          </cell>
          <cell r="D317" t="str">
            <v>ALICATE CORTE DIAGONAL AISLADO  168 MM (6 1/2") LONG. APROX.</v>
          </cell>
        </row>
        <row r="318">
          <cell r="B318">
            <v>1213250</v>
          </cell>
          <cell r="C318" t="str">
            <v>KPX</v>
          </cell>
          <cell r="D318" t="str">
            <v>ALICATE CORTE DIAGONAL AISLADO  168 MM (6 1/2") LONG. APROX.</v>
          </cell>
        </row>
        <row r="319">
          <cell r="B319">
            <v>1213250</v>
          </cell>
          <cell r="C319" t="str">
            <v>SIB</v>
          </cell>
          <cell r="D319" t="str">
            <v>ALICATE CORTE DIAGONAL AISLADO  168 MM (6 1/2") LONG. APROX.</v>
          </cell>
        </row>
        <row r="320">
          <cell r="B320">
            <v>1213250</v>
          </cell>
          <cell r="C320" t="str">
            <v>WHA</v>
          </cell>
          <cell r="D320" t="str">
            <v>ALICATE CORTE DIAGONAL AISLADO  168 MM (6 1/2") LONG. APROX.</v>
          </cell>
        </row>
        <row r="321">
          <cell r="B321">
            <v>1213268</v>
          </cell>
          <cell r="C321" t="str">
            <v>BAC</v>
          </cell>
          <cell r="D321" t="str">
            <v>ALICATE CORTE DIAGONAL AISLADO  185 MM (7") LONG. APROX.</v>
          </cell>
        </row>
        <row r="322">
          <cell r="B322">
            <v>1213268</v>
          </cell>
          <cell r="C322" t="str">
            <v>KLE</v>
          </cell>
          <cell r="D322" t="str">
            <v>ALICATE CORTE DIAGONAL AISLADO  185 MM (7") LONG. APROX.</v>
          </cell>
        </row>
        <row r="323">
          <cell r="B323">
            <v>1213268</v>
          </cell>
          <cell r="C323" t="str">
            <v>KPX</v>
          </cell>
          <cell r="D323" t="str">
            <v>ALICATE CORTE DIAGONAL AISLADO  185 MM (7") LONG. APROX.</v>
          </cell>
        </row>
        <row r="324">
          <cell r="B324">
            <v>1213268</v>
          </cell>
          <cell r="C324" t="str">
            <v>SIB</v>
          </cell>
          <cell r="D324" t="str">
            <v>ALICATE CORTE DIAGONAL AISLADO  185 MM (7") LONG. APROX.</v>
          </cell>
        </row>
        <row r="325">
          <cell r="B325">
            <v>1213268</v>
          </cell>
          <cell r="C325" t="str">
            <v>STA</v>
          </cell>
          <cell r="D325" t="str">
            <v>ALICATE CORTE DIAGONAL AISLADO  185 MM (7") LONG. APROX.</v>
          </cell>
        </row>
        <row r="326">
          <cell r="B326">
            <v>1213268</v>
          </cell>
          <cell r="C326" t="str">
            <v>SVK</v>
          </cell>
          <cell r="D326" t="str">
            <v>ALICATE CORTE DIAGONAL AISLADO  185 MM (7") LONG. APROX.</v>
          </cell>
        </row>
        <row r="327">
          <cell r="B327">
            <v>1213268</v>
          </cell>
          <cell r="C327" t="str">
            <v>WHA</v>
          </cell>
          <cell r="D327" t="str">
            <v>ALICATE CORTE DIAGONAL AISLADO  185 MM (7") LONG. APROX.</v>
          </cell>
        </row>
        <row r="328">
          <cell r="B328">
            <v>1213272</v>
          </cell>
          <cell r="C328" t="str">
            <v>KPX</v>
          </cell>
          <cell r="D328" t="str">
            <v>ALICATE TIPO PICO DE LORO AISLADO 300MM</v>
          </cell>
        </row>
        <row r="329">
          <cell r="B329">
            <v>1213272</v>
          </cell>
          <cell r="C329" t="str">
            <v>SIB</v>
          </cell>
          <cell r="D329" t="str">
            <v>ALICATE TIPO PICO DE LORO AISLADO 300MM</v>
          </cell>
        </row>
        <row r="330">
          <cell r="B330">
            <v>1213272</v>
          </cell>
          <cell r="C330" t="str">
            <v>WHA</v>
          </cell>
          <cell r="D330" t="str">
            <v>ALICATE TIPO PICO DE LORO AISLADO 300MM</v>
          </cell>
        </row>
        <row r="331">
          <cell r="B331">
            <v>1213273</v>
          </cell>
          <cell r="C331" t="str">
            <v>KPX</v>
          </cell>
          <cell r="D331" t="str">
            <v>ALICATE TIPO PICO DE LORO AISLADO 250MM</v>
          </cell>
        </row>
        <row r="332">
          <cell r="B332">
            <v>1213273</v>
          </cell>
          <cell r="C332" t="str">
            <v>SIB</v>
          </cell>
          <cell r="D332" t="str">
            <v>ALICATE TIPO PICO DE LORO AISLADO 250MM</v>
          </cell>
        </row>
        <row r="333">
          <cell r="B333">
            <v>1213273</v>
          </cell>
          <cell r="C333" t="str">
            <v>WHA</v>
          </cell>
          <cell r="D333" t="str">
            <v>ALICATE TIPO PICO DE LORO AISLADO 250MM</v>
          </cell>
        </row>
        <row r="334">
          <cell r="B334">
            <v>1213810</v>
          </cell>
          <cell r="C334" t="str">
            <v>DRC</v>
          </cell>
          <cell r="D334" t="str">
            <v>CUCHILLA PTA.CURVA PARA PELAR ALAMBRE  C/AISLAM.    200MML</v>
          </cell>
        </row>
        <row r="335">
          <cell r="B335">
            <v>1213810</v>
          </cell>
          <cell r="C335" t="str">
            <v>KLE</v>
          </cell>
          <cell r="D335" t="str">
            <v>CUCHILLA PTA.CURVA PARA PELAR ALAMBRE  C/AISLAM.    200MML</v>
          </cell>
        </row>
        <row r="336">
          <cell r="B336">
            <v>1213810</v>
          </cell>
          <cell r="C336" t="str">
            <v>KPX</v>
          </cell>
          <cell r="D336" t="str">
            <v>CUCHILLA PTA.CURVA PARA PELAR ALAMBRE  C/AISLAM.    200MML</v>
          </cell>
        </row>
        <row r="337">
          <cell r="B337">
            <v>1213812</v>
          </cell>
          <cell r="C337" t="str">
            <v>KPX</v>
          </cell>
          <cell r="D337" t="str">
            <v>CUCHILLA.PTA.CURVA P/PELAR ALAMBRE.75MML.</v>
          </cell>
        </row>
        <row r="338">
          <cell r="B338">
            <v>1213815</v>
          </cell>
          <cell r="C338" t="str">
            <v>SIB</v>
          </cell>
          <cell r="D338" t="str">
            <v>CUCHILLA AISLADA DE HOJA REDONDEADA 165 MM DE LONG. TOTAL APROX.</v>
          </cell>
        </row>
        <row r="339">
          <cell r="B339">
            <v>1213850</v>
          </cell>
          <cell r="C339" t="str">
            <v>KLE</v>
          </cell>
          <cell r="D339" t="str">
            <v>CIZALLA CORTA CABLES COBRE O ALUMINIO DE 32" (813MM.)</v>
          </cell>
        </row>
        <row r="340">
          <cell r="B340">
            <v>1213920</v>
          </cell>
          <cell r="C340" t="str">
            <v>RAY</v>
          </cell>
          <cell r="D340" t="str">
            <v>PELADOR DE CABLE AUTOPORTANTE MEDIA TENSION</v>
          </cell>
        </row>
        <row r="341">
          <cell r="B341">
            <v>1214102</v>
          </cell>
          <cell r="C341" t="str">
            <v>KPX</v>
          </cell>
          <cell r="D341" t="str">
            <v>DESTORNILLADOR AISLADO 200MMX4MM.</v>
          </cell>
        </row>
        <row r="342">
          <cell r="B342">
            <v>1214104</v>
          </cell>
          <cell r="C342" t="str">
            <v>DRC</v>
          </cell>
          <cell r="D342" t="str">
            <v>DESTORNILLADOR AISL.HJ.RED.DELG.PTA.PLANA 100X 3MM</v>
          </cell>
        </row>
        <row r="343">
          <cell r="B343">
            <v>1214104</v>
          </cell>
          <cell r="C343" t="str">
            <v>SIB</v>
          </cell>
          <cell r="D343" t="str">
            <v>DESTORNILLADOR AISL.HJ.RED.DELG.PTA.PLANA 100X 3MM</v>
          </cell>
        </row>
        <row r="344">
          <cell r="B344">
            <v>1214111</v>
          </cell>
          <cell r="C344" t="str">
            <v>DRC</v>
          </cell>
          <cell r="D344" t="str">
            <v>DESTORNILLADOR AISLADO 150 MM X 6.5 MM PUNTA PLANA</v>
          </cell>
        </row>
        <row r="345">
          <cell r="B345">
            <v>1214111</v>
          </cell>
          <cell r="C345" t="str">
            <v>KPX</v>
          </cell>
          <cell r="D345" t="str">
            <v>DESTORNILLADOR AISLADO 150 MM X 6.5 MM PUNTA PLANA</v>
          </cell>
        </row>
        <row r="346">
          <cell r="B346">
            <v>1214111</v>
          </cell>
          <cell r="C346" t="str">
            <v>SIB</v>
          </cell>
          <cell r="D346" t="str">
            <v>DESTORNILLADOR AISLADO 150 MM X 6.5 MM PUNTA PLANA</v>
          </cell>
        </row>
        <row r="347">
          <cell r="B347">
            <v>1214111</v>
          </cell>
          <cell r="C347" t="str">
            <v>WHA</v>
          </cell>
          <cell r="D347" t="str">
            <v>DESTORNILLADOR AISLADO 150 MM X 6.5 MM PUNTA PLANA</v>
          </cell>
        </row>
        <row r="348">
          <cell r="B348">
            <v>1214116</v>
          </cell>
          <cell r="C348" t="str">
            <v>WHA</v>
          </cell>
          <cell r="D348" t="str">
            <v>DESTORNILLADOR AISL.HJ.RED.DELG.PTA.PLANA 150X 6MM</v>
          </cell>
        </row>
        <row r="349">
          <cell r="B349">
            <v>1214118</v>
          </cell>
          <cell r="C349" t="str">
            <v>DRC</v>
          </cell>
          <cell r="D349" t="str">
            <v>DESTORNILLADOR AISLADO 150 MM X 8 MM PUNTA PLANA</v>
          </cell>
        </row>
        <row r="350">
          <cell r="B350">
            <v>1214118</v>
          </cell>
          <cell r="C350" t="str">
            <v>SIB</v>
          </cell>
          <cell r="D350" t="str">
            <v>DESTORNILLADOR AISLADO 150 MM X 8 MM PUNTA PLANA</v>
          </cell>
        </row>
        <row r="351">
          <cell r="B351">
            <v>1214118</v>
          </cell>
          <cell r="C351" t="str">
            <v>WHA</v>
          </cell>
          <cell r="D351" t="str">
            <v>DESTORNILLADOR AISLADO 150 MM X 8 MM PUNTA PLANA</v>
          </cell>
        </row>
        <row r="352">
          <cell r="B352">
            <v>1214125</v>
          </cell>
          <cell r="C352" t="str">
            <v>KPX</v>
          </cell>
          <cell r="D352" t="str">
            <v>DESTORNILLADOR AISLADO 250 MM X 10 MM PUNTA PLANA</v>
          </cell>
        </row>
        <row r="353">
          <cell r="B353">
            <v>1214125</v>
          </cell>
          <cell r="C353" t="str">
            <v>SIB</v>
          </cell>
          <cell r="D353" t="str">
            <v>DESTORNILLADOR AISLADO 250 MM X 10 MM PUNTA PLANA</v>
          </cell>
        </row>
        <row r="354">
          <cell r="B354">
            <v>1214169</v>
          </cell>
          <cell r="C354" t="str">
            <v>SIB</v>
          </cell>
          <cell r="D354" t="str">
            <v>DESTORNILLADOR PUNTA PLANA 4X120MM AISLADO</v>
          </cell>
        </row>
        <row r="355">
          <cell r="B355">
            <v>1214173</v>
          </cell>
          <cell r="C355" t="str">
            <v>SIB</v>
          </cell>
          <cell r="D355" t="str">
            <v>DESTORNILLADOR AISLADO 40MM PTA. PLANA  6.5 MM (ESPESOR). TIPO PERILLA</v>
          </cell>
        </row>
        <row r="356">
          <cell r="B356">
            <v>1214188</v>
          </cell>
          <cell r="C356" t="str">
            <v>WHA</v>
          </cell>
          <cell r="D356" t="str">
            <v>DESTORNILLADOR AISLADO 200 MM X 10 MM PUNTA PLANA</v>
          </cell>
        </row>
        <row r="357">
          <cell r="B357">
            <v>1214192</v>
          </cell>
          <cell r="C357" t="str">
            <v>KPX</v>
          </cell>
          <cell r="D357" t="str">
            <v>DESTORNILLADOR AISL.HJ.RED.PTA.PLAN.GRUES.300X10MM</v>
          </cell>
        </row>
        <row r="358">
          <cell r="B358">
            <v>1214216</v>
          </cell>
          <cell r="C358" t="str">
            <v>DRC</v>
          </cell>
          <cell r="D358" t="str">
            <v>DESTORNILLADOR ESTRELLA 6X40 MM.</v>
          </cell>
        </row>
        <row r="359">
          <cell r="B359">
            <v>1214216</v>
          </cell>
          <cell r="C359" t="str">
            <v>SIB</v>
          </cell>
          <cell r="D359" t="str">
            <v>DESTORNILLADOR ESTRELLA 6X40 MM.</v>
          </cell>
        </row>
        <row r="360">
          <cell r="B360">
            <v>1214218</v>
          </cell>
          <cell r="C360" t="str">
            <v>DRC</v>
          </cell>
          <cell r="D360" t="str">
            <v>DESTORNILLADOR AISL.HJ.RED.PTA.ESTRELLA  100X6  MM</v>
          </cell>
        </row>
        <row r="361">
          <cell r="B361">
            <v>1214220</v>
          </cell>
          <cell r="C361" t="str">
            <v>DRC</v>
          </cell>
          <cell r="D361" t="str">
            <v>DESTORNILLADOR AISLADO 125 MM X 6 MM PUNTA ESTRELLA</v>
          </cell>
        </row>
        <row r="362">
          <cell r="B362">
            <v>1214220</v>
          </cell>
          <cell r="C362" t="str">
            <v>KPX</v>
          </cell>
          <cell r="D362" t="str">
            <v>DESTORNILLADOR AISLADO 125 MM X 6 MM PUNTA ESTRELLA</v>
          </cell>
        </row>
        <row r="363">
          <cell r="B363">
            <v>1214220</v>
          </cell>
          <cell r="C363" t="str">
            <v>SIB</v>
          </cell>
          <cell r="D363" t="str">
            <v>DESTORNILLADOR AISLADO 125 MM X 6 MM PUNTA ESTRELLA</v>
          </cell>
        </row>
        <row r="364">
          <cell r="B364">
            <v>1214220</v>
          </cell>
          <cell r="C364" t="str">
            <v>WHA</v>
          </cell>
          <cell r="D364" t="str">
            <v>DESTORNILLADOR AISLADO 125 MM X 6 MM PUNTA ESTRELLA</v>
          </cell>
        </row>
        <row r="365">
          <cell r="B365">
            <v>1214224</v>
          </cell>
          <cell r="C365" t="str">
            <v>WHA</v>
          </cell>
          <cell r="D365" t="str">
            <v>DESTORNILLADOR AISLADO 150 MM X 8 MM PUNTA ESTRELLA</v>
          </cell>
        </row>
        <row r="366">
          <cell r="B366">
            <v>1214225</v>
          </cell>
          <cell r="C366" t="str">
            <v>KPX</v>
          </cell>
          <cell r="D366" t="str">
            <v>DESTORNILLADOR AISLADO 150 MM X 4 MM PUNTA ESTRELLA</v>
          </cell>
        </row>
        <row r="367">
          <cell r="B367">
            <v>1214225</v>
          </cell>
          <cell r="C367" t="str">
            <v>SIB</v>
          </cell>
          <cell r="D367" t="str">
            <v>DESTORNILLADOR AISLADO 150 MM X 4 MM PUNTA ESTRELLA</v>
          </cell>
        </row>
        <row r="368">
          <cell r="B368">
            <v>1214225</v>
          </cell>
          <cell r="C368" t="str">
            <v>WHA</v>
          </cell>
          <cell r="D368" t="str">
            <v>DESTORNILLADOR AISLADO 150 MM X 4 MM PUNTA ESTRELLA</v>
          </cell>
        </row>
        <row r="369">
          <cell r="B369">
            <v>1214240</v>
          </cell>
          <cell r="C369" t="str">
            <v>WHA</v>
          </cell>
          <cell r="D369" t="str">
            <v>USAR MATRICULA NRO. &lt;1214230&gt; DESTORNILLADOR AISLADO 200 MM X 10 MM PUNTA ESTRELLA</v>
          </cell>
        </row>
        <row r="370">
          <cell r="B370">
            <v>1216010</v>
          </cell>
          <cell r="C370" t="str">
            <v>DRC</v>
          </cell>
          <cell r="D370" t="str">
            <v>LLAVE AJUSTABLE (FRANCESA) AISLADA 260 MM (10") LONG. X 30 MM (1 3/16") APERT. MAX. APROX.</v>
          </cell>
        </row>
        <row r="371">
          <cell r="B371">
            <v>1216010</v>
          </cell>
          <cell r="C371" t="str">
            <v>SIB</v>
          </cell>
          <cell r="D371" t="str">
            <v>LLAVE AJUSTABLE (FRANCESA) AISLADA 260 MM (10") LONG. X 30 MM (1 3/16") APERT. MAX. APROX.</v>
          </cell>
        </row>
        <row r="372">
          <cell r="B372">
            <v>1216010</v>
          </cell>
          <cell r="C372" t="str">
            <v>WHA</v>
          </cell>
          <cell r="D372" t="str">
            <v>LLAVE AJUSTABLE (FRANCESA) AISLADA 260 MM (10") LONG. X 30 MM (1 3/16") APERT. MAX. APROX.</v>
          </cell>
        </row>
        <row r="373">
          <cell r="B373">
            <v>1216012</v>
          </cell>
          <cell r="C373" t="str">
            <v>DRC</v>
          </cell>
          <cell r="D373" t="str">
            <v>LLAVE AJUSTABLE (FRANCESA) AISLADA 310 MM (12") LONG. X 34 MM (1 5/16") APERT. MAX. APROX.</v>
          </cell>
        </row>
        <row r="374">
          <cell r="B374">
            <v>1216012</v>
          </cell>
          <cell r="C374" t="str">
            <v>SIB</v>
          </cell>
          <cell r="D374" t="str">
            <v>LLAVE AJUSTABLE (FRANCESA) AISLADA 310 MM (12") LONG. X 34 MM (1 5/16") APERT. MAX. APROX.</v>
          </cell>
        </row>
        <row r="375">
          <cell r="B375">
            <v>1216012</v>
          </cell>
          <cell r="C375" t="str">
            <v>WHA</v>
          </cell>
          <cell r="D375" t="str">
            <v>LLAVE AJUSTABLE (FRANCESA) AISLADA 310 MM (12") LONG. X 34 MM (1 5/16") APERT. MAX. APROX.</v>
          </cell>
        </row>
        <row r="376">
          <cell r="B376">
            <v>1216013</v>
          </cell>
          <cell r="C376" t="str">
            <v>WHA</v>
          </cell>
          <cell r="D376" t="str">
            <v>LLAVE AJUSTABLE (FRANCESA) AISLADA 380 MM (15") LONG. X 44 MM (1 3/4") APERT. MAX. APROX.</v>
          </cell>
        </row>
        <row r="377">
          <cell r="B377">
            <v>1216016</v>
          </cell>
          <cell r="C377" t="str">
            <v>SIB</v>
          </cell>
          <cell r="D377" t="str">
            <v>LLAVE AJUSTABLE (FRANCESA) AISLADA 210 MM (8") LONG. X 27 MM (1 1/8") APERT. MAX. APROX.</v>
          </cell>
        </row>
        <row r="378">
          <cell r="B378">
            <v>1216016</v>
          </cell>
          <cell r="C378" t="str">
            <v>WHA</v>
          </cell>
          <cell r="D378" t="str">
            <v>LLAVE AJUSTABLE (FRANCESA) AISLADA 210 MM (8") LONG. X 27 MM (1 1/8") APERT. MAX. APROX.</v>
          </cell>
        </row>
        <row r="379">
          <cell r="B379">
            <v>1216613</v>
          </cell>
          <cell r="C379" t="str">
            <v>SIB</v>
          </cell>
          <cell r="D379" t="str">
            <v>LLAVE CORONA.3/4 X228MM.</v>
          </cell>
        </row>
        <row r="380">
          <cell r="B380">
            <v>1217008</v>
          </cell>
          <cell r="C380" t="str">
            <v>KPX</v>
          </cell>
          <cell r="D380" t="str">
            <v>LLAVES ALLEN EXAGONAL DE 1,5 - 10 MM.</v>
          </cell>
        </row>
        <row r="381">
          <cell r="B381">
            <v>1217008</v>
          </cell>
          <cell r="C381" t="str">
            <v>SIB</v>
          </cell>
          <cell r="D381" t="str">
            <v>LLAVES ALLEN EXAGONAL DE 1,5 - 10 MM.</v>
          </cell>
        </row>
        <row r="382">
          <cell r="B382">
            <v>1217012</v>
          </cell>
          <cell r="C382" t="str">
            <v>KPX</v>
          </cell>
          <cell r="D382" t="str">
            <v>LLAVE ALLEN EXAGONAL AC.AISLADA PERNO IMBUSS 5/16"</v>
          </cell>
        </row>
        <row r="383">
          <cell r="B383">
            <v>1217710</v>
          </cell>
          <cell r="C383" t="str">
            <v>DRC</v>
          </cell>
          <cell r="D383" t="str">
            <v>LLAVE BOCA.1/2 X130MM.</v>
          </cell>
        </row>
        <row r="384">
          <cell r="B384">
            <v>1217711</v>
          </cell>
          <cell r="C384" t="str">
            <v>DRC</v>
          </cell>
          <cell r="D384" t="str">
            <v>LLAVE DE BOCA AISLADA DE 9/16" (14,29MM) DE ABERTURA REF. MARCA SIBILLE MODELO MS16</v>
          </cell>
        </row>
        <row r="385">
          <cell r="B385">
            <v>1217714</v>
          </cell>
          <cell r="C385" t="str">
            <v>DRC</v>
          </cell>
          <cell r="D385" t="str">
            <v>LLAVE BOCA.3/4 X167MM.</v>
          </cell>
        </row>
        <row r="386">
          <cell r="B386">
            <v>1217714</v>
          </cell>
          <cell r="C386" t="str">
            <v>KPX</v>
          </cell>
          <cell r="D386" t="str">
            <v>LLAVE BOCA.3/4 X167MM.</v>
          </cell>
        </row>
        <row r="387">
          <cell r="B387">
            <v>1217714</v>
          </cell>
          <cell r="C387" t="str">
            <v>SIB</v>
          </cell>
          <cell r="D387" t="str">
            <v>LLAVE BOCA.3/4 X167MM.</v>
          </cell>
        </row>
        <row r="388">
          <cell r="B388">
            <v>1218058</v>
          </cell>
          <cell r="C388" t="str">
            <v>KPX</v>
          </cell>
          <cell r="D388" t="str">
            <v>LLAVE CORONA TP.RATCHET 1/2" ABERTURA 10" LONG.</v>
          </cell>
        </row>
        <row r="389">
          <cell r="B389">
            <v>1218058</v>
          </cell>
          <cell r="C389" t="str">
            <v>SIB</v>
          </cell>
          <cell r="D389" t="str">
            <v>LLAVE CORONA TP.RATCHET 1/2" ABERTURA 10" LONG.</v>
          </cell>
        </row>
        <row r="390">
          <cell r="B390">
            <v>1219076</v>
          </cell>
          <cell r="C390" t="str">
            <v>SIB</v>
          </cell>
          <cell r="D390" t="str">
            <v>DADO (VASO) POLIGONAL DE 1/2" ENCASTE 1/2"</v>
          </cell>
        </row>
        <row r="391">
          <cell r="B391">
            <v>1219077</v>
          </cell>
          <cell r="C391" t="str">
            <v>SIB</v>
          </cell>
          <cell r="D391" t="str">
            <v>DADO (VASO) POLIGONAL DE 9/16" ENCASTE 1/2"</v>
          </cell>
        </row>
        <row r="392">
          <cell r="B392">
            <v>1219080</v>
          </cell>
          <cell r="C392" t="str">
            <v>SIB</v>
          </cell>
          <cell r="D392" t="str">
            <v>DADO (VASO) POLIGONAL DE 3/4" ENCASTE 1/2"</v>
          </cell>
        </row>
        <row r="393">
          <cell r="B393">
            <v>1219083</v>
          </cell>
          <cell r="C393" t="str">
            <v>SIB</v>
          </cell>
          <cell r="D393" t="str">
            <v>DADO (VASO) POLIGONAL DE 15/16" ENCASTE 1/2"</v>
          </cell>
        </row>
        <row r="394">
          <cell r="B394">
            <v>1219085</v>
          </cell>
          <cell r="C394" t="str">
            <v>SIB</v>
          </cell>
          <cell r="D394" t="str">
            <v>DADO (VASO) POLIGONAL DE  1 1/8" ENCASTE 1/2"</v>
          </cell>
        </row>
        <row r="395">
          <cell r="B395">
            <v>1219301</v>
          </cell>
          <cell r="C395" t="str">
            <v>SIB</v>
          </cell>
          <cell r="D395" t="str">
            <v>MALETIN ESTUCHE P.JUEGO DADOS 435 X 308 X 90MM</v>
          </cell>
        </row>
        <row r="396">
          <cell r="B396">
            <v>1233508</v>
          </cell>
          <cell r="C396" t="str">
            <v>BAC</v>
          </cell>
          <cell r="D396" t="str">
            <v>HOJA SIERRA RECTA 1     X12 PULG.10 DIENT.CORT.MAN</v>
          </cell>
        </row>
        <row r="397">
          <cell r="B397">
            <v>1233508</v>
          </cell>
          <cell r="C397" t="str">
            <v>KLE</v>
          </cell>
          <cell r="D397" t="str">
            <v>HOJA SIERRA RECTA 1     X12 PULG.10 DIENT.CORT.MAN</v>
          </cell>
        </row>
        <row r="398">
          <cell r="B398">
            <v>1233508</v>
          </cell>
          <cell r="C398" t="str">
            <v>STA</v>
          </cell>
          <cell r="D398" t="str">
            <v>HOJA SIERRA RECTA 1     X12 PULG.10 DIENT.CORT.MAN</v>
          </cell>
        </row>
        <row r="399">
          <cell r="B399">
            <v>1233508</v>
          </cell>
          <cell r="C399" t="str">
            <v>STR</v>
          </cell>
          <cell r="D399" t="str">
            <v>HOJA SIERRA RECTA 1     X12 PULG.10 DIENT.CORT.MAN</v>
          </cell>
        </row>
        <row r="400">
          <cell r="B400">
            <v>1233508</v>
          </cell>
          <cell r="C400" t="str">
            <v>SVK</v>
          </cell>
          <cell r="D400" t="str">
            <v>HOJA SIERRA RECTA 1     X12 PULG.10 DIENT.CORT.MAN</v>
          </cell>
        </row>
        <row r="401">
          <cell r="B401">
            <v>1233805</v>
          </cell>
          <cell r="C401" t="str">
            <v>BAC</v>
          </cell>
          <cell r="D401" t="str">
            <v>ARCO SIERRA DE MANO P.HOJA   300MM.LONG. P.METALES</v>
          </cell>
        </row>
        <row r="402">
          <cell r="B402">
            <v>1233805</v>
          </cell>
          <cell r="C402" t="str">
            <v>KLE</v>
          </cell>
          <cell r="D402" t="str">
            <v>ARCO SIERRA DE MANO P.HOJA   300MM.LONG. P.METALES</v>
          </cell>
        </row>
        <row r="403">
          <cell r="B403">
            <v>1233805</v>
          </cell>
          <cell r="C403" t="str">
            <v>STA</v>
          </cell>
          <cell r="D403" t="str">
            <v>ARCO SIERRA DE MANO P.HOJA   300MM.LONG. P.METALES</v>
          </cell>
        </row>
        <row r="404">
          <cell r="B404">
            <v>1233816</v>
          </cell>
          <cell r="C404" t="str">
            <v>DRC</v>
          </cell>
          <cell r="D404" t="str">
            <v>ARCO DE SIERRA AISLADO 450MM DE LONG TOTAL APROX.</v>
          </cell>
        </row>
        <row r="405">
          <cell r="B405">
            <v>1233816</v>
          </cell>
          <cell r="C405" t="str">
            <v>SIB</v>
          </cell>
          <cell r="D405" t="str">
            <v>ARCO DE SIERRA AISLADO 450MM DE LONG TOTAL APROX.</v>
          </cell>
        </row>
        <row r="406">
          <cell r="B406">
            <v>1233816</v>
          </cell>
          <cell r="C406" t="str">
            <v>WHA</v>
          </cell>
          <cell r="D406" t="str">
            <v>ARCO DE SIERRA AISLADO 450MM DE LONG TOTAL APROX.</v>
          </cell>
        </row>
        <row r="407">
          <cell r="B407">
            <v>1257061</v>
          </cell>
          <cell r="C407" t="str">
            <v>CMD</v>
          </cell>
          <cell r="D407" t="str">
            <v>PERNO FIJ.W 6-20-27D12 ROSCA 1/ 4PULG.20+27MM.LONG</v>
          </cell>
        </row>
        <row r="408">
          <cell r="B408">
            <v>1257061</v>
          </cell>
          <cell r="C408" t="str">
            <v>ELD</v>
          </cell>
          <cell r="D408" t="str">
            <v>PERNO FIJ.W 6-20-27D12 ROSCA 1/ 4PULG.20+27MM.LONG</v>
          </cell>
        </row>
        <row r="409">
          <cell r="B409">
            <v>1257196</v>
          </cell>
          <cell r="C409" t="str">
            <v>FCH</v>
          </cell>
          <cell r="D409" t="str">
            <v>TACO DE NYLON HUD-12,  12X60X80MM.</v>
          </cell>
        </row>
        <row r="410">
          <cell r="B410">
            <v>1257196</v>
          </cell>
          <cell r="C410" t="str">
            <v>HIL</v>
          </cell>
          <cell r="D410" t="str">
            <v>TACO DE NYLON HUD-12,  12X60X80MM.</v>
          </cell>
        </row>
        <row r="411">
          <cell r="B411">
            <v>1257258</v>
          </cell>
          <cell r="C411" t="str">
            <v>HIL</v>
          </cell>
          <cell r="D411" t="str">
            <v>TUERCA DE HO. PARA PISTOLA IMPULSORA     1/ 4PULG.</v>
          </cell>
        </row>
        <row r="412">
          <cell r="B412">
            <v>1258210</v>
          </cell>
          <cell r="C412" t="str">
            <v>RAY</v>
          </cell>
          <cell r="D412" t="str">
            <v>MARCADOR TERMOC.P/SUM.BT.4-6MM2.1200PSI.500V.DIELEC</v>
          </cell>
        </row>
        <row r="413">
          <cell r="B413">
            <v>1258214</v>
          </cell>
          <cell r="C413" t="str">
            <v>RAY</v>
          </cell>
          <cell r="D413" t="str">
            <v>MARCADOR TERMOC.P/SUM.BT.10-16MM2.1200PSI.500V.DIEL</v>
          </cell>
        </row>
        <row r="414">
          <cell r="B414">
            <v>1271304</v>
          </cell>
          <cell r="C414" t="str">
            <v>PIC</v>
          </cell>
          <cell r="D414" t="str">
            <v>TRIPODE SUJECION P.POSTES DE FIERRO Y CONCRETO B.T. HASTA 10M</v>
          </cell>
        </row>
        <row r="415">
          <cell r="B415">
            <v>1271305</v>
          </cell>
          <cell r="C415" t="str">
            <v>PIC</v>
          </cell>
          <cell r="D415" t="str">
            <v>TRIPODE DE SUJECION DE ACERO GALV. P.POSTES DE ACERO 7-11,5M / 4"-5" DIAM.</v>
          </cell>
        </row>
        <row r="416">
          <cell r="B416">
            <v>1273248</v>
          </cell>
          <cell r="C416" t="str">
            <v>PRE</v>
          </cell>
          <cell r="D416" t="str">
            <v>ESCALERA DE FIBRA VIDRIO TP.EXTENSION 24 PELDANOS 2 SECCIONES</v>
          </cell>
        </row>
        <row r="417">
          <cell r="B417">
            <v>1273250</v>
          </cell>
          <cell r="C417" t="str">
            <v>PRE</v>
          </cell>
          <cell r="D417" t="str">
            <v>ESCALERA FIBRA DE VIDRIO TP. TELESCOPICA, 20 PASOS</v>
          </cell>
        </row>
        <row r="418">
          <cell r="B418">
            <v>1273252</v>
          </cell>
          <cell r="C418" t="str">
            <v>PRE</v>
          </cell>
          <cell r="D418" t="str">
            <v>ESCALERA FIBRA DE VIDRIO TP.TELESCOPICA. 28 PASOS</v>
          </cell>
        </row>
        <row r="419">
          <cell r="B419">
            <v>1273329</v>
          </cell>
          <cell r="C419" t="str">
            <v>GLC</v>
          </cell>
          <cell r="D419" t="str">
            <v>ESCALERA DE FIBRA VIDRIO TP.EMBONABLE 4 PELDAÑOS C.SEPARADOR POSTE</v>
          </cell>
        </row>
        <row r="420">
          <cell r="B420">
            <v>1273330</v>
          </cell>
          <cell r="C420" t="str">
            <v>GLC</v>
          </cell>
          <cell r="D420" t="str">
            <v>ESCALERA DE FIBRA VIDRIO TP.EMBONABLE 6 PELDAÑOS C.SEPARADOR POSTE</v>
          </cell>
        </row>
        <row r="421">
          <cell r="B421">
            <v>1273330</v>
          </cell>
          <cell r="C421" t="str">
            <v>WRN</v>
          </cell>
          <cell r="D421" t="str">
            <v>ESCALERA DE FIBRA VIDRIO TP.EMBONABLE 6 PELDAÑOS C.SEPARADOR POSTE</v>
          </cell>
        </row>
        <row r="422">
          <cell r="B422">
            <v>1273331</v>
          </cell>
          <cell r="C422" t="str">
            <v>GLC</v>
          </cell>
          <cell r="D422" t="str">
            <v>ESCALERA DE FIBRA VIDRIO TP.EMBONABLE 7 PELDANOS C.SEPARADOR POSTE</v>
          </cell>
        </row>
        <row r="423">
          <cell r="B423">
            <v>1273331</v>
          </cell>
          <cell r="C423" t="str">
            <v>WRN</v>
          </cell>
          <cell r="D423" t="str">
            <v>ESCALERA DE FIBRA VIDRIO TP.EMBONABLE 7 PELDANOS C.SEPARADOR POSTE</v>
          </cell>
        </row>
        <row r="424">
          <cell r="B424">
            <v>1273332</v>
          </cell>
          <cell r="C424" t="str">
            <v>GLC</v>
          </cell>
          <cell r="D424" t="str">
            <v>ESCALERA DE FIBRA VIDRIO TP.EMBONABLE 8 PELDAÑOS C.SEPARADOR POSTE</v>
          </cell>
        </row>
        <row r="425">
          <cell r="B425">
            <v>1273332</v>
          </cell>
          <cell r="C425" t="str">
            <v>WRN</v>
          </cell>
          <cell r="D425" t="str">
            <v>ESCALERA DE FIBRA VIDRIO TP.EMBONABLE 8 PELDAÑOS C.SEPARADOR POSTE</v>
          </cell>
        </row>
        <row r="426">
          <cell r="B426">
            <v>1611112</v>
          </cell>
          <cell r="C426" t="str">
            <v>ITA</v>
          </cell>
          <cell r="D426" t="str">
            <v>VARILLA PLOMO 60%-ESTA¤O 40% TP.U P.UNION DE COBRE</v>
          </cell>
        </row>
        <row r="427">
          <cell r="B427">
            <v>1611112</v>
          </cell>
          <cell r="C427" t="str">
            <v>MIC</v>
          </cell>
          <cell r="D427" t="str">
            <v>VARILLA PLOMO 60%-ESTA¤O 40% TP.U P.UNION DE COBRE</v>
          </cell>
        </row>
        <row r="428">
          <cell r="B428">
            <v>1611114</v>
          </cell>
          <cell r="C428" t="str">
            <v>MIC</v>
          </cell>
          <cell r="D428" t="str">
            <v>VARILLA P.SOLDADURA PLOMO 67% Y ESTAÑO 33%, PESO 0,50KG</v>
          </cell>
        </row>
        <row r="429">
          <cell r="B429">
            <v>1611118</v>
          </cell>
          <cell r="C429" t="str">
            <v>ITA</v>
          </cell>
          <cell r="D429" t="str">
            <v>VARILLA PLOMO 70%-ESTA¤O 30% TP.M P.MANGA DE PLOMO</v>
          </cell>
        </row>
        <row r="430">
          <cell r="B430">
            <v>1732112</v>
          </cell>
          <cell r="C430" t="str">
            <v>CDA</v>
          </cell>
          <cell r="D430" t="str">
            <v>TUBO DE ACERO GALVANIZ. DE 1  1/4" DIAMETRO</v>
          </cell>
        </row>
        <row r="431">
          <cell r="B431">
            <v>1732112</v>
          </cell>
          <cell r="C431" t="str">
            <v>PPL</v>
          </cell>
          <cell r="D431" t="str">
            <v>TUBO DE ACERO GALVANIZ. DE 1  1/4" DIAMETRO</v>
          </cell>
        </row>
        <row r="432">
          <cell r="B432">
            <v>1732112</v>
          </cell>
          <cell r="C432" t="str">
            <v>VYA</v>
          </cell>
          <cell r="D432" t="str">
            <v>TUBO DE ACERO GALVANIZ. DE 1  1/4" DIAMETRO</v>
          </cell>
        </row>
        <row r="433">
          <cell r="B433">
            <v>1732115</v>
          </cell>
          <cell r="C433" t="str">
            <v>CDA</v>
          </cell>
          <cell r="D433" t="str">
            <v>TUBO DE ACERO GALVANIZADO 2" DIAM. X 4MM ESPESOR</v>
          </cell>
        </row>
        <row r="434">
          <cell r="B434">
            <v>1732115</v>
          </cell>
          <cell r="C434" t="str">
            <v>PPL</v>
          </cell>
          <cell r="D434" t="str">
            <v>TUBO DE ACERO GALVANIZADO 2" DIAM. X 4MM ESPESOR</v>
          </cell>
        </row>
        <row r="435">
          <cell r="B435">
            <v>1732115</v>
          </cell>
          <cell r="C435" t="str">
            <v>VYA</v>
          </cell>
          <cell r="D435" t="str">
            <v>TUBO DE ACERO GALVANIZADO 2" DIAM. X 4MM ESPESOR</v>
          </cell>
        </row>
        <row r="436">
          <cell r="B436">
            <v>1732121</v>
          </cell>
          <cell r="C436" t="str">
            <v>CDA</v>
          </cell>
          <cell r="D436" t="str">
            <v>TUBO DE ACERO GALVANIZADO 3/4" DIAMETRO 2,5MM ESPESOR</v>
          </cell>
        </row>
        <row r="437">
          <cell r="B437">
            <v>1732121</v>
          </cell>
          <cell r="C437" t="str">
            <v>PPL</v>
          </cell>
          <cell r="D437" t="str">
            <v>TUBO DE ACERO GALVANIZADO 3/4" DIAMETRO 2,5MM ESPESOR</v>
          </cell>
        </row>
        <row r="438">
          <cell r="B438">
            <v>1732121</v>
          </cell>
          <cell r="C438" t="str">
            <v>VYA</v>
          </cell>
          <cell r="D438" t="str">
            <v>TUBO DE ACERO GALVANIZADO 3/4" DIAMETRO 2,5MM ESPESOR</v>
          </cell>
        </row>
        <row r="439">
          <cell r="B439">
            <v>1771911</v>
          </cell>
          <cell r="C439" t="str">
            <v>GGG</v>
          </cell>
          <cell r="D439" t="str">
            <v>RIEL TIPO H DE ACERO C.RESISTENCIA 65 - 85 LB/YD2 P.PROTEGER A POSTES Y ESTRUCTURAS M.T.</v>
          </cell>
        </row>
        <row r="440">
          <cell r="B440">
            <v>1817107</v>
          </cell>
          <cell r="C440" t="str">
            <v>IAD</v>
          </cell>
          <cell r="D440" t="str">
            <v>PLATINA DE COBRE 20 X 3MM</v>
          </cell>
        </row>
        <row r="441">
          <cell r="B441">
            <v>1817107</v>
          </cell>
          <cell r="C441" t="str">
            <v>IBR</v>
          </cell>
          <cell r="D441" t="str">
            <v>PLATINA DE COBRE 20 X 3MM</v>
          </cell>
        </row>
        <row r="442">
          <cell r="B442">
            <v>1817107</v>
          </cell>
          <cell r="C442" t="str">
            <v>MIC</v>
          </cell>
          <cell r="D442" t="str">
            <v>PLATINA DE COBRE 20 X 3MM</v>
          </cell>
        </row>
        <row r="443">
          <cell r="B443">
            <v>1817107</v>
          </cell>
          <cell r="C443" t="str">
            <v>MTC</v>
          </cell>
          <cell r="D443" t="str">
            <v>PLATINA DE COBRE 20 X 3MM</v>
          </cell>
        </row>
        <row r="444">
          <cell r="B444">
            <v>1817108</v>
          </cell>
          <cell r="C444" t="str">
            <v>IBR</v>
          </cell>
          <cell r="D444" t="str">
            <v>PLATINA DE COBRE 30 X 3MM</v>
          </cell>
        </row>
        <row r="445">
          <cell r="B445">
            <v>1817108</v>
          </cell>
          <cell r="C445" t="str">
            <v>MIC</v>
          </cell>
          <cell r="D445" t="str">
            <v>PLATINA DE COBRE 30 X 3MM</v>
          </cell>
        </row>
        <row r="446">
          <cell r="B446">
            <v>1817108</v>
          </cell>
          <cell r="C446" t="str">
            <v>MTC</v>
          </cell>
          <cell r="D446" t="str">
            <v>PLATINA DE COBRE 30 X 3MM</v>
          </cell>
        </row>
        <row r="447">
          <cell r="B447">
            <v>1817109</v>
          </cell>
          <cell r="C447" t="str">
            <v>MTC</v>
          </cell>
          <cell r="D447" t="str">
            <v>COBRE EN PLETINA  3MM.ESP. X 40MM.ANCHO</v>
          </cell>
        </row>
        <row r="448">
          <cell r="B448">
            <v>1817110</v>
          </cell>
          <cell r="C448" t="str">
            <v>IBR</v>
          </cell>
          <cell r="D448" t="str">
            <v>PLATINA DE COBRE 40 X 3MM</v>
          </cell>
        </row>
        <row r="449">
          <cell r="B449">
            <v>1817110</v>
          </cell>
          <cell r="C449" t="str">
            <v>MIC</v>
          </cell>
          <cell r="D449" t="str">
            <v>PLATINA DE COBRE 40 X 3MM</v>
          </cell>
        </row>
        <row r="450">
          <cell r="B450">
            <v>1817110</v>
          </cell>
          <cell r="C450" t="str">
            <v>MTC</v>
          </cell>
          <cell r="D450" t="str">
            <v>PLATINA DE COBRE 40 X 3MM</v>
          </cell>
        </row>
        <row r="451">
          <cell r="B451">
            <v>1817112</v>
          </cell>
          <cell r="C451" t="str">
            <v>IBR</v>
          </cell>
          <cell r="D451" t="str">
            <v>PLATINA DE COBRE 40 X 4MM</v>
          </cell>
        </row>
        <row r="452">
          <cell r="B452">
            <v>1817112</v>
          </cell>
          <cell r="C452" t="str">
            <v>MIC</v>
          </cell>
          <cell r="D452" t="str">
            <v>PLATINA DE COBRE 40 X 4MM</v>
          </cell>
        </row>
        <row r="453">
          <cell r="B453">
            <v>1817113</v>
          </cell>
          <cell r="C453" t="str">
            <v>IBR</v>
          </cell>
          <cell r="D453" t="str">
            <v>PLATINA DE COBRE 40 X 5MM</v>
          </cell>
        </row>
        <row r="454">
          <cell r="B454">
            <v>1817113</v>
          </cell>
          <cell r="C454" t="str">
            <v>MIC</v>
          </cell>
          <cell r="D454" t="str">
            <v>PLATINA DE COBRE 40 X 5MM</v>
          </cell>
        </row>
        <row r="455">
          <cell r="B455">
            <v>1817113</v>
          </cell>
          <cell r="C455" t="str">
            <v>MTC</v>
          </cell>
          <cell r="D455" t="str">
            <v>PLATINA DE COBRE 40 X 5MM</v>
          </cell>
        </row>
        <row r="456">
          <cell r="B456">
            <v>1817114</v>
          </cell>
          <cell r="C456" t="str">
            <v>IBR</v>
          </cell>
          <cell r="D456" t="str">
            <v>PLATINA DE COBRE 50 X 5MM</v>
          </cell>
        </row>
        <row r="457">
          <cell r="B457">
            <v>1817114</v>
          </cell>
          <cell r="C457" t="str">
            <v>MIC</v>
          </cell>
          <cell r="D457" t="str">
            <v>PLATINA DE COBRE 50 X 5MM</v>
          </cell>
        </row>
        <row r="458">
          <cell r="B458">
            <v>1817114</v>
          </cell>
          <cell r="C458" t="str">
            <v>MTC</v>
          </cell>
          <cell r="D458" t="str">
            <v>PLATINA DE COBRE 50 X 5MM</v>
          </cell>
        </row>
        <row r="459">
          <cell r="B459">
            <v>1817115</v>
          </cell>
          <cell r="C459" t="str">
            <v>IBR</v>
          </cell>
          <cell r="D459" t="str">
            <v>PLATINA DE COBRE 60 X 5MM</v>
          </cell>
        </row>
        <row r="460">
          <cell r="B460">
            <v>1817115</v>
          </cell>
          <cell r="C460" t="str">
            <v>MIC</v>
          </cell>
          <cell r="D460" t="str">
            <v>PLATINA DE COBRE 60 X 5MM</v>
          </cell>
        </row>
        <row r="461">
          <cell r="B461">
            <v>1817115</v>
          </cell>
          <cell r="C461" t="str">
            <v>MTC</v>
          </cell>
          <cell r="D461" t="str">
            <v>PLATINA DE COBRE 60 X 5MM</v>
          </cell>
        </row>
        <row r="462">
          <cell r="B462">
            <v>1817116</v>
          </cell>
          <cell r="C462" t="str">
            <v>IBR</v>
          </cell>
          <cell r="D462" t="str">
            <v>PLATINA DE COBRE 80 X 6MM</v>
          </cell>
        </row>
        <row r="463">
          <cell r="B463">
            <v>1817116</v>
          </cell>
          <cell r="C463" t="str">
            <v>MIC</v>
          </cell>
          <cell r="D463" t="str">
            <v>PLATINA DE COBRE 80 X 6MM</v>
          </cell>
        </row>
        <row r="464">
          <cell r="B464">
            <v>1817116</v>
          </cell>
          <cell r="C464" t="str">
            <v>MTC</v>
          </cell>
          <cell r="D464" t="str">
            <v>PLATINA DE COBRE 80 X 6MM</v>
          </cell>
        </row>
        <row r="465">
          <cell r="B465">
            <v>1817117</v>
          </cell>
          <cell r="C465" t="str">
            <v>IBR</v>
          </cell>
          <cell r="D465" t="str">
            <v>PLATINA DE COBRE 60 X8MM</v>
          </cell>
        </row>
        <row r="466">
          <cell r="B466">
            <v>1817117</v>
          </cell>
          <cell r="C466" t="str">
            <v>MIC</v>
          </cell>
          <cell r="D466" t="str">
            <v>PLATINA DE COBRE 60 X8MM</v>
          </cell>
        </row>
        <row r="467">
          <cell r="B467">
            <v>1817117</v>
          </cell>
          <cell r="C467" t="str">
            <v>MTC</v>
          </cell>
          <cell r="D467" t="str">
            <v>PLATINA DE COBRE 60 X8MM</v>
          </cell>
        </row>
        <row r="468">
          <cell r="B468">
            <v>1817118</v>
          </cell>
          <cell r="C468" t="str">
            <v>IBR</v>
          </cell>
          <cell r="D468" t="str">
            <v>PLATINA DE COBRE 80 X 8MM</v>
          </cell>
        </row>
        <row r="469">
          <cell r="B469">
            <v>1817118</v>
          </cell>
          <cell r="C469" t="str">
            <v>MIC</v>
          </cell>
          <cell r="D469" t="str">
            <v>PLATINA DE COBRE 80 X 8MM</v>
          </cell>
        </row>
        <row r="470">
          <cell r="B470">
            <v>1817118</v>
          </cell>
          <cell r="C470" t="str">
            <v>MTC</v>
          </cell>
          <cell r="D470" t="str">
            <v>PLATINA DE COBRE 80 X 8MM</v>
          </cell>
        </row>
        <row r="471">
          <cell r="B471">
            <v>1817120</v>
          </cell>
          <cell r="C471" t="str">
            <v>IBR</v>
          </cell>
          <cell r="D471" t="str">
            <v>PLATINA DE COBRE 60 X 10MM</v>
          </cell>
        </row>
        <row r="472">
          <cell r="B472">
            <v>1817120</v>
          </cell>
          <cell r="C472" t="str">
            <v>MIC</v>
          </cell>
          <cell r="D472" t="str">
            <v>PLATINA DE COBRE 60 X 10MM</v>
          </cell>
        </row>
        <row r="473">
          <cell r="B473">
            <v>1817120</v>
          </cell>
          <cell r="C473" t="str">
            <v>MTC</v>
          </cell>
          <cell r="D473" t="str">
            <v>PLATINA DE COBRE 60 X 10MM</v>
          </cell>
        </row>
        <row r="474">
          <cell r="B474">
            <v>1817121</v>
          </cell>
          <cell r="C474" t="str">
            <v>IBR</v>
          </cell>
          <cell r="D474" t="str">
            <v>PLATINA DE COBRE 80 X 10MM</v>
          </cell>
        </row>
        <row r="475">
          <cell r="B475">
            <v>1817121</v>
          </cell>
          <cell r="C475" t="str">
            <v>MIC</v>
          </cell>
          <cell r="D475" t="str">
            <v>PLATINA DE COBRE 80 X 10MM</v>
          </cell>
        </row>
        <row r="476">
          <cell r="B476">
            <v>1817121</v>
          </cell>
          <cell r="C476" t="str">
            <v>MTC</v>
          </cell>
          <cell r="D476" t="str">
            <v>PLATINA DE COBRE 80 X 10MM</v>
          </cell>
        </row>
        <row r="477">
          <cell r="B477">
            <v>1817122</v>
          </cell>
          <cell r="C477" t="str">
            <v>IBR</v>
          </cell>
          <cell r="D477" t="str">
            <v>PLATINA DE COBRE 100 X 10MM</v>
          </cell>
        </row>
        <row r="478">
          <cell r="B478">
            <v>1817122</v>
          </cell>
          <cell r="C478" t="str">
            <v>MIC</v>
          </cell>
          <cell r="D478" t="str">
            <v>PLATINA DE COBRE 100 X 10MM</v>
          </cell>
        </row>
        <row r="479">
          <cell r="B479">
            <v>1817123</v>
          </cell>
          <cell r="C479" t="str">
            <v>IBR</v>
          </cell>
          <cell r="D479" t="str">
            <v>PLATINA DE COBRE 120 X 10MM</v>
          </cell>
        </row>
        <row r="480">
          <cell r="B480">
            <v>1817123</v>
          </cell>
          <cell r="C480" t="str">
            <v>MIC</v>
          </cell>
          <cell r="D480" t="str">
            <v>PLATINA DE COBRE 120 X 10MM</v>
          </cell>
        </row>
        <row r="481">
          <cell r="B481">
            <v>1817124</v>
          </cell>
          <cell r="C481" t="str">
            <v>IBR</v>
          </cell>
          <cell r="D481" t="str">
            <v>PLATINA DE COBRE 60 X 16MM</v>
          </cell>
        </row>
        <row r="482">
          <cell r="B482">
            <v>1817124</v>
          </cell>
          <cell r="C482" t="str">
            <v>MIC</v>
          </cell>
          <cell r="D482" t="str">
            <v>PLATINA DE COBRE 60 X 16MM</v>
          </cell>
        </row>
        <row r="483">
          <cell r="B483">
            <v>1817125</v>
          </cell>
          <cell r="C483" t="str">
            <v>IBR</v>
          </cell>
          <cell r="D483" t="str">
            <v>PLATINA DE COBRE 80 X 16MM</v>
          </cell>
        </row>
        <row r="484">
          <cell r="B484">
            <v>1817125</v>
          </cell>
          <cell r="C484" t="str">
            <v>MIC</v>
          </cell>
          <cell r="D484" t="str">
            <v>PLATINA DE COBRE 80 X 16MM</v>
          </cell>
        </row>
        <row r="485">
          <cell r="B485">
            <v>1817174</v>
          </cell>
          <cell r="C485" t="str">
            <v>IBR</v>
          </cell>
          <cell r="D485" t="str">
            <v>PLATINA DE COBRE 100 X 10MM</v>
          </cell>
        </row>
        <row r="486">
          <cell r="B486">
            <v>1817174</v>
          </cell>
          <cell r="C486" t="str">
            <v>MTC</v>
          </cell>
          <cell r="D486" t="str">
            <v>PLATINA DE COBRE 100 X 10MM</v>
          </cell>
        </row>
        <row r="487">
          <cell r="B487">
            <v>2033101</v>
          </cell>
          <cell r="C487" t="str">
            <v>AKR</v>
          </cell>
          <cell r="D487" t="str">
            <v>ACEITE AISLANTE DIELECTRICO P.TRANSFORMADORES E INTERRUPTORES DE POTENCIA 30KV</v>
          </cell>
        </row>
        <row r="488">
          <cell r="B488">
            <v>2033101</v>
          </cell>
          <cell r="C488" t="str">
            <v>CLM</v>
          </cell>
          <cell r="D488" t="str">
            <v>ACEITE AISLANTE DIELECTRICO P.TRANSFORMADORES E INTERRUPTORES DE POTENCIA 30KV</v>
          </cell>
        </row>
        <row r="489">
          <cell r="B489">
            <v>2033101</v>
          </cell>
          <cell r="C489" t="str">
            <v>CTA</v>
          </cell>
          <cell r="D489" t="str">
            <v>ACEITE AISLANTE DIELECTRICO P.TRANSFORMADORES E INTERRUPTORES DE POTENCIA 30KV</v>
          </cell>
        </row>
        <row r="490">
          <cell r="B490">
            <v>2033101</v>
          </cell>
          <cell r="C490" t="str">
            <v>NYN</v>
          </cell>
          <cell r="D490" t="str">
            <v>ACEITE AISLANTE DIELECTRICO P.TRANSFORMADORES E INTERRUPTORES DE POTENCIA 30KV</v>
          </cell>
        </row>
        <row r="491">
          <cell r="B491">
            <v>2033101</v>
          </cell>
          <cell r="C491" t="str">
            <v>NYN</v>
          </cell>
          <cell r="D491" t="str">
            <v>ACEITE AISLANTE DIELECTRICO P.TRANSFORMADORES E INTERRUPTORES DE POTENCIA 30KV</v>
          </cell>
        </row>
        <row r="492">
          <cell r="B492">
            <v>2033101</v>
          </cell>
          <cell r="C492" t="str">
            <v>SHL</v>
          </cell>
          <cell r="D492" t="str">
            <v>ACEITE AISLANTE DIELECTRICO P.TRANSFORMADORES E INTERRUPTORES DE POTENCIA 30KV</v>
          </cell>
        </row>
        <row r="493">
          <cell r="B493">
            <v>2033501</v>
          </cell>
          <cell r="C493" t="str">
            <v>NYN</v>
          </cell>
          <cell r="D493" t="str">
            <v>ACEITE AISLANTE P.TRANSFORMADORES/INTERRUPTORES 220KV.</v>
          </cell>
        </row>
        <row r="494">
          <cell r="B494">
            <v>2033501</v>
          </cell>
          <cell r="C494" t="str">
            <v>SHL</v>
          </cell>
          <cell r="D494" t="str">
            <v>ACEITE AISLANTE P.TRANSFORMADORES/INTERRUPTORES 220KV.</v>
          </cell>
        </row>
        <row r="495">
          <cell r="B495">
            <v>2033801</v>
          </cell>
          <cell r="C495" t="str">
            <v>PTP</v>
          </cell>
          <cell r="D495" t="str">
            <v>ACEITE GRAFITADO P.INTERRUPTORES Y SECCIONADORES.</v>
          </cell>
        </row>
        <row r="496">
          <cell r="B496">
            <v>2033801</v>
          </cell>
          <cell r="C496" t="str">
            <v>SHL</v>
          </cell>
          <cell r="D496" t="str">
            <v>ACEITE GRAFITADO P.INTERRUPTORES Y SECCIONADORES.</v>
          </cell>
        </row>
        <row r="497">
          <cell r="B497">
            <v>2131712</v>
          </cell>
          <cell r="C497" t="str">
            <v>SHA</v>
          </cell>
          <cell r="D497" t="str">
            <v>SELLADOR PARA ESTRUCTURAS DE CONCRETO ARMADO</v>
          </cell>
        </row>
        <row r="498">
          <cell r="B498">
            <v>2133330</v>
          </cell>
          <cell r="C498" t="str">
            <v>AGE</v>
          </cell>
          <cell r="D498" t="str">
            <v>SOLVENTE DIELECTRICO ECOLOGICO NO CLORADO M.T.</v>
          </cell>
        </row>
        <row r="499">
          <cell r="B499">
            <v>2133330</v>
          </cell>
          <cell r="C499" t="str">
            <v>CHM</v>
          </cell>
          <cell r="D499" t="str">
            <v>SOLVENTE DIELECTRICO ECOLOGICO NO CLORADO M.T.</v>
          </cell>
        </row>
        <row r="500">
          <cell r="B500">
            <v>2133330</v>
          </cell>
          <cell r="C500" t="str">
            <v>CHS</v>
          </cell>
          <cell r="D500" t="str">
            <v>SOLVENTE DIELECTRICO ECOLOGICO NO CLORADO M.T.</v>
          </cell>
        </row>
        <row r="501">
          <cell r="B501">
            <v>2133330</v>
          </cell>
          <cell r="C501" t="str">
            <v>DGS</v>
          </cell>
          <cell r="D501" t="str">
            <v>SOLVENTE DIELECTRICO ECOLOGICO NO CLORADO M.T.</v>
          </cell>
        </row>
        <row r="502">
          <cell r="B502">
            <v>2133330</v>
          </cell>
          <cell r="C502" t="str">
            <v>SVO</v>
          </cell>
          <cell r="D502" t="str">
            <v>SOLVENTE DIELECTRICO ECOLOGICO NO CLORADO M.T.</v>
          </cell>
        </row>
        <row r="503">
          <cell r="B503">
            <v>2139145</v>
          </cell>
          <cell r="C503" t="str">
            <v>CIC</v>
          </cell>
          <cell r="D503" t="str">
            <v>PEGAMENTO EN GEL DE RESINA ISOFTALICA EN ENVASE DE 1/8 GALON</v>
          </cell>
        </row>
        <row r="504">
          <cell r="B504">
            <v>2139145</v>
          </cell>
          <cell r="C504" t="str">
            <v>FBL</v>
          </cell>
          <cell r="D504" t="str">
            <v>PEGAMENTO EN GEL DE RESINA ISOFTALICA EN ENVASE DE 1/8 GALON</v>
          </cell>
        </row>
        <row r="505">
          <cell r="B505">
            <v>2139146</v>
          </cell>
          <cell r="C505" t="str">
            <v>CIC</v>
          </cell>
          <cell r="D505" t="str">
            <v>PEGAMENTO EN GEL DE RESINA ISOFTALICA EN ENVASE DE 1/4 GALON</v>
          </cell>
        </row>
        <row r="506">
          <cell r="B506">
            <v>2139146</v>
          </cell>
          <cell r="C506" t="str">
            <v>FBL</v>
          </cell>
          <cell r="D506" t="str">
            <v>PEGAMENTO EN GEL DE RESINA ISOFTALICA EN ENVASE DE 1/4 GALON</v>
          </cell>
        </row>
        <row r="507">
          <cell r="B507">
            <v>2139147</v>
          </cell>
          <cell r="C507" t="str">
            <v>CIC</v>
          </cell>
          <cell r="D507" t="str">
            <v>PEGAMENTO EN GEL DE RESINA ISOFTALICA EN ENVASE DE 1/2 GALON</v>
          </cell>
        </row>
        <row r="508">
          <cell r="B508">
            <v>2139147</v>
          </cell>
          <cell r="C508" t="str">
            <v>FBL</v>
          </cell>
          <cell r="D508" t="str">
            <v>PEGAMENTO EN GEL DE RESINA ISOFTALICA EN ENVASE DE 1/2 GALON</v>
          </cell>
        </row>
        <row r="509">
          <cell r="B509">
            <v>2139148</v>
          </cell>
          <cell r="C509" t="str">
            <v>CIC</v>
          </cell>
          <cell r="D509" t="str">
            <v>PEGAMENTO EN GEL DE RESINA ISOFTALICA EN ENVASE DE 1 GALON</v>
          </cell>
        </row>
        <row r="510">
          <cell r="B510">
            <v>2139148</v>
          </cell>
          <cell r="C510" t="str">
            <v>FBL</v>
          </cell>
          <cell r="D510" t="str">
            <v>PEGAMENTO EN GEL DE RESINA ISOFTALICA EN ENVASE DE 1 GALON</v>
          </cell>
        </row>
        <row r="511">
          <cell r="B511">
            <v>2143114</v>
          </cell>
          <cell r="C511" t="str">
            <v>SLG</v>
          </cell>
          <cell r="D511" t="str">
            <v>SILICAGEL CON INDICADOR INORGANICO ECOLOGICO</v>
          </cell>
        </row>
        <row r="512">
          <cell r="B512">
            <v>2143162</v>
          </cell>
          <cell r="C512" t="str">
            <v>DMD</v>
          </cell>
          <cell r="D512" t="str">
            <v>BENTONITA SÓDICA P/POZOS DE TIERRA</v>
          </cell>
        </row>
        <row r="513">
          <cell r="B513">
            <v>2143162</v>
          </cell>
          <cell r="C513" t="str">
            <v>GOI</v>
          </cell>
          <cell r="D513" t="str">
            <v>BENTONITA SÓDICA P/POZOS DE TIERRA</v>
          </cell>
        </row>
        <row r="514">
          <cell r="B514">
            <v>2143168</v>
          </cell>
          <cell r="C514" t="str">
            <v>DMD</v>
          </cell>
          <cell r="D514" t="str">
            <v>SAL GRANO INDUSTRIAL PARA POZOS DE TIERRA. CLORURO DE SODIO (5OKG)</v>
          </cell>
        </row>
        <row r="515">
          <cell r="B515">
            <v>2143170</v>
          </cell>
          <cell r="C515" t="str">
            <v>PEM</v>
          </cell>
          <cell r="D515" t="str">
            <v>SAL GRANO INDUSTRIAL PARA POZOS DE TIERRA CLORURO DE SODIO</v>
          </cell>
        </row>
        <row r="516">
          <cell r="B516">
            <v>2144608</v>
          </cell>
          <cell r="C516" t="str">
            <v>DOW</v>
          </cell>
          <cell r="D516" t="str">
            <v>SILICON EN PASTA P.RECUBRIM. AISLADOR AT</v>
          </cell>
        </row>
        <row r="517">
          <cell r="B517">
            <v>2191088</v>
          </cell>
          <cell r="C517" t="str">
            <v>SIL</v>
          </cell>
          <cell r="D517" t="str">
            <v>RECUBRIMIENTO AISLANTE DE ALTA TENSION P.AISLADORES DE PORCELANA Y TRANSFORMADORES EN M.T.</v>
          </cell>
        </row>
        <row r="518">
          <cell r="B518">
            <v>2191088</v>
          </cell>
          <cell r="C518" t="str">
            <v>STH</v>
          </cell>
          <cell r="D518" t="str">
            <v>RECUBRIMIENTO AISLANTE DE ALTA TENSION P.AISLADORES DE PORCELANA Y TRANSFORMADORES EN M.T.</v>
          </cell>
        </row>
        <row r="519">
          <cell r="B519">
            <v>2191110</v>
          </cell>
          <cell r="C519" t="str">
            <v>CGS</v>
          </cell>
          <cell r="D519" t="str">
            <v>RESINA RETARDANTE FUEGO, PRESERVANTE MADERA, 1GL</v>
          </cell>
        </row>
        <row r="520">
          <cell r="B520">
            <v>2191111</v>
          </cell>
          <cell r="C520" t="str">
            <v>CGS</v>
          </cell>
          <cell r="D520" t="str">
            <v>RESINA RETARDANTE FUEGO, PRESERVANTE MADERA, 5 GL.</v>
          </cell>
        </row>
        <row r="521">
          <cell r="B521">
            <v>2192128</v>
          </cell>
          <cell r="C521" t="str">
            <v>CIC</v>
          </cell>
          <cell r="D521" t="str">
            <v>CATALIZADOR P.PEGAMENTO EN GEL DE PEROXIDO DE HIDROGENO EN ENVASE DE 7,5ML</v>
          </cell>
        </row>
        <row r="522">
          <cell r="B522">
            <v>2192128</v>
          </cell>
          <cell r="C522" t="str">
            <v>FBL</v>
          </cell>
          <cell r="D522" t="str">
            <v>CATALIZADOR P.PEGAMENTO EN GEL DE PEROXIDO DE HIDROGENO EN ENVASE DE 7,5ML</v>
          </cell>
        </row>
        <row r="523">
          <cell r="B523">
            <v>2192129</v>
          </cell>
          <cell r="C523" t="str">
            <v>CIC</v>
          </cell>
          <cell r="D523" t="str">
            <v>CATALIZADOR P.PEGAMENTO EN GEL DE PEROXIDO DE HIDROGENO EN ENVASE DE 15ML</v>
          </cell>
        </row>
        <row r="524">
          <cell r="B524">
            <v>2192129</v>
          </cell>
          <cell r="C524" t="str">
            <v>FBL</v>
          </cell>
          <cell r="D524" t="str">
            <v>CATALIZADOR P.PEGAMENTO EN GEL DE PEROXIDO DE HIDROGENO EN ENVASE DE 15ML</v>
          </cell>
        </row>
        <row r="525">
          <cell r="B525">
            <v>2192130</v>
          </cell>
          <cell r="C525" t="str">
            <v>CIC</v>
          </cell>
          <cell r="D525" t="str">
            <v>CATALIZADOR P.PEGAMENTO EN GEL DE PEROXIDO DE HIDROGENO EN ENVASE DE 30ML</v>
          </cell>
        </row>
        <row r="526">
          <cell r="B526">
            <v>2192130</v>
          </cell>
          <cell r="C526" t="str">
            <v>FBL</v>
          </cell>
          <cell r="D526" t="str">
            <v>CATALIZADOR P.PEGAMENTO EN GEL DE PEROXIDO DE HIDROGENO EN ENVASE DE 30ML</v>
          </cell>
        </row>
        <row r="527">
          <cell r="B527">
            <v>2192131</v>
          </cell>
          <cell r="C527" t="str">
            <v>CIC</v>
          </cell>
          <cell r="D527" t="str">
            <v>CATALIZADOR P.PEGAMENTO EN GEL DE PEROXIDO DE HIDROGENO EN ENVASE DE 60ML</v>
          </cell>
        </row>
        <row r="528">
          <cell r="B528">
            <v>2192131</v>
          </cell>
          <cell r="C528" t="str">
            <v>FBL</v>
          </cell>
          <cell r="D528" t="str">
            <v>CATALIZADOR P.PEGAMENTO EN GEL DE PEROXIDO DE HIDROGENO EN ENVASE DE 60ML</v>
          </cell>
        </row>
        <row r="529">
          <cell r="B529">
            <v>2521160</v>
          </cell>
          <cell r="C529" t="str">
            <v>CYC</v>
          </cell>
          <cell r="D529" t="str">
            <v>DUCTO DE CONCRETO ALIGERADO DE 1 VIA 125MM DIAM. X 1M LONG.</v>
          </cell>
        </row>
        <row r="530">
          <cell r="B530">
            <v>2521160</v>
          </cell>
          <cell r="C530" t="str">
            <v>FAD</v>
          </cell>
          <cell r="D530" t="str">
            <v>DUCTO DE CONCRETO ALIGERADO DE 1 VIA 125MM DIAM. X 1M LONG.</v>
          </cell>
        </row>
        <row r="531">
          <cell r="B531">
            <v>2521160</v>
          </cell>
          <cell r="C531" t="str">
            <v>PSS</v>
          </cell>
          <cell r="D531" t="str">
            <v>DUCTO DE CONCRETO ALIGERADO DE 1 VIA 125MM DIAM. X 1M LONG.</v>
          </cell>
        </row>
        <row r="532">
          <cell r="B532">
            <v>2521160</v>
          </cell>
          <cell r="C532" t="str">
            <v>SCM</v>
          </cell>
          <cell r="D532" t="str">
            <v>DUCTO DE CONCRETO ALIGERADO DE 1 VIA 125MM DIAM. X 1M LONG.</v>
          </cell>
        </row>
        <row r="533">
          <cell r="B533">
            <v>2521161</v>
          </cell>
          <cell r="C533" t="str">
            <v>CYC</v>
          </cell>
          <cell r="D533" t="str">
            <v>DUCTO DE CONCRETO ALIGERADO DE 1 VIA 150MM DIAM. X 1M LONG.</v>
          </cell>
        </row>
        <row r="534">
          <cell r="B534">
            <v>2521161</v>
          </cell>
          <cell r="C534" t="str">
            <v>FAD</v>
          </cell>
          <cell r="D534" t="str">
            <v>DUCTO DE CONCRETO ALIGERADO DE 1 VIA 150MM DIAM. X 1M LONG.</v>
          </cell>
        </row>
        <row r="535">
          <cell r="B535">
            <v>2521161</v>
          </cell>
          <cell r="C535" t="str">
            <v>PSS</v>
          </cell>
          <cell r="D535" t="str">
            <v>DUCTO DE CONCRETO ALIGERADO DE 1 VIA 150MM DIAM. X 1M LONG.</v>
          </cell>
        </row>
        <row r="536">
          <cell r="B536">
            <v>2521161</v>
          </cell>
          <cell r="C536" t="str">
            <v>SCM</v>
          </cell>
          <cell r="D536" t="str">
            <v>DUCTO DE CONCRETO ALIGERADO DE 1 VIA 150MM DIAM. X 1M LONG.</v>
          </cell>
        </row>
        <row r="537">
          <cell r="B537">
            <v>2521162</v>
          </cell>
          <cell r="C537" t="str">
            <v>CYC</v>
          </cell>
          <cell r="D537" t="str">
            <v>DUCTO DE CONCRETO ALIGERADO DE 2 VIAS 90MM DIAM. X 1M LONG.</v>
          </cell>
        </row>
        <row r="538">
          <cell r="B538">
            <v>2521162</v>
          </cell>
          <cell r="C538" t="str">
            <v>FAD</v>
          </cell>
          <cell r="D538" t="str">
            <v>DUCTO DE CONCRETO ALIGERADO DE 2 VIAS 90MM DIAM. X 1M LONG.</v>
          </cell>
        </row>
        <row r="539">
          <cell r="B539">
            <v>2521162</v>
          </cell>
          <cell r="C539" t="str">
            <v>PSS</v>
          </cell>
          <cell r="D539" t="str">
            <v>DUCTO DE CONCRETO ALIGERADO DE 2 VIAS 90MM DIAM. X 1M LONG.</v>
          </cell>
        </row>
        <row r="540">
          <cell r="B540">
            <v>2521162</v>
          </cell>
          <cell r="C540" t="str">
            <v>SCM</v>
          </cell>
          <cell r="D540" t="str">
            <v>DUCTO DE CONCRETO ALIGERADO DE 2 VIAS 90MM DIAM. X 1M LONG.</v>
          </cell>
        </row>
        <row r="541">
          <cell r="B541">
            <v>2521163</v>
          </cell>
          <cell r="C541" t="str">
            <v>CYC</v>
          </cell>
          <cell r="D541" t="str">
            <v>DUCTO DE CONCRETO ALIGERADO DE 4 VIAS 90MM DIAM. X 1M LONG.</v>
          </cell>
        </row>
        <row r="542">
          <cell r="B542">
            <v>2521163</v>
          </cell>
          <cell r="C542" t="str">
            <v>FAD</v>
          </cell>
          <cell r="D542" t="str">
            <v>DUCTO DE CONCRETO ALIGERADO DE 4 VIAS 90MM DIAM. X 1M LONG.</v>
          </cell>
        </row>
        <row r="543">
          <cell r="B543">
            <v>2521163</v>
          </cell>
          <cell r="C543" t="str">
            <v>PSS</v>
          </cell>
          <cell r="D543" t="str">
            <v>DUCTO DE CONCRETO ALIGERADO DE 4 VIAS 90MM DIAM. X 1M LONG.</v>
          </cell>
        </row>
        <row r="544">
          <cell r="B544">
            <v>2521163</v>
          </cell>
          <cell r="C544" t="str">
            <v>SCM</v>
          </cell>
          <cell r="D544" t="str">
            <v>DUCTO DE CONCRETO ALIGERADO DE 4 VIAS 90MM DIAM. X 1M LONG.</v>
          </cell>
        </row>
        <row r="545">
          <cell r="B545">
            <v>2521170</v>
          </cell>
          <cell r="C545" t="str">
            <v>IPT</v>
          </cell>
          <cell r="D545" t="str">
            <v>DUCTO DE CONCRETO DE 2 VIAS 90MM DIAM. X 1M LONG.</v>
          </cell>
        </row>
        <row r="546">
          <cell r="B546">
            <v>2551224</v>
          </cell>
          <cell r="C546" t="str">
            <v>KSG</v>
          </cell>
          <cell r="D546" t="str">
            <v>MASTIL DE MADERA TP.EUCALIPTO 3" / 2 1/2" DIAM. 6M ALTURA C.TRATAMIENTO CCB P.ACOMETIDA AEREA</v>
          </cell>
        </row>
        <row r="547">
          <cell r="B547">
            <v>2551224</v>
          </cell>
          <cell r="C547" t="str">
            <v>LIC</v>
          </cell>
          <cell r="D547" t="str">
            <v>MASTIL DE MADERA TP.EUCALIPTO 3" / 2 1/2" DIAM. 6M ALTURA C.TRATAMIENTO CCB P.ACOMETIDA AEREA</v>
          </cell>
        </row>
        <row r="548">
          <cell r="B548">
            <v>2552200</v>
          </cell>
          <cell r="C548" t="str">
            <v>ANE</v>
          </cell>
          <cell r="D548" t="str">
            <v>MASTIL DE MADERA TP.TORNILLO 48 X 73MM 1,8M ALTURA P.ACOMETIDA AEREA</v>
          </cell>
        </row>
        <row r="549">
          <cell r="B549">
            <v>2552200</v>
          </cell>
          <cell r="C549" t="str">
            <v>MAP</v>
          </cell>
          <cell r="D549" t="str">
            <v>MASTIL DE MADERA TP.TORNILLO 48 X 73MM 1,8M ALTURA P.ACOMETIDA AEREA</v>
          </cell>
        </row>
        <row r="550">
          <cell r="B550">
            <v>2552200</v>
          </cell>
          <cell r="C550" t="str">
            <v>MRP</v>
          </cell>
          <cell r="D550" t="str">
            <v>MASTIL DE MADERA TP.TORNILLO 48 X 73MM 1,8M ALTURA P.ACOMETIDA AEREA</v>
          </cell>
        </row>
        <row r="551">
          <cell r="B551">
            <v>2552200</v>
          </cell>
          <cell r="C551" t="str">
            <v>MVL</v>
          </cell>
          <cell r="D551" t="str">
            <v>MASTIL DE MADERA TP.TORNILLO 48 X 73MM 1,8M ALTURA P.ACOMETIDA AEREA</v>
          </cell>
        </row>
        <row r="552">
          <cell r="B552">
            <v>2552201</v>
          </cell>
          <cell r="C552" t="str">
            <v>ANE</v>
          </cell>
          <cell r="D552" t="str">
            <v>MASTIL DE MADERA TP.TORNILLO 48 X 73MM 4,4M ALTURA P.ACOMETIDA AEREA</v>
          </cell>
        </row>
        <row r="553">
          <cell r="B553">
            <v>2552201</v>
          </cell>
          <cell r="C553" t="str">
            <v>MAP</v>
          </cell>
          <cell r="D553" t="str">
            <v>MASTIL DE MADERA TP.TORNILLO 48 X 73MM 4,4M ALTURA P.ACOMETIDA AEREA</v>
          </cell>
        </row>
        <row r="554">
          <cell r="B554">
            <v>2552202</v>
          </cell>
          <cell r="C554" t="str">
            <v>KSS</v>
          </cell>
          <cell r="D554" t="str">
            <v>MASTIL DE MADERA TP.EUCALIPTO 3" / 2" DIAM. 3,5M ALTURA C.TRATAMIENTO CCB P.ACOMETIDA AEREA</v>
          </cell>
        </row>
        <row r="555">
          <cell r="B555">
            <v>2552202</v>
          </cell>
          <cell r="C555" t="str">
            <v>LIC</v>
          </cell>
          <cell r="D555" t="str">
            <v>MASTIL DE MADERA TP.EUCALIPTO 3" / 2" DIAM. 3,5M ALTURA C.TRATAMIENTO CCB P.ACOMETIDA AEREA</v>
          </cell>
        </row>
        <row r="556">
          <cell r="B556">
            <v>2552205</v>
          </cell>
          <cell r="C556" t="str">
            <v>ANE</v>
          </cell>
          <cell r="D556" t="str">
            <v>MASTIL DE MADERA TP.TORNILLO 48 X 73MM 3,6M ALTURA P.ACOMETIDA AEREA</v>
          </cell>
        </row>
        <row r="557">
          <cell r="B557">
            <v>2552205</v>
          </cell>
          <cell r="C557" t="str">
            <v>MAP</v>
          </cell>
          <cell r="D557" t="str">
            <v>MASTIL DE MADERA TP.TORNILLO 48 X 73MM 3,6M ALTURA P.ACOMETIDA AEREA</v>
          </cell>
        </row>
        <row r="558">
          <cell r="B558">
            <v>2552205</v>
          </cell>
          <cell r="C558" t="str">
            <v>MRP</v>
          </cell>
          <cell r="D558" t="str">
            <v>MASTIL DE MADERA TP.TORNILLO 48 X 73MM 3,6M ALTURA P.ACOMETIDA AEREA</v>
          </cell>
        </row>
        <row r="559">
          <cell r="B559">
            <v>2552205</v>
          </cell>
          <cell r="C559" t="str">
            <v>MVL</v>
          </cell>
          <cell r="D559" t="str">
            <v>MASTIL DE MADERA TP.TORNILLO 48 X 73MM 3,6M ALTURA P.ACOMETIDA AEREA</v>
          </cell>
        </row>
        <row r="560">
          <cell r="B560">
            <v>2552206</v>
          </cell>
          <cell r="C560" t="str">
            <v>ANE</v>
          </cell>
          <cell r="D560" t="str">
            <v>MASTIL DE MADERA TP.TORNILLO 48 X 73MM 6,1M ALTURA P.ACOMETIDA AEREA</v>
          </cell>
        </row>
        <row r="561">
          <cell r="B561">
            <v>2552206</v>
          </cell>
          <cell r="C561" t="str">
            <v>MAP</v>
          </cell>
          <cell r="D561" t="str">
            <v>MASTIL DE MADERA TP.TORNILLO 48 X 73MM 6,1M ALTURA P.ACOMETIDA AEREA</v>
          </cell>
        </row>
        <row r="562">
          <cell r="B562">
            <v>2552206</v>
          </cell>
          <cell r="C562" t="str">
            <v>MVL</v>
          </cell>
          <cell r="D562" t="str">
            <v>MASTIL DE MADERA TP.TORNILLO 48 X 73MM 6,1M ALTURA P.ACOMETIDA AEREA</v>
          </cell>
        </row>
        <row r="563">
          <cell r="B563">
            <v>2552209</v>
          </cell>
          <cell r="C563" t="str">
            <v>MAP</v>
          </cell>
          <cell r="D563" t="str">
            <v>TABLERO DE MADERA P.CJ. TP.3B   25.4 X 330 X 425MM</v>
          </cell>
        </row>
        <row r="564">
          <cell r="B564">
            <v>2552209</v>
          </cell>
          <cell r="C564" t="str">
            <v>MVL</v>
          </cell>
          <cell r="D564" t="str">
            <v>TABLERO DE MADERA P.CJ. TP.3B   25.4 X 330 X 425MM</v>
          </cell>
        </row>
        <row r="565">
          <cell r="B565">
            <v>2552211</v>
          </cell>
          <cell r="C565" t="str">
            <v>MAP</v>
          </cell>
          <cell r="D565" t="str">
            <v>TABLERO DE MADERA P.CJ. TP.3B-2   20 X 460 X 740MM</v>
          </cell>
        </row>
        <row r="566">
          <cell r="B566">
            <v>2552211</v>
          </cell>
          <cell r="C566" t="str">
            <v>MVL</v>
          </cell>
          <cell r="D566" t="str">
            <v>TABLERO DE MADERA P.CJ. TP.3B-2   20 X 460 X 740MM</v>
          </cell>
        </row>
        <row r="567">
          <cell r="B567">
            <v>2552213</v>
          </cell>
          <cell r="C567" t="str">
            <v>MAP</v>
          </cell>
          <cell r="D567" t="str">
            <v>TABLERO MADERA.P.TRANSF.CORR./TENS.   40X600X900MM</v>
          </cell>
        </row>
        <row r="568">
          <cell r="B568">
            <v>2552213</v>
          </cell>
          <cell r="C568" t="str">
            <v>MVL</v>
          </cell>
          <cell r="D568" t="str">
            <v>TABLERO MADERA.P.TRANSF.CORR./TENS.   40X600X900MM</v>
          </cell>
        </row>
        <row r="569">
          <cell r="B569">
            <v>2552219</v>
          </cell>
          <cell r="C569" t="str">
            <v>MAP</v>
          </cell>
          <cell r="D569" t="str">
            <v>TABLERO PREP.MADERA P.CJ.MET.TP.LT SUM.TRIF.3-10KW</v>
          </cell>
        </row>
        <row r="570">
          <cell r="B570">
            <v>2552219</v>
          </cell>
          <cell r="C570" t="str">
            <v>MVL</v>
          </cell>
          <cell r="D570" t="str">
            <v>TABLERO PREP.MADERA P.CJ.MET.TP.LT SUM.TRIF.3-10KW</v>
          </cell>
        </row>
        <row r="571">
          <cell r="B571">
            <v>2552221</v>
          </cell>
          <cell r="C571" t="str">
            <v>MAP</v>
          </cell>
          <cell r="D571" t="str">
            <v>TABLERO S/PREP.MADERA P.CJ.MET.TP.L   10X145X415MM</v>
          </cell>
        </row>
        <row r="572">
          <cell r="B572">
            <v>2552221</v>
          </cell>
          <cell r="C572" t="str">
            <v>MVL</v>
          </cell>
          <cell r="D572" t="str">
            <v>TABLERO S/PREP.MADERA P.CJ.MET.TP.L   10X145X415MM</v>
          </cell>
        </row>
        <row r="573">
          <cell r="B573">
            <v>2552409</v>
          </cell>
          <cell r="C573" t="str">
            <v>MAP</v>
          </cell>
          <cell r="D573" t="str">
            <v>BASE DE MADERA P.MODULO AP SAB-SCP-SCB  300X700MM.</v>
          </cell>
        </row>
        <row r="574">
          <cell r="B574">
            <v>2552409</v>
          </cell>
          <cell r="C574" t="str">
            <v>MVL</v>
          </cell>
          <cell r="D574" t="str">
            <v>BASE DE MADERA P.MODULO AP SAB-SCP-SCB  300X700MM.</v>
          </cell>
        </row>
        <row r="575">
          <cell r="B575">
            <v>2552411</v>
          </cell>
          <cell r="C575" t="str">
            <v>MAP</v>
          </cell>
          <cell r="D575" t="str">
            <v>BASE DE MADERA P.MODULO AP. EN SAM      400X550MM.</v>
          </cell>
        </row>
        <row r="576">
          <cell r="B576">
            <v>2552411</v>
          </cell>
          <cell r="C576" t="str">
            <v>MVL</v>
          </cell>
          <cell r="D576" t="str">
            <v>BASE DE MADERA P.MODULO AP. EN SAM      400X550MM.</v>
          </cell>
        </row>
        <row r="577">
          <cell r="B577">
            <v>2552607</v>
          </cell>
          <cell r="C577" t="str">
            <v>MAP</v>
          </cell>
          <cell r="D577" t="str">
            <v>BANCO AISLANTE DE MADERA P.SE.CONV. 560X650MM</v>
          </cell>
        </row>
        <row r="578">
          <cell r="B578">
            <v>2552607</v>
          </cell>
          <cell r="C578" t="str">
            <v>MVL</v>
          </cell>
          <cell r="D578" t="str">
            <v>BANCO AISLANTE DE MADERA P.SE.CONV. 560X650MM</v>
          </cell>
        </row>
        <row r="579">
          <cell r="B579">
            <v>2552613</v>
          </cell>
          <cell r="C579" t="str">
            <v>MAP</v>
          </cell>
          <cell r="D579" t="str">
            <v>BANCO PROTECTOR DE CABLE SCP TRIF.   100X500X600MM</v>
          </cell>
        </row>
        <row r="580">
          <cell r="B580">
            <v>2552613</v>
          </cell>
          <cell r="C580" t="str">
            <v>MVL</v>
          </cell>
          <cell r="D580" t="str">
            <v>BANCO PROTECTOR DE CABLE SCP TRIF.   100X500X600MM</v>
          </cell>
        </row>
        <row r="581">
          <cell r="B581">
            <v>2552939</v>
          </cell>
          <cell r="C581" t="str">
            <v>MAP</v>
          </cell>
          <cell r="D581" t="str">
            <v>SOPORTE MADERA CABLE UNIP.N2XSY SE.CONV. 100X700MM</v>
          </cell>
        </row>
        <row r="582">
          <cell r="B582">
            <v>2552939</v>
          </cell>
          <cell r="C582" t="str">
            <v>MVL</v>
          </cell>
          <cell r="D582" t="str">
            <v>SOPORTE MADERA CABLE UNIP.N2XSY SE.CONV. 100X700MM</v>
          </cell>
        </row>
        <row r="583">
          <cell r="B583">
            <v>2552947</v>
          </cell>
          <cell r="C583" t="str">
            <v>MAP</v>
          </cell>
          <cell r="D583" t="str">
            <v>TARUGO  1/2" DIAM. 3" LONG.</v>
          </cell>
        </row>
        <row r="584">
          <cell r="B584">
            <v>2552947</v>
          </cell>
          <cell r="C584" t="str">
            <v>MVL</v>
          </cell>
          <cell r="D584" t="str">
            <v>TARUGO  1/2" DIAM. 3" LONG.</v>
          </cell>
        </row>
        <row r="585">
          <cell r="B585">
            <v>4191181</v>
          </cell>
          <cell r="C585" t="str">
            <v>CIR</v>
          </cell>
          <cell r="D585" t="str">
            <v>CINTILLO DE NYLON DE 5 1/2" (140MM.)LONG. P. CABLES</v>
          </cell>
        </row>
        <row r="586">
          <cell r="B586">
            <v>4191181</v>
          </cell>
          <cell r="C586" t="str">
            <v>EEA</v>
          </cell>
          <cell r="D586" t="str">
            <v>CINTILLO DE NYLON DE 5 1/2" (140MM.)LONG. P. CABLES</v>
          </cell>
        </row>
        <row r="587">
          <cell r="B587">
            <v>4191181</v>
          </cell>
          <cell r="C587" t="str">
            <v>GWI</v>
          </cell>
          <cell r="D587" t="str">
            <v>CINTILLO DE NYLON DE 5 1/2" (140MM.)LONG. P. CABLES</v>
          </cell>
        </row>
        <row r="588">
          <cell r="B588">
            <v>4191181</v>
          </cell>
          <cell r="C588" t="str">
            <v>HNT</v>
          </cell>
          <cell r="D588" t="str">
            <v>CINTILLO DE NYLON DE 5 1/2" (140MM.)LONG. P. CABLES</v>
          </cell>
        </row>
        <row r="589">
          <cell r="B589">
            <v>4191181</v>
          </cell>
          <cell r="C589" t="str">
            <v>P3M</v>
          </cell>
          <cell r="D589" t="str">
            <v>CINTILLO DE NYLON DE 5 1/2" (140MM.)LONG. P. CABLES</v>
          </cell>
        </row>
        <row r="590">
          <cell r="B590">
            <v>4191182</v>
          </cell>
          <cell r="C590" t="str">
            <v>CIR</v>
          </cell>
          <cell r="D590" t="str">
            <v>CINTILLO DE NYLON DE 7 7/8" (200MM.) LONG. PARA CAB</v>
          </cell>
        </row>
        <row r="591">
          <cell r="B591">
            <v>4191182</v>
          </cell>
          <cell r="C591" t="str">
            <v>EEA</v>
          </cell>
          <cell r="D591" t="str">
            <v>CINTILLO DE NYLON DE 7 7/8" (200MM.) LONG. PARA CAB</v>
          </cell>
        </row>
        <row r="592">
          <cell r="B592">
            <v>4191182</v>
          </cell>
          <cell r="C592" t="str">
            <v>GWI</v>
          </cell>
          <cell r="D592" t="str">
            <v>CINTILLO DE NYLON DE 7 7/8" (200MM.) LONG. PARA CAB</v>
          </cell>
        </row>
        <row r="593">
          <cell r="B593">
            <v>4191182</v>
          </cell>
          <cell r="C593" t="str">
            <v>HNT</v>
          </cell>
          <cell r="D593" t="str">
            <v>CINTILLO DE NYLON DE 7 7/8" (200MM.) LONG. PARA CAB</v>
          </cell>
        </row>
        <row r="594">
          <cell r="B594">
            <v>4191182</v>
          </cell>
          <cell r="C594" t="str">
            <v>P3M</v>
          </cell>
          <cell r="D594" t="str">
            <v>CINTILLO DE NYLON DE 7 7/8" (200MM.) LONG. PARA CAB</v>
          </cell>
        </row>
        <row r="595">
          <cell r="B595">
            <v>4191183</v>
          </cell>
          <cell r="C595" t="str">
            <v>EEA</v>
          </cell>
          <cell r="D595" t="str">
            <v>CINTILLO DE NYLON DE 11 3/5" (295MM)</v>
          </cell>
        </row>
        <row r="596">
          <cell r="B596">
            <v>4191183</v>
          </cell>
          <cell r="C596" t="str">
            <v>HNT</v>
          </cell>
          <cell r="D596" t="str">
            <v>CINTILLO DE NYLON DE 11 3/5" (295MM)</v>
          </cell>
        </row>
        <row r="597">
          <cell r="B597">
            <v>4191184</v>
          </cell>
          <cell r="C597" t="str">
            <v>EEA</v>
          </cell>
          <cell r="D597" t="str">
            <v>CINTILLO DE NYLON 6 5/16" (160MM) LONG. P. CABLES</v>
          </cell>
        </row>
        <row r="598">
          <cell r="B598">
            <v>4191184</v>
          </cell>
          <cell r="C598" t="str">
            <v>HNT</v>
          </cell>
          <cell r="D598" t="str">
            <v>CINTILLO DE NYLON 6 5/16" (160MM) LONG. P. CABLES</v>
          </cell>
        </row>
        <row r="599">
          <cell r="B599">
            <v>4191185</v>
          </cell>
          <cell r="C599" t="str">
            <v>EEA</v>
          </cell>
          <cell r="D599" t="str">
            <v>CINTILLO DE NYLON DE 7 7/8 (200MM) LONG. P. CABLES</v>
          </cell>
        </row>
        <row r="600">
          <cell r="B600">
            <v>4191185</v>
          </cell>
          <cell r="C600" t="str">
            <v>HNT</v>
          </cell>
          <cell r="D600" t="str">
            <v>CINTILLO DE NYLON DE 7 7/8 (200MM) LONG. P. CABLES</v>
          </cell>
        </row>
        <row r="601">
          <cell r="B601">
            <v>4191186</v>
          </cell>
          <cell r="C601" t="str">
            <v>EEA</v>
          </cell>
          <cell r="D601" t="str">
            <v>CINTILLO DE NYLON DE 14 1/2 (370MM) LONG. P. CABLE</v>
          </cell>
        </row>
        <row r="602">
          <cell r="B602">
            <v>4191186</v>
          </cell>
          <cell r="C602" t="str">
            <v>HNT</v>
          </cell>
          <cell r="D602" t="str">
            <v>CINTILLO DE NYLON DE 14 1/2 (370MM) LONG. P. CABLE</v>
          </cell>
        </row>
        <row r="603">
          <cell r="B603">
            <v>4191187</v>
          </cell>
          <cell r="C603" t="str">
            <v>EEA</v>
          </cell>
          <cell r="D603" t="str">
            <v>CINTILLO DE NYLON DE 7 7/8 (200MM) LONG. P. CABLES</v>
          </cell>
        </row>
        <row r="604">
          <cell r="B604">
            <v>4191188</v>
          </cell>
          <cell r="C604" t="str">
            <v>EEA</v>
          </cell>
          <cell r="D604" t="str">
            <v>CINTILLO DE NYLON DE 11 1/2 (292MM) LONG. P. CABLE</v>
          </cell>
        </row>
        <row r="605">
          <cell r="B605">
            <v>4191188</v>
          </cell>
          <cell r="C605" t="str">
            <v>HNT</v>
          </cell>
          <cell r="D605" t="str">
            <v>CINTILLO DE NYLON DE 11 1/2 (292MM) LONG. P. CABLE</v>
          </cell>
        </row>
        <row r="606">
          <cell r="B606">
            <v>4191189</v>
          </cell>
          <cell r="C606" t="str">
            <v>CIR</v>
          </cell>
          <cell r="D606" t="str">
            <v>CINTILLO DE NYLON DE 14 1/2" (368MM) LONG. P. CABLES</v>
          </cell>
        </row>
        <row r="607">
          <cell r="B607">
            <v>4191189</v>
          </cell>
          <cell r="C607" t="str">
            <v>EEA</v>
          </cell>
          <cell r="D607" t="str">
            <v>CINTILLO DE NYLON DE 14 1/2" (368MM) LONG. P. CABLES</v>
          </cell>
        </row>
        <row r="608">
          <cell r="B608">
            <v>4191189</v>
          </cell>
          <cell r="C608" t="str">
            <v>GWI</v>
          </cell>
          <cell r="D608" t="str">
            <v>CINTILLO DE NYLON DE 14 1/2" (368MM) LONG. P. CABLES</v>
          </cell>
        </row>
        <row r="609">
          <cell r="B609">
            <v>4191189</v>
          </cell>
          <cell r="C609" t="str">
            <v>HNT</v>
          </cell>
          <cell r="D609" t="str">
            <v>CINTILLO DE NYLON DE 14 1/2" (368MM) LONG. P. CABLES</v>
          </cell>
        </row>
        <row r="610">
          <cell r="B610">
            <v>4191189</v>
          </cell>
          <cell r="C610" t="str">
            <v>P3M</v>
          </cell>
          <cell r="D610" t="str">
            <v>CINTILLO DE NYLON DE 14 1/2" (368MM) LONG. P. CABLES</v>
          </cell>
        </row>
        <row r="611">
          <cell r="B611">
            <v>4191190</v>
          </cell>
          <cell r="C611" t="str">
            <v>EEA</v>
          </cell>
          <cell r="D611" t="str">
            <v>CINTILLO DE NYLON DE 21" (533MM) LONG. P. CABLES</v>
          </cell>
        </row>
        <row r="612">
          <cell r="B612">
            <v>4191190</v>
          </cell>
          <cell r="C612" t="str">
            <v>HNT</v>
          </cell>
          <cell r="D612" t="str">
            <v>CINTILLO DE NYLON DE 21" (533MM) LONG. P. CABLES</v>
          </cell>
        </row>
        <row r="613">
          <cell r="B613">
            <v>4191191</v>
          </cell>
          <cell r="C613" t="str">
            <v>EEA</v>
          </cell>
          <cell r="D613" t="str">
            <v>CINTILLO DE NYLON DE 28" (710MM) LONG. P. CABLES</v>
          </cell>
        </row>
        <row r="614">
          <cell r="B614">
            <v>4191191</v>
          </cell>
          <cell r="C614" t="str">
            <v>HNT</v>
          </cell>
          <cell r="D614" t="str">
            <v>CINTILLO DE NYLON DE 28" (710MM) LONG. P. CABLES</v>
          </cell>
        </row>
        <row r="615">
          <cell r="B615">
            <v>5011346</v>
          </cell>
          <cell r="C615" t="str">
            <v>CEP</v>
          </cell>
          <cell r="D615" t="str">
            <v>CONDUCTOR CABLEADO DESNUDO CU TEMPLE DURO 16MM2 7 HILOS</v>
          </cell>
        </row>
        <row r="616">
          <cell r="B616">
            <v>5011346</v>
          </cell>
          <cell r="C616" t="str">
            <v>IND</v>
          </cell>
          <cell r="D616" t="str">
            <v>CONDUCTOR CABLEADO DESNUDO CU TEMPLE DURO 16MM2 7 HILOS</v>
          </cell>
        </row>
        <row r="617">
          <cell r="B617">
            <v>5011351</v>
          </cell>
          <cell r="C617" t="str">
            <v>CEP</v>
          </cell>
          <cell r="D617" t="str">
            <v>CONDUCTOR CABLEADO DESNUDO CU TEMPLE DURO 25MM2 7 HILOS</v>
          </cell>
        </row>
        <row r="618">
          <cell r="B618">
            <v>5011351</v>
          </cell>
          <cell r="C618" t="str">
            <v>IND</v>
          </cell>
          <cell r="D618" t="str">
            <v>CONDUCTOR CABLEADO DESNUDO CU TEMPLE DURO 25MM2 7 HILOS</v>
          </cell>
        </row>
        <row r="619">
          <cell r="B619">
            <v>5011355</v>
          </cell>
          <cell r="C619" t="str">
            <v>CEP</v>
          </cell>
          <cell r="D619" t="str">
            <v>CONDUCTOR CABLEADO DESNUDO CU TEMPLE DURO 35MM2 7 HILOS</v>
          </cell>
        </row>
        <row r="620">
          <cell r="B620">
            <v>5011355</v>
          </cell>
          <cell r="C620" t="str">
            <v>IND</v>
          </cell>
          <cell r="D620" t="str">
            <v>CONDUCTOR CABLEADO DESNUDO CU TEMPLE DURO 35MM2 7 HILOS</v>
          </cell>
        </row>
        <row r="621">
          <cell r="B621">
            <v>5011566</v>
          </cell>
          <cell r="C621" t="str">
            <v>CEP</v>
          </cell>
          <cell r="D621" t="str">
            <v>CONDUCTOR CABLEADO DESNUDO CU TEMPLE DURO 70MM2 19 HILOS</v>
          </cell>
        </row>
        <row r="622">
          <cell r="B622">
            <v>5011566</v>
          </cell>
          <cell r="C622" t="str">
            <v>IND</v>
          </cell>
          <cell r="D622" t="str">
            <v>CONDUCTOR CABLEADO DESNUDO CU TEMPLE DURO 70MM2 19 HILOS</v>
          </cell>
        </row>
        <row r="623">
          <cell r="B623">
            <v>5014366</v>
          </cell>
          <cell r="C623" t="str">
            <v>CEP</v>
          </cell>
          <cell r="D623" t="str">
            <v>CONDUCTOR CABLEADO DESNUDO ALEACION ALUMINIO 70MM2 7 HILOS C.GRASA</v>
          </cell>
        </row>
        <row r="624">
          <cell r="B624">
            <v>5014366</v>
          </cell>
          <cell r="C624" t="str">
            <v>CON</v>
          </cell>
          <cell r="D624" t="str">
            <v>CONDUCTOR CABLEADO DESNUDO ALEACION ALUMINIO 70MM2 7 HILOS C.GRASA</v>
          </cell>
        </row>
        <row r="625">
          <cell r="B625">
            <v>5014366</v>
          </cell>
          <cell r="C625" t="str">
            <v>HOE</v>
          </cell>
          <cell r="D625" t="str">
            <v>CONDUCTOR CABLEADO DESNUDO ALEACION ALUMINIO 70MM2 7 HILOS C.GRASA</v>
          </cell>
        </row>
        <row r="626">
          <cell r="B626">
            <v>5014366</v>
          </cell>
          <cell r="C626" t="str">
            <v>PBL</v>
          </cell>
          <cell r="D626" t="str">
            <v>CONDUCTOR CABLEADO DESNUDO ALEACION ALUMINIO 70MM2 7 HILOS C.GRASA</v>
          </cell>
        </row>
        <row r="627">
          <cell r="B627">
            <v>5014366</v>
          </cell>
          <cell r="C627" t="str">
            <v>SUR</v>
          </cell>
          <cell r="D627" t="str">
            <v>CONDUCTOR CABLEADO DESNUDO ALEACION ALUMINIO 70MM2 7 HILOS C.GRASA</v>
          </cell>
        </row>
        <row r="628">
          <cell r="B628">
            <v>5014366</v>
          </cell>
          <cell r="C628" t="str">
            <v>ZTT</v>
          </cell>
          <cell r="D628" t="str">
            <v>CONDUCTOR CABLEADO DESNUDO ALEACION ALUMINIO 70MM2 7 HILOS C.GRASA</v>
          </cell>
        </row>
        <row r="629">
          <cell r="B629">
            <v>5014573</v>
          </cell>
          <cell r="C629" t="str">
            <v>CEP</v>
          </cell>
          <cell r="D629" t="str">
            <v>CONDUCTOR CABLEADO DESNUDO ALEACION ALUMINIO 120MM2 19 HILOS C.GRASA</v>
          </cell>
        </row>
        <row r="630">
          <cell r="B630">
            <v>5014573</v>
          </cell>
          <cell r="C630" t="str">
            <v>HOE</v>
          </cell>
          <cell r="D630" t="str">
            <v>CONDUCTOR CABLEADO DESNUDO ALEACION ALUMINIO 120MM2 19 HILOS C.GRASA</v>
          </cell>
        </row>
        <row r="631">
          <cell r="B631">
            <v>5014573</v>
          </cell>
          <cell r="C631" t="str">
            <v>PBL</v>
          </cell>
          <cell r="D631" t="str">
            <v>CONDUCTOR CABLEADO DESNUDO ALEACION ALUMINIO 120MM2 19 HILOS C.GRASA</v>
          </cell>
        </row>
        <row r="632">
          <cell r="B632">
            <v>5014573</v>
          </cell>
          <cell r="C632" t="str">
            <v>SUR</v>
          </cell>
          <cell r="D632" t="str">
            <v>CONDUCTOR CABLEADO DESNUDO ALEACION ALUMINIO 120MM2 19 HILOS C.GRASA</v>
          </cell>
        </row>
        <row r="633">
          <cell r="B633">
            <v>5014573</v>
          </cell>
          <cell r="C633" t="str">
            <v>ZTT</v>
          </cell>
          <cell r="D633" t="str">
            <v>CONDUCTOR CABLEADO DESNUDO ALEACION ALUMINIO 120MM2 19 HILOS C.GRASA</v>
          </cell>
        </row>
        <row r="634">
          <cell r="B634">
            <v>5014582</v>
          </cell>
          <cell r="C634" t="str">
            <v>CON</v>
          </cell>
          <cell r="D634" t="str">
            <v>CONDUCTOR CABLEADO DESNUDO ALEACION ALUMINIO 185MM2 37 HILOS C.GRASA</v>
          </cell>
        </row>
        <row r="635">
          <cell r="B635">
            <v>5014582</v>
          </cell>
          <cell r="C635" t="str">
            <v>HOE</v>
          </cell>
          <cell r="D635" t="str">
            <v>CONDUCTOR CABLEADO DESNUDO ALEACION ALUMINIO 185MM2 37 HILOS C.GRASA</v>
          </cell>
        </row>
        <row r="636">
          <cell r="B636">
            <v>5014582</v>
          </cell>
          <cell r="C636" t="str">
            <v>PBL</v>
          </cell>
          <cell r="D636" t="str">
            <v>CONDUCTOR CABLEADO DESNUDO ALEACION ALUMINIO 185MM2 37 HILOS C.GRASA</v>
          </cell>
        </row>
        <row r="637">
          <cell r="B637">
            <v>5014582</v>
          </cell>
          <cell r="C637" t="str">
            <v>SUR</v>
          </cell>
          <cell r="D637" t="str">
            <v>CONDUCTOR CABLEADO DESNUDO ALEACION ALUMINIO 185MM2 37 HILOS C.GRASA</v>
          </cell>
        </row>
        <row r="638">
          <cell r="B638">
            <v>5014582</v>
          </cell>
          <cell r="C638" t="str">
            <v>ZTT</v>
          </cell>
          <cell r="D638" t="str">
            <v>CONDUCTOR CABLEADO DESNUDO ALEACION ALUMINIO 185MM2 37 HILOS C.GRASA</v>
          </cell>
        </row>
        <row r="639">
          <cell r="B639">
            <v>5014586</v>
          </cell>
          <cell r="C639" t="str">
            <v>ALC</v>
          </cell>
          <cell r="D639" t="str">
            <v>CONDUCTOR CABLEADO DESNUDO ALEACION ALUMINIO 240MM2 37 HILOS C.GRASA</v>
          </cell>
        </row>
        <row r="640">
          <cell r="B640">
            <v>5014586</v>
          </cell>
          <cell r="C640" t="str">
            <v>PBL</v>
          </cell>
          <cell r="D640" t="str">
            <v>CONDUCTOR CABLEADO DESNUDO ALEACION ALUMINIO 240MM2 37 HILOS C.GRASA</v>
          </cell>
        </row>
        <row r="641">
          <cell r="B641">
            <v>5016361</v>
          </cell>
          <cell r="C641" t="str">
            <v>CAM</v>
          </cell>
          <cell r="D641" t="str">
            <v>CABLE AO.GO.TIPO "B" DE 5/16".5080KG.MANO IZQ.7 HILOS.P.RETENIDA</v>
          </cell>
        </row>
        <row r="642">
          <cell r="B642">
            <v>5016361</v>
          </cell>
          <cell r="C642" t="str">
            <v>CBL</v>
          </cell>
          <cell r="D642" t="str">
            <v>CABLE AO.GO.TIPO "B" DE 5/16".5080KG.MANO IZQ.7 HILOS.P.RETENIDA</v>
          </cell>
        </row>
        <row r="643">
          <cell r="B643">
            <v>5016361</v>
          </cell>
          <cell r="C643" t="str">
            <v>EMC</v>
          </cell>
          <cell r="D643" t="str">
            <v>CABLE AO.GO.TIPO "B" DE 5/16".5080KG.MANO IZQ.7 HILOS.P.RETENIDA</v>
          </cell>
        </row>
        <row r="644">
          <cell r="B644">
            <v>5016361</v>
          </cell>
          <cell r="C644" t="str">
            <v>GED</v>
          </cell>
          <cell r="D644" t="str">
            <v>CABLE AO.GO.TIPO "B" DE 5/16".5080KG.MANO IZQ.7 HILOS.P.RETENIDA</v>
          </cell>
        </row>
        <row r="645">
          <cell r="B645">
            <v>5016361</v>
          </cell>
          <cell r="C645" t="str">
            <v>PBL</v>
          </cell>
          <cell r="D645" t="str">
            <v>CABLE AO.GO.TIPO "B" DE 5/16".5080KG.MANO IZQ.7 HILOS.P.RETENIDA</v>
          </cell>
        </row>
        <row r="646">
          <cell r="B646">
            <v>5017001</v>
          </cell>
          <cell r="C646" t="str">
            <v>CPW</v>
          </cell>
          <cell r="D646" t="str">
            <v>ELECTRODO P.PUESTA A TIERRA TP.COPPERWELD 9/16" X 2400MM</v>
          </cell>
        </row>
        <row r="647">
          <cell r="B647">
            <v>5017001</v>
          </cell>
          <cell r="C647" t="str">
            <v>ELD</v>
          </cell>
          <cell r="D647" t="str">
            <v>ELECTRODO P.PUESTA A TIERRA TP.COPPERWELD 9/16" X 2400MM</v>
          </cell>
        </row>
        <row r="648">
          <cell r="B648">
            <v>5017001</v>
          </cell>
          <cell r="C648" t="str">
            <v>INT</v>
          </cell>
          <cell r="D648" t="str">
            <v>ELECTRODO P.PUESTA A TIERRA TP.COPPERWELD 9/16" X 2400MM</v>
          </cell>
        </row>
        <row r="649">
          <cell r="B649">
            <v>5021041</v>
          </cell>
          <cell r="C649" t="str">
            <v>CEP</v>
          </cell>
          <cell r="D649" t="str">
            <v>CONDUCTOR SOLIDO TW  750V.UNIP.AZUL    1X 1.50 MM2</v>
          </cell>
        </row>
        <row r="650">
          <cell r="B650">
            <v>5021041</v>
          </cell>
          <cell r="C650" t="str">
            <v>CET</v>
          </cell>
          <cell r="D650" t="str">
            <v>CONDUCTOR SOLIDO TW  750V.UNIP.AZUL    1X 1.50 MM2</v>
          </cell>
        </row>
        <row r="651">
          <cell r="B651">
            <v>5021041</v>
          </cell>
          <cell r="C651" t="str">
            <v>ECP</v>
          </cell>
          <cell r="D651" t="str">
            <v>CONDUCTOR SOLIDO TW  750V.UNIP.AZUL    1X 1.50 MM2</v>
          </cell>
        </row>
        <row r="652">
          <cell r="B652">
            <v>5021041</v>
          </cell>
          <cell r="C652" t="str">
            <v>IND</v>
          </cell>
          <cell r="D652" t="str">
            <v>CONDUCTOR SOLIDO TW  750V.UNIP.AZUL    1X 1.50 MM2</v>
          </cell>
        </row>
        <row r="653">
          <cell r="B653">
            <v>5021043</v>
          </cell>
          <cell r="C653" t="str">
            <v>CEP</v>
          </cell>
          <cell r="D653" t="str">
            <v>CONDUCTOR SOLIDO TW  750V.UNIP.AMARI.  1X 1.50 MM2</v>
          </cell>
        </row>
        <row r="654">
          <cell r="B654">
            <v>5021043</v>
          </cell>
          <cell r="C654" t="str">
            <v>CET</v>
          </cell>
          <cell r="D654" t="str">
            <v>CONDUCTOR SOLIDO TW  750V.UNIP.AMARI.  1X 1.50 MM2</v>
          </cell>
        </row>
        <row r="655">
          <cell r="B655">
            <v>5021043</v>
          </cell>
          <cell r="C655" t="str">
            <v>ECP</v>
          </cell>
          <cell r="D655" t="str">
            <v>CONDUCTOR SOLIDO TW  750V.UNIP.AMARI.  1X 1.50 MM2</v>
          </cell>
        </row>
        <row r="656">
          <cell r="B656">
            <v>5021043</v>
          </cell>
          <cell r="C656" t="str">
            <v>IND</v>
          </cell>
          <cell r="D656" t="str">
            <v>CONDUCTOR SOLIDO TW  750V.UNIP.AMARI.  1X 1.50 MM2</v>
          </cell>
        </row>
        <row r="657">
          <cell r="B657">
            <v>5021045</v>
          </cell>
          <cell r="C657" t="str">
            <v>CEP</v>
          </cell>
          <cell r="D657" t="str">
            <v>CONDUCTOR SOLIDO TW  750V.UNIP.NEGRO   1X 1.50 MM2</v>
          </cell>
        </row>
        <row r="658">
          <cell r="B658">
            <v>5021045</v>
          </cell>
          <cell r="C658" t="str">
            <v>CET</v>
          </cell>
          <cell r="D658" t="str">
            <v>CONDUCTOR SOLIDO TW  750V.UNIP.NEGRO   1X 1.50 MM2</v>
          </cell>
        </row>
        <row r="659">
          <cell r="B659">
            <v>5021045</v>
          </cell>
          <cell r="C659" t="str">
            <v>ECP</v>
          </cell>
          <cell r="D659" t="str">
            <v>CONDUCTOR SOLIDO TW  750V.UNIP.NEGRO   1X 1.50 MM2</v>
          </cell>
        </row>
        <row r="660">
          <cell r="B660">
            <v>5021045</v>
          </cell>
          <cell r="C660" t="str">
            <v>IND</v>
          </cell>
          <cell r="D660" t="str">
            <v>CONDUCTOR SOLIDO TW  750V.UNIP.NEGRO   1X 1.50 MM2</v>
          </cell>
        </row>
        <row r="661">
          <cell r="B661">
            <v>5021047</v>
          </cell>
          <cell r="C661" t="str">
            <v>CEP</v>
          </cell>
          <cell r="D661" t="str">
            <v>CONDUCTOR SOLIDO TW  750V.UNIP.ROJO    1X 1.50 MM2</v>
          </cell>
        </row>
        <row r="662">
          <cell r="B662">
            <v>5021047</v>
          </cell>
          <cell r="C662" t="str">
            <v>CET</v>
          </cell>
          <cell r="D662" t="str">
            <v>CONDUCTOR SOLIDO TW  750V.UNIP.ROJO    1X 1.50 MM2</v>
          </cell>
        </row>
        <row r="663">
          <cell r="B663">
            <v>5021049</v>
          </cell>
          <cell r="C663" t="str">
            <v>CEP</v>
          </cell>
          <cell r="D663" t="str">
            <v>CONDUCTOR SOLIDO TW  750V.UNIP.VERDE   1X 1.50 MM2</v>
          </cell>
        </row>
        <row r="664">
          <cell r="B664">
            <v>5021049</v>
          </cell>
          <cell r="C664" t="str">
            <v>CET</v>
          </cell>
          <cell r="D664" t="str">
            <v>CONDUCTOR SOLIDO TW  750V.UNIP.VERDE   1X 1.50 MM2</v>
          </cell>
        </row>
        <row r="665">
          <cell r="B665">
            <v>5021081</v>
          </cell>
          <cell r="C665" t="str">
            <v>CEP</v>
          </cell>
          <cell r="D665" t="str">
            <v>CONDUCTOR SOLIDO TW  750V.UNIP.AZUL    1X 2.5  MM2</v>
          </cell>
        </row>
        <row r="666">
          <cell r="B666">
            <v>5021081</v>
          </cell>
          <cell r="C666" t="str">
            <v>CET</v>
          </cell>
          <cell r="D666" t="str">
            <v>CONDUCTOR SOLIDO TW  750V.UNIP.AZUL    1X 2.5  MM2</v>
          </cell>
        </row>
        <row r="667">
          <cell r="B667">
            <v>5021081</v>
          </cell>
          <cell r="C667" t="str">
            <v>ECP</v>
          </cell>
          <cell r="D667" t="str">
            <v>CONDUCTOR SOLIDO TW  750V.UNIP.AZUL    1X 2.5  MM2</v>
          </cell>
        </row>
        <row r="668">
          <cell r="B668">
            <v>5021081</v>
          </cell>
          <cell r="C668" t="str">
            <v>IND</v>
          </cell>
          <cell r="D668" t="str">
            <v>CONDUCTOR SOLIDO TW  750V.UNIP.AZUL    1X 2.5  MM2</v>
          </cell>
        </row>
        <row r="669">
          <cell r="B669">
            <v>5021083</v>
          </cell>
          <cell r="C669" t="str">
            <v>CEP</v>
          </cell>
          <cell r="D669" t="str">
            <v>CONDUCTOR SOLIDO TW  750V.UNIP.AMARI.  1X 2.5  MM2</v>
          </cell>
        </row>
        <row r="670">
          <cell r="B670">
            <v>5021083</v>
          </cell>
          <cell r="C670" t="str">
            <v>CET</v>
          </cell>
          <cell r="D670" t="str">
            <v>CONDUCTOR SOLIDO TW  750V.UNIP.AMARI.  1X 2.5  MM2</v>
          </cell>
        </row>
        <row r="671">
          <cell r="B671">
            <v>5021083</v>
          </cell>
          <cell r="C671" t="str">
            <v>ECP</v>
          </cell>
          <cell r="D671" t="str">
            <v>CONDUCTOR SOLIDO TW  750V.UNIP.AMARI.  1X 2.5  MM2</v>
          </cell>
        </row>
        <row r="672">
          <cell r="B672">
            <v>5021083</v>
          </cell>
          <cell r="C672" t="str">
            <v>IND</v>
          </cell>
          <cell r="D672" t="str">
            <v>CONDUCTOR SOLIDO TW  750V.UNIP.AMARI.  1X 2.5  MM2</v>
          </cell>
        </row>
        <row r="673">
          <cell r="B673">
            <v>5021085</v>
          </cell>
          <cell r="C673" t="str">
            <v>CEP</v>
          </cell>
          <cell r="D673" t="str">
            <v>CONDUCTOR SOLIDO TW  750V.UNIP.NEGRO   1X 2.5  MM2</v>
          </cell>
        </row>
        <row r="674">
          <cell r="B674">
            <v>5021085</v>
          </cell>
          <cell r="C674" t="str">
            <v>CET</v>
          </cell>
          <cell r="D674" t="str">
            <v>CONDUCTOR SOLIDO TW  750V.UNIP.NEGRO   1X 2.5  MM2</v>
          </cell>
        </row>
        <row r="675">
          <cell r="B675">
            <v>5021085</v>
          </cell>
          <cell r="C675" t="str">
            <v>ECP</v>
          </cell>
          <cell r="D675" t="str">
            <v>CONDUCTOR SOLIDO TW  750V.UNIP.NEGRO   1X 2.5  MM2</v>
          </cell>
        </row>
        <row r="676">
          <cell r="B676">
            <v>5021085</v>
          </cell>
          <cell r="C676" t="str">
            <v>IND</v>
          </cell>
          <cell r="D676" t="str">
            <v>CONDUCTOR SOLIDO TW  750V.UNIP.NEGRO   1X 2.5  MM2</v>
          </cell>
        </row>
        <row r="677">
          <cell r="B677">
            <v>5021087</v>
          </cell>
          <cell r="C677" t="str">
            <v>CEP</v>
          </cell>
          <cell r="D677" t="str">
            <v>CONDUCTOR SOLIDO TW  750V.UNIP.ROJO    1X 2.5  MM2</v>
          </cell>
        </row>
        <row r="678">
          <cell r="B678">
            <v>5021087</v>
          </cell>
          <cell r="C678" t="str">
            <v>CET</v>
          </cell>
          <cell r="D678" t="str">
            <v>CONDUCTOR SOLIDO TW  750V.UNIP.ROJO    1X 2.5  MM2</v>
          </cell>
        </row>
        <row r="679">
          <cell r="B679">
            <v>5021087</v>
          </cell>
          <cell r="C679" t="str">
            <v>ECP</v>
          </cell>
          <cell r="D679" t="str">
            <v>CONDUCTOR SOLIDO TW  750V.UNIP.ROJO    1X 2.5  MM2</v>
          </cell>
        </row>
        <row r="680">
          <cell r="B680">
            <v>5021087</v>
          </cell>
          <cell r="C680" t="str">
            <v>IND</v>
          </cell>
          <cell r="D680" t="str">
            <v>CONDUCTOR SOLIDO TW  750V.UNIP.ROJO    1X 2.5  MM2</v>
          </cell>
        </row>
        <row r="681">
          <cell r="B681">
            <v>5021089</v>
          </cell>
          <cell r="C681" t="str">
            <v>CEP</v>
          </cell>
          <cell r="D681" t="str">
            <v>CONDUCTOR SOLIDO TW  750V.UNIP.VERDE   1X 2.5  MM2</v>
          </cell>
        </row>
        <row r="682">
          <cell r="B682">
            <v>5021089</v>
          </cell>
          <cell r="C682" t="str">
            <v>CET</v>
          </cell>
          <cell r="D682" t="str">
            <v>CONDUCTOR SOLIDO TW  750V.UNIP.VERDE   1X 2.5  MM2</v>
          </cell>
        </row>
        <row r="683">
          <cell r="B683">
            <v>5021089</v>
          </cell>
          <cell r="C683" t="str">
            <v>ECP</v>
          </cell>
          <cell r="D683" t="str">
            <v>CONDUCTOR SOLIDO TW  750V.UNIP.VERDE   1X 2.5  MM2</v>
          </cell>
        </row>
        <row r="684">
          <cell r="B684">
            <v>5021089</v>
          </cell>
          <cell r="C684" t="str">
            <v>IND</v>
          </cell>
          <cell r="D684" t="str">
            <v>CONDUCTOR SOLIDO TW  750V.UNIP.VERDE   1X 2.5  MM2</v>
          </cell>
        </row>
        <row r="685">
          <cell r="B685">
            <v>5021090</v>
          </cell>
          <cell r="C685" t="str">
            <v>CET</v>
          </cell>
          <cell r="D685" t="str">
            <v>CONDUCTOR SOLIDO REFORZADO TW UNIPOLAR BLANCO  1X2.5  MM2   750V.</v>
          </cell>
        </row>
        <row r="686">
          <cell r="B686">
            <v>5021090</v>
          </cell>
          <cell r="C686" t="str">
            <v>ECP</v>
          </cell>
          <cell r="D686" t="str">
            <v>CONDUCTOR SOLIDO REFORZADO TW UNIPOLAR BLANCO  1X2.5  MM2   750V.</v>
          </cell>
        </row>
        <row r="687">
          <cell r="B687">
            <v>5021090</v>
          </cell>
          <cell r="C687" t="str">
            <v>IND</v>
          </cell>
          <cell r="D687" t="str">
            <v>CONDUCTOR SOLIDO REFORZADO TW UNIPOLAR BLANCO  1X2.5  MM2   750V.</v>
          </cell>
        </row>
        <row r="688">
          <cell r="B688">
            <v>5021120</v>
          </cell>
          <cell r="C688" t="str">
            <v>CEP</v>
          </cell>
          <cell r="D688" t="str">
            <v>CONDUCTOR SOLIDO UNIPOLAR TIPO TW 4MM2 COLOR MARRON 450 / 750V</v>
          </cell>
        </row>
        <row r="689">
          <cell r="B689">
            <v>5021120</v>
          </cell>
          <cell r="C689" t="str">
            <v>CET</v>
          </cell>
          <cell r="D689" t="str">
            <v>CONDUCTOR SOLIDO UNIPOLAR TIPO TW 4MM2 COLOR MARRON 450 / 750V</v>
          </cell>
        </row>
        <row r="690">
          <cell r="B690">
            <v>5021120</v>
          </cell>
          <cell r="C690" t="str">
            <v>ECP</v>
          </cell>
          <cell r="D690" t="str">
            <v>CONDUCTOR SOLIDO UNIPOLAR TIPO TW 4MM2 COLOR MARRON 450 / 750V</v>
          </cell>
        </row>
        <row r="691">
          <cell r="B691">
            <v>5021120</v>
          </cell>
          <cell r="C691" t="str">
            <v>IND</v>
          </cell>
          <cell r="D691" t="str">
            <v>CONDUCTOR SOLIDO UNIPOLAR TIPO TW 4MM2 COLOR MARRON 450 / 750V</v>
          </cell>
        </row>
        <row r="692">
          <cell r="B692">
            <v>5021121</v>
          </cell>
          <cell r="C692" t="str">
            <v>CEP</v>
          </cell>
          <cell r="D692" t="str">
            <v>CONDUCTOR SOLIDO TW  750V.UNIP.AZUL    1X 4    MM2</v>
          </cell>
        </row>
        <row r="693">
          <cell r="B693">
            <v>5021121</v>
          </cell>
          <cell r="C693" t="str">
            <v>CET</v>
          </cell>
          <cell r="D693" t="str">
            <v>CONDUCTOR SOLIDO TW  750V.UNIP.AZUL    1X 4    MM2</v>
          </cell>
        </row>
        <row r="694">
          <cell r="B694">
            <v>5021121</v>
          </cell>
          <cell r="C694" t="str">
            <v>ECP</v>
          </cell>
          <cell r="D694" t="str">
            <v>CONDUCTOR SOLIDO TW  750V.UNIP.AZUL    1X 4    MM2</v>
          </cell>
        </row>
        <row r="695">
          <cell r="B695">
            <v>5021121</v>
          </cell>
          <cell r="C695" t="str">
            <v>IND</v>
          </cell>
          <cell r="D695" t="str">
            <v>CONDUCTOR SOLIDO TW  750V.UNIP.AZUL    1X 4    MM2</v>
          </cell>
        </row>
        <row r="696">
          <cell r="B696">
            <v>5021123</v>
          </cell>
          <cell r="C696" t="str">
            <v>CEP</v>
          </cell>
          <cell r="D696" t="str">
            <v>CONDUCTOR SOLIDO TW  750V.UNIP.AMARI.  1X 4    MM2</v>
          </cell>
        </row>
        <row r="697">
          <cell r="B697">
            <v>5021123</v>
          </cell>
          <cell r="C697" t="str">
            <v>CET</v>
          </cell>
          <cell r="D697" t="str">
            <v>CONDUCTOR SOLIDO TW  750V.UNIP.AMARI.  1X 4    MM2</v>
          </cell>
        </row>
        <row r="698">
          <cell r="B698">
            <v>5021123</v>
          </cell>
          <cell r="C698" t="str">
            <v>ECP</v>
          </cell>
          <cell r="D698" t="str">
            <v>CONDUCTOR SOLIDO TW  750V.UNIP.AMARI.  1X 4    MM2</v>
          </cell>
        </row>
        <row r="699">
          <cell r="B699">
            <v>5021123</v>
          </cell>
          <cell r="C699" t="str">
            <v>IND</v>
          </cell>
          <cell r="D699" t="str">
            <v>CONDUCTOR SOLIDO TW  750V.UNIP.AMARI.  1X 4    MM2</v>
          </cell>
        </row>
        <row r="700">
          <cell r="B700">
            <v>5021125</v>
          </cell>
          <cell r="C700" t="str">
            <v>CEP</v>
          </cell>
          <cell r="D700" t="str">
            <v>CONDUCTOR SOLIDO TW  750V.UNIP.NEGRO   1X 4    MM2</v>
          </cell>
        </row>
        <row r="701">
          <cell r="B701">
            <v>5021125</v>
          </cell>
          <cell r="C701" t="str">
            <v>CET</v>
          </cell>
          <cell r="D701" t="str">
            <v>CONDUCTOR SOLIDO TW  750V.UNIP.NEGRO   1X 4    MM2</v>
          </cell>
        </row>
        <row r="702">
          <cell r="B702">
            <v>5021125</v>
          </cell>
          <cell r="C702" t="str">
            <v>ECP</v>
          </cell>
          <cell r="D702" t="str">
            <v>CONDUCTOR SOLIDO TW  750V.UNIP.NEGRO   1X 4    MM2</v>
          </cell>
        </row>
        <row r="703">
          <cell r="B703">
            <v>5021125</v>
          </cell>
          <cell r="C703" t="str">
            <v>IND</v>
          </cell>
          <cell r="D703" t="str">
            <v>CONDUCTOR SOLIDO TW  750V.UNIP.NEGRO   1X 4    MM2</v>
          </cell>
        </row>
        <row r="704">
          <cell r="B704">
            <v>5021126</v>
          </cell>
          <cell r="C704" t="str">
            <v>CEP</v>
          </cell>
          <cell r="D704" t="str">
            <v>CONDUCTOR SOLIDO TW  750V.UNIP.BLANCO   1X 4    MM2</v>
          </cell>
        </row>
        <row r="705">
          <cell r="B705">
            <v>5021126</v>
          </cell>
          <cell r="C705" t="str">
            <v>CET</v>
          </cell>
          <cell r="D705" t="str">
            <v>CONDUCTOR SOLIDO TW  750V.UNIP.BLANCO   1X 4    MM2</v>
          </cell>
        </row>
        <row r="706">
          <cell r="B706">
            <v>5021126</v>
          </cell>
          <cell r="C706" t="str">
            <v>ECP</v>
          </cell>
          <cell r="D706" t="str">
            <v>CONDUCTOR SOLIDO TW  750V.UNIP.BLANCO   1X 4    MM2</v>
          </cell>
        </row>
        <row r="707">
          <cell r="B707">
            <v>5021126</v>
          </cell>
          <cell r="C707" t="str">
            <v>IND</v>
          </cell>
          <cell r="D707" t="str">
            <v>CONDUCTOR SOLIDO TW  750V.UNIP.BLANCO   1X 4    MM2</v>
          </cell>
        </row>
        <row r="708">
          <cell r="B708">
            <v>5021127</v>
          </cell>
          <cell r="C708" t="str">
            <v>CEP</v>
          </cell>
          <cell r="D708" t="str">
            <v>CONDUCTOR SOLIDO TW  750V.UNIP.ROJO    1X 4    MM2</v>
          </cell>
        </row>
        <row r="709">
          <cell r="B709">
            <v>5021127</v>
          </cell>
          <cell r="C709" t="str">
            <v>CET</v>
          </cell>
          <cell r="D709" t="str">
            <v>CONDUCTOR SOLIDO TW  750V.UNIP.ROJO    1X 4    MM2</v>
          </cell>
        </row>
        <row r="710">
          <cell r="B710">
            <v>5021127</v>
          </cell>
          <cell r="C710" t="str">
            <v>ECP</v>
          </cell>
          <cell r="D710" t="str">
            <v>CONDUCTOR SOLIDO TW  750V.UNIP.ROJO    1X 4    MM2</v>
          </cell>
        </row>
        <row r="711">
          <cell r="B711">
            <v>5021127</v>
          </cell>
          <cell r="C711" t="str">
            <v>IND</v>
          </cell>
          <cell r="D711" t="str">
            <v>CONDUCTOR SOLIDO TW  750V.UNIP.ROJO    1X 4    MM2</v>
          </cell>
        </row>
        <row r="712">
          <cell r="B712">
            <v>5021129</v>
          </cell>
          <cell r="C712" t="str">
            <v>CEP</v>
          </cell>
          <cell r="D712" t="str">
            <v>CONDUCTOR SOLIDO TW  750V.UNIP.VERDE   1X 4    MM2</v>
          </cell>
        </row>
        <row r="713">
          <cell r="B713">
            <v>5021129</v>
          </cell>
          <cell r="C713" t="str">
            <v>CET</v>
          </cell>
          <cell r="D713" t="str">
            <v>CONDUCTOR SOLIDO TW  750V.UNIP.VERDE   1X 4    MM2</v>
          </cell>
        </row>
        <row r="714">
          <cell r="B714">
            <v>5021129</v>
          </cell>
          <cell r="C714" t="str">
            <v>ECP</v>
          </cell>
          <cell r="D714" t="str">
            <v>CONDUCTOR SOLIDO TW  750V.UNIP.VERDE   1X 4    MM2</v>
          </cell>
        </row>
        <row r="715">
          <cell r="B715">
            <v>5021129</v>
          </cell>
          <cell r="C715" t="str">
            <v>IND</v>
          </cell>
          <cell r="D715" t="str">
            <v>CONDUCTOR SOLIDO TW  750V.UNIP.VERDE   1X 4    MM2</v>
          </cell>
        </row>
        <row r="716">
          <cell r="B716">
            <v>5021161</v>
          </cell>
          <cell r="C716" t="str">
            <v>CEP</v>
          </cell>
          <cell r="D716" t="str">
            <v>CONDUCTOR SOLIDO TW  750V.UNIP.AZUL    1X 6    MM2</v>
          </cell>
        </row>
        <row r="717">
          <cell r="B717">
            <v>5021161</v>
          </cell>
          <cell r="C717" t="str">
            <v>CET</v>
          </cell>
          <cell r="D717" t="str">
            <v>CONDUCTOR SOLIDO TW  750V.UNIP.AZUL    1X 6    MM2</v>
          </cell>
        </row>
        <row r="718">
          <cell r="B718">
            <v>5021161</v>
          </cell>
          <cell r="C718" t="str">
            <v>ECP</v>
          </cell>
          <cell r="D718" t="str">
            <v>CONDUCTOR SOLIDO TW  750V.UNIP.AZUL    1X 6    MM2</v>
          </cell>
        </row>
        <row r="719">
          <cell r="B719">
            <v>5021161</v>
          </cell>
          <cell r="C719" t="str">
            <v>IND</v>
          </cell>
          <cell r="D719" t="str">
            <v>CONDUCTOR SOLIDO TW  750V.UNIP.AZUL    1X 6    MM2</v>
          </cell>
        </row>
        <row r="720">
          <cell r="B720">
            <v>5021163</v>
          </cell>
          <cell r="C720" t="str">
            <v>CEP</v>
          </cell>
          <cell r="D720" t="str">
            <v>CONDUCTOR SOLIDO TW  750V.UNIP.AMARI.  1X 6    MM2</v>
          </cell>
        </row>
        <row r="721">
          <cell r="B721">
            <v>5021163</v>
          </cell>
          <cell r="C721" t="str">
            <v>CET</v>
          </cell>
          <cell r="D721" t="str">
            <v>CONDUCTOR SOLIDO TW  750V.UNIP.AMARI.  1X 6    MM2</v>
          </cell>
        </row>
        <row r="722">
          <cell r="B722">
            <v>5021163</v>
          </cell>
          <cell r="C722" t="str">
            <v>ECP</v>
          </cell>
          <cell r="D722" t="str">
            <v>CONDUCTOR SOLIDO TW  750V.UNIP.AMARI.  1X 6    MM2</v>
          </cell>
        </row>
        <row r="723">
          <cell r="B723">
            <v>5021163</v>
          </cell>
          <cell r="C723" t="str">
            <v>IND</v>
          </cell>
          <cell r="D723" t="str">
            <v>CONDUCTOR SOLIDO TW  750V.UNIP.AMARI.  1X 6    MM2</v>
          </cell>
        </row>
        <row r="724">
          <cell r="B724">
            <v>5021165</v>
          </cell>
          <cell r="C724" t="str">
            <v>CEP</v>
          </cell>
          <cell r="D724" t="str">
            <v>CONDUCTOR SOLIDO TW  750V.UNIP.NEGRO   1X 6    MM2</v>
          </cell>
        </row>
        <row r="725">
          <cell r="B725">
            <v>5021165</v>
          </cell>
          <cell r="C725" t="str">
            <v>CET</v>
          </cell>
          <cell r="D725" t="str">
            <v>CONDUCTOR SOLIDO TW  750V.UNIP.NEGRO   1X 6    MM2</v>
          </cell>
        </row>
        <row r="726">
          <cell r="B726">
            <v>5021165</v>
          </cell>
          <cell r="C726" t="str">
            <v>ECP</v>
          </cell>
          <cell r="D726" t="str">
            <v>CONDUCTOR SOLIDO TW  750V.UNIP.NEGRO   1X 6    MM2</v>
          </cell>
        </row>
        <row r="727">
          <cell r="B727">
            <v>5021165</v>
          </cell>
          <cell r="C727" t="str">
            <v>IND</v>
          </cell>
          <cell r="D727" t="str">
            <v>CONDUCTOR SOLIDO TW  750V.UNIP.NEGRO   1X 6    MM2</v>
          </cell>
        </row>
        <row r="728">
          <cell r="B728">
            <v>5021167</v>
          </cell>
          <cell r="C728" t="str">
            <v>CEP</v>
          </cell>
          <cell r="D728" t="str">
            <v>CONDUCTOR SOLIDO TW  750V.UNIP.ROJO    1X 6    MM2</v>
          </cell>
        </row>
        <row r="729">
          <cell r="B729">
            <v>5021167</v>
          </cell>
          <cell r="C729" t="str">
            <v>CET</v>
          </cell>
          <cell r="D729" t="str">
            <v>CONDUCTOR SOLIDO TW  750V.UNIP.ROJO    1X 6    MM2</v>
          </cell>
        </row>
        <row r="730">
          <cell r="B730">
            <v>5021167</v>
          </cell>
          <cell r="C730" t="str">
            <v>ECP</v>
          </cell>
          <cell r="D730" t="str">
            <v>CONDUCTOR SOLIDO TW  750V.UNIP.ROJO    1X 6    MM2</v>
          </cell>
        </row>
        <row r="731">
          <cell r="B731">
            <v>5021167</v>
          </cell>
          <cell r="C731" t="str">
            <v>IND</v>
          </cell>
          <cell r="D731" t="str">
            <v>CONDUCTOR SOLIDO TW  750V.UNIP.ROJO    1X 6    MM2</v>
          </cell>
        </row>
        <row r="732">
          <cell r="B732">
            <v>5021169</v>
          </cell>
          <cell r="C732" t="str">
            <v>CEP</v>
          </cell>
          <cell r="D732" t="str">
            <v>CONDUCTOR SOLIDO TW  750V.UNIP.VERDE   1X 6    MM2</v>
          </cell>
        </row>
        <row r="733">
          <cell r="B733">
            <v>5021169</v>
          </cell>
          <cell r="C733" t="str">
            <v>CET</v>
          </cell>
          <cell r="D733" t="str">
            <v>CONDUCTOR SOLIDO TW  750V.UNIP.VERDE   1X 6    MM2</v>
          </cell>
        </row>
        <row r="734">
          <cell r="B734">
            <v>5021169</v>
          </cell>
          <cell r="C734" t="str">
            <v>ECP</v>
          </cell>
          <cell r="D734" t="str">
            <v>CONDUCTOR SOLIDO TW  750V.UNIP.VERDE   1X 6    MM2</v>
          </cell>
        </row>
        <row r="735">
          <cell r="B735">
            <v>5021169</v>
          </cell>
          <cell r="C735" t="str">
            <v>IND</v>
          </cell>
          <cell r="D735" t="str">
            <v>CONDUCTOR SOLIDO TW  750V.UNIP.VERDE   1X 6    MM2</v>
          </cell>
        </row>
        <row r="736">
          <cell r="B736">
            <v>5021201</v>
          </cell>
          <cell r="C736" t="str">
            <v>CEP</v>
          </cell>
          <cell r="D736" t="str">
            <v>CONDUCTOR SOLIDO TW  750V.UNIP.AZUL    1X10    MM2</v>
          </cell>
        </row>
        <row r="737">
          <cell r="B737">
            <v>5021201</v>
          </cell>
          <cell r="C737" t="str">
            <v>CET</v>
          </cell>
          <cell r="D737" t="str">
            <v>CONDUCTOR SOLIDO TW  750V.UNIP.AZUL    1X10    MM2</v>
          </cell>
        </row>
        <row r="738">
          <cell r="B738">
            <v>5021201</v>
          </cell>
          <cell r="C738" t="str">
            <v>ECP</v>
          </cell>
          <cell r="D738" t="str">
            <v>CONDUCTOR SOLIDO TW  750V.UNIP.AZUL    1X10    MM2</v>
          </cell>
        </row>
        <row r="739">
          <cell r="B739">
            <v>5021201</v>
          </cell>
          <cell r="C739" t="str">
            <v>IND</v>
          </cell>
          <cell r="D739" t="str">
            <v>CONDUCTOR SOLIDO TW  750V.UNIP.AZUL    1X10    MM2</v>
          </cell>
        </row>
        <row r="740">
          <cell r="B740">
            <v>5021203</v>
          </cell>
          <cell r="C740" t="str">
            <v>CEP</v>
          </cell>
          <cell r="D740" t="str">
            <v>CONDUCTOR SOLIDO TW  750V.UNIP.AMARI.  1X10    MM2</v>
          </cell>
        </row>
        <row r="741">
          <cell r="B741">
            <v>5021203</v>
          </cell>
          <cell r="C741" t="str">
            <v>CET</v>
          </cell>
          <cell r="D741" t="str">
            <v>CONDUCTOR SOLIDO TW  750V.UNIP.AMARI.  1X10    MM2</v>
          </cell>
        </row>
        <row r="742">
          <cell r="B742">
            <v>5021203</v>
          </cell>
          <cell r="C742" t="str">
            <v>ECP</v>
          </cell>
          <cell r="D742" t="str">
            <v>CONDUCTOR SOLIDO TW  750V.UNIP.AMARI.  1X10    MM2</v>
          </cell>
        </row>
        <row r="743">
          <cell r="B743">
            <v>5021203</v>
          </cell>
          <cell r="C743" t="str">
            <v>IND</v>
          </cell>
          <cell r="D743" t="str">
            <v>CONDUCTOR SOLIDO TW  750V.UNIP.AMARI.  1X10    MM2</v>
          </cell>
        </row>
        <row r="744">
          <cell r="B744">
            <v>5021205</v>
          </cell>
          <cell r="C744" t="str">
            <v>CEP</v>
          </cell>
          <cell r="D744" t="str">
            <v>CONDUCTOR SOLIDO TW  750V.UNIP.NEGRO   1X10    MM2</v>
          </cell>
        </row>
        <row r="745">
          <cell r="B745">
            <v>5021205</v>
          </cell>
          <cell r="C745" t="str">
            <v>CET</v>
          </cell>
          <cell r="D745" t="str">
            <v>CONDUCTOR SOLIDO TW  750V.UNIP.NEGRO   1X10    MM2</v>
          </cell>
        </row>
        <row r="746">
          <cell r="B746">
            <v>5021205</v>
          </cell>
          <cell r="C746" t="str">
            <v>ECP</v>
          </cell>
          <cell r="D746" t="str">
            <v>CONDUCTOR SOLIDO TW  750V.UNIP.NEGRO   1X10    MM2</v>
          </cell>
        </row>
        <row r="747">
          <cell r="B747">
            <v>5021205</v>
          </cell>
          <cell r="C747" t="str">
            <v>IND</v>
          </cell>
          <cell r="D747" t="str">
            <v>CONDUCTOR SOLIDO TW  750V.UNIP.NEGRO   1X10    MM2</v>
          </cell>
        </row>
        <row r="748">
          <cell r="B748">
            <v>5021207</v>
          </cell>
          <cell r="C748" t="str">
            <v>CEP</v>
          </cell>
          <cell r="D748" t="str">
            <v>CONDUCTOR SOLIDO TW  750V.UNIP.ROJO    1X10    MM2</v>
          </cell>
        </row>
        <row r="749">
          <cell r="B749">
            <v>5021207</v>
          </cell>
          <cell r="C749" t="str">
            <v>CET</v>
          </cell>
          <cell r="D749" t="str">
            <v>CONDUCTOR SOLIDO TW  750V.UNIP.ROJO    1X10    MM2</v>
          </cell>
        </row>
        <row r="750">
          <cell r="B750">
            <v>5021207</v>
          </cell>
          <cell r="C750" t="str">
            <v>ECP</v>
          </cell>
          <cell r="D750" t="str">
            <v>CONDUCTOR SOLIDO TW  750V.UNIP.ROJO    1X10    MM2</v>
          </cell>
        </row>
        <row r="751">
          <cell r="B751">
            <v>5021207</v>
          </cell>
          <cell r="C751" t="str">
            <v>IND</v>
          </cell>
          <cell r="D751" t="str">
            <v>CONDUCTOR SOLIDO TW  750V.UNIP.ROJO    1X10    MM2</v>
          </cell>
        </row>
        <row r="752">
          <cell r="B752">
            <v>5021209</v>
          </cell>
          <cell r="C752" t="str">
            <v>CEP</v>
          </cell>
          <cell r="D752" t="str">
            <v>CONDUCTOR SOLIDO TW  750V.UNIP.VERDE   1X10    MM2</v>
          </cell>
        </row>
        <row r="753">
          <cell r="B753">
            <v>5021209</v>
          </cell>
          <cell r="C753" t="str">
            <v>CET</v>
          </cell>
          <cell r="D753" t="str">
            <v>CONDUCTOR SOLIDO TW  750V.UNIP.VERDE   1X10    MM2</v>
          </cell>
        </row>
        <row r="754">
          <cell r="B754">
            <v>5021209</v>
          </cell>
          <cell r="C754" t="str">
            <v>IND</v>
          </cell>
          <cell r="D754" t="str">
            <v>CONDUCTOR SOLIDO TW  750V.UNIP.VERDE   1X10    MM2</v>
          </cell>
        </row>
        <row r="755">
          <cell r="B755">
            <v>5021243</v>
          </cell>
          <cell r="C755" t="str">
            <v>CEP</v>
          </cell>
          <cell r="D755" t="str">
            <v>CONDUCTOR CABLEADO UNIPOLAR TIPO TW 16MM2 COLOR AMARILLO 450 / 750V</v>
          </cell>
        </row>
        <row r="756">
          <cell r="B756">
            <v>5021243</v>
          </cell>
          <cell r="C756" t="str">
            <v>CET</v>
          </cell>
          <cell r="D756" t="str">
            <v>CONDUCTOR CABLEADO UNIPOLAR TIPO TW 16MM2 COLOR AMARILLO 450 / 750V</v>
          </cell>
        </row>
        <row r="757">
          <cell r="B757">
            <v>5021243</v>
          </cell>
          <cell r="C757" t="str">
            <v>ECP</v>
          </cell>
          <cell r="D757" t="str">
            <v>CONDUCTOR CABLEADO UNIPOLAR TIPO TW 16MM2 COLOR AMARILLO 450 / 750V</v>
          </cell>
        </row>
        <row r="758">
          <cell r="B758">
            <v>5021243</v>
          </cell>
          <cell r="C758" t="str">
            <v>IND</v>
          </cell>
          <cell r="D758" t="str">
            <v>CONDUCTOR CABLEADO UNIPOLAR TIPO TW 16MM2 COLOR AMARILLO 450 / 750V</v>
          </cell>
        </row>
        <row r="759">
          <cell r="B759">
            <v>5021283</v>
          </cell>
          <cell r="C759" t="str">
            <v>CEP</v>
          </cell>
          <cell r="D759" t="str">
            <v>CONDUCTOR CABLEADO TW  750V.UNIP.AMARI. 1X 25  MM2</v>
          </cell>
        </row>
        <row r="760">
          <cell r="B760">
            <v>5021283</v>
          </cell>
          <cell r="C760" t="str">
            <v>CET</v>
          </cell>
          <cell r="D760" t="str">
            <v>CONDUCTOR CABLEADO TW  750V.UNIP.AMARI. 1X 25  MM2</v>
          </cell>
        </row>
        <row r="761">
          <cell r="B761">
            <v>5021283</v>
          </cell>
          <cell r="C761" t="str">
            <v>ECP</v>
          </cell>
          <cell r="D761" t="str">
            <v>CONDUCTOR CABLEADO TW  750V.UNIP.AMARI. 1X 25  MM2</v>
          </cell>
        </row>
        <row r="762">
          <cell r="B762">
            <v>5021283</v>
          </cell>
          <cell r="C762" t="str">
            <v>IND</v>
          </cell>
          <cell r="D762" t="str">
            <v>CONDUCTOR CABLEADO TW  750V.UNIP.AMARI. 1X 25  MM2</v>
          </cell>
        </row>
        <row r="763">
          <cell r="B763">
            <v>5021303</v>
          </cell>
          <cell r="C763" t="str">
            <v>CEP</v>
          </cell>
          <cell r="D763" t="str">
            <v>CONDUCTOR CABLEADO TW  750V.UNIP.AMARI. 1X 35  MM2</v>
          </cell>
        </row>
        <row r="764">
          <cell r="B764">
            <v>5021303</v>
          </cell>
          <cell r="C764" t="str">
            <v>CET</v>
          </cell>
          <cell r="D764" t="str">
            <v>CONDUCTOR CABLEADO TW  750V.UNIP.AMARI. 1X 35  MM2</v>
          </cell>
        </row>
        <row r="765">
          <cell r="B765">
            <v>5021303</v>
          </cell>
          <cell r="C765" t="str">
            <v>ECP</v>
          </cell>
          <cell r="D765" t="str">
            <v>CONDUCTOR CABLEADO TW  750V.UNIP.AMARI. 1X 35  MM2</v>
          </cell>
        </row>
        <row r="766">
          <cell r="B766">
            <v>5021303</v>
          </cell>
          <cell r="C766" t="str">
            <v>IND</v>
          </cell>
          <cell r="D766" t="str">
            <v>CONDUCTOR CABLEADO TW  750V.UNIP.AMARI. 1X 35  MM2</v>
          </cell>
        </row>
        <row r="767">
          <cell r="B767">
            <v>5021323</v>
          </cell>
          <cell r="C767" t="str">
            <v>CEP</v>
          </cell>
          <cell r="D767" t="str">
            <v>CONDUCTOR CABLEADO TW. 750V.UNIP.AMARI. 1X 50  MM2</v>
          </cell>
        </row>
        <row r="768">
          <cell r="B768">
            <v>5021323</v>
          </cell>
          <cell r="C768" t="str">
            <v>CET</v>
          </cell>
          <cell r="D768" t="str">
            <v>CONDUCTOR CABLEADO TW. 750V.UNIP.AMARI. 1X 50  MM2</v>
          </cell>
        </row>
        <row r="769">
          <cell r="B769">
            <v>5021323</v>
          </cell>
          <cell r="C769" t="str">
            <v>ECP</v>
          </cell>
          <cell r="D769" t="str">
            <v>CONDUCTOR CABLEADO TW. 750V.UNIP.AMARI. 1X 50  MM2</v>
          </cell>
        </row>
        <row r="770">
          <cell r="B770">
            <v>5021323</v>
          </cell>
          <cell r="C770" t="str">
            <v>IND</v>
          </cell>
          <cell r="D770" t="str">
            <v>CONDUCTOR CABLEADO TW. 750V.UNIP.AMARI. 1X 50  MM2</v>
          </cell>
        </row>
        <row r="771">
          <cell r="B771">
            <v>5021333</v>
          </cell>
          <cell r="C771" t="str">
            <v>CEP</v>
          </cell>
          <cell r="D771" t="str">
            <v>CONDUCTOR CABLEADO TW  750V.UNIP.AMARI. 1X 70  MM2</v>
          </cell>
        </row>
        <row r="772">
          <cell r="B772">
            <v>5021333</v>
          </cell>
          <cell r="C772" t="str">
            <v>CET</v>
          </cell>
          <cell r="D772" t="str">
            <v>CONDUCTOR CABLEADO TW  750V.UNIP.AMARI. 1X 70  MM2</v>
          </cell>
        </row>
        <row r="773">
          <cell r="B773">
            <v>5021333</v>
          </cell>
          <cell r="C773" t="str">
            <v>ECP</v>
          </cell>
          <cell r="D773" t="str">
            <v>CONDUCTOR CABLEADO TW  750V.UNIP.AMARI. 1X 70  MM2</v>
          </cell>
        </row>
        <row r="774">
          <cell r="B774">
            <v>5021333</v>
          </cell>
          <cell r="C774" t="str">
            <v>IND</v>
          </cell>
          <cell r="D774" t="str">
            <v>CONDUCTOR CABLEADO TW  750V.UNIP.AMARI. 1X 70  MM2</v>
          </cell>
        </row>
        <row r="775">
          <cell r="B775">
            <v>5021355</v>
          </cell>
          <cell r="C775" t="str">
            <v>CEP</v>
          </cell>
          <cell r="D775" t="str">
            <v>CONDUCTOR CABLEADO TW  750V.UNIP.AMARI. 1X120  MM2</v>
          </cell>
        </row>
        <row r="776">
          <cell r="B776">
            <v>5021355</v>
          </cell>
          <cell r="C776" t="str">
            <v>CET</v>
          </cell>
          <cell r="D776" t="str">
            <v>CONDUCTOR CABLEADO TW  750V.UNIP.AMARI. 1X120  MM2</v>
          </cell>
        </row>
        <row r="777">
          <cell r="B777">
            <v>5021355</v>
          </cell>
          <cell r="C777" t="str">
            <v>ECP</v>
          </cell>
          <cell r="D777" t="str">
            <v>CONDUCTOR CABLEADO TW  750V.UNIP.AMARI. 1X120  MM2</v>
          </cell>
        </row>
        <row r="778">
          <cell r="B778">
            <v>5021355</v>
          </cell>
          <cell r="C778" t="str">
            <v>IND</v>
          </cell>
          <cell r="D778" t="str">
            <v>CONDUCTOR CABLEADO TW  750V.UNIP.AMARI. 1X120  MM2</v>
          </cell>
        </row>
        <row r="779">
          <cell r="B779">
            <v>5021405</v>
          </cell>
          <cell r="C779" t="str">
            <v>CEP</v>
          </cell>
          <cell r="D779" t="str">
            <v>CONDUCTOR SOLIDO TWT 450/750V.BIPOLAR   2X 1   MM2</v>
          </cell>
        </row>
        <row r="780">
          <cell r="B780">
            <v>5021405</v>
          </cell>
          <cell r="C780" t="str">
            <v>ECP</v>
          </cell>
          <cell r="D780" t="str">
            <v>CONDUCTOR SOLIDO TWT 450/750V.BIPOLAR   2X 1   MM2</v>
          </cell>
        </row>
        <row r="781">
          <cell r="B781">
            <v>5021405</v>
          </cell>
          <cell r="C781" t="str">
            <v>IND</v>
          </cell>
          <cell r="D781" t="str">
            <v>CONDUCTOR SOLIDO TWT 450/750V.BIPOLAR   2X 1   MM2</v>
          </cell>
        </row>
        <row r="782">
          <cell r="B782">
            <v>5021407</v>
          </cell>
          <cell r="C782" t="str">
            <v>CEP</v>
          </cell>
          <cell r="D782" t="str">
            <v>CONDUCTOR SOLIDO TWT 450/750V.BIPOLAR   2X 1.5 MM2</v>
          </cell>
        </row>
        <row r="783">
          <cell r="B783">
            <v>5021407</v>
          </cell>
          <cell r="C783" t="str">
            <v>ECP</v>
          </cell>
          <cell r="D783" t="str">
            <v>CONDUCTOR SOLIDO TWT 450/750V.BIPOLAR   2X 1.5 MM2</v>
          </cell>
        </row>
        <row r="784">
          <cell r="B784">
            <v>5021407</v>
          </cell>
          <cell r="C784" t="str">
            <v>IND</v>
          </cell>
          <cell r="D784" t="str">
            <v>CONDUCTOR SOLIDO TWT 450/750V.BIPOLAR   2X 1.5 MM2</v>
          </cell>
        </row>
        <row r="785">
          <cell r="B785">
            <v>5021411</v>
          </cell>
          <cell r="C785" t="str">
            <v>CEP</v>
          </cell>
          <cell r="D785" t="str">
            <v>CONDUCTOR SOLIDO TWT 450/750V BIPOLAR 2X2.5MM2</v>
          </cell>
        </row>
        <row r="786">
          <cell r="B786">
            <v>5021411</v>
          </cell>
          <cell r="C786" t="str">
            <v>ECP</v>
          </cell>
          <cell r="D786" t="str">
            <v>CONDUCTOR SOLIDO TWT 450/750V BIPOLAR 2X2.5MM2</v>
          </cell>
        </row>
        <row r="787">
          <cell r="B787">
            <v>5021411</v>
          </cell>
          <cell r="C787" t="str">
            <v>IND</v>
          </cell>
          <cell r="D787" t="str">
            <v>CONDUCTOR SOLIDO TWT 450/750V BIPOLAR 2X2.5MM2</v>
          </cell>
        </row>
        <row r="788">
          <cell r="B788">
            <v>5021415</v>
          </cell>
          <cell r="C788" t="str">
            <v>CEP</v>
          </cell>
          <cell r="D788" t="str">
            <v>CONDUCTOR SOLIDO TWT 450/750V.BIPOLAR   2X 4   MM2</v>
          </cell>
        </row>
        <row r="789">
          <cell r="B789">
            <v>5021415</v>
          </cell>
          <cell r="C789" t="str">
            <v>ECP</v>
          </cell>
          <cell r="D789" t="str">
            <v>CONDUCTOR SOLIDO TWT 450/750V.BIPOLAR   2X 4   MM2</v>
          </cell>
        </row>
        <row r="790">
          <cell r="B790">
            <v>5021415</v>
          </cell>
          <cell r="C790" t="str">
            <v>IND</v>
          </cell>
          <cell r="D790" t="str">
            <v>CONDUCTOR SOLIDO TWT 450/750V.BIPOLAR   2X 4   MM2</v>
          </cell>
        </row>
        <row r="791">
          <cell r="B791">
            <v>5021419</v>
          </cell>
          <cell r="C791" t="str">
            <v>CEP</v>
          </cell>
          <cell r="D791" t="str">
            <v>CONDUCTOR SOLIDO TWT 450/750V.BIPOLAR   2X 6   MM2</v>
          </cell>
        </row>
        <row r="792">
          <cell r="B792">
            <v>5021419</v>
          </cell>
          <cell r="C792" t="str">
            <v>ECP</v>
          </cell>
          <cell r="D792" t="str">
            <v>CONDUCTOR SOLIDO TWT 450/750V.BIPOLAR   2X 6   MM2</v>
          </cell>
        </row>
        <row r="793">
          <cell r="B793">
            <v>5021419</v>
          </cell>
          <cell r="C793" t="str">
            <v>IND</v>
          </cell>
          <cell r="D793" t="str">
            <v>CONDUCTOR SOLIDO TWT 450/750V.BIPOLAR   2X 6   MM2</v>
          </cell>
        </row>
        <row r="794">
          <cell r="B794">
            <v>5021427</v>
          </cell>
          <cell r="C794" t="str">
            <v>CEP</v>
          </cell>
          <cell r="D794" t="str">
            <v>CONDUCTOR SOLIDO TWT 450/750V.TRIPOLAR  3X 2.5 MM2</v>
          </cell>
        </row>
        <row r="795">
          <cell r="B795">
            <v>5021427</v>
          </cell>
          <cell r="C795" t="str">
            <v>IND</v>
          </cell>
          <cell r="D795" t="str">
            <v>CONDUCTOR SOLIDO TWT 450/750V.TRIPOLAR  3X 2.5 MM2</v>
          </cell>
        </row>
        <row r="796">
          <cell r="B796">
            <v>5021431</v>
          </cell>
          <cell r="C796" t="str">
            <v>CEP</v>
          </cell>
          <cell r="D796" t="str">
            <v>CONDUCTOR SOLIDO TWT 450/750V.TRIPOLAR  3X 4   MM2</v>
          </cell>
        </row>
        <row r="797">
          <cell r="B797">
            <v>5021431</v>
          </cell>
          <cell r="C797" t="str">
            <v>IND</v>
          </cell>
          <cell r="D797" t="str">
            <v>CONDUCTOR SOLIDO TWT 450/750V.TRIPOLAR  3X 4   MM2</v>
          </cell>
        </row>
        <row r="798">
          <cell r="B798">
            <v>5021433</v>
          </cell>
          <cell r="C798" t="str">
            <v>CEP</v>
          </cell>
          <cell r="D798" t="str">
            <v>CONDUCTOR SOLIDO TWT 450/750V.TRIPOLAR  3X 5.26MM2</v>
          </cell>
        </row>
        <row r="799">
          <cell r="B799">
            <v>5021433</v>
          </cell>
          <cell r="C799" t="str">
            <v>IND</v>
          </cell>
          <cell r="D799" t="str">
            <v>CONDUCTOR SOLIDO TWT 450/750V.TRIPOLAR  3X 5.26MM2</v>
          </cell>
        </row>
        <row r="800">
          <cell r="B800">
            <v>5021455</v>
          </cell>
          <cell r="C800" t="str">
            <v>CEP</v>
          </cell>
          <cell r="D800" t="str">
            <v>CONDUCTOR CABLEADO THW 750V.UNIP.NEGRO  1X 1.5 MM2</v>
          </cell>
        </row>
        <row r="801">
          <cell r="B801">
            <v>5021455</v>
          </cell>
          <cell r="C801" t="str">
            <v>CET</v>
          </cell>
          <cell r="D801" t="str">
            <v>CONDUCTOR CABLEADO THW 750V.UNIP.NEGRO  1X 1.5 MM2</v>
          </cell>
        </row>
        <row r="802">
          <cell r="B802">
            <v>5021455</v>
          </cell>
          <cell r="C802" t="str">
            <v>IND</v>
          </cell>
          <cell r="D802" t="str">
            <v>CONDUCTOR CABLEADO THW 750V.UNIP.NEGRO  1X 1.5 MM2</v>
          </cell>
        </row>
        <row r="803">
          <cell r="B803">
            <v>5021459</v>
          </cell>
          <cell r="C803" t="str">
            <v>CEP</v>
          </cell>
          <cell r="D803" t="str">
            <v>CONDUCTOR CABLEADO THW 750V.UNIP.NEGRO  1X 2.5 MM2</v>
          </cell>
        </row>
        <row r="804">
          <cell r="B804">
            <v>5021459</v>
          </cell>
          <cell r="C804" t="str">
            <v>CET</v>
          </cell>
          <cell r="D804" t="str">
            <v>CONDUCTOR CABLEADO THW 750V.UNIP.NEGRO  1X 2.5 MM2</v>
          </cell>
        </row>
        <row r="805">
          <cell r="B805">
            <v>5021459</v>
          </cell>
          <cell r="C805" t="str">
            <v>IND</v>
          </cell>
          <cell r="D805" t="str">
            <v>CONDUCTOR CABLEADO THW 750V.UNIP.NEGRO  1X 2.5 MM2</v>
          </cell>
        </row>
        <row r="806">
          <cell r="B806">
            <v>5021463</v>
          </cell>
          <cell r="C806" t="str">
            <v>CEP</v>
          </cell>
          <cell r="D806" t="str">
            <v>CONDUCTOR CABLEADO UNIPOLAR TIPO THW 4MM2 COLOR NEGRO 450 / 750V</v>
          </cell>
        </row>
        <row r="807">
          <cell r="B807">
            <v>5021463</v>
          </cell>
          <cell r="C807" t="str">
            <v>CET</v>
          </cell>
          <cell r="D807" t="str">
            <v>CONDUCTOR CABLEADO UNIPOLAR TIPO THW 4MM2 COLOR NEGRO 450 / 750V</v>
          </cell>
        </row>
        <row r="808">
          <cell r="B808">
            <v>5021463</v>
          </cell>
          <cell r="C808" t="str">
            <v>IND</v>
          </cell>
          <cell r="D808" t="str">
            <v>CONDUCTOR CABLEADO UNIPOLAR TIPO THW 4MM2 COLOR NEGRO 450 / 750V</v>
          </cell>
        </row>
        <row r="809">
          <cell r="B809">
            <v>5021465</v>
          </cell>
          <cell r="C809" t="str">
            <v>CEP</v>
          </cell>
          <cell r="D809" t="str">
            <v>CONDUCTOR CABLEADO THW 750V.UNIP.NEGRO  1X 6   MM2</v>
          </cell>
        </row>
        <row r="810">
          <cell r="B810">
            <v>5021465</v>
          </cell>
          <cell r="C810" t="str">
            <v>IND</v>
          </cell>
          <cell r="D810" t="str">
            <v>CONDUCTOR CABLEADO THW 750V.UNIP.NEGRO  1X 6   MM2</v>
          </cell>
        </row>
        <row r="811">
          <cell r="B811">
            <v>5021469</v>
          </cell>
          <cell r="C811" t="str">
            <v>CET</v>
          </cell>
          <cell r="D811" t="str">
            <v>CONDUCTOR CABLEADO THW 750V.UNIP.NEGRO  1X10   MM2</v>
          </cell>
        </row>
        <row r="812">
          <cell r="B812">
            <v>5021473</v>
          </cell>
          <cell r="C812" t="str">
            <v>CET</v>
          </cell>
          <cell r="D812" t="str">
            <v>CONDUCTOR CABLEADO THW 750V.UNIP.NEGRO  1X16   MM2</v>
          </cell>
        </row>
        <row r="813">
          <cell r="B813">
            <v>5021477</v>
          </cell>
          <cell r="C813" t="str">
            <v>CET</v>
          </cell>
          <cell r="D813" t="str">
            <v>CONDUCTOR CABLEADO UNIPOLAR TIPO THW 35MM2 COLOR NEGRO 450 / 750V</v>
          </cell>
        </row>
        <row r="814">
          <cell r="B814">
            <v>5021505</v>
          </cell>
          <cell r="C814" t="str">
            <v>IND</v>
          </cell>
          <cell r="D814" t="str">
            <v>CONDUCTOR TFF 600V. UNIPOLAR           1X  1.50MM2</v>
          </cell>
        </row>
        <row r="815">
          <cell r="B815">
            <v>5021705</v>
          </cell>
          <cell r="C815" t="str">
            <v>IND</v>
          </cell>
          <cell r="D815" t="str">
            <v>CONDUCTOR SPT-2 380V.BIPOLAR MELLIZO   2X 0.75 MM2</v>
          </cell>
        </row>
        <row r="816">
          <cell r="B816">
            <v>5021709</v>
          </cell>
          <cell r="C816" t="str">
            <v>IND</v>
          </cell>
          <cell r="D816" t="str">
            <v>CONDUCTOR SPT-2 380V.BIPOLAR MELLIZO   2X 1.5  MM2</v>
          </cell>
        </row>
        <row r="817">
          <cell r="B817">
            <v>5021713</v>
          </cell>
          <cell r="C817" t="str">
            <v>IND</v>
          </cell>
          <cell r="D817" t="str">
            <v>CONDUCTOR SPT-2 380V.BIPOLAR MELLIZO   2X 2.5  MM2</v>
          </cell>
        </row>
        <row r="818">
          <cell r="B818">
            <v>5021761</v>
          </cell>
          <cell r="C818" t="str">
            <v>IND</v>
          </cell>
          <cell r="D818" t="str">
            <v>CONDUCTOR N2G2SA 500V. AISL.SILICONA   1X 2.5  MM2</v>
          </cell>
        </row>
        <row r="819">
          <cell r="B819">
            <v>5021761</v>
          </cell>
          <cell r="C819" t="str">
            <v>RCK</v>
          </cell>
          <cell r="D819" t="str">
            <v>CONDUCTOR N2G2SA 500V. AISL.SILICONA   1X 2.5  MM2</v>
          </cell>
        </row>
        <row r="820">
          <cell r="B820">
            <v>5022004</v>
          </cell>
          <cell r="C820" t="str">
            <v>ALC</v>
          </cell>
          <cell r="D820" t="str">
            <v>CABLE CONCENTRICO BIPOLAR DE COBRE 4MM2 P.ACOMETIDA MONOFASICA EN RED BAJA TENSION</v>
          </cell>
        </row>
        <row r="821">
          <cell r="B821">
            <v>5022004</v>
          </cell>
          <cell r="C821" t="str">
            <v>BRD</v>
          </cell>
          <cell r="D821" t="str">
            <v>CABLE CONCENTRICO BIPOLAR DE COBRE 4MM2 P.ACOMETIDA MONOFASICA EN RED BAJA TENSION</v>
          </cell>
        </row>
        <row r="822">
          <cell r="B822">
            <v>5022004</v>
          </cell>
          <cell r="C822" t="str">
            <v>CEP</v>
          </cell>
          <cell r="D822" t="str">
            <v>CABLE CONCENTRICO BIPOLAR DE COBRE 4MM2 P.ACOMETIDA MONOFASICA EN RED BAJA TENSION</v>
          </cell>
        </row>
        <row r="823">
          <cell r="B823">
            <v>5022004</v>
          </cell>
          <cell r="C823" t="str">
            <v>CET</v>
          </cell>
          <cell r="D823" t="str">
            <v>CABLE CONCENTRICO BIPOLAR DE COBRE 4MM2 P.ACOMETIDA MONOFASICA EN RED BAJA TENSION</v>
          </cell>
        </row>
        <row r="824">
          <cell r="B824">
            <v>5022004</v>
          </cell>
          <cell r="C824" t="str">
            <v>ECP</v>
          </cell>
          <cell r="D824" t="str">
            <v>CABLE CONCENTRICO BIPOLAR DE COBRE 4MM2 P.ACOMETIDA MONOFASICA EN RED BAJA TENSION</v>
          </cell>
        </row>
        <row r="825">
          <cell r="B825">
            <v>5022004</v>
          </cell>
          <cell r="C825" t="str">
            <v>IND</v>
          </cell>
          <cell r="D825" t="str">
            <v>CABLE CONCENTRICO BIPOLAR DE COBRE 4MM2 P.ACOMETIDA MONOFASICA EN RED BAJA TENSION</v>
          </cell>
        </row>
        <row r="826">
          <cell r="B826">
            <v>5022006</v>
          </cell>
          <cell r="C826" t="str">
            <v>ALC</v>
          </cell>
          <cell r="D826" t="str">
            <v>CABLE CONCENTRICO BIPOLAR DE COBRE 6MM2 P.ACOMETIDA MONOFASICA EN RED BAJA TENSION</v>
          </cell>
        </row>
        <row r="827">
          <cell r="B827">
            <v>5022006</v>
          </cell>
          <cell r="C827" t="str">
            <v>BRD</v>
          </cell>
          <cell r="D827" t="str">
            <v>CABLE CONCENTRICO BIPOLAR DE COBRE 6MM2 P.ACOMETIDA MONOFASICA EN RED BAJA TENSION</v>
          </cell>
        </row>
        <row r="828">
          <cell r="B828">
            <v>5022006</v>
          </cell>
          <cell r="C828" t="str">
            <v>CEP</v>
          </cell>
          <cell r="D828" t="str">
            <v>CABLE CONCENTRICO BIPOLAR DE COBRE 6MM2 P.ACOMETIDA MONOFASICA EN RED BAJA TENSION</v>
          </cell>
        </row>
        <row r="829">
          <cell r="B829">
            <v>5022006</v>
          </cell>
          <cell r="C829" t="str">
            <v>CET</v>
          </cell>
          <cell r="D829" t="str">
            <v>CABLE CONCENTRICO BIPOLAR DE COBRE 6MM2 P.ACOMETIDA MONOFASICA EN RED BAJA TENSION</v>
          </cell>
        </row>
        <row r="830">
          <cell r="B830">
            <v>5022006</v>
          </cell>
          <cell r="C830" t="str">
            <v>ECP</v>
          </cell>
          <cell r="D830" t="str">
            <v>CABLE CONCENTRICO BIPOLAR DE COBRE 6MM2 P.ACOMETIDA MONOFASICA EN RED BAJA TENSION</v>
          </cell>
        </row>
        <row r="831">
          <cell r="B831">
            <v>5022006</v>
          </cell>
          <cell r="C831" t="str">
            <v>IND</v>
          </cell>
          <cell r="D831" t="str">
            <v>CABLE CONCENTRICO BIPOLAR DE COBRE 6MM2 P.ACOMETIDA MONOFASICA EN RED BAJA TENSION</v>
          </cell>
        </row>
        <row r="832">
          <cell r="B832">
            <v>5022010</v>
          </cell>
          <cell r="C832" t="str">
            <v>ALC</v>
          </cell>
          <cell r="D832" t="str">
            <v>CABLE CONCENTRICO BIPOLAR DE COBRE 10MM2 P.ACOMETIDA MONOFASICA EN RED BAJA TENSION</v>
          </cell>
        </row>
        <row r="833">
          <cell r="B833">
            <v>5022010</v>
          </cell>
          <cell r="C833" t="str">
            <v>BRD</v>
          </cell>
          <cell r="D833" t="str">
            <v>CABLE CONCENTRICO BIPOLAR DE COBRE 10MM2 P.ACOMETIDA MONOFASICA EN RED BAJA TENSION</v>
          </cell>
        </row>
        <row r="834">
          <cell r="B834">
            <v>5022010</v>
          </cell>
          <cell r="C834" t="str">
            <v>CEP</v>
          </cell>
          <cell r="D834" t="str">
            <v>CABLE CONCENTRICO BIPOLAR DE COBRE 10MM2 P.ACOMETIDA MONOFASICA EN RED BAJA TENSION</v>
          </cell>
        </row>
        <row r="835">
          <cell r="B835">
            <v>5022010</v>
          </cell>
          <cell r="C835" t="str">
            <v>CET</v>
          </cell>
          <cell r="D835" t="str">
            <v>CABLE CONCENTRICO BIPOLAR DE COBRE 10MM2 P.ACOMETIDA MONOFASICA EN RED BAJA TENSION</v>
          </cell>
        </row>
        <row r="836">
          <cell r="B836">
            <v>5022010</v>
          </cell>
          <cell r="C836" t="str">
            <v>ECP</v>
          </cell>
          <cell r="D836" t="str">
            <v>CABLE CONCENTRICO BIPOLAR DE COBRE 10MM2 P.ACOMETIDA MONOFASICA EN RED BAJA TENSION</v>
          </cell>
        </row>
        <row r="837">
          <cell r="B837">
            <v>5022010</v>
          </cell>
          <cell r="C837" t="str">
            <v>IND</v>
          </cell>
          <cell r="D837" t="str">
            <v>CABLE CONCENTRICO BIPOLAR DE COBRE 10MM2 P.ACOMETIDA MONOFASICA EN RED BAJA TENSION</v>
          </cell>
        </row>
        <row r="838">
          <cell r="B838">
            <v>5022027</v>
          </cell>
          <cell r="C838" t="str">
            <v>CEP</v>
          </cell>
          <cell r="D838" t="str">
            <v>CABLE CONCENTRICO NYBY 3X 70MM2.  B.T.</v>
          </cell>
        </row>
        <row r="839">
          <cell r="B839">
            <v>5022027</v>
          </cell>
          <cell r="C839" t="str">
            <v>IND</v>
          </cell>
          <cell r="D839" t="str">
            <v>CABLE CONCENTRICO NYBY 3X 70MM2.  B.T.</v>
          </cell>
        </row>
        <row r="840">
          <cell r="B840">
            <v>5022032</v>
          </cell>
          <cell r="C840" t="str">
            <v>CEP</v>
          </cell>
          <cell r="D840" t="str">
            <v>CABLE CONCENTRICO NYBY 3X120MM2.  B.T.</v>
          </cell>
        </row>
        <row r="841">
          <cell r="B841">
            <v>5022032</v>
          </cell>
          <cell r="C841" t="str">
            <v>IND</v>
          </cell>
          <cell r="D841" t="str">
            <v>CABLE CONCENTRICO NYBY 3X120MM2.  B.T.</v>
          </cell>
        </row>
        <row r="842">
          <cell r="B842">
            <v>5022066</v>
          </cell>
          <cell r="C842" t="str">
            <v>ALC</v>
          </cell>
          <cell r="D842" t="str">
            <v>CABLE CONCENTRICO TRIPOLAR DE COBRE 6MM2 P.ACOMETIDA TRIFASICA EN RED BAJA TENSION</v>
          </cell>
        </row>
        <row r="843">
          <cell r="B843">
            <v>5022066</v>
          </cell>
          <cell r="C843" t="str">
            <v>BRD</v>
          </cell>
          <cell r="D843" t="str">
            <v>CABLE CONCENTRICO TRIPOLAR DE COBRE 6MM2 P.ACOMETIDA TRIFASICA EN RED BAJA TENSION</v>
          </cell>
        </row>
        <row r="844">
          <cell r="B844">
            <v>5022066</v>
          </cell>
          <cell r="C844" t="str">
            <v>CEP</v>
          </cell>
          <cell r="D844" t="str">
            <v>CABLE CONCENTRICO TRIPOLAR DE COBRE 6MM2 P.ACOMETIDA TRIFASICA EN RED BAJA TENSION</v>
          </cell>
        </row>
        <row r="845">
          <cell r="B845">
            <v>5022066</v>
          </cell>
          <cell r="C845" t="str">
            <v>CET</v>
          </cell>
          <cell r="D845" t="str">
            <v>CABLE CONCENTRICO TRIPOLAR DE COBRE 6MM2 P.ACOMETIDA TRIFASICA EN RED BAJA TENSION</v>
          </cell>
        </row>
        <row r="846">
          <cell r="B846">
            <v>5022066</v>
          </cell>
          <cell r="C846" t="str">
            <v>ECP</v>
          </cell>
          <cell r="D846" t="str">
            <v>CABLE CONCENTRICO TRIPOLAR DE COBRE 6MM2 P.ACOMETIDA TRIFASICA EN RED BAJA TENSION</v>
          </cell>
        </row>
        <row r="847">
          <cell r="B847">
            <v>5022066</v>
          </cell>
          <cell r="C847" t="str">
            <v>IND</v>
          </cell>
          <cell r="D847" t="str">
            <v>CABLE CONCENTRICO TRIPOLAR DE COBRE 6MM2 P.ACOMETIDA TRIFASICA EN RED BAJA TENSION</v>
          </cell>
        </row>
        <row r="848">
          <cell r="B848">
            <v>5022070</v>
          </cell>
          <cell r="C848" t="str">
            <v>ALC</v>
          </cell>
          <cell r="D848" t="str">
            <v>CABLE CONCENTRICO TRIPOLAR DE COBRE 10MM2 P.ACOMETIDA TRIFASICA EN RED BAJA TENSION</v>
          </cell>
        </row>
        <row r="849">
          <cell r="B849">
            <v>5022070</v>
          </cell>
          <cell r="C849" t="str">
            <v>BRD</v>
          </cell>
          <cell r="D849" t="str">
            <v>CABLE CONCENTRICO TRIPOLAR DE COBRE 10MM2 P.ACOMETIDA TRIFASICA EN RED BAJA TENSION</v>
          </cell>
        </row>
        <row r="850">
          <cell r="B850">
            <v>5022070</v>
          </cell>
          <cell r="C850" t="str">
            <v>CEP</v>
          </cell>
          <cell r="D850" t="str">
            <v>CABLE CONCENTRICO TRIPOLAR DE COBRE 10MM2 P.ACOMETIDA TRIFASICA EN RED BAJA TENSION</v>
          </cell>
        </row>
        <row r="851">
          <cell r="B851">
            <v>5022070</v>
          </cell>
          <cell r="C851" t="str">
            <v>CET</v>
          </cell>
          <cell r="D851" t="str">
            <v>CABLE CONCENTRICO TRIPOLAR DE COBRE 10MM2 P.ACOMETIDA TRIFASICA EN RED BAJA TENSION</v>
          </cell>
        </row>
        <row r="852">
          <cell r="B852">
            <v>5022070</v>
          </cell>
          <cell r="C852" t="str">
            <v>ECP</v>
          </cell>
          <cell r="D852" t="str">
            <v>CABLE CONCENTRICO TRIPOLAR DE COBRE 10MM2 P.ACOMETIDA TRIFASICA EN RED BAJA TENSION</v>
          </cell>
        </row>
        <row r="853">
          <cell r="B853">
            <v>5022070</v>
          </cell>
          <cell r="C853" t="str">
            <v>IND</v>
          </cell>
          <cell r="D853" t="str">
            <v>CABLE CONCENTRICO TRIPOLAR DE COBRE 10MM2 P.ACOMETIDA TRIFASICA EN RED BAJA TENSION</v>
          </cell>
        </row>
        <row r="854">
          <cell r="B854">
            <v>5023166</v>
          </cell>
          <cell r="C854" t="str">
            <v>CEP</v>
          </cell>
          <cell r="D854" t="str">
            <v>CABLE DE ENERGIA AUTOPORTANTE TIPO CAI-S 2X6 MM2 PARA REDES AEREAS B.T.</v>
          </cell>
        </row>
        <row r="855">
          <cell r="B855">
            <v>5023166</v>
          </cell>
          <cell r="C855" t="str">
            <v>IND</v>
          </cell>
          <cell r="D855" t="str">
            <v>CABLE DE ENERGIA AUTOPORTANTE TIPO CAI-S 2X6 MM2 PARA REDES AEREAS B.T.</v>
          </cell>
        </row>
        <row r="856">
          <cell r="B856">
            <v>5023169</v>
          </cell>
          <cell r="C856" t="str">
            <v>CEP</v>
          </cell>
          <cell r="D856" t="str">
            <v>CABLE DE ENERGIA AUTOPORTANTE TIPO CAI-S VW-1 2X35 MM2 PARA REDES AEREAS B.T.</v>
          </cell>
        </row>
        <row r="857">
          <cell r="B857">
            <v>5023170</v>
          </cell>
          <cell r="C857" t="str">
            <v>CEP</v>
          </cell>
          <cell r="D857" t="str">
            <v>CABLE DE ENERGIA AUTOPORTANTE TIPO CAI-S VW-1 2X50 MM2 PARA REDES AEREAS B.T.</v>
          </cell>
        </row>
        <row r="858">
          <cell r="B858">
            <v>5023171</v>
          </cell>
          <cell r="C858" t="str">
            <v>CEP</v>
          </cell>
          <cell r="D858" t="str">
            <v>CABLE DE ENERGIA AUTOPORTANTE TIPO CAI-S VW-1 2X70 MM2 PARA REDES AEREAS B.T.</v>
          </cell>
        </row>
        <row r="859">
          <cell r="B859">
            <v>5023185</v>
          </cell>
          <cell r="C859" t="str">
            <v>CEP</v>
          </cell>
          <cell r="D859" t="str">
            <v>CABLE DE ENERGIA AUTOPORTANTE TIPO CAI-S VW-1 3X50 MM2 PARA REDES AEREAS B.T.</v>
          </cell>
        </row>
        <row r="860">
          <cell r="B860">
            <v>5023205</v>
          </cell>
          <cell r="C860" t="str">
            <v>CEP</v>
          </cell>
          <cell r="D860" t="str">
            <v>CABLE DE ENERGIA AUTOPORTANTE TIPO CAI-S VW-1 3X35+1X16 MM2 PARA REDES AEREAS B.T.</v>
          </cell>
        </row>
        <row r="861">
          <cell r="B861">
            <v>5023206</v>
          </cell>
          <cell r="C861" t="str">
            <v>CEP</v>
          </cell>
          <cell r="D861" t="str">
            <v>CABLE DE ENERGIA AUTOPORTANTE TIPO CAI-S VW-1 3X50+1X10 MM2 PARA REDES AEREAS B.T.</v>
          </cell>
        </row>
        <row r="862">
          <cell r="B862">
            <v>5023207</v>
          </cell>
          <cell r="C862" t="str">
            <v>CEP</v>
          </cell>
          <cell r="D862" t="str">
            <v>CABLE DE ENERGIA AUTOPORTANTE TIPO CAI-S VW-1 3X50+1X16 MM2 PARA REDES AEREAS B.T.</v>
          </cell>
        </row>
        <row r="863">
          <cell r="B863">
            <v>5023211</v>
          </cell>
          <cell r="C863" t="str">
            <v>CEP</v>
          </cell>
          <cell r="D863" t="str">
            <v>CABLE DE ENERGIA AUTOPORTANTE TIPO CAI-S VW-1 3X70 + 1X25 MM2 PARA REDES AEREAS B.T.</v>
          </cell>
        </row>
        <row r="864">
          <cell r="B864">
            <v>5023211</v>
          </cell>
          <cell r="C864" t="str">
            <v>IND</v>
          </cell>
          <cell r="D864" t="str">
            <v>CABLE DE ENERGIA AUTOPORTANTE TIPO CAI-S VW-1 3X70 + 1X25 MM2 PARA REDES AEREAS B.T.</v>
          </cell>
        </row>
        <row r="865">
          <cell r="B865">
            <v>5023226</v>
          </cell>
          <cell r="C865" t="str">
            <v>CEP</v>
          </cell>
          <cell r="D865" t="str">
            <v>CABLE DE ENERGIA AUTOPORTANTE TIPO CAI-S VW-1 3X50 + 2X6 MM2 PARA REDES AEREAS B.T.</v>
          </cell>
        </row>
        <row r="866">
          <cell r="B866">
            <v>5023226</v>
          </cell>
          <cell r="C866" t="str">
            <v>IND</v>
          </cell>
          <cell r="D866" t="str">
            <v>CABLE DE ENERGIA AUTOPORTANTE TIPO CAI-S VW-1 3X50 + 2X6 MM2 PARA REDES AEREAS B.T.</v>
          </cell>
        </row>
        <row r="867">
          <cell r="B867">
            <v>5023272</v>
          </cell>
          <cell r="C867" t="str">
            <v>CEP</v>
          </cell>
          <cell r="D867" t="str">
            <v>CABLE DE ENERGIA AUTOPORTANTE TIPO N2XS2Y-S 3X70 MM2  PARA REDES AEREAS 10KV</v>
          </cell>
        </row>
        <row r="868">
          <cell r="B868">
            <v>5023272</v>
          </cell>
          <cell r="C868" t="str">
            <v>IND</v>
          </cell>
          <cell r="D868" t="str">
            <v>CABLE DE ENERGIA AUTOPORTANTE TIPO N2XS2Y-S 3X70 MM2  PARA REDES AEREAS 10KV</v>
          </cell>
        </row>
        <row r="869">
          <cell r="B869">
            <v>5023702</v>
          </cell>
          <cell r="C869" t="str">
            <v>ALC</v>
          </cell>
          <cell r="D869" t="str">
            <v>CABLE DE ENERGIA AUTOPORTANTE TIPO CAAI-S VW-1 2X16 MM2 PARA REDES AEREAS B.T.</v>
          </cell>
        </row>
        <row r="870">
          <cell r="B870">
            <v>5023702</v>
          </cell>
          <cell r="C870" t="str">
            <v>CEP</v>
          </cell>
          <cell r="D870" t="str">
            <v>CABLE DE ENERGIA AUTOPORTANTE TIPO CAAI-S VW-1 2X16 MM2 PARA REDES AEREAS B.T.</v>
          </cell>
        </row>
        <row r="871">
          <cell r="B871">
            <v>5023702</v>
          </cell>
          <cell r="C871" t="str">
            <v>IND</v>
          </cell>
          <cell r="D871" t="str">
            <v>CABLE DE ENERGIA AUTOPORTANTE TIPO CAAI-S VW-1 2X16 MM2 PARA REDES AEREAS B.T.</v>
          </cell>
        </row>
        <row r="872">
          <cell r="B872">
            <v>5023702</v>
          </cell>
          <cell r="C872" t="str">
            <v>PIR</v>
          </cell>
          <cell r="D872" t="str">
            <v>CABLE DE ENERGIA AUTOPORTANTE TIPO CAAI-S VW-1 2X16 MM2 PARA REDES AEREAS B.T.</v>
          </cell>
        </row>
        <row r="873">
          <cell r="B873">
            <v>5023706</v>
          </cell>
          <cell r="C873" t="str">
            <v>ALC</v>
          </cell>
          <cell r="D873" t="str">
            <v>CABLE DE ENERGIA AUTOPORTANTE TIPO CAAI-S VW-1 2X35 MM2 PARA REDES AEREAS B.T.</v>
          </cell>
        </row>
        <row r="874">
          <cell r="B874">
            <v>5023706</v>
          </cell>
          <cell r="C874" t="str">
            <v>CEP</v>
          </cell>
          <cell r="D874" t="str">
            <v>CABLE DE ENERGIA AUTOPORTANTE TIPO CAAI-S VW-1 2X35 MM2 PARA REDES AEREAS B.T.</v>
          </cell>
        </row>
        <row r="875">
          <cell r="B875">
            <v>5023706</v>
          </cell>
          <cell r="C875" t="str">
            <v>IND</v>
          </cell>
          <cell r="D875" t="str">
            <v>CABLE DE ENERGIA AUTOPORTANTE TIPO CAAI-S VW-1 2X35 MM2 PARA REDES AEREAS B.T.</v>
          </cell>
        </row>
        <row r="876">
          <cell r="B876">
            <v>5023706</v>
          </cell>
          <cell r="C876" t="str">
            <v>PIR</v>
          </cell>
          <cell r="D876" t="str">
            <v>CABLE DE ENERGIA AUTOPORTANTE TIPO CAAI-S VW-1 2X35 MM2 PARA REDES AEREAS B.T.</v>
          </cell>
        </row>
        <row r="877">
          <cell r="B877">
            <v>5023708</v>
          </cell>
          <cell r="C877" t="str">
            <v>ALC</v>
          </cell>
          <cell r="D877" t="str">
            <v>CABLE DE ENERGIA AUTOPORTANTE TIPO CAAI-S VW-1 2X50 MM2 PARA REDES AEREAS B.T.</v>
          </cell>
        </row>
        <row r="878">
          <cell r="B878">
            <v>5023708</v>
          </cell>
          <cell r="C878" t="str">
            <v>CEP</v>
          </cell>
          <cell r="D878" t="str">
            <v>CABLE DE ENERGIA AUTOPORTANTE TIPO CAAI-S VW-1 2X50 MM2 PARA REDES AEREAS B.T.</v>
          </cell>
        </row>
        <row r="879">
          <cell r="B879">
            <v>5023708</v>
          </cell>
          <cell r="C879" t="str">
            <v>IND</v>
          </cell>
          <cell r="D879" t="str">
            <v>CABLE DE ENERGIA AUTOPORTANTE TIPO CAAI-S VW-1 2X50 MM2 PARA REDES AEREAS B.T.</v>
          </cell>
        </row>
        <row r="880">
          <cell r="B880">
            <v>5023708</v>
          </cell>
          <cell r="C880" t="str">
            <v>PIR</v>
          </cell>
          <cell r="D880" t="str">
            <v>CABLE DE ENERGIA AUTOPORTANTE TIPO CAAI-S VW-1 2X50 MM2 PARA REDES AEREAS B.T.</v>
          </cell>
        </row>
        <row r="881">
          <cell r="B881">
            <v>5023710</v>
          </cell>
          <cell r="C881" t="str">
            <v>ALC</v>
          </cell>
          <cell r="D881" t="str">
            <v>CABLE DE ENERGIA AUTOPORTANTE TIPO CAAI-S VW-1 2X70 MM2 PARA REDES AEREAS B.T.</v>
          </cell>
        </row>
        <row r="882">
          <cell r="B882">
            <v>5023710</v>
          </cell>
          <cell r="C882" t="str">
            <v>CEP</v>
          </cell>
          <cell r="D882" t="str">
            <v>CABLE DE ENERGIA AUTOPORTANTE TIPO CAAI-S VW-1 2X70 MM2 PARA REDES AEREAS B.T.</v>
          </cell>
        </row>
        <row r="883">
          <cell r="B883">
            <v>5023710</v>
          </cell>
          <cell r="C883" t="str">
            <v>IND</v>
          </cell>
          <cell r="D883" t="str">
            <v>CABLE DE ENERGIA AUTOPORTANTE TIPO CAAI-S VW-1 2X70 MM2 PARA REDES AEREAS B.T.</v>
          </cell>
        </row>
        <row r="884">
          <cell r="B884">
            <v>5023710</v>
          </cell>
          <cell r="C884" t="str">
            <v>PIR</v>
          </cell>
          <cell r="D884" t="str">
            <v>CABLE DE ENERGIA AUTOPORTANTE TIPO CAAI-S VW-1 2X70 MM2 PARA REDES AEREAS B.T.</v>
          </cell>
        </row>
        <row r="885">
          <cell r="B885">
            <v>5023712</v>
          </cell>
          <cell r="C885" t="str">
            <v>ALC</v>
          </cell>
          <cell r="D885" t="str">
            <v>CABLE DE ENERGIA AUTOPORTANTE TIPO CAAI-S VW-1 2X95 MM2 PARA REDES AEREAS B.T.</v>
          </cell>
        </row>
        <row r="886">
          <cell r="B886">
            <v>5023712</v>
          </cell>
          <cell r="C886" t="str">
            <v>CEP</v>
          </cell>
          <cell r="D886" t="str">
            <v>CABLE DE ENERGIA AUTOPORTANTE TIPO CAAI-S VW-1 2X95 MM2 PARA REDES AEREAS B.T.</v>
          </cell>
        </row>
        <row r="887">
          <cell r="B887">
            <v>5023712</v>
          </cell>
          <cell r="C887" t="str">
            <v>IND</v>
          </cell>
          <cell r="D887" t="str">
            <v>CABLE DE ENERGIA AUTOPORTANTE TIPO CAAI-S VW-1 2X95 MM2 PARA REDES AEREAS B.T.</v>
          </cell>
        </row>
        <row r="888">
          <cell r="B888">
            <v>5023712</v>
          </cell>
          <cell r="C888" t="str">
            <v>PIR</v>
          </cell>
          <cell r="D888" t="str">
            <v>CABLE DE ENERGIA AUTOPORTANTE TIPO CAAI-S VW-1 2X95 MM2 PARA REDES AEREAS B.T.</v>
          </cell>
        </row>
        <row r="889">
          <cell r="B889">
            <v>5023714</v>
          </cell>
          <cell r="C889" t="str">
            <v>ALC</v>
          </cell>
          <cell r="D889" t="str">
            <v>CABLE DE ENERGIA AUTOPORTANTE TIPO CAAI-S VW-1 2X120 MM2 PARA REDES AEREAS B.T.</v>
          </cell>
        </row>
        <row r="890">
          <cell r="B890">
            <v>5023714</v>
          </cell>
          <cell r="C890" t="str">
            <v>CEP</v>
          </cell>
          <cell r="D890" t="str">
            <v>CABLE DE ENERGIA AUTOPORTANTE TIPO CAAI-S VW-1 2X120 MM2 PARA REDES AEREAS B.T.</v>
          </cell>
        </row>
        <row r="891">
          <cell r="B891">
            <v>5023714</v>
          </cell>
          <cell r="C891" t="str">
            <v>IND</v>
          </cell>
          <cell r="D891" t="str">
            <v>CABLE DE ENERGIA AUTOPORTANTE TIPO CAAI-S VW-1 2X120 MM2 PARA REDES AEREAS B.T.</v>
          </cell>
        </row>
        <row r="892">
          <cell r="B892">
            <v>5023714</v>
          </cell>
          <cell r="C892" t="str">
            <v>PIR</v>
          </cell>
          <cell r="D892" t="str">
            <v>CABLE DE ENERGIA AUTOPORTANTE TIPO CAAI-S VW-1 2X120 MM2 PARA REDES AEREAS B.T.</v>
          </cell>
        </row>
        <row r="893">
          <cell r="B893">
            <v>5023720</v>
          </cell>
          <cell r="C893" t="str">
            <v>ALC</v>
          </cell>
          <cell r="D893" t="str">
            <v>CABLE DE ENERGIA AUTOPORTANTE TIPO CAAI-S VW-1 3X16 MM2 PARA REDES AEREAS B.T.</v>
          </cell>
        </row>
        <row r="894">
          <cell r="B894">
            <v>5023720</v>
          </cell>
          <cell r="C894" t="str">
            <v>CEP</v>
          </cell>
          <cell r="D894" t="str">
            <v>CABLE DE ENERGIA AUTOPORTANTE TIPO CAAI-S VW-1 3X16 MM2 PARA REDES AEREAS B.T.</v>
          </cell>
        </row>
        <row r="895">
          <cell r="B895">
            <v>5023720</v>
          </cell>
          <cell r="C895" t="str">
            <v>IND</v>
          </cell>
          <cell r="D895" t="str">
            <v>CABLE DE ENERGIA AUTOPORTANTE TIPO CAAI-S VW-1 3X16 MM2 PARA REDES AEREAS B.T.</v>
          </cell>
        </row>
        <row r="896">
          <cell r="B896">
            <v>5023720</v>
          </cell>
          <cell r="C896" t="str">
            <v>PIR</v>
          </cell>
          <cell r="D896" t="str">
            <v>CABLE DE ENERGIA AUTOPORTANTE TIPO CAAI-S VW-1 3X16 MM2 PARA REDES AEREAS B.T.</v>
          </cell>
        </row>
        <row r="897">
          <cell r="B897">
            <v>5023722</v>
          </cell>
          <cell r="C897" t="str">
            <v>ALC</v>
          </cell>
          <cell r="D897" t="str">
            <v>CABLE DE ENERGIA AUTOPORTANTE TIPO CAAI-S VW-1 3X25 MM2 PARA REDES AEREAS B.T.</v>
          </cell>
        </row>
        <row r="898">
          <cell r="B898">
            <v>5023722</v>
          </cell>
          <cell r="C898" t="str">
            <v>CEP</v>
          </cell>
          <cell r="D898" t="str">
            <v>CABLE DE ENERGIA AUTOPORTANTE TIPO CAAI-S VW-1 3X25 MM2 PARA REDES AEREAS B.T.</v>
          </cell>
        </row>
        <row r="899">
          <cell r="B899">
            <v>5023722</v>
          </cell>
          <cell r="C899" t="str">
            <v>IND</v>
          </cell>
          <cell r="D899" t="str">
            <v>CABLE DE ENERGIA AUTOPORTANTE TIPO CAAI-S VW-1 3X25 MM2 PARA REDES AEREAS B.T.</v>
          </cell>
        </row>
        <row r="900">
          <cell r="B900">
            <v>5023722</v>
          </cell>
          <cell r="C900" t="str">
            <v>PIR</v>
          </cell>
          <cell r="D900" t="str">
            <v>CABLE DE ENERGIA AUTOPORTANTE TIPO CAAI-S VW-1 3X25 MM2 PARA REDES AEREAS B.T.</v>
          </cell>
        </row>
        <row r="901">
          <cell r="B901">
            <v>5023724</v>
          </cell>
          <cell r="C901" t="str">
            <v>ALC</v>
          </cell>
          <cell r="D901" t="str">
            <v>CABLE DE ENERGIA AUTOPORTANTE TIPO CAAI-S VW-1 3X35 MM2 PARA REDES AEREAS B.T.</v>
          </cell>
        </row>
        <row r="902">
          <cell r="B902">
            <v>5023724</v>
          </cell>
          <cell r="C902" t="str">
            <v>CEP</v>
          </cell>
          <cell r="D902" t="str">
            <v>CABLE DE ENERGIA AUTOPORTANTE TIPO CAAI-S VW-1 3X35 MM2 PARA REDES AEREAS B.T.</v>
          </cell>
        </row>
        <row r="903">
          <cell r="B903">
            <v>5023724</v>
          </cell>
          <cell r="C903" t="str">
            <v>IND</v>
          </cell>
          <cell r="D903" t="str">
            <v>CABLE DE ENERGIA AUTOPORTANTE TIPO CAAI-S VW-1 3X35 MM2 PARA REDES AEREAS B.T.</v>
          </cell>
        </row>
        <row r="904">
          <cell r="B904">
            <v>5023724</v>
          </cell>
          <cell r="C904" t="str">
            <v>PIR</v>
          </cell>
          <cell r="D904" t="str">
            <v>CABLE DE ENERGIA AUTOPORTANTE TIPO CAAI-S VW-1 3X35 MM2 PARA REDES AEREAS B.T.</v>
          </cell>
        </row>
        <row r="905">
          <cell r="B905">
            <v>5023728</v>
          </cell>
          <cell r="C905" t="str">
            <v>ALC</v>
          </cell>
          <cell r="D905" t="str">
            <v>CABLE DE ENERGIA AUTOPORTANTE TIPO CAAI-S VW-1 3X70 MM2 PARA REDES AEREAS B.T.</v>
          </cell>
        </row>
        <row r="906">
          <cell r="B906">
            <v>5023728</v>
          </cell>
          <cell r="C906" t="str">
            <v>CEP</v>
          </cell>
          <cell r="D906" t="str">
            <v>CABLE DE ENERGIA AUTOPORTANTE TIPO CAAI-S VW-1 3X70 MM2 PARA REDES AEREAS B.T.</v>
          </cell>
        </row>
        <row r="907">
          <cell r="B907">
            <v>5023728</v>
          </cell>
          <cell r="C907" t="str">
            <v>IND</v>
          </cell>
          <cell r="D907" t="str">
            <v>CABLE DE ENERGIA AUTOPORTANTE TIPO CAAI-S VW-1 3X70 MM2 PARA REDES AEREAS B.T.</v>
          </cell>
        </row>
        <row r="908">
          <cell r="B908">
            <v>5023728</v>
          </cell>
          <cell r="C908" t="str">
            <v>PIR</v>
          </cell>
          <cell r="D908" t="str">
            <v>CABLE DE ENERGIA AUTOPORTANTE TIPO CAAI-S VW-1 3X70 MM2 PARA REDES AEREAS B.T.</v>
          </cell>
        </row>
        <row r="909">
          <cell r="B909">
            <v>5023730</v>
          </cell>
          <cell r="C909" t="str">
            <v>CEP</v>
          </cell>
          <cell r="D909" t="str">
            <v>CABLE DE ENERGIA AUTOPORTANTE TIPO NA2XSA2Y-S 3X35 MM2  PARA REDES AEREAS 10KV</v>
          </cell>
        </row>
        <row r="910">
          <cell r="B910">
            <v>5023732</v>
          </cell>
          <cell r="C910" t="str">
            <v>NOK</v>
          </cell>
          <cell r="D910" t="str">
            <v>CABLE DE ENERGIA AUTOPORTANTE TIPO NA2XSA2Y-S 3X70 MM2  PARA REDES AEREAS 10KV</v>
          </cell>
        </row>
        <row r="911">
          <cell r="B911">
            <v>5023734</v>
          </cell>
          <cell r="C911" t="str">
            <v>NOK</v>
          </cell>
          <cell r="D911" t="str">
            <v>CABLE DE ENERGIA AUTOPORTANTE TIPO NA2XSA2Y-S 3X120 MM2  PARA REDES AEREAS 10KV</v>
          </cell>
        </row>
        <row r="912">
          <cell r="B912">
            <v>5023736</v>
          </cell>
          <cell r="C912" t="str">
            <v>CEP</v>
          </cell>
          <cell r="D912" t="str">
            <v>CABLE DE ENERGIA AUTOPORTANTE TIPO NA2XSA2Y-S 3X185 MM2  PARA REDES AEREAS 10KV</v>
          </cell>
        </row>
        <row r="913">
          <cell r="B913">
            <v>5023736</v>
          </cell>
          <cell r="C913" t="str">
            <v>IND</v>
          </cell>
          <cell r="D913" t="str">
            <v>CABLE DE ENERGIA AUTOPORTANTE TIPO NA2XSA2Y-S 3X185 MM2  PARA REDES AEREAS 10KV</v>
          </cell>
        </row>
        <row r="914">
          <cell r="B914">
            <v>5023738</v>
          </cell>
          <cell r="C914" t="str">
            <v>ALC</v>
          </cell>
          <cell r="D914" t="str">
            <v>CABLE DE ENERGIA AUTOPORTANTE TIPO CAAI-S VW-1 3X95 MM2 PARA REDES AEREAS B.T.</v>
          </cell>
        </row>
        <row r="915">
          <cell r="B915">
            <v>5023738</v>
          </cell>
          <cell r="C915" t="str">
            <v>CEP</v>
          </cell>
          <cell r="D915" t="str">
            <v>CABLE DE ENERGIA AUTOPORTANTE TIPO CAAI-S VW-1 3X95 MM2 PARA REDES AEREAS B.T.</v>
          </cell>
        </row>
        <row r="916">
          <cell r="B916">
            <v>5023738</v>
          </cell>
          <cell r="C916" t="str">
            <v>IND</v>
          </cell>
          <cell r="D916" t="str">
            <v>CABLE DE ENERGIA AUTOPORTANTE TIPO CAAI-S VW-1 3X95 MM2 PARA REDES AEREAS B.T.</v>
          </cell>
        </row>
        <row r="917">
          <cell r="B917">
            <v>5023738</v>
          </cell>
          <cell r="C917" t="str">
            <v>PIR</v>
          </cell>
          <cell r="D917" t="str">
            <v>CABLE DE ENERGIA AUTOPORTANTE TIPO CAAI-S VW-1 3X95 MM2 PARA REDES AEREAS B.T.</v>
          </cell>
        </row>
        <row r="918">
          <cell r="B918">
            <v>5023739</v>
          </cell>
          <cell r="C918" t="str">
            <v>ALC</v>
          </cell>
          <cell r="D918" t="str">
            <v>CABLE DE ENERGIA AUTOPORTANTE TIPO CAAI-S VW-1 3X120 MM2 PARA REDES AEREAS B.T.</v>
          </cell>
        </row>
        <row r="919">
          <cell r="B919">
            <v>5023739</v>
          </cell>
          <cell r="C919" t="str">
            <v>CEP</v>
          </cell>
          <cell r="D919" t="str">
            <v>CABLE DE ENERGIA AUTOPORTANTE TIPO CAAI-S VW-1 3X120 MM2 PARA REDES AEREAS B.T.</v>
          </cell>
        </row>
        <row r="920">
          <cell r="B920">
            <v>5023739</v>
          </cell>
          <cell r="C920" t="str">
            <v>IND</v>
          </cell>
          <cell r="D920" t="str">
            <v>CABLE DE ENERGIA AUTOPORTANTE TIPO CAAI-S VW-1 3X120 MM2 PARA REDES AEREAS B.T.</v>
          </cell>
        </row>
        <row r="921">
          <cell r="B921">
            <v>5023739</v>
          </cell>
          <cell r="C921" t="str">
            <v>PIR</v>
          </cell>
          <cell r="D921" t="str">
            <v>CABLE DE ENERGIA AUTOPORTANTE TIPO CAAI-S VW-1 3X120 MM2 PARA REDES AEREAS B.T.</v>
          </cell>
        </row>
        <row r="922">
          <cell r="B922">
            <v>5023740</v>
          </cell>
          <cell r="C922" t="str">
            <v>ALC</v>
          </cell>
          <cell r="D922" t="str">
            <v>CABLE DE ENERGIA AUTOPORTANTE TIPO CAAI-S VW-1 3X16+1X16 MM2 PARA REDES AEREAS B.T.</v>
          </cell>
        </row>
        <row r="923">
          <cell r="B923">
            <v>5023740</v>
          </cell>
          <cell r="C923" t="str">
            <v>CEP</v>
          </cell>
          <cell r="D923" t="str">
            <v>CABLE DE ENERGIA AUTOPORTANTE TIPO CAAI-S VW-1 3X16+1X16 MM2 PARA REDES AEREAS B.T.</v>
          </cell>
        </row>
        <row r="924">
          <cell r="B924">
            <v>5023740</v>
          </cell>
          <cell r="C924" t="str">
            <v>IND</v>
          </cell>
          <cell r="D924" t="str">
            <v>CABLE DE ENERGIA AUTOPORTANTE TIPO CAAI-S VW-1 3X16+1X16 MM2 PARA REDES AEREAS B.T.</v>
          </cell>
        </row>
        <row r="925">
          <cell r="B925">
            <v>5023740</v>
          </cell>
          <cell r="C925" t="str">
            <v>PIR</v>
          </cell>
          <cell r="D925" t="str">
            <v>CABLE DE ENERGIA AUTOPORTANTE TIPO CAAI-S VW-1 3X16+1X16 MM2 PARA REDES AEREAS B.T.</v>
          </cell>
        </row>
        <row r="926">
          <cell r="B926">
            <v>5023744</v>
          </cell>
          <cell r="C926" t="str">
            <v>ALC</v>
          </cell>
          <cell r="D926" t="str">
            <v>CABLE DE ENERGIA AUTOPORTANTE TIPO CAAI-S VW-1 3X35+1X16 MM2 PARA REDES AEREAS B.T.</v>
          </cell>
        </row>
        <row r="927">
          <cell r="B927">
            <v>5023744</v>
          </cell>
          <cell r="C927" t="str">
            <v>CEP</v>
          </cell>
          <cell r="D927" t="str">
            <v>CABLE DE ENERGIA AUTOPORTANTE TIPO CAAI-S VW-1 3X35+1X16 MM2 PARA REDES AEREAS B.T.</v>
          </cell>
        </row>
        <row r="928">
          <cell r="B928">
            <v>5023744</v>
          </cell>
          <cell r="C928" t="str">
            <v>IND</v>
          </cell>
          <cell r="D928" t="str">
            <v>CABLE DE ENERGIA AUTOPORTANTE TIPO CAAI-S VW-1 3X35+1X16 MM2 PARA REDES AEREAS B.T.</v>
          </cell>
        </row>
        <row r="929">
          <cell r="B929">
            <v>5023744</v>
          </cell>
          <cell r="C929" t="str">
            <v>PIR</v>
          </cell>
          <cell r="D929" t="str">
            <v>CABLE DE ENERGIA AUTOPORTANTE TIPO CAAI-S VW-1 3X35+1X16 MM2 PARA REDES AEREAS B.T.</v>
          </cell>
        </row>
        <row r="930">
          <cell r="B930">
            <v>5023746</v>
          </cell>
          <cell r="C930" t="str">
            <v>ALC</v>
          </cell>
          <cell r="D930" t="str">
            <v>CABLE DE ENERGIA AUTOPORTANTE TIPO CAAI-S VW-1 3X50+1X16 MM2 PARA REDES AEREAS B.T.</v>
          </cell>
        </row>
        <row r="931">
          <cell r="B931">
            <v>5023746</v>
          </cell>
          <cell r="C931" t="str">
            <v>CEP</v>
          </cell>
          <cell r="D931" t="str">
            <v>CABLE DE ENERGIA AUTOPORTANTE TIPO CAAI-S VW-1 3X50+1X16 MM2 PARA REDES AEREAS B.T.</v>
          </cell>
        </row>
        <row r="932">
          <cell r="B932">
            <v>5023746</v>
          </cell>
          <cell r="C932" t="str">
            <v>IND</v>
          </cell>
          <cell r="D932" t="str">
            <v>CABLE DE ENERGIA AUTOPORTANTE TIPO CAAI-S VW-1 3X50+1X16 MM2 PARA REDES AEREAS B.T.</v>
          </cell>
        </row>
        <row r="933">
          <cell r="B933">
            <v>5023746</v>
          </cell>
          <cell r="C933" t="str">
            <v>PIR</v>
          </cell>
          <cell r="D933" t="str">
            <v>CABLE DE ENERGIA AUTOPORTANTE TIPO CAAI-S VW-1 3X50+1X16 MM2 PARA REDES AEREAS B.T.</v>
          </cell>
        </row>
        <row r="934">
          <cell r="B934">
            <v>5023748</v>
          </cell>
          <cell r="C934" t="str">
            <v>ALC</v>
          </cell>
          <cell r="D934" t="str">
            <v>CABLE DE ENERGIA AUTOPORTANTE TIPO CAAI-S VW-1 3X70 + 1X16 MM2 PARA REDES AEREAS B.T.</v>
          </cell>
        </row>
        <row r="935">
          <cell r="B935">
            <v>5023748</v>
          </cell>
          <cell r="C935" t="str">
            <v>CEP</v>
          </cell>
          <cell r="D935" t="str">
            <v>CABLE DE ENERGIA AUTOPORTANTE TIPO CAAI-S VW-1 3X70 + 1X16 MM2 PARA REDES AEREAS B.T.</v>
          </cell>
        </row>
        <row r="936">
          <cell r="B936">
            <v>5023748</v>
          </cell>
          <cell r="C936" t="str">
            <v>IND</v>
          </cell>
          <cell r="D936" t="str">
            <v>CABLE DE ENERGIA AUTOPORTANTE TIPO CAAI-S VW-1 3X70 + 1X16 MM2 PARA REDES AEREAS B.T.</v>
          </cell>
        </row>
        <row r="937">
          <cell r="B937">
            <v>5023748</v>
          </cell>
          <cell r="C937" t="str">
            <v>PIR</v>
          </cell>
          <cell r="D937" t="str">
            <v>CABLE DE ENERGIA AUTOPORTANTE TIPO CAAI-S VW-1 3X70 + 1X16 MM2 PARA REDES AEREAS B.T.</v>
          </cell>
        </row>
        <row r="938">
          <cell r="B938">
            <v>5023751</v>
          </cell>
          <cell r="C938" t="str">
            <v>ALC</v>
          </cell>
          <cell r="D938" t="str">
            <v>CABLE DE ENERGIA AUTOPORTANTE TIPO CAAI-S VW-1 3X95+1X16 MM2 PARA REDES AEREAS B.T.</v>
          </cell>
        </row>
        <row r="939">
          <cell r="B939">
            <v>5023751</v>
          </cell>
          <cell r="C939" t="str">
            <v>CEP</v>
          </cell>
          <cell r="D939" t="str">
            <v>CABLE DE ENERGIA AUTOPORTANTE TIPO CAAI-S VW-1 3X95+1X16 MM2 PARA REDES AEREAS B.T.</v>
          </cell>
        </row>
        <row r="940">
          <cell r="B940">
            <v>5023751</v>
          </cell>
          <cell r="C940" t="str">
            <v>IND</v>
          </cell>
          <cell r="D940" t="str">
            <v>CABLE DE ENERGIA AUTOPORTANTE TIPO CAAI-S VW-1 3X95+1X16 MM2 PARA REDES AEREAS B.T.</v>
          </cell>
        </row>
        <row r="941">
          <cell r="B941">
            <v>5023751</v>
          </cell>
          <cell r="C941" t="str">
            <v>PIR</v>
          </cell>
          <cell r="D941" t="str">
            <v>CABLE DE ENERGIA AUTOPORTANTE TIPO CAAI-S VW-1 3X95+1X16 MM2 PARA REDES AEREAS B.T.</v>
          </cell>
        </row>
        <row r="942">
          <cell r="B942">
            <v>5023762</v>
          </cell>
          <cell r="C942" t="str">
            <v>ALC</v>
          </cell>
          <cell r="D942" t="str">
            <v>CABLE DE ENERGIA AUTOPORTANTE TIPO CAAI-S VW-1 3X120+1X16 MM2 PARA REDES AEREAS B.T.</v>
          </cell>
        </row>
        <row r="943">
          <cell r="B943">
            <v>5023762</v>
          </cell>
          <cell r="C943" t="str">
            <v>CEP</v>
          </cell>
          <cell r="D943" t="str">
            <v>CABLE DE ENERGIA AUTOPORTANTE TIPO CAAI-S VW-1 3X120+1X16 MM2 PARA REDES AEREAS B.T.</v>
          </cell>
        </row>
        <row r="944">
          <cell r="B944">
            <v>5023762</v>
          </cell>
          <cell r="C944" t="str">
            <v>IND</v>
          </cell>
          <cell r="D944" t="str">
            <v>CABLE DE ENERGIA AUTOPORTANTE TIPO CAAI-S VW-1 3X120+1X16 MM2 PARA REDES AEREAS B.T.</v>
          </cell>
        </row>
        <row r="945">
          <cell r="B945">
            <v>5023762</v>
          </cell>
          <cell r="C945" t="str">
            <v>PIR</v>
          </cell>
          <cell r="D945" t="str">
            <v>CABLE DE ENERGIA AUTOPORTANTE TIPO CAAI-S VW-1 3X120+1X16 MM2 PARA REDES AEREAS B.T.</v>
          </cell>
        </row>
        <row r="946">
          <cell r="B946">
            <v>5031149</v>
          </cell>
          <cell r="C946" t="str">
            <v>ALC</v>
          </cell>
          <cell r="D946" t="str">
            <v>CABLE DE ENERGIA UNIPOLAR TIPO NYY 1 X 500MM2 0,6 / 1KV</v>
          </cell>
        </row>
        <row r="947">
          <cell r="B947">
            <v>5031149</v>
          </cell>
          <cell r="C947" t="str">
            <v>CEP</v>
          </cell>
          <cell r="D947" t="str">
            <v>CABLE DE ENERGIA UNIPOLAR TIPO NYY 1 X 500MM2 0,6 / 1KV</v>
          </cell>
        </row>
        <row r="948">
          <cell r="B948">
            <v>5031149</v>
          </cell>
          <cell r="C948" t="str">
            <v>CET</v>
          </cell>
          <cell r="D948" t="str">
            <v>CABLE DE ENERGIA UNIPOLAR TIPO NYY 1 X 500MM2 0,6 / 1KV</v>
          </cell>
        </row>
        <row r="949">
          <cell r="B949">
            <v>5031149</v>
          </cell>
          <cell r="C949" t="str">
            <v>IND</v>
          </cell>
          <cell r="D949" t="str">
            <v>CABLE DE ENERGIA UNIPOLAR TIPO NYY 1 X 500MM2 0,6 / 1KV</v>
          </cell>
        </row>
        <row r="950">
          <cell r="B950">
            <v>5031149</v>
          </cell>
          <cell r="C950" t="str">
            <v>NEX</v>
          </cell>
          <cell r="D950" t="str">
            <v>CABLE DE ENERGIA UNIPOLAR TIPO NYY 1 X 500MM2 0,6 / 1KV</v>
          </cell>
        </row>
        <row r="951">
          <cell r="B951">
            <v>5031165</v>
          </cell>
          <cell r="C951" t="str">
            <v>RCT</v>
          </cell>
          <cell r="D951" t="str">
            <v>CABLE DE ENERGIA BIPOLAR TIPO N2XY 2 - 1 X 6MM2 0,6 / 1KV</v>
          </cell>
        </row>
        <row r="952">
          <cell r="B952">
            <v>5031172</v>
          </cell>
          <cell r="C952" t="str">
            <v>CEP</v>
          </cell>
          <cell r="D952" t="str">
            <v>CABLE DE ENERGIA TRIPOLAR TIPO N2XY 3 - 1 X 6MM2 0,6 / 1KV</v>
          </cell>
        </row>
        <row r="953">
          <cell r="B953">
            <v>5031173</v>
          </cell>
          <cell r="C953" t="str">
            <v>CEP</v>
          </cell>
          <cell r="D953" t="str">
            <v>CABLE DE ENERGIA TRIPOLAR TIPO N2XY 3 - 1 X 10MM2 0,6 / 1KV</v>
          </cell>
        </row>
        <row r="954">
          <cell r="B954">
            <v>5031175</v>
          </cell>
          <cell r="C954" t="str">
            <v>RCT</v>
          </cell>
          <cell r="D954" t="str">
            <v>CABLE DE ENERGIA TRIPOLAR TIPO N2XY 3 - 1 X 16MM2 0,6 / 1KV</v>
          </cell>
        </row>
        <row r="955">
          <cell r="B955">
            <v>5031177</v>
          </cell>
          <cell r="C955" t="str">
            <v>RCT</v>
          </cell>
          <cell r="D955" t="str">
            <v>CABLE DE ENERGIA TRIPOLAR TIPO N2XY 3 - 1 X 35MM2 0,6 / 1KV</v>
          </cell>
        </row>
        <row r="956">
          <cell r="B956">
            <v>5031178</v>
          </cell>
          <cell r="C956" t="str">
            <v>CEP</v>
          </cell>
          <cell r="D956" t="str">
            <v>CABLE DE ENERGIA TRIPOLAR TIPO N2XY 3 - 1 X 70MM2 0,6 / 1KV</v>
          </cell>
        </row>
        <row r="957">
          <cell r="B957">
            <v>5031179</v>
          </cell>
          <cell r="C957" t="str">
            <v>RCT</v>
          </cell>
          <cell r="D957" t="str">
            <v>CABLE DE ENERGIA TRIPOLAR TIPO N2XY 3 - 1 X 120MM2 0,6 / 1KV</v>
          </cell>
        </row>
        <row r="958">
          <cell r="B958">
            <v>5031182</v>
          </cell>
          <cell r="C958" t="str">
            <v>CEP</v>
          </cell>
          <cell r="D958" t="str">
            <v>CABLE DE ENERGIA TRIPOLAR TIPO N2XY 3 - 1 X 185MM2 0,6 / 1KV</v>
          </cell>
        </row>
        <row r="959">
          <cell r="B959">
            <v>5031183</v>
          </cell>
          <cell r="C959" t="str">
            <v>RCT</v>
          </cell>
          <cell r="D959" t="str">
            <v>CABLE DE ENERGIA TRIPOLAR TIPO N2XY 3 - 1 X 300MM2 0,6 / 1KV</v>
          </cell>
        </row>
        <row r="960">
          <cell r="B960">
            <v>5031207</v>
          </cell>
          <cell r="C960" t="str">
            <v>ALC</v>
          </cell>
          <cell r="D960" t="str">
            <v>CABLE DE ENERGIA BIPOLAR TIPO NYY 2 - 1 X 6MM2 0,6 / 1KV DISPOSICION PARALELO</v>
          </cell>
        </row>
        <row r="961">
          <cell r="B961">
            <v>5031207</v>
          </cell>
          <cell r="C961" t="str">
            <v>CEP</v>
          </cell>
          <cell r="D961" t="str">
            <v>CABLE DE ENERGIA BIPOLAR TIPO NYY 2 - 1 X 6MM2 0,6 / 1KV DISPOSICION PARALELO</v>
          </cell>
        </row>
        <row r="962">
          <cell r="B962">
            <v>5031207</v>
          </cell>
          <cell r="C962" t="str">
            <v>CET</v>
          </cell>
          <cell r="D962" t="str">
            <v>CABLE DE ENERGIA BIPOLAR TIPO NYY 2 - 1 X 6MM2 0,6 / 1KV DISPOSICION PARALELO</v>
          </cell>
        </row>
        <row r="963">
          <cell r="B963">
            <v>5031207</v>
          </cell>
          <cell r="C963" t="str">
            <v>IND</v>
          </cell>
          <cell r="D963" t="str">
            <v>CABLE DE ENERGIA BIPOLAR TIPO NYY 2 - 1 X 6MM2 0,6 / 1KV DISPOSICION PARALELO</v>
          </cell>
        </row>
        <row r="964">
          <cell r="B964">
            <v>5031207</v>
          </cell>
          <cell r="C964" t="str">
            <v>NEX</v>
          </cell>
          <cell r="D964" t="str">
            <v>CABLE DE ENERGIA BIPOLAR TIPO NYY 2 - 1 X 6MM2 0,6 / 1KV DISPOSICION PARALELO</v>
          </cell>
        </row>
        <row r="965">
          <cell r="B965">
            <v>5031307</v>
          </cell>
          <cell r="C965" t="str">
            <v>ALC</v>
          </cell>
          <cell r="D965" t="str">
            <v>CABLE DE ENERGIA TRIPOLAR TIPO NYY 3 - 1 X 6MM2 0,6 / 1KV DISPOSICION PARALELO</v>
          </cell>
        </row>
        <row r="966">
          <cell r="B966">
            <v>5031307</v>
          </cell>
          <cell r="C966" t="str">
            <v>CEP</v>
          </cell>
          <cell r="D966" t="str">
            <v>CABLE DE ENERGIA TRIPOLAR TIPO NYY 3 - 1 X 6MM2 0,6 / 1KV DISPOSICION PARALELO</v>
          </cell>
        </row>
        <row r="967">
          <cell r="B967">
            <v>5031307</v>
          </cell>
          <cell r="C967" t="str">
            <v>CET</v>
          </cell>
          <cell r="D967" t="str">
            <v>CABLE DE ENERGIA TRIPOLAR TIPO NYY 3 - 1 X 6MM2 0,6 / 1KV DISPOSICION PARALELO</v>
          </cell>
        </row>
        <row r="968">
          <cell r="B968">
            <v>5031307</v>
          </cell>
          <cell r="C968" t="str">
            <v>IND</v>
          </cell>
          <cell r="D968" t="str">
            <v>CABLE DE ENERGIA TRIPOLAR TIPO NYY 3 - 1 X 6MM2 0,6 / 1KV DISPOSICION PARALELO</v>
          </cell>
        </row>
        <row r="969">
          <cell r="B969">
            <v>5031307</v>
          </cell>
          <cell r="C969" t="str">
            <v>NEX</v>
          </cell>
          <cell r="D969" t="str">
            <v>CABLE DE ENERGIA TRIPOLAR TIPO NYY 3 - 1 X 6MM2 0,6 / 1KV DISPOSICION PARALELO</v>
          </cell>
        </row>
        <row r="970">
          <cell r="B970">
            <v>5031313</v>
          </cell>
          <cell r="C970" t="str">
            <v>ALC</v>
          </cell>
          <cell r="D970" t="str">
            <v>CABLE DE ENERGIA TRIPOLAR TIPO NYY 3 - 1 X 10MM2 0,6 / 1KV DISPOSICION PARALELO</v>
          </cell>
        </row>
        <row r="971">
          <cell r="B971">
            <v>5031313</v>
          </cell>
          <cell r="C971" t="str">
            <v>CEP</v>
          </cell>
          <cell r="D971" t="str">
            <v>CABLE DE ENERGIA TRIPOLAR TIPO NYY 3 - 1 X 10MM2 0,6 / 1KV DISPOSICION PARALELO</v>
          </cell>
        </row>
        <row r="972">
          <cell r="B972">
            <v>5031313</v>
          </cell>
          <cell r="C972" t="str">
            <v>CET</v>
          </cell>
          <cell r="D972" t="str">
            <v>CABLE DE ENERGIA TRIPOLAR TIPO NYY 3 - 1 X 10MM2 0,6 / 1KV DISPOSICION PARALELO</v>
          </cell>
        </row>
        <row r="973">
          <cell r="B973">
            <v>5031313</v>
          </cell>
          <cell r="C973" t="str">
            <v>IND</v>
          </cell>
          <cell r="D973" t="str">
            <v>CABLE DE ENERGIA TRIPOLAR TIPO NYY 3 - 1 X 10MM2 0,6 / 1KV DISPOSICION PARALELO</v>
          </cell>
        </row>
        <row r="974">
          <cell r="B974">
            <v>5031313</v>
          </cell>
          <cell r="C974" t="str">
            <v>NEX</v>
          </cell>
          <cell r="D974" t="str">
            <v>CABLE DE ENERGIA TRIPOLAR TIPO NYY 3 - 1 X 10MM2 0,6 / 1KV DISPOSICION PARALELO</v>
          </cell>
        </row>
        <row r="975">
          <cell r="B975">
            <v>5031316</v>
          </cell>
          <cell r="C975" t="str">
            <v>ALC</v>
          </cell>
          <cell r="D975" t="str">
            <v>CABLE DE ENERGIA TRIPOLAR TIPO NYY 3 - 1 X 16MM2 0,6 / 1KV DISPOSICION PARALELO</v>
          </cell>
        </row>
        <row r="976">
          <cell r="B976">
            <v>5031316</v>
          </cell>
          <cell r="C976" t="str">
            <v>CEP</v>
          </cell>
          <cell r="D976" t="str">
            <v>CABLE DE ENERGIA TRIPOLAR TIPO NYY 3 - 1 X 16MM2 0,6 / 1KV DISPOSICION PARALELO</v>
          </cell>
        </row>
        <row r="977">
          <cell r="B977">
            <v>5031316</v>
          </cell>
          <cell r="C977" t="str">
            <v>CET</v>
          </cell>
          <cell r="D977" t="str">
            <v>CABLE DE ENERGIA TRIPOLAR TIPO NYY 3 - 1 X 16MM2 0,6 / 1KV DISPOSICION PARALELO</v>
          </cell>
        </row>
        <row r="978">
          <cell r="B978">
            <v>5031316</v>
          </cell>
          <cell r="C978" t="str">
            <v>IND</v>
          </cell>
          <cell r="D978" t="str">
            <v>CABLE DE ENERGIA TRIPOLAR TIPO NYY 3 - 1 X 16MM2 0,6 / 1KV DISPOSICION PARALELO</v>
          </cell>
        </row>
        <row r="979">
          <cell r="B979">
            <v>5031316</v>
          </cell>
          <cell r="C979" t="str">
            <v>NEX</v>
          </cell>
          <cell r="D979" t="str">
            <v>CABLE DE ENERGIA TRIPOLAR TIPO NYY 3 - 1 X 16MM2 0,6 / 1KV DISPOSICION PARALELO</v>
          </cell>
        </row>
        <row r="980">
          <cell r="B980">
            <v>5031322</v>
          </cell>
          <cell r="C980" t="str">
            <v>ALC</v>
          </cell>
          <cell r="D980" t="str">
            <v>CABLE DE ENERGIA TRIPOLAR TIPO NYY 3 - 1 X 35MM2 0,6 / 1KV DISPOSICION PARALELO</v>
          </cell>
        </row>
        <row r="981">
          <cell r="B981">
            <v>5031322</v>
          </cell>
          <cell r="C981" t="str">
            <v>CEP</v>
          </cell>
          <cell r="D981" t="str">
            <v>CABLE DE ENERGIA TRIPOLAR TIPO NYY 3 - 1 X 35MM2 0,6 / 1KV DISPOSICION PARALELO</v>
          </cell>
        </row>
        <row r="982">
          <cell r="B982">
            <v>5031322</v>
          </cell>
          <cell r="C982" t="str">
            <v>CET</v>
          </cell>
          <cell r="D982" t="str">
            <v>CABLE DE ENERGIA TRIPOLAR TIPO NYY 3 - 1 X 35MM2 0,6 / 1KV DISPOSICION PARALELO</v>
          </cell>
        </row>
        <row r="983">
          <cell r="B983">
            <v>5031322</v>
          </cell>
          <cell r="C983" t="str">
            <v>IND</v>
          </cell>
          <cell r="D983" t="str">
            <v>CABLE DE ENERGIA TRIPOLAR TIPO NYY 3 - 1 X 35MM2 0,6 / 1KV DISPOSICION PARALELO</v>
          </cell>
        </row>
        <row r="984">
          <cell r="B984">
            <v>5031322</v>
          </cell>
          <cell r="C984" t="str">
            <v>NEX</v>
          </cell>
          <cell r="D984" t="str">
            <v>CABLE DE ENERGIA TRIPOLAR TIPO NYY 3 - 1 X 35MM2 0,6 / 1KV DISPOSICION PARALELO</v>
          </cell>
        </row>
        <row r="985">
          <cell r="B985">
            <v>5031323</v>
          </cell>
          <cell r="C985" t="str">
            <v>ALC</v>
          </cell>
          <cell r="D985" t="str">
            <v>CABLE DE ENERGIA TRIPOLAR TIPO NYY 3 - 1 X 70MM2 0,6 / 1KV DISPOSICION PARALELO</v>
          </cell>
        </row>
        <row r="986">
          <cell r="B986">
            <v>5031323</v>
          </cell>
          <cell r="C986" t="str">
            <v>CEP</v>
          </cell>
          <cell r="D986" t="str">
            <v>CABLE DE ENERGIA TRIPOLAR TIPO NYY 3 - 1 X 70MM2 0,6 / 1KV DISPOSICION PARALELO</v>
          </cell>
        </row>
        <row r="987">
          <cell r="B987">
            <v>5031323</v>
          </cell>
          <cell r="C987" t="str">
            <v>CET</v>
          </cell>
          <cell r="D987" t="str">
            <v>CABLE DE ENERGIA TRIPOLAR TIPO NYY 3 - 1 X 70MM2 0,6 / 1KV DISPOSICION PARALELO</v>
          </cell>
        </row>
        <row r="988">
          <cell r="B988">
            <v>5031323</v>
          </cell>
          <cell r="C988" t="str">
            <v>IND</v>
          </cell>
          <cell r="D988" t="str">
            <v>CABLE DE ENERGIA TRIPOLAR TIPO NYY 3 - 1 X 70MM2 0,6 / 1KV DISPOSICION PARALELO</v>
          </cell>
        </row>
        <row r="989">
          <cell r="B989">
            <v>5031323</v>
          </cell>
          <cell r="C989" t="str">
            <v>NEX</v>
          </cell>
          <cell r="D989" t="str">
            <v>CABLE DE ENERGIA TRIPOLAR TIPO NYY 3 - 1 X 70MM2 0,6 / 1KV DISPOSICION PARALELO</v>
          </cell>
        </row>
        <row r="990">
          <cell r="B990">
            <v>5031334</v>
          </cell>
          <cell r="C990" t="str">
            <v>ALC</v>
          </cell>
          <cell r="D990" t="str">
            <v>CABLE DE ENERGIA TRIPOLAR TIPO NYY 3 - 1 X 120MM2 0,6 / 1KV DISPOSICION PARALELO</v>
          </cell>
        </row>
        <row r="991">
          <cell r="B991">
            <v>5031334</v>
          </cell>
          <cell r="C991" t="str">
            <v>CEP</v>
          </cell>
          <cell r="D991" t="str">
            <v>CABLE DE ENERGIA TRIPOLAR TIPO NYY 3 - 1 X 120MM2 0,6 / 1KV DISPOSICION PARALELO</v>
          </cell>
        </row>
        <row r="992">
          <cell r="B992">
            <v>5031334</v>
          </cell>
          <cell r="C992" t="str">
            <v>CET</v>
          </cell>
          <cell r="D992" t="str">
            <v>CABLE DE ENERGIA TRIPOLAR TIPO NYY 3 - 1 X 120MM2 0,6 / 1KV DISPOSICION PARALELO</v>
          </cell>
        </row>
        <row r="993">
          <cell r="B993">
            <v>5031334</v>
          </cell>
          <cell r="C993" t="str">
            <v>IND</v>
          </cell>
          <cell r="D993" t="str">
            <v>CABLE DE ENERGIA TRIPOLAR TIPO NYY 3 - 1 X 120MM2 0,6 / 1KV DISPOSICION PARALELO</v>
          </cell>
        </row>
        <row r="994">
          <cell r="B994">
            <v>5031334</v>
          </cell>
          <cell r="C994" t="str">
            <v>NEX</v>
          </cell>
          <cell r="D994" t="str">
            <v>CABLE DE ENERGIA TRIPOLAR TIPO NYY 3 - 1 X 120MM2 0,6 / 1KV DISPOSICION PARALELO</v>
          </cell>
        </row>
        <row r="995">
          <cell r="B995">
            <v>5031340</v>
          </cell>
          <cell r="C995" t="str">
            <v>ALC</v>
          </cell>
          <cell r="D995" t="str">
            <v>CABLE DE ENERGIA TRIPOLAR TIPO NYY 3 - 1 X 185MM2 0,6 / 1KV DISPOSICION PARALELO</v>
          </cell>
        </row>
        <row r="996">
          <cell r="B996">
            <v>5031340</v>
          </cell>
          <cell r="C996" t="str">
            <v>CEP</v>
          </cell>
          <cell r="D996" t="str">
            <v>CABLE DE ENERGIA TRIPOLAR TIPO NYY 3 - 1 X 185MM2 0,6 / 1KV DISPOSICION PARALELO</v>
          </cell>
        </row>
        <row r="997">
          <cell r="B997">
            <v>5031340</v>
          </cell>
          <cell r="C997" t="str">
            <v>CET</v>
          </cell>
          <cell r="D997" t="str">
            <v>CABLE DE ENERGIA TRIPOLAR TIPO NYY 3 - 1 X 185MM2 0,6 / 1KV DISPOSICION PARALELO</v>
          </cell>
        </row>
        <row r="998">
          <cell r="B998">
            <v>5031340</v>
          </cell>
          <cell r="C998" t="str">
            <v>IND</v>
          </cell>
          <cell r="D998" t="str">
            <v>CABLE DE ENERGIA TRIPOLAR TIPO NYY 3 - 1 X 185MM2 0,6 / 1KV DISPOSICION PARALELO</v>
          </cell>
        </row>
        <row r="999">
          <cell r="B999">
            <v>5031340</v>
          </cell>
          <cell r="C999" t="str">
            <v>NEX</v>
          </cell>
          <cell r="D999" t="str">
            <v>CABLE DE ENERGIA TRIPOLAR TIPO NYY 3 - 1 X 185MM2 0,6 / 1KV DISPOSICION PARALELO</v>
          </cell>
        </row>
        <row r="1000">
          <cell r="B1000">
            <v>5031346</v>
          </cell>
          <cell r="C1000" t="str">
            <v>ALC</v>
          </cell>
          <cell r="D1000" t="str">
            <v>CABLE DE ENERGIA TRIPOLAR TIPO NYY 3 - 1 X 300MM2 0,6 / 1KV DISPOSICION PARALELO</v>
          </cell>
        </row>
        <row r="1001">
          <cell r="B1001">
            <v>5031346</v>
          </cell>
          <cell r="C1001" t="str">
            <v>CEP</v>
          </cell>
          <cell r="D1001" t="str">
            <v>CABLE DE ENERGIA TRIPOLAR TIPO NYY 3 - 1 X 300MM2 0,6 / 1KV DISPOSICION PARALELO</v>
          </cell>
        </row>
        <row r="1002">
          <cell r="B1002">
            <v>5031346</v>
          </cell>
          <cell r="C1002" t="str">
            <v>CET</v>
          </cell>
          <cell r="D1002" t="str">
            <v>CABLE DE ENERGIA TRIPOLAR TIPO NYY 3 - 1 X 300MM2 0,6 / 1KV DISPOSICION PARALELO</v>
          </cell>
        </row>
        <row r="1003">
          <cell r="B1003">
            <v>5031346</v>
          </cell>
          <cell r="C1003" t="str">
            <v>IND</v>
          </cell>
          <cell r="D1003" t="str">
            <v>CABLE DE ENERGIA TRIPOLAR TIPO NYY 3 - 1 X 300MM2 0,6 / 1KV DISPOSICION PARALELO</v>
          </cell>
        </row>
        <row r="1004">
          <cell r="B1004">
            <v>5031346</v>
          </cell>
          <cell r="C1004" t="str">
            <v>NEX</v>
          </cell>
          <cell r="D1004" t="str">
            <v>CABLE DE ENERGIA TRIPOLAR TIPO NYY 3 - 1 X 300MM2 0,6 / 1KV DISPOSICION PARALELO</v>
          </cell>
        </row>
        <row r="1005">
          <cell r="B1005">
            <v>5031439</v>
          </cell>
          <cell r="C1005" t="str">
            <v>IND</v>
          </cell>
          <cell r="D1005" t="str">
            <v>CABLE DE ENERGIA BIPOLAR TIPO NA2XY 2 - 1 X 10MM2 0,6 / 1KV DISPOSICION PARALELO</v>
          </cell>
        </row>
        <row r="1006">
          <cell r="B1006">
            <v>5031445</v>
          </cell>
          <cell r="C1006" t="str">
            <v>IND</v>
          </cell>
          <cell r="D1006" t="str">
            <v>CABLE DE ENERGIA TRIPOLAR TIPO NA2XY 3 - 1 X 10MM2 0,6 / 1KV DISPOSICION PARALELO</v>
          </cell>
        </row>
        <row r="1007">
          <cell r="B1007">
            <v>5031446</v>
          </cell>
          <cell r="C1007" t="str">
            <v>CEP</v>
          </cell>
          <cell r="D1007" t="str">
            <v>CABLE DE ENERGIA TRIPOLAR TIPO NA2XY 3 - 1 X 16MM2 0,6 / 1KV DISPOSICION PARALELO</v>
          </cell>
        </row>
        <row r="1008">
          <cell r="B1008">
            <v>5031448</v>
          </cell>
          <cell r="C1008" t="str">
            <v>IND</v>
          </cell>
          <cell r="D1008" t="str">
            <v>CABLE DE ENERGIA TRIPOLAR TIPO NA2XY 3 - 1 X 95MM2 0,6 / 1KV DISPOSICION PARALELO</v>
          </cell>
        </row>
        <row r="1009">
          <cell r="B1009">
            <v>5031449</v>
          </cell>
          <cell r="C1009" t="str">
            <v>CEP</v>
          </cell>
          <cell r="D1009" t="str">
            <v>CABLE DE ENERGIA TRIPOLAR TIPO NA2XY 3 - 1 X 70MM2 0,6 / 1KV DISPOSICION PARALELO</v>
          </cell>
        </row>
        <row r="1010">
          <cell r="B1010">
            <v>5031450</v>
          </cell>
          <cell r="C1010" t="str">
            <v>CEP</v>
          </cell>
          <cell r="D1010" t="str">
            <v>CABLE DE ENERGIA TRIPOLAR TIPO NA2XY 3 - 1 X 120MM2 0,6 / 1KV DISPOSICION PARALELO</v>
          </cell>
        </row>
        <row r="1011">
          <cell r="B1011">
            <v>5031451</v>
          </cell>
          <cell r="C1011" t="str">
            <v>IND</v>
          </cell>
          <cell r="D1011" t="str">
            <v>CABLE DE ENERGIA TRIPOLAR TIPO NA2XY 3 - 1 X 185MM2 0,6 / 1KV DISPOSICION PARALELO</v>
          </cell>
        </row>
        <row r="1012">
          <cell r="B1012">
            <v>5031452</v>
          </cell>
          <cell r="C1012" t="str">
            <v>IND</v>
          </cell>
          <cell r="D1012" t="str">
            <v>CABLE DE ENERGIA TRIPOLAR TIPO NA2XY 3 - 1 X 240MM2 0,6 / 1KV DISPOSICION PARALELO</v>
          </cell>
        </row>
        <row r="1013">
          <cell r="B1013">
            <v>5031453</v>
          </cell>
          <cell r="C1013" t="str">
            <v>IND</v>
          </cell>
          <cell r="D1013" t="str">
            <v>CABLE DE ENERGIA TRIPOLAR TIPO NA2XY 3 - 1 X 300MM2 0,6 / 1KV DISPOSICION PARALELO</v>
          </cell>
        </row>
        <row r="1014">
          <cell r="B1014">
            <v>5031454</v>
          </cell>
          <cell r="C1014" t="str">
            <v>IND</v>
          </cell>
          <cell r="D1014" t="str">
            <v>CABLE DE ENERGIA TRIPOLAR TIPO NA2XY 3 - 1 X 400MM2 0,6 / 1KV DISPOSICION PARALELO</v>
          </cell>
        </row>
        <row r="1015">
          <cell r="B1015">
            <v>5031455</v>
          </cell>
          <cell r="C1015" t="str">
            <v>IND</v>
          </cell>
          <cell r="D1015" t="str">
            <v>CABLE DE ENERGIA TRIPOLAR TIPO NA2XY 3 - 1 X 500MM2 0,6 / 1KV DISPOSICION PARALELO</v>
          </cell>
        </row>
        <row r="1016">
          <cell r="B1016">
            <v>5031540</v>
          </cell>
          <cell r="C1016" t="str">
            <v>ALC</v>
          </cell>
          <cell r="D1016" t="str">
            <v>CABLE DE ENERGIA TIPO NAYY 3-1X10MM2. B.T.</v>
          </cell>
        </row>
        <row r="1017">
          <cell r="B1017">
            <v>5031540</v>
          </cell>
          <cell r="C1017" t="str">
            <v>BRD</v>
          </cell>
          <cell r="D1017" t="str">
            <v>CABLE DE ENERGIA TIPO NAYY 3-1X10MM2. B.T.</v>
          </cell>
        </row>
        <row r="1018">
          <cell r="B1018">
            <v>5031540</v>
          </cell>
          <cell r="C1018" t="str">
            <v>CEP</v>
          </cell>
          <cell r="D1018" t="str">
            <v>CABLE DE ENERGIA TIPO NAYY 3-1X10MM2. B.T.</v>
          </cell>
        </row>
        <row r="1019">
          <cell r="B1019">
            <v>5031540</v>
          </cell>
          <cell r="C1019" t="str">
            <v>CET</v>
          </cell>
          <cell r="D1019" t="str">
            <v>CABLE DE ENERGIA TIPO NAYY 3-1X10MM2. B.T.</v>
          </cell>
        </row>
        <row r="1020">
          <cell r="B1020">
            <v>5031540</v>
          </cell>
          <cell r="C1020" t="str">
            <v>CIM</v>
          </cell>
          <cell r="D1020" t="str">
            <v>CABLE DE ENERGIA TIPO NAYY 3-1X10MM2. B.T.</v>
          </cell>
        </row>
        <row r="1021">
          <cell r="B1021">
            <v>5031540</v>
          </cell>
          <cell r="C1021" t="str">
            <v>IND</v>
          </cell>
          <cell r="D1021" t="str">
            <v>CABLE DE ENERGIA TIPO NAYY 3-1X10MM2. B.T.</v>
          </cell>
        </row>
        <row r="1022">
          <cell r="B1022">
            <v>5031542</v>
          </cell>
          <cell r="C1022" t="str">
            <v>ALC</v>
          </cell>
          <cell r="D1022" t="str">
            <v>CABLE DE ENERGIA TIPO NAYY 3-1X16MM2. B.T.</v>
          </cell>
        </row>
        <row r="1023">
          <cell r="B1023">
            <v>5031542</v>
          </cell>
          <cell r="C1023" t="str">
            <v>BRD</v>
          </cell>
          <cell r="D1023" t="str">
            <v>CABLE DE ENERGIA TIPO NAYY 3-1X16MM2. B.T.</v>
          </cell>
        </row>
        <row r="1024">
          <cell r="B1024">
            <v>5031542</v>
          </cell>
          <cell r="C1024" t="str">
            <v>CEP</v>
          </cell>
          <cell r="D1024" t="str">
            <v>CABLE DE ENERGIA TIPO NAYY 3-1X16MM2. B.T.</v>
          </cell>
        </row>
        <row r="1025">
          <cell r="B1025">
            <v>5031542</v>
          </cell>
          <cell r="C1025" t="str">
            <v>CET</v>
          </cell>
          <cell r="D1025" t="str">
            <v>CABLE DE ENERGIA TIPO NAYY 3-1X16MM2. B.T.</v>
          </cell>
        </row>
        <row r="1026">
          <cell r="B1026">
            <v>5031542</v>
          </cell>
          <cell r="C1026" t="str">
            <v>CIM</v>
          </cell>
          <cell r="D1026" t="str">
            <v>CABLE DE ENERGIA TIPO NAYY 3-1X16MM2. B.T.</v>
          </cell>
        </row>
        <row r="1027">
          <cell r="B1027">
            <v>5031542</v>
          </cell>
          <cell r="C1027" t="str">
            <v>IND</v>
          </cell>
          <cell r="D1027" t="str">
            <v>CABLE DE ENERGIA TIPO NAYY 3-1X16MM2. B.T.</v>
          </cell>
        </row>
        <row r="1028">
          <cell r="B1028">
            <v>5031544</v>
          </cell>
          <cell r="C1028" t="str">
            <v>ALC</v>
          </cell>
          <cell r="D1028" t="str">
            <v>CABLE DE ENERGIA TIPO NAYY 3-1X25MM2. B.T.</v>
          </cell>
        </row>
        <row r="1029">
          <cell r="B1029">
            <v>5031544</v>
          </cell>
          <cell r="C1029" t="str">
            <v>BRD</v>
          </cell>
          <cell r="D1029" t="str">
            <v>CABLE DE ENERGIA TIPO NAYY 3-1X25MM2. B.T.</v>
          </cell>
        </row>
        <row r="1030">
          <cell r="B1030">
            <v>5031544</v>
          </cell>
          <cell r="C1030" t="str">
            <v>CEP</v>
          </cell>
          <cell r="D1030" t="str">
            <v>CABLE DE ENERGIA TIPO NAYY 3-1X25MM2. B.T.</v>
          </cell>
        </row>
        <row r="1031">
          <cell r="B1031">
            <v>5031544</v>
          </cell>
          <cell r="C1031" t="str">
            <v>CET</v>
          </cell>
          <cell r="D1031" t="str">
            <v>CABLE DE ENERGIA TIPO NAYY 3-1X25MM2. B.T.</v>
          </cell>
        </row>
        <row r="1032">
          <cell r="B1032">
            <v>5031544</v>
          </cell>
          <cell r="C1032" t="str">
            <v>CIM</v>
          </cell>
          <cell r="D1032" t="str">
            <v>CABLE DE ENERGIA TIPO NAYY 3-1X25MM2. B.T.</v>
          </cell>
        </row>
        <row r="1033">
          <cell r="B1033">
            <v>5031544</v>
          </cell>
          <cell r="C1033" t="str">
            <v>IND</v>
          </cell>
          <cell r="D1033" t="str">
            <v>CABLE DE ENERGIA TIPO NAYY 3-1X25MM2. B.T.</v>
          </cell>
        </row>
        <row r="1034">
          <cell r="B1034">
            <v>5031546</v>
          </cell>
          <cell r="C1034" t="str">
            <v>ALC</v>
          </cell>
          <cell r="D1034" t="str">
            <v>CABLE DE ENERGIA TIPO NAYY 3-1X70MM2. B.T.</v>
          </cell>
        </row>
        <row r="1035">
          <cell r="B1035">
            <v>5031546</v>
          </cell>
          <cell r="C1035" t="str">
            <v>BRD</v>
          </cell>
          <cell r="D1035" t="str">
            <v>CABLE DE ENERGIA TIPO NAYY 3-1X70MM2. B.T.</v>
          </cell>
        </row>
        <row r="1036">
          <cell r="B1036">
            <v>5031546</v>
          </cell>
          <cell r="C1036" t="str">
            <v>CEP</v>
          </cell>
          <cell r="D1036" t="str">
            <v>CABLE DE ENERGIA TIPO NAYY 3-1X70MM2. B.T.</v>
          </cell>
        </row>
        <row r="1037">
          <cell r="B1037">
            <v>5031546</v>
          </cell>
          <cell r="C1037" t="str">
            <v>CET</v>
          </cell>
          <cell r="D1037" t="str">
            <v>CABLE DE ENERGIA TIPO NAYY 3-1X70MM2. B.T.</v>
          </cell>
        </row>
        <row r="1038">
          <cell r="B1038">
            <v>5031546</v>
          </cell>
          <cell r="C1038" t="str">
            <v>CIM</v>
          </cell>
          <cell r="D1038" t="str">
            <v>CABLE DE ENERGIA TIPO NAYY 3-1X70MM2. B.T.</v>
          </cell>
        </row>
        <row r="1039">
          <cell r="B1039">
            <v>5031546</v>
          </cell>
          <cell r="C1039" t="str">
            <v>IND</v>
          </cell>
          <cell r="D1039" t="str">
            <v>CABLE DE ENERGIA TIPO NAYY 3-1X70MM2. B.T.</v>
          </cell>
        </row>
        <row r="1040">
          <cell r="B1040">
            <v>5031548</v>
          </cell>
          <cell r="C1040" t="str">
            <v>ALC</v>
          </cell>
          <cell r="D1040" t="str">
            <v>CABLE DE ENERGIA TIPO NAYY 3-1X95MM2. B.T.</v>
          </cell>
        </row>
        <row r="1041">
          <cell r="B1041">
            <v>5031548</v>
          </cell>
          <cell r="C1041" t="str">
            <v>BRD</v>
          </cell>
          <cell r="D1041" t="str">
            <v>CABLE DE ENERGIA TIPO NAYY 3-1X95MM2. B.T.</v>
          </cell>
        </row>
        <row r="1042">
          <cell r="B1042">
            <v>5031548</v>
          </cell>
          <cell r="C1042" t="str">
            <v>CEP</v>
          </cell>
          <cell r="D1042" t="str">
            <v>CABLE DE ENERGIA TIPO NAYY 3-1X95MM2. B.T.</v>
          </cell>
        </row>
        <row r="1043">
          <cell r="B1043">
            <v>5031548</v>
          </cell>
          <cell r="C1043" t="str">
            <v>CET</v>
          </cell>
          <cell r="D1043" t="str">
            <v>CABLE DE ENERGIA TIPO NAYY 3-1X95MM2. B.T.</v>
          </cell>
        </row>
        <row r="1044">
          <cell r="B1044">
            <v>5031548</v>
          </cell>
          <cell r="C1044" t="str">
            <v>CIM</v>
          </cell>
          <cell r="D1044" t="str">
            <v>CABLE DE ENERGIA TIPO NAYY 3-1X95MM2. B.T.</v>
          </cell>
        </row>
        <row r="1045">
          <cell r="B1045">
            <v>5031548</v>
          </cell>
          <cell r="C1045" t="str">
            <v>IND</v>
          </cell>
          <cell r="D1045" t="str">
            <v>CABLE DE ENERGIA TIPO NAYY 3-1X95MM2. B.T.</v>
          </cell>
        </row>
        <row r="1046">
          <cell r="B1046">
            <v>5031550</v>
          </cell>
          <cell r="C1046" t="str">
            <v>ALC</v>
          </cell>
          <cell r="D1046" t="str">
            <v>CABLE ENERGIA TIPO NAYY 0,6 / 1KV 3 - 1 X 120MM2</v>
          </cell>
        </row>
        <row r="1047">
          <cell r="B1047">
            <v>5031550</v>
          </cell>
          <cell r="C1047" t="str">
            <v>BRD</v>
          </cell>
          <cell r="D1047" t="str">
            <v>CABLE ENERGIA TIPO NAYY 0,6 / 1KV 3 - 1 X 120MM2</v>
          </cell>
        </row>
        <row r="1048">
          <cell r="B1048">
            <v>5031550</v>
          </cell>
          <cell r="C1048" t="str">
            <v>CEP</v>
          </cell>
          <cell r="D1048" t="str">
            <v>CABLE ENERGIA TIPO NAYY 0,6 / 1KV 3 - 1 X 120MM2</v>
          </cell>
        </row>
        <row r="1049">
          <cell r="B1049">
            <v>5031550</v>
          </cell>
          <cell r="C1049" t="str">
            <v>CET</v>
          </cell>
          <cell r="D1049" t="str">
            <v>CABLE ENERGIA TIPO NAYY 0,6 / 1KV 3 - 1 X 120MM2</v>
          </cell>
        </row>
        <row r="1050">
          <cell r="B1050">
            <v>5031550</v>
          </cell>
          <cell r="C1050" t="str">
            <v>CIM</v>
          </cell>
          <cell r="D1050" t="str">
            <v>CABLE ENERGIA TIPO NAYY 0,6 / 1KV 3 - 1 X 120MM2</v>
          </cell>
        </row>
        <row r="1051">
          <cell r="B1051">
            <v>5031550</v>
          </cell>
          <cell r="C1051" t="str">
            <v>IND</v>
          </cell>
          <cell r="D1051" t="str">
            <v>CABLE ENERGIA TIPO NAYY 0,6 / 1KV 3 - 1 X 120MM2</v>
          </cell>
        </row>
        <row r="1052">
          <cell r="B1052">
            <v>5031552</v>
          </cell>
          <cell r="C1052" t="str">
            <v>ALC</v>
          </cell>
          <cell r="D1052" t="str">
            <v>CABLE DE ENERGIA TIPO NAYY 3-1X185MM2. B.T.</v>
          </cell>
        </row>
        <row r="1053">
          <cell r="B1053">
            <v>5031552</v>
          </cell>
          <cell r="C1053" t="str">
            <v>BRD</v>
          </cell>
          <cell r="D1053" t="str">
            <v>CABLE DE ENERGIA TIPO NAYY 3-1X185MM2. B.T.</v>
          </cell>
        </row>
        <row r="1054">
          <cell r="B1054">
            <v>5031552</v>
          </cell>
          <cell r="C1054" t="str">
            <v>CEP</v>
          </cell>
          <cell r="D1054" t="str">
            <v>CABLE DE ENERGIA TIPO NAYY 3-1X185MM2. B.T.</v>
          </cell>
        </row>
        <row r="1055">
          <cell r="B1055">
            <v>5031552</v>
          </cell>
          <cell r="C1055" t="str">
            <v>CET</v>
          </cell>
          <cell r="D1055" t="str">
            <v>CABLE DE ENERGIA TIPO NAYY 3-1X185MM2. B.T.</v>
          </cell>
        </row>
        <row r="1056">
          <cell r="B1056">
            <v>5031552</v>
          </cell>
          <cell r="C1056" t="str">
            <v>CIM</v>
          </cell>
          <cell r="D1056" t="str">
            <v>CABLE DE ENERGIA TIPO NAYY 3-1X185MM2. B.T.</v>
          </cell>
        </row>
        <row r="1057">
          <cell r="B1057">
            <v>5031552</v>
          </cell>
          <cell r="C1057" t="str">
            <v>IND</v>
          </cell>
          <cell r="D1057" t="str">
            <v>CABLE DE ENERGIA TIPO NAYY 3-1X185MM2. B.T.</v>
          </cell>
        </row>
        <row r="1058">
          <cell r="B1058">
            <v>5031554</v>
          </cell>
          <cell r="C1058" t="str">
            <v>ALC</v>
          </cell>
          <cell r="D1058" t="str">
            <v>CABLE DE ENERGIA TIPO NAYY 3-1X300MM2. B.T.</v>
          </cell>
        </row>
        <row r="1059">
          <cell r="B1059">
            <v>5031554</v>
          </cell>
          <cell r="C1059" t="str">
            <v>BRD</v>
          </cell>
          <cell r="D1059" t="str">
            <v>CABLE DE ENERGIA TIPO NAYY 3-1X300MM2. B.T.</v>
          </cell>
        </row>
        <row r="1060">
          <cell r="B1060">
            <v>5031554</v>
          </cell>
          <cell r="C1060" t="str">
            <v>CEP</v>
          </cell>
          <cell r="D1060" t="str">
            <v>CABLE DE ENERGIA TIPO NAYY 3-1X300MM2. B.T.</v>
          </cell>
        </row>
        <row r="1061">
          <cell r="B1061">
            <v>5031554</v>
          </cell>
          <cell r="C1061" t="str">
            <v>CET</v>
          </cell>
          <cell r="D1061" t="str">
            <v>CABLE DE ENERGIA TIPO NAYY 3-1X300MM2. B.T.</v>
          </cell>
        </row>
        <row r="1062">
          <cell r="B1062">
            <v>5031554</v>
          </cell>
          <cell r="C1062" t="str">
            <v>CIM</v>
          </cell>
          <cell r="D1062" t="str">
            <v>CABLE DE ENERGIA TIPO NAYY 3-1X300MM2. B.T.</v>
          </cell>
        </row>
        <row r="1063">
          <cell r="B1063">
            <v>5031554</v>
          </cell>
          <cell r="C1063" t="str">
            <v>IND</v>
          </cell>
          <cell r="D1063" t="str">
            <v>CABLE DE ENERGIA TIPO NAYY 3-1X300MM2. B.T.</v>
          </cell>
        </row>
        <row r="1064">
          <cell r="B1064">
            <v>5031556</v>
          </cell>
          <cell r="C1064" t="str">
            <v>ALC</v>
          </cell>
          <cell r="D1064" t="str">
            <v>CABLE DE ENERGIA TIPO NAYY 3-1X500MM2. B.T.</v>
          </cell>
        </row>
        <row r="1065">
          <cell r="B1065">
            <v>5031556</v>
          </cell>
          <cell r="C1065" t="str">
            <v>BRD</v>
          </cell>
          <cell r="D1065" t="str">
            <v>CABLE DE ENERGIA TIPO NAYY 3-1X500MM2. B.T.</v>
          </cell>
        </row>
        <row r="1066">
          <cell r="B1066">
            <v>5031556</v>
          </cell>
          <cell r="C1066" t="str">
            <v>CEP</v>
          </cell>
          <cell r="D1066" t="str">
            <v>CABLE DE ENERGIA TIPO NAYY 3-1X500MM2. B.T.</v>
          </cell>
        </row>
        <row r="1067">
          <cell r="B1067">
            <v>5031556</v>
          </cell>
          <cell r="C1067" t="str">
            <v>CET</v>
          </cell>
          <cell r="D1067" t="str">
            <v>CABLE DE ENERGIA TIPO NAYY 3-1X500MM2. B.T.</v>
          </cell>
        </row>
        <row r="1068">
          <cell r="B1068">
            <v>5031556</v>
          </cell>
          <cell r="C1068" t="str">
            <v>CIM</v>
          </cell>
          <cell r="D1068" t="str">
            <v>CABLE DE ENERGIA TIPO NAYY 3-1X500MM2. B.T.</v>
          </cell>
        </row>
        <row r="1069">
          <cell r="B1069">
            <v>5031556</v>
          </cell>
          <cell r="C1069" t="str">
            <v>IND</v>
          </cell>
          <cell r="D1069" t="str">
            <v>CABLE DE ENERGIA TIPO NAYY 3-1X500MM2. B.T.</v>
          </cell>
        </row>
        <row r="1070">
          <cell r="B1070">
            <v>5032119</v>
          </cell>
          <cell r="C1070" t="str">
            <v>CEP</v>
          </cell>
          <cell r="D1070" t="str">
            <v>CABLE DE ENERGIA UNIPOLAR TP. N2XSY 25MM2 P.REDES SUBTERRANEAS EN 10KV</v>
          </cell>
        </row>
        <row r="1071">
          <cell r="B1071">
            <v>5032119</v>
          </cell>
          <cell r="C1071" t="str">
            <v>CET</v>
          </cell>
          <cell r="D1071" t="str">
            <v>CABLE DE ENERGIA UNIPOLAR TP. N2XSY 25MM2 P.REDES SUBTERRANEAS EN 10KV</v>
          </cell>
        </row>
        <row r="1072">
          <cell r="B1072">
            <v>5032119</v>
          </cell>
          <cell r="C1072" t="str">
            <v>COC</v>
          </cell>
          <cell r="D1072" t="str">
            <v>CABLE DE ENERGIA UNIPOLAR TP. N2XSY 25MM2 P.REDES SUBTERRANEAS EN 10KV</v>
          </cell>
        </row>
        <row r="1073">
          <cell r="B1073">
            <v>5032119</v>
          </cell>
          <cell r="C1073" t="str">
            <v>GEC</v>
          </cell>
          <cell r="D1073" t="str">
            <v>CABLE DE ENERGIA UNIPOLAR TP. N2XSY 25MM2 P.REDES SUBTERRANEAS EN 10KV</v>
          </cell>
        </row>
        <row r="1074">
          <cell r="B1074">
            <v>5032119</v>
          </cell>
          <cell r="C1074" t="str">
            <v>IND</v>
          </cell>
          <cell r="D1074" t="str">
            <v>CABLE DE ENERGIA UNIPOLAR TP. N2XSY 25MM2 P.REDES SUBTERRANEAS EN 10KV</v>
          </cell>
        </row>
        <row r="1075">
          <cell r="B1075">
            <v>5032119</v>
          </cell>
          <cell r="C1075" t="str">
            <v>NEX</v>
          </cell>
          <cell r="D1075" t="str">
            <v>CABLE DE ENERGIA UNIPOLAR TP. N2XSY 25MM2 P.REDES SUBTERRANEAS EN 10KV</v>
          </cell>
        </row>
        <row r="1076">
          <cell r="B1076">
            <v>5032119</v>
          </cell>
          <cell r="C1076" t="str">
            <v>PIR</v>
          </cell>
          <cell r="D1076" t="str">
            <v>CABLE DE ENERGIA UNIPOLAR TP. N2XSY 25MM2 P.REDES SUBTERRANEAS EN 10KV</v>
          </cell>
        </row>
        <row r="1077">
          <cell r="B1077">
            <v>5032119</v>
          </cell>
          <cell r="C1077" t="str">
            <v>PIR</v>
          </cell>
          <cell r="D1077" t="str">
            <v>CABLE DE ENERGIA UNIPOLAR TP. N2XSY 25MM2 P.REDES SUBTERRANEAS EN 10KV</v>
          </cell>
        </row>
        <row r="1078">
          <cell r="B1078">
            <v>5032122</v>
          </cell>
          <cell r="C1078" t="str">
            <v>CEP</v>
          </cell>
          <cell r="D1078" t="str">
            <v>CABLE DE ENERGIA UNIPOLAR TP. N2XSY 35MM2 P.REDES SUBTERRANEAS EN 10KV</v>
          </cell>
        </row>
        <row r="1079">
          <cell r="B1079">
            <v>5032122</v>
          </cell>
          <cell r="C1079" t="str">
            <v>CET</v>
          </cell>
          <cell r="D1079" t="str">
            <v>CABLE DE ENERGIA UNIPOLAR TP. N2XSY 35MM2 P.REDES SUBTERRANEAS EN 10KV</v>
          </cell>
        </row>
        <row r="1080">
          <cell r="B1080">
            <v>5032122</v>
          </cell>
          <cell r="C1080" t="str">
            <v>IND</v>
          </cell>
          <cell r="D1080" t="str">
            <v>CABLE DE ENERGIA UNIPOLAR TP. N2XSY 35MM2 P.REDES SUBTERRANEAS EN 10KV</v>
          </cell>
        </row>
        <row r="1081">
          <cell r="B1081">
            <v>5032129</v>
          </cell>
          <cell r="C1081" t="str">
            <v>CEP</v>
          </cell>
          <cell r="D1081" t="str">
            <v>CABLE DE ENERGIA UNIPOLAR TP. N2XSY 70MM2 P.REDES SUBTERRANEAS EN 10KV</v>
          </cell>
        </row>
        <row r="1082">
          <cell r="B1082">
            <v>5032129</v>
          </cell>
          <cell r="C1082" t="str">
            <v>CET</v>
          </cell>
          <cell r="D1082" t="str">
            <v>CABLE DE ENERGIA UNIPOLAR TP. N2XSY 70MM2 P.REDES SUBTERRANEAS EN 10KV</v>
          </cell>
        </row>
        <row r="1083">
          <cell r="B1083">
            <v>5032129</v>
          </cell>
          <cell r="C1083" t="str">
            <v>COC</v>
          </cell>
          <cell r="D1083" t="str">
            <v>CABLE DE ENERGIA UNIPOLAR TP. N2XSY 70MM2 P.REDES SUBTERRANEAS EN 10KV</v>
          </cell>
        </row>
        <row r="1084">
          <cell r="B1084">
            <v>5032129</v>
          </cell>
          <cell r="C1084" t="str">
            <v>GEC</v>
          </cell>
          <cell r="D1084" t="str">
            <v>CABLE DE ENERGIA UNIPOLAR TP. N2XSY 70MM2 P.REDES SUBTERRANEAS EN 10KV</v>
          </cell>
        </row>
        <row r="1085">
          <cell r="B1085">
            <v>5032129</v>
          </cell>
          <cell r="C1085" t="str">
            <v>IND</v>
          </cell>
          <cell r="D1085" t="str">
            <v>CABLE DE ENERGIA UNIPOLAR TP. N2XSY 70MM2 P.REDES SUBTERRANEAS EN 10KV</v>
          </cell>
        </row>
        <row r="1086">
          <cell r="B1086">
            <v>5032129</v>
          </cell>
          <cell r="C1086" t="str">
            <v>NEX</v>
          </cell>
          <cell r="D1086" t="str">
            <v>CABLE DE ENERGIA UNIPOLAR TP. N2XSY 70MM2 P.REDES SUBTERRANEAS EN 10KV</v>
          </cell>
        </row>
        <row r="1087">
          <cell r="B1087">
            <v>5032129</v>
          </cell>
          <cell r="C1087" t="str">
            <v>PIR</v>
          </cell>
          <cell r="D1087" t="str">
            <v>CABLE DE ENERGIA UNIPOLAR TP. N2XSY 70MM2 P.REDES SUBTERRANEAS EN 10KV</v>
          </cell>
        </row>
        <row r="1088">
          <cell r="B1088">
            <v>5032129</v>
          </cell>
          <cell r="C1088" t="str">
            <v>PIR</v>
          </cell>
          <cell r="D1088" t="str">
            <v>CABLE DE ENERGIA UNIPOLAR TP. N2XSY 70MM2 P.REDES SUBTERRANEAS EN 10KV</v>
          </cell>
        </row>
        <row r="1089">
          <cell r="B1089">
            <v>5032132</v>
          </cell>
          <cell r="C1089" t="str">
            <v>CEP</v>
          </cell>
          <cell r="D1089" t="str">
            <v>CABLE DE ENERGIA UNIPOLAR TP. N2XSY 120MM2 P.REDES SUBTERRANEAS EN 10KV</v>
          </cell>
        </row>
        <row r="1090">
          <cell r="B1090">
            <v>5032132</v>
          </cell>
          <cell r="C1090" t="str">
            <v>CET</v>
          </cell>
          <cell r="D1090" t="str">
            <v>CABLE DE ENERGIA UNIPOLAR TP. N2XSY 120MM2 P.REDES SUBTERRANEAS EN 10KV</v>
          </cell>
        </row>
        <row r="1091">
          <cell r="B1091">
            <v>5032132</v>
          </cell>
          <cell r="C1091" t="str">
            <v>COC</v>
          </cell>
          <cell r="D1091" t="str">
            <v>CABLE DE ENERGIA UNIPOLAR TP. N2XSY 120MM2 P.REDES SUBTERRANEAS EN 10KV</v>
          </cell>
        </row>
        <row r="1092">
          <cell r="B1092">
            <v>5032132</v>
          </cell>
          <cell r="C1092" t="str">
            <v>GEC</v>
          </cell>
          <cell r="D1092" t="str">
            <v>CABLE DE ENERGIA UNIPOLAR TP. N2XSY 120MM2 P.REDES SUBTERRANEAS EN 10KV</v>
          </cell>
        </row>
        <row r="1093">
          <cell r="B1093">
            <v>5032132</v>
          </cell>
          <cell r="C1093" t="str">
            <v>IND</v>
          </cell>
          <cell r="D1093" t="str">
            <v>CABLE DE ENERGIA UNIPOLAR TP. N2XSY 120MM2 P.REDES SUBTERRANEAS EN 10KV</v>
          </cell>
        </row>
        <row r="1094">
          <cell r="B1094">
            <v>5032132</v>
          </cell>
          <cell r="C1094" t="str">
            <v>NEX</v>
          </cell>
          <cell r="D1094" t="str">
            <v>CABLE DE ENERGIA UNIPOLAR TP. N2XSY 120MM2 P.REDES SUBTERRANEAS EN 10KV</v>
          </cell>
        </row>
        <row r="1095">
          <cell r="B1095">
            <v>5032132</v>
          </cell>
          <cell r="C1095" t="str">
            <v>PIR</v>
          </cell>
          <cell r="D1095" t="str">
            <v>CABLE DE ENERGIA UNIPOLAR TP. N2XSY 120MM2 P.REDES SUBTERRANEAS EN 10KV</v>
          </cell>
        </row>
        <row r="1096">
          <cell r="B1096">
            <v>5032132</v>
          </cell>
          <cell r="C1096" t="str">
            <v>PIR</v>
          </cell>
          <cell r="D1096" t="str">
            <v>CABLE DE ENERGIA UNIPOLAR TP. N2XSY 120MM2 P.REDES SUBTERRANEAS EN 10KV</v>
          </cell>
        </row>
        <row r="1097">
          <cell r="B1097">
            <v>5032138</v>
          </cell>
          <cell r="C1097" t="str">
            <v>CEP</v>
          </cell>
          <cell r="D1097" t="str">
            <v>CABLE DE ENERGIA UNIPOLAR TP. N2XSY 240MM2 P.REDES SUBTERRANEAS EN 10KV</v>
          </cell>
        </row>
        <row r="1098">
          <cell r="B1098">
            <v>5032138</v>
          </cell>
          <cell r="C1098" t="str">
            <v>CET</v>
          </cell>
          <cell r="D1098" t="str">
            <v>CABLE DE ENERGIA UNIPOLAR TP. N2XSY 240MM2 P.REDES SUBTERRANEAS EN 10KV</v>
          </cell>
        </row>
        <row r="1099">
          <cell r="B1099">
            <v>5032138</v>
          </cell>
          <cell r="C1099" t="str">
            <v>COC</v>
          </cell>
          <cell r="D1099" t="str">
            <v>CABLE DE ENERGIA UNIPOLAR TP. N2XSY 240MM2 P.REDES SUBTERRANEAS EN 10KV</v>
          </cell>
        </row>
        <row r="1100">
          <cell r="B1100">
            <v>5032138</v>
          </cell>
          <cell r="C1100" t="str">
            <v>GEC</v>
          </cell>
          <cell r="D1100" t="str">
            <v>CABLE DE ENERGIA UNIPOLAR TP. N2XSY 240MM2 P.REDES SUBTERRANEAS EN 10KV</v>
          </cell>
        </row>
        <row r="1101">
          <cell r="B1101">
            <v>5032138</v>
          </cell>
          <cell r="C1101" t="str">
            <v>IND</v>
          </cell>
          <cell r="D1101" t="str">
            <v>CABLE DE ENERGIA UNIPOLAR TP. N2XSY 240MM2 P.REDES SUBTERRANEAS EN 10KV</v>
          </cell>
        </row>
        <row r="1102">
          <cell r="B1102">
            <v>5032138</v>
          </cell>
          <cell r="C1102" t="str">
            <v>NEX</v>
          </cell>
          <cell r="D1102" t="str">
            <v>CABLE DE ENERGIA UNIPOLAR TP. N2XSY 240MM2 P.REDES SUBTERRANEAS EN 10KV</v>
          </cell>
        </row>
        <row r="1103">
          <cell r="B1103">
            <v>5032138</v>
          </cell>
          <cell r="C1103" t="str">
            <v>PIR</v>
          </cell>
          <cell r="D1103" t="str">
            <v>CABLE DE ENERGIA UNIPOLAR TP. N2XSY 240MM2 P.REDES SUBTERRANEAS EN 10KV</v>
          </cell>
        </row>
        <row r="1104">
          <cell r="B1104">
            <v>5032138</v>
          </cell>
          <cell r="C1104" t="str">
            <v>PIR</v>
          </cell>
          <cell r="D1104" t="str">
            <v>CABLE DE ENERGIA UNIPOLAR TP. N2XSY 240MM2 P.REDES SUBTERRANEAS EN 10KV</v>
          </cell>
        </row>
        <row r="1105">
          <cell r="B1105">
            <v>5032325</v>
          </cell>
          <cell r="C1105" t="str">
            <v>CEP</v>
          </cell>
          <cell r="D1105" t="str">
            <v>CABLE DE ENERGIA UNIPOLAR TP. N2XSY 50MM2 C.ADITIVO P.REDES SUBTERRANEAS EN 22,9KV</v>
          </cell>
        </row>
        <row r="1106">
          <cell r="B1106">
            <v>5032325</v>
          </cell>
          <cell r="C1106" t="str">
            <v>COC</v>
          </cell>
          <cell r="D1106" t="str">
            <v>CABLE DE ENERGIA UNIPOLAR TP. N2XSY 50MM2 C.ADITIVO P.REDES SUBTERRANEAS EN 22,9KV</v>
          </cell>
        </row>
        <row r="1107">
          <cell r="B1107">
            <v>5032325</v>
          </cell>
          <cell r="C1107" t="str">
            <v>GEC</v>
          </cell>
          <cell r="D1107" t="str">
            <v>CABLE DE ENERGIA UNIPOLAR TP. N2XSY 50MM2 C.ADITIVO P.REDES SUBTERRANEAS EN 22,9KV</v>
          </cell>
        </row>
        <row r="1108">
          <cell r="B1108">
            <v>5032325</v>
          </cell>
          <cell r="C1108" t="str">
            <v>IND</v>
          </cell>
          <cell r="D1108" t="str">
            <v>CABLE DE ENERGIA UNIPOLAR TP. N2XSY 50MM2 C.ADITIVO P.REDES SUBTERRANEAS EN 22,9KV</v>
          </cell>
        </row>
        <row r="1109">
          <cell r="B1109">
            <v>5032325</v>
          </cell>
          <cell r="C1109" t="str">
            <v>NEX</v>
          </cell>
          <cell r="D1109" t="str">
            <v>CABLE DE ENERGIA UNIPOLAR TP. N2XSY 50MM2 C.ADITIVO P.REDES SUBTERRANEAS EN 22,9KV</v>
          </cell>
        </row>
        <row r="1110">
          <cell r="B1110">
            <v>5032327</v>
          </cell>
          <cell r="C1110" t="str">
            <v>CEP</v>
          </cell>
          <cell r="D1110" t="str">
            <v>CABLE DE ENERGIA UNIPOLAR TP. N2XSY 50MM2 P.REDES SUBTERRANEAS EN 22,9KV</v>
          </cell>
        </row>
        <row r="1111">
          <cell r="B1111">
            <v>5032327</v>
          </cell>
          <cell r="C1111" t="str">
            <v>CET</v>
          </cell>
          <cell r="D1111" t="str">
            <v>CABLE DE ENERGIA UNIPOLAR TP. N2XSY 50MM2 P.REDES SUBTERRANEAS EN 22,9KV</v>
          </cell>
        </row>
        <row r="1112">
          <cell r="B1112">
            <v>5032327</v>
          </cell>
          <cell r="C1112" t="str">
            <v>COC</v>
          </cell>
          <cell r="D1112" t="str">
            <v>CABLE DE ENERGIA UNIPOLAR TP. N2XSY 50MM2 P.REDES SUBTERRANEAS EN 22,9KV</v>
          </cell>
        </row>
        <row r="1113">
          <cell r="B1113">
            <v>5032327</v>
          </cell>
          <cell r="C1113" t="str">
            <v>GEC</v>
          </cell>
          <cell r="D1113" t="str">
            <v>CABLE DE ENERGIA UNIPOLAR TP. N2XSY 50MM2 P.REDES SUBTERRANEAS EN 22,9KV</v>
          </cell>
        </row>
        <row r="1114">
          <cell r="B1114">
            <v>5032327</v>
          </cell>
          <cell r="C1114" t="str">
            <v>IND</v>
          </cell>
          <cell r="D1114" t="str">
            <v>CABLE DE ENERGIA UNIPOLAR TP. N2XSY 50MM2 P.REDES SUBTERRANEAS EN 22,9KV</v>
          </cell>
        </row>
        <row r="1115">
          <cell r="B1115">
            <v>5032327</v>
          </cell>
          <cell r="C1115" t="str">
            <v>NEX</v>
          </cell>
          <cell r="D1115" t="str">
            <v>CABLE DE ENERGIA UNIPOLAR TP. N2XSY 50MM2 P.REDES SUBTERRANEAS EN 22,9KV</v>
          </cell>
        </row>
        <row r="1116">
          <cell r="B1116">
            <v>5032329</v>
          </cell>
          <cell r="C1116" t="str">
            <v>CEP</v>
          </cell>
          <cell r="D1116" t="str">
            <v>CABLE DE ENERGIA UNIPOLAR TP. N2XSY 70MM2 P.REDES SUBTERRANEAS EN 22,9KV</v>
          </cell>
        </row>
        <row r="1117">
          <cell r="B1117">
            <v>5032329</v>
          </cell>
          <cell r="C1117" t="str">
            <v>CET</v>
          </cell>
          <cell r="D1117" t="str">
            <v>CABLE DE ENERGIA UNIPOLAR TP. N2XSY 70MM2 P.REDES SUBTERRANEAS EN 22,9KV</v>
          </cell>
        </row>
        <row r="1118">
          <cell r="B1118">
            <v>5032329</v>
          </cell>
          <cell r="C1118" t="str">
            <v>COC</v>
          </cell>
          <cell r="D1118" t="str">
            <v>CABLE DE ENERGIA UNIPOLAR TP. N2XSY 70MM2 P.REDES SUBTERRANEAS EN 22,9KV</v>
          </cell>
        </row>
        <row r="1119">
          <cell r="B1119">
            <v>5032329</v>
          </cell>
          <cell r="C1119" t="str">
            <v>GEC</v>
          </cell>
          <cell r="D1119" t="str">
            <v>CABLE DE ENERGIA UNIPOLAR TP. N2XSY 70MM2 P.REDES SUBTERRANEAS EN 22,9KV</v>
          </cell>
        </row>
        <row r="1120">
          <cell r="B1120">
            <v>5032329</v>
          </cell>
          <cell r="C1120" t="str">
            <v>IND</v>
          </cell>
          <cell r="D1120" t="str">
            <v>CABLE DE ENERGIA UNIPOLAR TP. N2XSY 70MM2 P.REDES SUBTERRANEAS EN 22,9KV</v>
          </cell>
        </row>
        <row r="1121">
          <cell r="B1121">
            <v>5032329</v>
          </cell>
          <cell r="C1121" t="str">
            <v>NEX</v>
          </cell>
          <cell r="D1121" t="str">
            <v>CABLE DE ENERGIA UNIPOLAR TP. N2XSY 70MM2 P.REDES SUBTERRANEAS EN 22,9KV</v>
          </cell>
        </row>
        <row r="1122">
          <cell r="B1122">
            <v>5032331</v>
          </cell>
          <cell r="C1122" t="str">
            <v>CEP</v>
          </cell>
          <cell r="D1122" t="str">
            <v>CABLE DE ENERGIA UNIPOLAR TP. N2XSY 70MM2 C.ADITIVO P.REDES SUBTERRANEAS EN 22,9KV</v>
          </cell>
        </row>
        <row r="1123">
          <cell r="B1123">
            <v>5032331</v>
          </cell>
          <cell r="C1123" t="str">
            <v>COC</v>
          </cell>
          <cell r="D1123" t="str">
            <v>CABLE DE ENERGIA UNIPOLAR TP. N2XSY 70MM2 C.ADITIVO P.REDES SUBTERRANEAS EN 22,9KV</v>
          </cell>
        </row>
        <row r="1124">
          <cell r="B1124">
            <v>5032331</v>
          </cell>
          <cell r="C1124" t="str">
            <v>GEC</v>
          </cell>
          <cell r="D1124" t="str">
            <v>CABLE DE ENERGIA UNIPOLAR TP. N2XSY 70MM2 C.ADITIVO P.REDES SUBTERRANEAS EN 22,9KV</v>
          </cell>
        </row>
        <row r="1125">
          <cell r="B1125">
            <v>5032331</v>
          </cell>
          <cell r="C1125" t="str">
            <v>IND</v>
          </cell>
          <cell r="D1125" t="str">
            <v>CABLE DE ENERGIA UNIPOLAR TP. N2XSY 70MM2 C.ADITIVO P.REDES SUBTERRANEAS EN 22,9KV</v>
          </cell>
        </row>
        <row r="1126">
          <cell r="B1126">
            <v>5032331</v>
          </cell>
          <cell r="C1126" t="str">
            <v>NEX</v>
          </cell>
          <cell r="D1126" t="str">
            <v>CABLE DE ENERGIA UNIPOLAR TP. N2XSY 70MM2 C.ADITIVO P.REDES SUBTERRANEAS EN 22,9KV</v>
          </cell>
        </row>
        <row r="1127">
          <cell r="B1127">
            <v>5032333</v>
          </cell>
          <cell r="C1127" t="str">
            <v>CEP</v>
          </cell>
          <cell r="D1127" t="str">
            <v>CABLE DE ENERGIA UNIPOLAR TP. N2XSY 120MM2 C.ADITIVO P.REDES SUBTERRANEAS EN 22,9KV</v>
          </cell>
        </row>
        <row r="1128">
          <cell r="B1128">
            <v>5032333</v>
          </cell>
          <cell r="C1128" t="str">
            <v>COC</v>
          </cell>
          <cell r="D1128" t="str">
            <v>CABLE DE ENERGIA UNIPOLAR TP. N2XSY 120MM2 C.ADITIVO P.REDES SUBTERRANEAS EN 22,9KV</v>
          </cell>
        </row>
        <row r="1129">
          <cell r="B1129">
            <v>5032333</v>
          </cell>
          <cell r="C1129" t="str">
            <v>GEC</v>
          </cell>
          <cell r="D1129" t="str">
            <v>CABLE DE ENERGIA UNIPOLAR TP. N2XSY 120MM2 C.ADITIVO P.REDES SUBTERRANEAS EN 22,9KV</v>
          </cell>
        </row>
        <row r="1130">
          <cell r="B1130">
            <v>5032333</v>
          </cell>
          <cell r="C1130" t="str">
            <v>IND</v>
          </cell>
          <cell r="D1130" t="str">
            <v>CABLE DE ENERGIA UNIPOLAR TP. N2XSY 120MM2 C.ADITIVO P.REDES SUBTERRANEAS EN 22,9KV</v>
          </cell>
        </row>
        <row r="1131">
          <cell r="B1131">
            <v>5032333</v>
          </cell>
          <cell r="C1131" t="str">
            <v>NEX</v>
          </cell>
          <cell r="D1131" t="str">
            <v>CABLE DE ENERGIA UNIPOLAR TP. N2XSY 120MM2 C.ADITIVO P.REDES SUBTERRANEAS EN 22,9KV</v>
          </cell>
        </row>
        <row r="1132">
          <cell r="B1132">
            <v>5032335</v>
          </cell>
          <cell r="C1132" t="str">
            <v>CEP</v>
          </cell>
          <cell r="D1132" t="str">
            <v>CABLE DE ENERGIA UNIPOLAR TP. N2XSY 120MM2 P.REDES SUBTERRANEAS EN 22,9KV</v>
          </cell>
        </row>
        <row r="1133">
          <cell r="B1133">
            <v>5032335</v>
          </cell>
          <cell r="C1133" t="str">
            <v>CET</v>
          </cell>
          <cell r="D1133" t="str">
            <v>CABLE DE ENERGIA UNIPOLAR TP. N2XSY 120MM2 P.REDES SUBTERRANEAS EN 22,9KV</v>
          </cell>
        </row>
        <row r="1134">
          <cell r="B1134">
            <v>5032335</v>
          </cell>
          <cell r="C1134" t="str">
            <v>COC</v>
          </cell>
          <cell r="D1134" t="str">
            <v>CABLE DE ENERGIA UNIPOLAR TP. N2XSY 120MM2 P.REDES SUBTERRANEAS EN 22,9KV</v>
          </cell>
        </row>
        <row r="1135">
          <cell r="B1135">
            <v>5032335</v>
          </cell>
          <cell r="C1135" t="str">
            <v>GEC</v>
          </cell>
          <cell r="D1135" t="str">
            <v>CABLE DE ENERGIA UNIPOLAR TP. N2XSY 120MM2 P.REDES SUBTERRANEAS EN 22,9KV</v>
          </cell>
        </row>
        <row r="1136">
          <cell r="B1136">
            <v>5032335</v>
          </cell>
          <cell r="C1136" t="str">
            <v>IND</v>
          </cell>
          <cell r="D1136" t="str">
            <v>CABLE DE ENERGIA UNIPOLAR TP. N2XSY 120MM2 P.REDES SUBTERRANEAS EN 22,9KV</v>
          </cell>
        </row>
        <row r="1137">
          <cell r="B1137">
            <v>5032335</v>
          </cell>
          <cell r="C1137" t="str">
            <v>NEX</v>
          </cell>
          <cell r="D1137" t="str">
            <v>CABLE DE ENERGIA UNIPOLAR TP. N2XSY 120MM2 P.REDES SUBTERRANEAS EN 22,9KV</v>
          </cell>
        </row>
        <row r="1138">
          <cell r="B1138">
            <v>5032337</v>
          </cell>
          <cell r="C1138" t="str">
            <v>CEP</v>
          </cell>
          <cell r="D1138" t="str">
            <v>CABLE DE ENERGIA UNIPOLAR TP. N2XSY 240MM2 C.ADITIVO P.REDES SUBTERRANEAS EN 22,9KV</v>
          </cell>
        </row>
        <row r="1139">
          <cell r="B1139">
            <v>5032337</v>
          </cell>
          <cell r="C1139" t="str">
            <v>COC</v>
          </cell>
          <cell r="D1139" t="str">
            <v>CABLE DE ENERGIA UNIPOLAR TP. N2XSY 240MM2 C.ADITIVO P.REDES SUBTERRANEAS EN 22,9KV</v>
          </cell>
        </row>
        <row r="1140">
          <cell r="B1140">
            <v>5032337</v>
          </cell>
          <cell r="C1140" t="str">
            <v>GEC</v>
          </cell>
          <cell r="D1140" t="str">
            <v>CABLE DE ENERGIA UNIPOLAR TP. N2XSY 240MM2 C.ADITIVO P.REDES SUBTERRANEAS EN 22,9KV</v>
          </cell>
        </row>
        <row r="1141">
          <cell r="B1141">
            <v>5032337</v>
          </cell>
          <cell r="C1141" t="str">
            <v>IND</v>
          </cell>
          <cell r="D1141" t="str">
            <v>CABLE DE ENERGIA UNIPOLAR TP. N2XSY 240MM2 C.ADITIVO P.REDES SUBTERRANEAS EN 22,9KV</v>
          </cell>
        </row>
        <row r="1142">
          <cell r="B1142">
            <v>5032337</v>
          </cell>
          <cell r="C1142" t="str">
            <v>NEX</v>
          </cell>
          <cell r="D1142" t="str">
            <v>CABLE DE ENERGIA UNIPOLAR TP. N2XSY 240MM2 C.ADITIVO P.REDES SUBTERRANEAS EN 22,9KV</v>
          </cell>
        </row>
        <row r="1143">
          <cell r="B1143">
            <v>5032339</v>
          </cell>
          <cell r="C1143" t="str">
            <v>CEP</v>
          </cell>
          <cell r="D1143" t="str">
            <v>CABLE DE ENERGIA UNIPOLAR TP. N2XSY 240MM2 P.REDES SUBTERRANEAS EN 22,9KV</v>
          </cell>
        </row>
        <row r="1144">
          <cell r="B1144">
            <v>5032339</v>
          </cell>
          <cell r="C1144" t="str">
            <v>CET</v>
          </cell>
          <cell r="D1144" t="str">
            <v>CABLE DE ENERGIA UNIPOLAR TP. N2XSY 240MM2 P.REDES SUBTERRANEAS EN 22,9KV</v>
          </cell>
        </row>
        <row r="1145">
          <cell r="B1145">
            <v>5032339</v>
          </cell>
          <cell r="C1145" t="str">
            <v>COC</v>
          </cell>
          <cell r="D1145" t="str">
            <v>CABLE DE ENERGIA UNIPOLAR TP. N2XSY 240MM2 P.REDES SUBTERRANEAS EN 22,9KV</v>
          </cell>
        </row>
        <row r="1146">
          <cell r="B1146">
            <v>5032339</v>
          </cell>
          <cell r="C1146" t="str">
            <v>GEC</v>
          </cell>
          <cell r="D1146" t="str">
            <v>CABLE DE ENERGIA UNIPOLAR TP. N2XSY 240MM2 P.REDES SUBTERRANEAS EN 22,9KV</v>
          </cell>
        </row>
        <row r="1147">
          <cell r="B1147">
            <v>5032339</v>
          </cell>
          <cell r="C1147" t="str">
            <v>IND</v>
          </cell>
          <cell r="D1147" t="str">
            <v>CABLE DE ENERGIA UNIPOLAR TP. N2XSY 240MM2 P.REDES SUBTERRANEAS EN 22,9KV</v>
          </cell>
        </row>
        <row r="1148">
          <cell r="B1148">
            <v>5032339</v>
          </cell>
          <cell r="C1148" t="str">
            <v>NEX</v>
          </cell>
          <cell r="D1148" t="str">
            <v>CABLE DE ENERGIA UNIPOLAR TP. N2XSY 240MM2 P.REDES SUBTERRANEAS EN 22,9KV</v>
          </cell>
        </row>
        <row r="1149">
          <cell r="B1149">
            <v>5032510</v>
          </cell>
          <cell r="C1149" t="str">
            <v>CEP</v>
          </cell>
          <cell r="D1149" t="str">
            <v>CABLE DE ENERGIA UNIPOLAR TIPO NA2XY 1 X 240MM2 0,6 / 1KV</v>
          </cell>
        </row>
        <row r="1150">
          <cell r="B1150">
            <v>5032510</v>
          </cell>
          <cell r="C1150" t="str">
            <v>CET</v>
          </cell>
          <cell r="D1150" t="str">
            <v>CABLE DE ENERGIA UNIPOLAR TIPO NA2XY 1 X 240MM2 0,6 / 1KV</v>
          </cell>
        </row>
        <row r="1151">
          <cell r="B1151">
            <v>5032510</v>
          </cell>
          <cell r="C1151" t="str">
            <v>IND</v>
          </cell>
          <cell r="D1151" t="str">
            <v>CABLE DE ENERGIA UNIPOLAR TIPO NA2XY 1 X 240MM2 0,6 / 1KV</v>
          </cell>
        </row>
        <row r="1152">
          <cell r="B1152">
            <v>5032513</v>
          </cell>
          <cell r="C1152" t="str">
            <v>CEP</v>
          </cell>
          <cell r="D1152" t="str">
            <v>CABLE DE ENERGIA UNIPOLAR TIPO NA2XY 1 X 400MM2 0,6 / 1KV</v>
          </cell>
        </row>
        <row r="1153">
          <cell r="B1153">
            <v>5032513</v>
          </cell>
          <cell r="C1153" t="str">
            <v>CET</v>
          </cell>
          <cell r="D1153" t="str">
            <v>CABLE DE ENERGIA UNIPOLAR TIPO NA2XY 1 X 400MM2 0,6 / 1KV</v>
          </cell>
        </row>
        <row r="1154">
          <cell r="B1154">
            <v>5032513</v>
          </cell>
          <cell r="C1154" t="str">
            <v>IND</v>
          </cell>
          <cell r="D1154" t="str">
            <v>CABLE DE ENERGIA UNIPOLAR TIPO NA2XY 1 X 400MM2 0,6 / 1KV</v>
          </cell>
        </row>
        <row r="1155">
          <cell r="B1155">
            <v>5032537</v>
          </cell>
          <cell r="C1155" t="str">
            <v>ALC</v>
          </cell>
          <cell r="D1155" t="str">
            <v>CABLE DE ENERGIA TIPO NA2XSY 1 X 50MM2 PARA REDES SUBTERRANEAS 10KV</v>
          </cell>
        </row>
        <row r="1156">
          <cell r="B1156">
            <v>5032537</v>
          </cell>
          <cell r="C1156" t="str">
            <v>CEP</v>
          </cell>
          <cell r="D1156" t="str">
            <v>CABLE DE ENERGIA TIPO NA2XSY 1 X 50MM2 PARA REDES SUBTERRANEAS 10KV</v>
          </cell>
        </row>
        <row r="1157">
          <cell r="B1157">
            <v>5032537</v>
          </cell>
          <cell r="C1157" t="str">
            <v>CET</v>
          </cell>
          <cell r="D1157" t="str">
            <v>CABLE DE ENERGIA TIPO NA2XSY 1 X 50MM2 PARA REDES SUBTERRANEAS 10KV</v>
          </cell>
        </row>
        <row r="1158">
          <cell r="B1158">
            <v>5032537</v>
          </cell>
          <cell r="C1158" t="str">
            <v>CIM</v>
          </cell>
          <cell r="D1158" t="str">
            <v>CABLE DE ENERGIA TIPO NA2XSY 1 X 50MM2 PARA REDES SUBTERRANEAS 10KV</v>
          </cell>
        </row>
        <row r="1159">
          <cell r="B1159">
            <v>5032537</v>
          </cell>
          <cell r="C1159" t="str">
            <v>GEC</v>
          </cell>
          <cell r="D1159" t="str">
            <v>CABLE DE ENERGIA TIPO NA2XSY 1 X 50MM2 PARA REDES SUBTERRANEAS 10KV</v>
          </cell>
        </row>
        <row r="1160">
          <cell r="B1160">
            <v>5032537</v>
          </cell>
          <cell r="C1160" t="str">
            <v>IND</v>
          </cell>
          <cell r="D1160" t="str">
            <v>CABLE DE ENERGIA TIPO NA2XSY 1 X 50MM2 PARA REDES SUBTERRANEAS 10KV</v>
          </cell>
        </row>
        <row r="1161">
          <cell r="B1161">
            <v>5032537</v>
          </cell>
          <cell r="C1161" t="str">
            <v>PDI</v>
          </cell>
          <cell r="D1161" t="str">
            <v>CABLE DE ENERGIA TIPO NA2XSY 1 X 50MM2 PARA REDES SUBTERRANEAS 10KV</v>
          </cell>
        </row>
        <row r="1162">
          <cell r="B1162">
            <v>5032539</v>
          </cell>
          <cell r="C1162" t="str">
            <v>ALC</v>
          </cell>
          <cell r="D1162" t="str">
            <v>CABLE DE ENERGIA TIPO NA2XSY 1 X 95MM2 PARA REDES SUBTERRANEAS 10KV</v>
          </cell>
        </row>
        <row r="1163">
          <cell r="B1163">
            <v>5032539</v>
          </cell>
          <cell r="C1163" t="str">
            <v>CEP</v>
          </cell>
          <cell r="D1163" t="str">
            <v>CABLE DE ENERGIA TIPO NA2XSY 1 X 95MM2 PARA REDES SUBTERRANEAS 10KV</v>
          </cell>
        </row>
        <row r="1164">
          <cell r="B1164">
            <v>5032539</v>
          </cell>
          <cell r="C1164" t="str">
            <v>CET</v>
          </cell>
          <cell r="D1164" t="str">
            <v>CABLE DE ENERGIA TIPO NA2XSY 1 X 95MM2 PARA REDES SUBTERRANEAS 10KV</v>
          </cell>
        </row>
        <row r="1165">
          <cell r="B1165">
            <v>5032539</v>
          </cell>
          <cell r="C1165" t="str">
            <v>CIM</v>
          </cell>
          <cell r="D1165" t="str">
            <v>CABLE DE ENERGIA TIPO NA2XSY 1 X 95MM2 PARA REDES SUBTERRANEAS 10KV</v>
          </cell>
        </row>
        <row r="1166">
          <cell r="B1166">
            <v>5032539</v>
          </cell>
          <cell r="C1166" t="str">
            <v>GEC</v>
          </cell>
          <cell r="D1166" t="str">
            <v>CABLE DE ENERGIA TIPO NA2XSY 1 X 95MM2 PARA REDES SUBTERRANEAS 10KV</v>
          </cell>
        </row>
        <row r="1167">
          <cell r="B1167">
            <v>5032539</v>
          </cell>
          <cell r="C1167" t="str">
            <v>IND</v>
          </cell>
          <cell r="D1167" t="str">
            <v>CABLE DE ENERGIA TIPO NA2XSY 1 X 95MM2 PARA REDES SUBTERRANEAS 10KV</v>
          </cell>
        </row>
        <row r="1168">
          <cell r="B1168">
            <v>5032539</v>
          </cell>
          <cell r="C1168" t="str">
            <v>PDI</v>
          </cell>
          <cell r="D1168" t="str">
            <v>CABLE DE ENERGIA TIPO NA2XSY 1 X 95MM2 PARA REDES SUBTERRANEAS 10KV</v>
          </cell>
        </row>
        <row r="1169">
          <cell r="B1169">
            <v>5032540</v>
          </cell>
          <cell r="C1169" t="str">
            <v>ALC</v>
          </cell>
          <cell r="D1169" t="str">
            <v>CABLE DE ENERGIA TIPO NA2XSY 1 X 120MM2 PARA REDES SUBTERRANEAS 10KV</v>
          </cell>
        </row>
        <row r="1170">
          <cell r="B1170">
            <v>5032540</v>
          </cell>
          <cell r="C1170" t="str">
            <v>CEP</v>
          </cell>
          <cell r="D1170" t="str">
            <v>CABLE DE ENERGIA TIPO NA2XSY 1 X 120MM2 PARA REDES SUBTERRANEAS 10KV</v>
          </cell>
        </row>
        <row r="1171">
          <cell r="B1171">
            <v>5032540</v>
          </cell>
          <cell r="C1171" t="str">
            <v>CET</v>
          </cell>
          <cell r="D1171" t="str">
            <v>CABLE DE ENERGIA TIPO NA2XSY 1 X 120MM2 PARA REDES SUBTERRANEAS 10KV</v>
          </cell>
        </row>
        <row r="1172">
          <cell r="B1172">
            <v>5032540</v>
          </cell>
          <cell r="C1172" t="str">
            <v>CIM</v>
          </cell>
          <cell r="D1172" t="str">
            <v>CABLE DE ENERGIA TIPO NA2XSY 1 X 120MM2 PARA REDES SUBTERRANEAS 10KV</v>
          </cell>
        </row>
        <row r="1173">
          <cell r="B1173">
            <v>5032540</v>
          </cell>
          <cell r="C1173" t="str">
            <v>GEC</v>
          </cell>
          <cell r="D1173" t="str">
            <v>CABLE DE ENERGIA TIPO NA2XSY 1 X 120MM2 PARA REDES SUBTERRANEAS 10KV</v>
          </cell>
        </row>
        <row r="1174">
          <cell r="B1174">
            <v>5032540</v>
          </cell>
          <cell r="C1174" t="str">
            <v>IND</v>
          </cell>
          <cell r="D1174" t="str">
            <v>CABLE DE ENERGIA TIPO NA2XSY 1 X 120MM2 PARA REDES SUBTERRANEAS 10KV</v>
          </cell>
        </row>
        <row r="1175">
          <cell r="B1175">
            <v>5032540</v>
          </cell>
          <cell r="C1175" t="str">
            <v>PDI</v>
          </cell>
          <cell r="D1175" t="str">
            <v>CABLE DE ENERGIA TIPO NA2XSY 1 X 120MM2 PARA REDES SUBTERRANEAS 10KV</v>
          </cell>
        </row>
        <row r="1176">
          <cell r="B1176">
            <v>5032542</v>
          </cell>
          <cell r="C1176" t="str">
            <v>ALC</v>
          </cell>
          <cell r="D1176" t="str">
            <v>CABLE DE ENERGIA TIPO NA2XSY 1 X 185MM2 PARA REDES SUBTERRANEAS 10KV</v>
          </cell>
        </row>
        <row r="1177">
          <cell r="B1177">
            <v>5032542</v>
          </cell>
          <cell r="C1177" t="str">
            <v>CEP</v>
          </cell>
          <cell r="D1177" t="str">
            <v>CABLE DE ENERGIA TIPO NA2XSY 1 X 185MM2 PARA REDES SUBTERRANEAS 10KV</v>
          </cell>
        </row>
        <row r="1178">
          <cell r="B1178">
            <v>5032542</v>
          </cell>
          <cell r="C1178" t="str">
            <v>CET</v>
          </cell>
          <cell r="D1178" t="str">
            <v>CABLE DE ENERGIA TIPO NA2XSY 1 X 185MM2 PARA REDES SUBTERRANEAS 10KV</v>
          </cell>
        </row>
        <row r="1179">
          <cell r="B1179">
            <v>5032542</v>
          </cell>
          <cell r="C1179" t="str">
            <v>CIM</v>
          </cell>
          <cell r="D1179" t="str">
            <v>CABLE DE ENERGIA TIPO NA2XSY 1 X 185MM2 PARA REDES SUBTERRANEAS 10KV</v>
          </cell>
        </row>
        <row r="1180">
          <cell r="B1180">
            <v>5032542</v>
          </cell>
          <cell r="C1180" t="str">
            <v>GEC</v>
          </cell>
          <cell r="D1180" t="str">
            <v>CABLE DE ENERGIA TIPO NA2XSY 1 X 185MM2 PARA REDES SUBTERRANEAS 10KV</v>
          </cell>
        </row>
        <row r="1181">
          <cell r="B1181">
            <v>5032542</v>
          </cell>
          <cell r="C1181" t="str">
            <v>IND</v>
          </cell>
          <cell r="D1181" t="str">
            <v>CABLE DE ENERGIA TIPO NA2XSY 1 X 185MM2 PARA REDES SUBTERRANEAS 10KV</v>
          </cell>
        </row>
        <row r="1182">
          <cell r="B1182">
            <v>5032542</v>
          </cell>
          <cell r="C1182" t="str">
            <v>PDI</v>
          </cell>
          <cell r="D1182" t="str">
            <v>CABLE DE ENERGIA TIPO NA2XSY 1 X 185MM2 PARA REDES SUBTERRANEAS 10KV</v>
          </cell>
        </row>
        <row r="1183">
          <cell r="B1183">
            <v>5032545</v>
          </cell>
          <cell r="C1183" t="str">
            <v>ALC</v>
          </cell>
          <cell r="D1183" t="str">
            <v>CABLE DE ENERGIA TIPO NA2XSY 1 X 400MM2 PARA REDES SUBTERRANEAS 10KV</v>
          </cell>
        </row>
        <row r="1184">
          <cell r="B1184">
            <v>5032545</v>
          </cell>
          <cell r="C1184" t="str">
            <v>CEP</v>
          </cell>
          <cell r="D1184" t="str">
            <v>CABLE DE ENERGIA TIPO NA2XSY 1 X 400MM2 PARA REDES SUBTERRANEAS 10KV</v>
          </cell>
        </row>
        <row r="1185">
          <cell r="B1185">
            <v>5032545</v>
          </cell>
          <cell r="C1185" t="str">
            <v>CET</v>
          </cell>
          <cell r="D1185" t="str">
            <v>CABLE DE ENERGIA TIPO NA2XSY 1 X 400MM2 PARA REDES SUBTERRANEAS 10KV</v>
          </cell>
        </row>
        <row r="1186">
          <cell r="B1186">
            <v>5032545</v>
          </cell>
          <cell r="C1186" t="str">
            <v>CIM</v>
          </cell>
          <cell r="D1186" t="str">
            <v>CABLE DE ENERGIA TIPO NA2XSY 1 X 400MM2 PARA REDES SUBTERRANEAS 10KV</v>
          </cell>
        </row>
        <row r="1187">
          <cell r="B1187">
            <v>5032545</v>
          </cell>
          <cell r="C1187" t="str">
            <v>GEC</v>
          </cell>
          <cell r="D1187" t="str">
            <v>CABLE DE ENERGIA TIPO NA2XSY 1 X 400MM2 PARA REDES SUBTERRANEAS 10KV</v>
          </cell>
        </row>
        <row r="1188">
          <cell r="B1188">
            <v>5032545</v>
          </cell>
          <cell r="C1188" t="str">
            <v>IND</v>
          </cell>
          <cell r="D1188" t="str">
            <v>CABLE DE ENERGIA TIPO NA2XSY 1 X 400MM2 PARA REDES SUBTERRANEAS 10KV</v>
          </cell>
        </row>
        <row r="1189">
          <cell r="B1189">
            <v>5032545</v>
          </cell>
          <cell r="C1189" t="str">
            <v>PDI</v>
          </cell>
          <cell r="D1189" t="str">
            <v>CABLE DE ENERGIA TIPO NA2XSY 1 X 400MM2 PARA REDES SUBTERRANEAS 10KV</v>
          </cell>
        </row>
        <row r="1190">
          <cell r="B1190">
            <v>5032547</v>
          </cell>
          <cell r="C1190" t="str">
            <v>ALC</v>
          </cell>
          <cell r="D1190" t="str">
            <v>CABLE DE ENERGIA TIPO NA2XSY 1 X 50MM2 PARA REDES SUBTERRANEAS 22,9KV</v>
          </cell>
        </row>
        <row r="1191">
          <cell r="B1191">
            <v>5032547</v>
          </cell>
          <cell r="C1191" t="str">
            <v>CEP</v>
          </cell>
          <cell r="D1191" t="str">
            <v>CABLE DE ENERGIA TIPO NA2XSY 1 X 50MM2 PARA REDES SUBTERRANEAS 22,9KV</v>
          </cell>
        </row>
        <row r="1192">
          <cell r="B1192">
            <v>5032547</v>
          </cell>
          <cell r="C1192" t="str">
            <v>CET</v>
          </cell>
          <cell r="D1192" t="str">
            <v>CABLE DE ENERGIA TIPO NA2XSY 1 X 50MM2 PARA REDES SUBTERRANEAS 22,9KV</v>
          </cell>
        </row>
        <row r="1193">
          <cell r="B1193">
            <v>5032547</v>
          </cell>
          <cell r="C1193" t="str">
            <v>CIM</v>
          </cell>
          <cell r="D1193" t="str">
            <v>CABLE DE ENERGIA TIPO NA2XSY 1 X 50MM2 PARA REDES SUBTERRANEAS 22,9KV</v>
          </cell>
        </row>
        <row r="1194">
          <cell r="B1194">
            <v>5032547</v>
          </cell>
          <cell r="C1194" t="str">
            <v>GEC</v>
          </cell>
          <cell r="D1194" t="str">
            <v>CABLE DE ENERGIA TIPO NA2XSY 1 X 50MM2 PARA REDES SUBTERRANEAS 22,9KV</v>
          </cell>
        </row>
        <row r="1195">
          <cell r="B1195">
            <v>5032547</v>
          </cell>
          <cell r="C1195" t="str">
            <v>HOE</v>
          </cell>
          <cell r="D1195" t="str">
            <v>CABLE DE ENERGIA TIPO NA2XSY 1 X 50MM2 PARA REDES SUBTERRANEAS 22,9KV</v>
          </cell>
        </row>
        <row r="1196">
          <cell r="B1196">
            <v>5032547</v>
          </cell>
          <cell r="C1196" t="str">
            <v>IND</v>
          </cell>
          <cell r="D1196" t="str">
            <v>CABLE DE ENERGIA TIPO NA2XSY 1 X 50MM2 PARA REDES SUBTERRANEAS 22,9KV</v>
          </cell>
        </row>
        <row r="1197">
          <cell r="B1197">
            <v>5032547</v>
          </cell>
          <cell r="C1197" t="str">
            <v>PDI</v>
          </cell>
          <cell r="D1197" t="str">
            <v>CABLE DE ENERGIA TIPO NA2XSY 1 X 50MM2 PARA REDES SUBTERRANEAS 22,9KV</v>
          </cell>
        </row>
        <row r="1198">
          <cell r="B1198">
            <v>5032549</v>
          </cell>
          <cell r="C1198" t="str">
            <v>ALC</v>
          </cell>
          <cell r="D1198" t="str">
            <v>CABLE DE ENERGIA TIPO NA2XSY 1 X 95MM2 PARA REDES SUBTERRANEAS 22,9KV</v>
          </cell>
        </row>
        <row r="1199">
          <cell r="B1199">
            <v>5032549</v>
          </cell>
          <cell r="C1199" t="str">
            <v>CEP</v>
          </cell>
          <cell r="D1199" t="str">
            <v>CABLE DE ENERGIA TIPO NA2XSY 1 X 95MM2 PARA REDES SUBTERRANEAS 22,9KV</v>
          </cell>
        </row>
        <row r="1200">
          <cell r="B1200">
            <v>5032549</v>
          </cell>
          <cell r="C1200" t="str">
            <v>CET</v>
          </cell>
          <cell r="D1200" t="str">
            <v>CABLE DE ENERGIA TIPO NA2XSY 1 X 95MM2 PARA REDES SUBTERRANEAS 22,9KV</v>
          </cell>
        </row>
        <row r="1201">
          <cell r="B1201">
            <v>5032549</v>
          </cell>
          <cell r="C1201" t="str">
            <v>CIM</v>
          </cell>
          <cell r="D1201" t="str">
            <v>CABLE DE ENERGIA TIPO NA2XSY 1 X 95MM2 PARA REDES SUBTERRANEAS 22,9KV</v>
          </cell>
        </row>
        <row r="1202">
          <cell r="B1202">
            <v>5032549</v>
          </cell>
          <cell r="C1202" t="str">
            <v>GEC</v>
          </cell>
          <cell r="D1202" t="str">
            <v>CABLE DE ENERGIA TIPO NA2XSY 1 X 95MM2 PARA REDES SUBTERRANEAS 22,9KV</v>
          </cell>
        </row>
        <row r="1203">
          <cell r="B1203">
            <v>5032549</v>
          </cell>
          <cell r="C1203" t="str">
            <v>HOE</v>
          </cell>
          <cell r="D1203" t="str">
            <v>CABLE DE ENERGIA TIPO NA2XSY 1 X 95MM2 PARA REDES SUBTERRANEAS 22,9KV</v>
          </cell>
        </row>
        <row r="1204">
          <cell r="B1204">
            <v>5032549</v>
          </cell>
          <cell r="C1204" t="str">
            <v>IND</v>
          </cell>
          <cell r="D1204" t="str">
            <v>CABLE DE ENERGIA TIPO NA2XSY 1 X 95MM2 PARA REDES SUBTERRANEAS 22,9KV</v>
          </cell>
        </row>
        <row r="1205">
          <cell r="B1205">
            <v>5032549</v>
          </cell>
          <cell r="C1205" t="str">
            <v>PDI</v>
          </cell>
          <cell r="D1205" t="str">
            <v>CABLE DE ENERGIA TIPO NA2XSY 1 X 95MM2 PARA REDES SUBTERRANEAS 22,9KV</v>
          </cell>
        </row>
        <row r="1206">
          <cell r="B1206">
            <v>5032550</v>
          </cell>
          <cell r="C1206" t="str">
            <v>ALC</v>
          </cell>
          <cell r="D1206" t="str">
            <v>CABLE DE ENERGIA TIPO NA2XSY 1 X 120MM2 PARA REDES SUBTERRANEAS 22,9KV</v>
          </cell>
        </row>
        <row r="1207">
          <cell r="B1207">
            <v>5032550</v>
          </cell>
          <cell r="C1207" t="str">
            <v>CEP</v>
          </cell>
          <cell r="D1207" t="str">
            <v>CABLE DE ENERGIA TIPO NA2XSY 1 X 120MM2 PARA REDES SUBTERRANEAS 22,9KV</v>
          </cell>
        </row>
        <row r="1208">
          <cell r="B1208">
            <v>5032550</v>
          </cell>
          <cell r="C1208" t="str">
            <v>CET</v>
          </cell>
          <cell r="D1208" t="str">
            <v>CABLE DE ENERGIA TIPO NA2XSY 1 X 120MM2 PARA REDES SUBTERRANEAS 22,9KV</v>
          </cell>
        </row>
        <row r="1209">
          <cell r="B1209">
            <v>5032550</v>
          </cell>
          <cell r="C1209" t="str">
            <v>CIM</v>
          </cell>
          <cell r="D1209" t="str">
            <v>CABLE DE ENERGIA TIPO NA2XSY 1 X 120MM2 PARA REDES SUBTERRANEAS 22,9KV</v>
          </cell>
        </row>
        <row r="1210">
          <cell r="B1210">
            <v>5032550</v>
          </cell>
          <cell r="C1210" t="str">
            <v>GEC</v>
          </cell>
          <cell r="D1210" t="str">
            <v>CABLE DE ENERGIA TIPO NA2XSY 1 X 120MM2 PARA REDES SUBTERRANEAS 22,9KV</v>
          </cell>
        </row>
        <row r="1211">
          <cell r="B1211">
            <v>5032550</v>
          </cell>
          <cell r="C1211" t="str">
            <v>HOE</v>
          </cell>
          <cell r="D1211" t="str">
            <v>CABLE DE ENERGIA TIPO NA2XSY 1 X 120MM2 PARA REDES SUBTERRANEAS 22,9KV</v>
          </cell>
        </row>
        <row r="1212">
          <cell r="B1212">
            <v>5032550</v>
          </cell>
          <cell r="C1212" t="str">
            <v>IND</v>
          </cell>
          <cell r="D1212" t="str">
            <v>CABLE DE ENERGIA TIPO NA2XSY 1 X 120MM2 PARA REDES SUBTERRANEAS 22,9KV</v>
          </cell>
        </row>
        <row r="1213">
          <cell r="B1213">
            <v>5032550</v>
          </cell>
          <cell r="C1213" t="str">
            <v>PDI</v>
          </cell>
          <cell r="D1213" t="str">
            <v>CABLE DE ENERGIA TIPO NA2XSY 1 X 120MM2 PARA REDES SUBTERRANEAS 22,9KV</v>
          </cell>
        </row>
        <row r="1214">
          <cell r="B1214">
            <v>5032552</v>
          </cell>
          <cell r="C1214" t="str">
            <v>ALC</v>
          </cell>
          <cell r="D1214" t="str">
            <v>CABLE DE ENERGIA TIPO NA2XSY 1 X 185MM2 PARA REDES SUBTERRANEAS 22,9KV</v>
          </cell>
        </row>
        <row r="1215">
          <cell r="B1215">
            <v>5032552</v>
          </cell>
          <cell r="C1215" t="str">
            <v>CEP</v>
          </cell>
          <cell r="D1215" t="str">
            <v>CABLE DE ENERGIA TIPO NA2XSY 1 X 185MM2 PARA REDES SUBTERRANEAS 22,9KV</v>
          </cell>
        </row>
        <row r="1216">
          <cell r="B1216">
            <v>5032552</v>
          </cell>
          <cell r="C1216" t="str">
            <v>CET</v>
          </cell>
          <cell r="D1216" t="str">
            <v>CABLE DE ENERGIA TIPO NA2XSY 1 X 185MM2 PARA REDES SUBTERRANEAS 22,9KV</v>
          </cell>
        </row>
        <row r="1217">
          <cell r="B1217">
            <v>5032552</v>
          </cell>
          <cell r="C1217" t="str">
            <v>CIM</v>
          </cell>
          <cell r="D1217" t="str">
            <v>CABLE DE ENERGIA TIPO NA2XSY 1 X 185MM2 PARA REDES SUBTERRANEAS 22,9KV</v>
          </cell>
        </row>
        <row r="1218">
          <cell r="B1218">
            <v>5032552</v>
          </cell>
          <cell r="C1218" t="str">
            <v>GEC</v>
          </cell>
          <cell r="D1218" t="str">
            <v>CABLE DE ENERGIA TIPO NA2XSY 1 X 185MM2 PARA REDES SUBTERRANEAS 22,9KV</v>
          </cell>
        </row>
        <row r="1219">
          <cell r="B1219">
            <v>5032552</v>
          </cell>
          <cell r="C1219" t="str">
            <v>HOE</v>
          </cell>
          <cell r="D1219" t="str">
            <v>CABLE DE ENERGIA TIPO NA2XSY 1 X 185MM2 PARA REDES SUBTERRANEAS 22,9KV</v>
          </cell>
        </row>
        <row r="1220">
          <cell r="B1220">
            <v>5032552</v>
          </cell>
          <cell r="C1220" t="str">
            <v>IND</v>
          </cell>
          <cell r="D1220" t="str">
            <v>CABLE DE ENERGIA TIPO NA2XSY 1 X 185MM2 PARA REDES SUBTERRANEAS 22,9KV</v>
          </cell>
        </row>
        <row r="1221">
          <cell r="B1221">
            <v>5032552</v>
          </cell>
          <cell r="C1221" t="str">
            <v>PDI</v>
          </cell>
          <cell r="D1221" t="str">
            <v>CABLE DE ENERGIA TIPO NA2XSY 1 X 185MM2 PARA REDES SUBTERRANEAS 22,9KV</v>
          </cell>
        </row>
        <row r="1222">
          <cell r="B1222">
            <v>5032555</v>
          </cell>
          <cell r="C1222" t="str">
            <v>ALC</v>
          </cell>
          <cell r="D1222" t="str">
            <v>CABLE DE ENERGIA TIPO NA2XSY 1 X 400MM2 PARA REDES SUBTERRANEAS 22,9KV</v>
          </cell>
        </row>
        <row r="1223">
          <cell r="B1223">
            <v>5032555</v>
          </cell>
          <cell r="C1223" t="str">
            <v>CEP</v>
          </cell>
          <cell r="D1223" t="str">
            <v>CABLE DE ENERGIA TIPO NA2XSY 1 X 400MM2 PARA REDES SUBTERRANEAS 22,9KV</v>
          </cell>
        </row>
        <row r="1224">
          <cell r="B1224">
            <v>5032555</v>
          </cell>
          <cell r="C1224" t="str">
            <v>CET</v>
          </cell>
          <cell r="D1224" t="str">
            <v>CABLE DE ENERGIA TIPO NA2XSY 1 X 400MM2 PARA REDES SUBTERRANEAS 22,9KV</v>
          </cell>
        </row>
        <row r="1225">
          <cell r="B1225">
            <v>5032555</v>
          </cell>
          <cell r="C1225" t="str">
            <v>CIM</v>
          </cell>
          <cell r="D1225" t="str">
            <v>CABLE DE ENERGIA TIPO NA2XSY 1 X 400MM2 PARA REDES SUBTERRANEAS 22,9KV</v>
          </cell>
        </row>
        <row r="1226">
          <cell r="B1226">
            <v>5032555</v>
          </cell>
          <cell r="C1226" t="str">
            <v>GEC</v>
          </cell>
          <cell r="D1226" t="str">
            <v>CABLE DE ENERGIA TIPO NA2XSY 1 X 400MM2 PARA REDES SUBTERRANEAS 22,9KV</v>
          </cell>
        </row>
        <row r="1227">
          <cell r="B1227">
            <v>5032555</v>
          </cell>
          <cell r="C1227" t="str">
            <v>HOE</v>
          </cell>
          <cell r="D1227" t="str">
            <v>CABLE DE ENERGIA TIPO NA2XSY 1 X 400MM2 PARA REDES SUBTERRANEAS 22,9KV</v>
          </cell>
        </row>
        <row r="1228">
          <cell r="B1228">
            <v>5032555</v>
          </cell>
          <cell r="C1228" t="str">
            <v>IND</v>
          </cell>
          <cell r="D1228" t="str">
            <v>CABLE DE ENERGIA TIPO NA2XSY 1 X 400MM2 PARA REDES SUBTERRANEAS 22,9KV</v>
          </cell>
        </row>
        <row r="1229">
          <cell r="B1229">
            <v>5032555</v>
          </cell>
          <cell r="C1229" t="str">
            <v>PDI</v>
          </cell>
          <cell r="D1229" t="str">
            <v>CABLE DE ENERGIA TIPO NA2XSY 1 X 400MM2 PARA REDES SUBTERRANEAS 22,9KV</v>
          </cell>
        </row>
        <row r="1230">
          <cell r="B1230">
            <v>5034024</v>
          </cell>
          <cell r="C1230" t="str">
            <v>IND</v>
          </cell>
          <cell r="D1230" t="str">
            <v>CABLE ENERGIA NKY  8.7/15KV.TRIP.       3X 35  MM2</v>
          </cell>
        </row>
        <row r="1231">
          <cell r="B1231">
            <v>5034028</v>
          </cell>
          <cell r="C1231" t="str">
            <v>IND</v>
          </cell>
          <cell r="D1231" t="str">
            <v>CABLE ENERGIA NKY  8.7/15KV.TRIP. 3X 70 MM2</v>
          </cell>
        </row>
        <row r="1232">
          <cell r="B1232">
            <v>5034031</v>
          </cell>
          <cell r="C1232" t="str">
            <v>IND</v>
          </cell>
          <cell r="D1232" t="str">
            <v>CABLE ENERGIA NKY  8.7/15KV.TRIP.       3X120  MM2</v>
          </cell>
        </row>
        <row r="1233">
          <cell r="B1233">
            <v>5034043</v>
          </cell>
          <cell r="C1233" t="str">
            <v>IND</v>
          </cell>
          <cell r="D1233" t="str">
            <v>CABLE ENERGIA NKY  8.7/15KV.TRIP.       3X240  MM2</v>
          </cell>
        </row>
        <row r="1234">
          <cell r="B1234">
            <v>5061009</v>
          </cell>
          <cell r="C1234" t="str">
            <v>IND</v>
          </cell>
          <cell r="D1234" t="str">
            <v>ALAMBRE TELEF.TP.XT  O SIM.(22AWG) BIP. 2X 0.32MM2</v>
          </cell>
        </row>
        <row r="1235">
          <cell r="B1235">
            <v>5061109</v>
          </cell>
          <cell r="C1235" t="str">
            <v>IND</v>
          </cell>
          <cell r="D1235" t="str">
            <v>CABLE TELEF.CU.TP.XPT INST.DOMEST.BIP.  2X 0.32MM2</v>
          </cell>
        </row>
        <row r="1236">
          <cell r="B1236">
            <v>5061117</v>
          </cell>
          <cell r="C1236" t="str">
            <v>IND</v>
          </cell>
          <cell r="D1236" t="str">
            <v>ALAMBRE TELEF.AC.COBREADO P.ACOMET.BIP. 2X 0.82MM2</v>
          </cell>
        </row>
        <row r="1237">
          <cell r="B1237">
            <v>5061139</v>
          </cell>
          <cell r="C1237" t="str">
            <v>IND</v>
          </cell>
          <cell r="D1237" t="str">
            <v>CABLE TELEF.CU.TP.XPT INST.DOMEST.TRIP. 3X 0.32MM2</v>
          </cell>
        </row>
        <row r="1238">
          <cell r="B1238">
            <v>5061311</v>
          </cell>
          <cell r="C1238" t="str">
            <v>IND</v>
          </cell>
          <cell r="D1238" t="str">
            <v>CABLE TELEF.CU.INST.AEREA AUTOP. 25PRS.X  0.64 MM2</v>
          </cell>
        </row>
        <row r="1239">
          <cell r="B1239">
            <v>5061351</v>
          </cell>
          <cell r="C1239" t="str">
            <v>IND</v>
          </cell>
          <cell r="D1239" t="str">
            <v>CABLE TELEF.CU.INST.AEREA AUTOP. 12PRS.X  0,65 MM2</v>
          </cell>
        </row>
        <row r="1240">
          <cell r="B1240">
            <v>5061611</v>
          </cell>
          <cell r="C1240" t="str">
            <v>IND</v>
          </cell>
          <cell r="D1240" t="str">
            <v>CABLE TELEF.CU.INST.AEREA/SUBT.  12PRS.X  0.32 MM2</v>
          </cell>
        </row>
        <row r="1241">
          <cell r="B1241">
            <v>5061661</v>
          </cell>
          <cell r="C1241" t="str">
            <v>IND</v>
          </cell>
          <cell r="D1241" t="str">
            <v>CABLE TELEF.CU.INST.SUBTERRANEA  12PRS.X  0.65 MM2</v>
          </cell>
        </row>
        <row r="1242">
          <cell r="B1242">
            <v>5061703</v>
          </cell>
          <cell r="C1242" t="str">
            <v>IND</v>
          </cell>
          <cell r="D1242" t="str">
            <v>CABLE TELEF.TELECABLE INSTAL.INT. 3 LIN. X 0.32MM2</v>
          </cell>
        </row>
        <row r="1243">
          <cell r="B1243">
            <v>5061713</v>
          </cell>
          <cell r="C1243" t="str">
            <v>IND</v>
          </cell>
          <cell r="D1243" t="str">
            <v>CABLE TELEF.TELECABLE INSTAL.INT 21 LIN. X 0.32MM2</v>
          </cell>
        </row>
        <row r="1244">
          <cell r="B1244">
            <v>5061721</v>
          </cell>
          <cell r="C1244" t="str">
            <v>IND</v>
          </cell>
          <cell r="D1244" t="str">
            <v>CABLE TELEF.TELECABLE INSTAL.INT.51 LIN. X 0.32MM2</v>
          </cell>
        </row>
        <row r="1245">
          <cell r="B1245">
            <v>5062320</v>
          </cell>
          <cell r="C1245" t="str">
            <v>MAD</v>
          </cell>
          <cell r="D1245" t="str">
            <v>CABLE DE ENERGIA TRIPOLAR TP. SHD - GC 35MM2 C.TIERRA 10MM2 P.MINERIA COMO BY PASS EMEREGENCIA 10KV</v>
          </cell>
        </row>
        <row r="1246">
          <cell r="B1246">
            <v>5100128</v>
          </cell>
          <cell r="C1246" t="str">
            <v>RAY</v>
          </cell>
          <cell r="D1246" t="str">
            <v>SELLADOR DE DUCTOS C/CAB.ELECT, P/DIAM.INT.150MM.RDSS-150</v>
          </cell>
        </row>
        <row r="1247">
          <cell r="B1247">
            <v>5111102</v>
          </cell>
          <cell r="C1247" t="str">
            <v>P3M</v>
          </cell>
          <cell r="D1247" t="str">
            <v>EMPALME DERECHO - DERIVACION SIMETRICO UNIPOLAR AUTOFUNDENTE P.CABLE SECO 6-16 / 6-16MM2 B.T.</v>
          </cell>
        </row>
        <row r="1248">
          <cell r="B1248">
            <v>5111102</v>
          </cell>
          <cell r="C1248" t="str">
            <v>PLY</v>
          </cell>
          <cell r="D1248" t="str">
            <v>EMPALME DERECHO - DERIVACION SIMETRICO UNIPOLAR AUTOFUNDENTE P.CABLE SECO 6-16 / 6-16MM2 B.T.</v>
          </cell>
        </row>
        <row r="1249">
          <cell r="B1249">
            <v>5111106</v>
          </cell>
          <cell r="C1249" t="str">
            <v>RAY</v>
          </cell>
          <cell r="D1249" t="str">
            <v>EMP.UNIP.DER/DERIV.P.C.SECO B.T.6-35/6-35MM2.TERMOC.</v>
          </cell>
        </row>
        <row r="1250">
          <cell r="B1250">
            <v>5111122</v>
          </cell>
          <cell r="C1250" t="str">
            <v>P3M</v>
          </cell>
          <cell r="D1250" t="str">
            <v>EMPALME DERECHO - DERIVACION SIMETRICO UNIPOLAR AUTOFUNDENTE P.CABLE SECO 35 / 6-35MM2 B.T.</v>
          </cell>
        </row>
        <row r="1251">
          <cell r="B1251">
            <v>5111122</v>
          </cell>
          <cell r="C1251" t="str">
            <v>PLY</v>
          </cell>
          <cell r="D1251" t="str">
            <v>EMPALME DERECHO - DERIVACION SIMETRICO UNIPOLAR AUTOFUNDENTE P.CABLE SECO 35 / 6-35MM2 B.T.</v>
          </cell>
        </row>
        <row r="1252">
          <cell r="B1252">
            <v>5111138</v>
          </cell>
          <cell r="C1252" t="str">
            <v>P3M</v>
          </cell>
          <cell r="D1252" t="str">
            <v>EMPALME DERECHO - DERIVACION SIMETRICO UNIPOLAR AUTOFUNDENTE P.CABLE SECO 70 / 6-70MM2 B.T.</v>
          </cell>
        </row>
        <row r="1253">
          <cell r="B1253">
            <v>5111138</v>
          </cell>
          <cell r="C1253" t="str">
            <v>PLY</v>
          </cell>
          <cell r="D1253" t="str">
            <v>EMPALME DERECHO - DERIVACION SIMETRICO UNIPOLAR AUTOFUNDENTE P.CABLE SECO 70 / 6-70MM2 B.T.</v>
          </cell>
        </row>
        <row r="1254">
          <cell r="B1254">
            <v>5111142</v>
          </cell>
          <cell r="C1254" t="str">
            <v>RAY</v>
          </cell>
          <cell r="D1254" t="str">
            <v>EMP.SIM.DER/DERIV.P.C.SECO B.T.70-185/10-185MM2.TERMOC.</v>
          </cell>
        </row>
        <row r="1255">
          <cell r="B1255">
            <v>5111146</v>
          </cell>
          <cell r="C1255" t="str">
            <v>P3M</v>
          </cell>
          <cell r="D1255" t="str">
            <v>EMPALME DERECHO - DERIVACION SIMETRICO UNIPOLAR AUTOFUNDENTE P.CABLE SECO 120-185 / 10-185MM2 B.T.</v>
          </cell>
        </row>
        <row r="1256">
          <cell r="B1256">
            <v>5111146</v>
          </cell>
          <cell r="C1256" t="str">
            <v>PLY</v>
          </cell>
          <cell r="D1256" t="str">
            <v>EMPALME DERECHO - DERIVACION SIMETRICO UNIPOLAR AUTOFUNDENTE P.CABLE SECO 120-185 / 10-185MM2 B.T.</v>
          </cell>
        </row>
        <row r="1257">
          <cell r="B1257">
            <v>5111150</v>
          </cell>
          <cell r="C1257" t="str">
            <v>RAY</v>
          </cell>
          <cell r="D1257" t="str">
            <v>EMP.SIM.DER/DERIV.P.C.SECO B.T.240-300/10-300MM2.TERMOC.</v>
          </cell>
        </row>
        <row r="1258">
          <cell r="B1258">
            <v>5111154</v>
          </cell>
          <cell r="C1258" t="str">
            <v>P3M</v>
          </cell>
          <cell r="D1258" t="str">
            <v>EMPALME DERECHO - DERIVACION SIMETRICO UNIPOLAR AUTOFUNDENTE P.CABLE SECO 300 / 10-300MM2 B.T.</v>
          </cell>
        </row>
        <row r="1259">
          <cell r="B1259">
            <v>5111154</v>
          </cell>
          <cell r="C1259" t="str">
            <v>PLY</v>
          </cell>
          <cell r="D1259" t="str">
            <v>EMPALME DERECHO - DERIVACION SIMETRICO UNIPOLAR AUTOFUNDENTE P.CABLE SECO 300 / 10-300MM2 B.T.</v>
          </cell>
        </row>
        <row r="1260">
          <cell r="B1260">
            <v>5111180</v>
          </cell>
          <cell r="C1260" t="str">
            <v>RAY</v>
          </cell>
          <cell r="D1260" t="str">
            <v>EMPALME TERMOCONTRAIBLE UNIPOLAR DERECHO/DERIVACION P. CABLE SECO B.T. 6-16/6-16 MM2.</v>
          </cell>
        </row>
        <row r="1261">
          <cell r="B1261">
            <v>5111182</v>
          </cell>
          <cell r="C1261" t="str">
            <v>RAY</v>
          </cell>
          <cell r="D1261" t="str">
            <v>EMPALME TERMOCONTRAIBLE UNIPOLAR DERECHO/DERIVACION P. CABLE SECO B.T. 35/6-35 MM2.</v>
          </cell>
        </row>
        <row r="1262">
          <cell r="B1262">
            <v>5111184</v>
          </cell>
          <cell r="C1262" t="str">
            <v>RAY</v>
          </cell>
          <cell r="D1262" t="str">
            <v>EMPALME TERMOCONTRAIBLE UNIPOLAR DERECHO/DERIVACION P. CABLE SECO B.T. 70/6-70 MM2.</v>
          </cell>
        </row>
        <row r="1263">
          <cell r="B1263">
            <v>5111186</v>
          </cell>
          <cell r="C1263" t="str">
            <v>RAY</v>
          </cell>
          <cell r="D1263" t="str">
            <v>EMPALME TERMOCONTRAIBLE UNIPOLAR DERECHO/DERIVACION P. CABLE SECO B.T. 120-185/10-185 MM2.</v>
          </cell>
        </row>
        <row r="1264">
          <cell r="B1264">
            <v>5111188</v>
          </cell>
          <cell r="C1264" t="str">
            <v>RAY</v>
          </cell>
          <cell r="D1264" t="str">
            <v>EMPALME TERMOCONTRAIBLE UNIPOLAR DERECHO/DERIVACION P. CABLE SECO B.T. 300/10-300 MM2.</v>
          </cell>
        </row>
        <row r="1265">
          <cell r="B1265">
            <v>5111215</v>
          </cell>
          <cell r="C1265" t="str">
            <v>P3M</v>
          </cell>
          <cell r="D1265" t="str">
            <v>EMPALME DERECHO DERIVACION UNIPOLAR AUTOFUNDENTE P.CABLE SECO 6-120 / 1,5-120MM2 EN RED AEREA B.T.</v>
          </cell>
        </row>
        <row r="1266">
          <cell r="B1266">
            <v>5111216</v>
          </cell>
          <cell r="C1266" t="str">
            <v>P3M</v>
          </cell>
          <cell r="D1266" t="str">
            <v>EMPALME DERECHO DERIVACION UNIPOLAR AUTOFUNDENTE P.CABLE SECO 16-185 / 16-120MM2 EN RED AEREA B.T.</v>
          </cell>
        </row>
        <row r="1267">
          <cell r="B1267">
            <v>5111217</v>
          </cell>
          <cell r="C1267" t="str">
            <v>P3M</v>
          </cell>
          <cell r="D1267" t="str">
            <v>EMPALME DERECHO DERIVACION UNIPOLAR AUTOFUNDENTE P.CABLE SECO 300 / 120MM2 EN RED AEREA B.T.</v>
          </cell>
        </row>
        <row r="1268">
          <cell r="B1268">
            <v>5111218</v>
          </cell>
          <cell r="C1268" t="str">
            <v>P3M</v>
          </cell>
          <cell r="D1268" t="str">
            <v>EMPALME DERECHO DERIVACION UNIPOLAR AUTOFUNDENTE P.CABLE SECO 6-120 / 10-120MM2 CONEX. MONOFASICA BT</v>
          </cell>
        </row>
        <row r="1269">
          <cell r="B1269">
            <v>5111219</v>
          </cell>
          <cell r="C1269" t="str">
            <v>P3M</v>
          </cell>
          <cell r="D1269" t="str">
            <v>EMPALME DERECHO DERIVACION UNIPOLAR AUTOFUNDENTE P.CABLE SECO 16-185/16-120MM2 CONEX. MONOFASICA BT</v>
          </cell>
        </row>
        <row r="1270">
          <cell r="B1270">
            <v>5111220</v>
          </cell>
          <cell r="C1270" t="str">
            <v>P3M</v>
          </cell>
          <cell r="D1270" t="str">
            <v>EMPALME DERECHO DERIVACION UNIPOLAR AUTOFUNDENTE P.CABLE SECO 300 / 120MM2 CONEX. MONOFASICA EN BT</v>
          </cell>
        </row>
        <row r="1271">
          <cell r="B1271">
            <v>5111221</v>
          </cell>
          <cell r="C1271" t="str">
            <v>P3M</v>
          </cell>
          <cell r="D1271" t="str">
            <v>EMPALME DERECHO DERIVACION UNIPOLAR AUTOFUNDENTE P.CABLE SECO 6-120 / 10-120MM2 CONEX. TRIFASICA BT</v>
          </cell>
        </row>
        <row r="1272">
          <cell r="B1272">
            <v>5111222</v>
          </cell>
          <cell r="C1272" t="str">
            <v>P3M</v>
          </cell>
          <cell r="D1272" t="str">
            <v>EMPALME DERECHO DERIVACION UNIPOLAR AUTOFUNDENTE P.CABLE SECO 16-185 / 16-120MM2 CONEX. TRIFASICA BT</v>
          </cell>
        </row>
        <row r="1273">
          <cell r="B1273">
            <v>5111223</v>
          </cell>
          <cell r="C1273" t="str">
            <v>P3M</v>
          </cell>
          <cell r="D1273" t="str">
            <v>EMPALME DERECHO DERIVACION UNIPOLAR AUTOFUNDENTE P.CABLE SECO 300 / 120MM2 CONEX. TRIFASICA EN BT</v>
          </cell>
        </row>
        <row r="1274">
          <cell r="B1274">
            <v>5111250</v>
          </cell>
          <cell r="C1274" t="str">
            <v>RAY</v>
          </cell>
          <cell r="D1274" t="str">
            <v>EMPALME DERECHO / DERIVACION SIMETRICO UNIPOLAR TERMOCONTRAIBLE P.CABLE SECO 6-95 / 6-35MM2 B.T.</v>
          </cell>
        </row>
        <row r="1275">
          <cell r="B1275">
            <v>5111251</v>
          </cell>
          <cell r="C1275" t="str">
            <v>RAY</v>
          </cell>
          <cell r="D1275" t="str">
            <v>EMPALME DERECHO / DERIVACION SIMETRICO UNIPOLAR TERMOCONTRAIBLE P.CABLE SECO 120-500 / 6-35MM2 B.T.</v>
          </cell>
        </row>
        <row r="1276">
          <cell r="B1276">
            <v>5111252</v>
          </cell>
          <cell r="C1276" t="str">
            <v>RAY</v>
          </cell>
          <cell r="D1276" t="str">
            <v>EMPALME DERECHO / DERIVACION SIMETRICO UNIPOLAR TERMOCONTRAIBLE P.CABLE SECO 70-185 / 70-185MM2 B.T.</v>
          </cell>
        </row>
        <row r="1277">
          <cell r="B1277">
            <v>5111253</v>
          </cell>
          <cell r="C1277" t="str">
            <v>RAY</v>
          </cell>
          <cell r="D1277" t="str">
            <v>EMPALME DERECHO / DERIVACION SIMETRICO UNIPOLAR TERMOCONTRAIBLE P.CABLE SECO 240-300 / 70-300MM2 B.T</v>
          </cell>
        </row>
        <row r="1278">
          <cell r="B1278">
            <v>5111254</v>
          </cell>
          <cell r="C1278" t="str">
            <v>RAY</v>
          </cell>
          <cell r="D1278" t="str">
            <v>EMPALME DERECHO / DERIVACION SIMETRICO UNIPOLAR TERMOCONTRAIBLE P.CABLE SECO 500 / 70-500MM2 B.T.</v>
          </cell>
        </row>
        <row r="1279">
          <cell r="B1279">
            <v>5111260</v>
          </cell>
          <cell r="C1279" t="str">
            <v>P3M</v>
          </cell>
          <cell r="D1279" t="str">
            <v>EMPALME DERECHO DERIVACION SIMETRICO UNIPOLAR AUTOFUNDENTE P.CABLE SECO 6-16 / 6-16MM2 B.T.</v>
          </cell>
        </row>
        <row r="1280">
          <cell r="B1280">
            <v>5111261</v>
          </cell>
          <cell r="C1280" t="str">
            <v>P3M</v>
          </cell>
          <cell r="D1280" t="str">
            <v>EMPALME DERECHO DERIVACION SIMETRICO UNIPOLAR AUTOFUNDENTE P.CABLE SECO 35 / 6-35MM2 B.T.</v>
          </cell>
        </row>
        <row r="1281">
          <cell r="B1281">
            <v>5111262</v>
          </cell>
          <cell r="C1281" t="str">
            <v>P3M</v>
          </cell>
          <cell r="D1281" t="str">
            <v>EMPALME DERECHO DERIVACION SIMETRICO UNIPOLAR AUTOFUNDENTE P.CABLE SECO 35-95 / 6-35MM2 B.T.</v>
          </cell>
        </row>
        <row r="1282">
          <cell r="B1282">
            <v>5111263</v>
          </cell>
          <cell r="C1282" t="str">
            <v>P3M</v>
          </cell>
          <cell r="D1282" t="str">
            <v>EMPALME DERECHO DERIVACION SIMETRICO UNIPOLAR AUTOFUNDENTE P.CABLE SECO 70-95 / 70-95MM2 B.T.</v>
          </cell>
        </row>
        <row r="1283">
          <cell r="B1283">
            <v>5111264</v>
          </cell>
          <cell r="C1283" t="str">
            <v>P3M</v>
          </cell>
          <cell r="D1283" t="str">
            <v>EMPALME DERECHO DERIVACION SIMETRICO UNIPOLAR AUTOFUNDENTE P.CABLE SECO 120-185 / 6-35MM2 B.T.</v>
          </cell>
        </row>
        <row r="1284">
          <cell r="B1284">
            <v>5111265</v>
          </cell>
          <cell r="C1284" t="str">
            <v>P3M</v>
          </cell>
          <cell r="D1284" t="str">
            <v>EMPALME DERECHO DERIVACION SIMETRICO UNIPOLAR AUTOFUNDENTE P.CABLE SECO 120-185 / 70-185MM2 B.T.</v>
          </cell>
        </row>
        <row r="1285">
          <cell r="B1285">
            <v>5111266</v>
          </cell>
          <cell r="C1285" t="str">
            <v>P3M</v>
          </cell>
          <cell r="D1285" t="str">
            <v>EMPALME DERECHO DERIVACION SIMETRICO UNIPOLAR AUTOFUNDENTE P.CABLE SECO 240-300 / 6-35MM2 B.T.</v>
          </cell>
        </row>
        <row r="1286">
          <cell r="B1286">
            <v>5111267</v>
          </cell>
          <cell r="C1286" t="str">
            <v>P3M</v>
          </cell>
          <cell r="D1286" t="str">
            <v>EMPALME DERECHO DERIVACION SIMETRICO UNIPOLAR AUTOFUNDENTE P.CABLE SECO 240-300 / 70-300MM2 B.T.</v>
          </cell>
        </row>
        <row r="1287">
          <cell r="B1287">
            <v>5111268</v>
          </cell>
          <cell r="C1287" t="str">
            <v>P3M</v>
          </cell>
          <cell r="D1287" t="str">
            <v>EMPALME DERECHO DERIVACION SIMETRICO UNIPOLAR AUTOFUNDENTE P.CABLE SECO 500 / 6-35MM2 B.T.</v>
          </cell>
        </row>
        <row r="1288">
          <cell r="B1288">
            <v>5111269</v>
          </cell>
          <cell r="C1288" t="str">
            <v>P3M</v>
          </cell>
          <cell r="D1288" t="str">
            <v>EMPALME DERECHO DERIVACION SIMETRICO UNIPOLAR AUTOFUNDENTE P.CABLE SECO 500 / 70-120MM2 B.T.</v>
          </cell>
        </row>
        <row r="1289">
          <cell r="B1289">
            <v>5111270</v>
          </cell>
          <cell r="C1289" t="str">
            <v>P3M</v>
          </cell>
          <cell r="D1289" t="str">
            <v>EMPALME DERECHO DERIVACION SIMETRICO UNIPOLAR AUTOFUNDENTE P.CABLE SECO 500 / 240-500MM2 B.T.</v>
          </cell>
        </row>
        <row r="1290">
          <cell r="B1290">
            <v>5111563</v>
          </cell>
          <cell r="C1290" t="str">
            <v>P3M</v>
          </cell>
          <cell r="D1290" t="str">
            <v>EMPALME DERECHO - DERIVACION ASIMETRICO AUTOFUNDENTE P.CABLE NKY / CABLE SECO 35 / 6-35MM2 B.T.</v>
          </cell>
        </row>
        <row r="1291">
          <cell r="B1291">
            <v>5111563</v>
          </cell>
          <cell r="C1291" t="str">
            <v>PLY</v>
          </cell>
          <cell r="D1291" t="str">
            <v>EMPALME DERECHO - DERIVACION ASIMETRICO AUTOFUNDENTE P.CABLE NKY / CABLE SECO 35 / 6-35MM2 B.T.</v>
          </cell>
        </row>
        <row r="1292">
          <cell r="B1292">
            <v>5111564</v>
          </cell>
          <cell r="C1292" t="str">
            <v>RAY</v>
          </cell>
          <cell r="D1292" t="str">
            <v>EMPALME DERECHO - DERIVACION ASIMETRICO TERMOCONTRAIBLE P.CABLE NKY / CABLE SECO 35 / 6-35MM2 B.T.</v>
          </cell>
        </row>
        <row r="1293">
          <cell r="B1293">
            <v>5111569</v>
          </cell>
          <cell r="C1293" t="str">
            <v>P3M</v>
          </cell>
          <cell r="D1293" t="str">
            <v>EMPALME DERECHO - DERIVACION ASIMETRICO AUTOFUNDENTE P.CABLE NKY / CABLE SECO 70 / 6-70MM2 B.T.</v>
          </cell>
        </row>
        <row r="1294">
          <cell r="B1294">
            <v>5111569</v>
          </cell>
          <cell r="C1294" t="str">
            <v>PLY</v>
          </cell>
          <cell r="D1294" t="str">
            <v>EMPALME DERECHO - DERIVACION ASIMETRICO AUTOFUNDENTE P.CABLE NKY / CABLE SECO 70 / 6-70MM2 B.T.</v>
          </cell>
        </row>
        <row r="1295">
          <cell r="B1295">
            <v>5111570</v>
          </cell>
          <cell r="C1295" t="str">
            <v>RAY</v>
          </cell>
          <cell r="D1295" t="str">
            <v>EMPALME DERECHO - DERIVACION ASIMETRICO TERMOCONTRAIBLE P.CABLE NKY / CABLE SECO 70 / 6-70MM2 B.T.</v>
          </cell>
        </row>
        <row r="1296">
          <cell r="B1296">
            <v>5111579</v>
          </cell>
          <cell r="C1296" t="str">
            <v>EMY</v>
          </cell>
          <cell r="D1296" t="str">
            <v>EMPALME DERECHO - DERIVACION ASIMETRICO AUTOFUNDENTE P.CABLE NKY / CABLE SECO 120-185 / 10-185MM2 BT</v>
          </cell>
        </row>
        <row r="1297">
          <cell r="B1297">
            <v>5111579</v>
          </cell>
          <cell r="C1297" t="str">
            <v>P3M</v>
          </cell>
          <cell r="D1297" t="str">
            <v>EMPALME DERECHO - DERIVACION ASIMETRICO AUTOFUNDENTE P.CABLE NKY / CABLE SECO 120-185 / 10-185MM2 BT</v>
          </cell>
        </row>
        <row r="1298">
          <cell r="B1298">
            <v>5111579</v>
          </cell>
          <cell r="C1298" t="str">
            <v>PLY</v>
          </cell>
          <cell r="D1298" t="str">
            <v>EMPALME DERECHO - DERIVACION ASIMETRICO AUTOFUNDENTE P.CABLE NKY / CABLE SECO 120-185 / 10-185MM2 BT</v>
          </cell>
        </row>
        <row r="1299">
          <cell r="B1299">
            <v>5111580</v>
          </cell>
          <cell r="C1299" t="str">
            <v>RAY</v>
          </cell>
          <cell r="D1299" t="str">
            <v>EMPALME ASIM. DER./DERIV. B.T. 120-185/10-185 MM2.TERMOCONTRAIBLE</v>
          </cell>
        </row>
        <row r="1300">
          <cell r="B1300">
            <v>5111582</v>
          </cell>
          <cell r="C1300" t="str">
            <v>RAY</v>
          </cell>
          <cell r="D1300" t="str">
            <v>EMPALME ASIM.DER./DERIV. B.T. 300/10-300MM2.TERMOCONTRAIBLE</v>
          </cell>
        </row>
        <row r="1301">
          <cell r="B1301">
            <v>5111583</v>
          </cell>
          <cell r="C1301" t="str">
            <v>P3M</v>
          </cell>
          <cell r="D1301" t="str">
            <v>EMPALME DERECHO - DERIVACION ASIMETRICO AUTOFUNDENTE P.CABLE NKY / CABLE SECO 300 / 10-300MM2 B.T.</v>
          </cell>
        </row>
        <row r="1302">
          <cell r="B1302">
            <v>5111583</v>
          </cell>
          <cell r="C1302" t="str">
            <v>PLY</v>
          </cell>
          <cell r="D1302" t="str">
            <v>EMPALME DERECHO - DERIVACION ASIMETRICO AUTOFUNDENTE P.CABLE NKY / CABLE SECO 300 / 10-300MM2 B.T.</v>
          </cell>
        </row>
        <row r="1303">
          <cell r="B1303">
            <v>5111587</v>
          </cell>
          <cell r="C1303" t="str">
            <v>P3M</v>
          </cell>
          <cell r="D1303" t="str">
            <v>EMPALME DERECHO - DERIVACION ASIMETRICO AUTOFUNDENTE P.CABLE NKY / CABLE SECO 6-16 / 6-16MM2 B.T.</v>
          </cell>
        </row>
        <row r="1304">
          <cell r="B1304">
            <v>5111587</v>
          </cell>
          <cell r="C1304" t="str">
            <v>PLY</v>
          </cell>
          <cell r="D1304" t="str">
            <v>EMPALME DERECHO - DERIVACION ASIMETRICO AUTOFUNDENTE P.CABLE NKY / CABLE SECO 6-16 / 6-16MM2 B.T.</v>
          </cell>
        </row>
        <row r="1305">
          <cell r="B1305">
            <v>5111588</v>
          </cell>
          <cell r="C1305" t="str">
            <v>RAY</v>
          </cell>
          <cell r="D1305" t="str">
            <v>EMPALME DERECHO DERIVACION ASIMETRICO TRIPOLAR TERMOCONTRAIBLE P.CABLE NKY / SECO AL 6-16/6-16MM2</v>
          </cell>
        </row>
        <row r="1306">
          <cell r="B1306">
            <v>5111600</v>
          </cell>
          <cell r="C1306" t="str">
            <v>P3M</v>
          </cell>
          <cell r="D1306" t="str">
            <v>EMPALME DERECHO DERIVACION ASIMETRICO BIPOLAR AUTOFUNDENTE P.CABLE NKY / SECO AL 6-16/6-16MM2</v>
          </cell>
        </row>
        <row r="1307">
          <cell r="B1307">
            <v>5111605</v>
          </cell>
          <cell r="C1307" t="str">
            <v>P3M</v>
          </cell>
          <cell r="D1307" t="str">
            <v>EMPALME DERECHO DERIVACION ASIMETRICO TRIPOLAR AUTOFUNDENTE P.CABLE NKY / SECO AL 6-16/6-16MM2</v>
          </cell>
        </row>
        <row r="1308">
          <cell r="B1308">
            <v>5111606</v>
          </cell>
          <cell r="C1308" t="str">
            <v>P3M</v>
          </cell>
          <cell r="D1308" t="str">
            <v>EMPALME DERECHO DERIVACION ASIMETRICO TRIPOLAR AUTOFUNDENTE P.CABLE NKY / SECO AL 35/6-35MM2</v>
          </cell>
        </row>
        <row r="1309">
          <cell r="B1309">
            <v>5111607</v>
          </cell>
          <cell r="C1309" t="str">
            <v>P3M</v>
          </cell>
          <cell r="D1309" t="str">
            <v>EMPALME DERECHO DERIVACION ASIMETRICO TRIPOLAR AUTOFUNDENTE P.CABLE NKY / SECO AL 35-70/6-35MM2</v>
          </cell>
        </row>
        <row r="1310">
          <cell r="B1310">
            <v>5111608</v>
          </cell>
          <cell r="C1310" t="str">
            <v>P3M</v>
          </cell>
          <cell r="D1310" t="str">
            <v>EMPALME DERECHO DERIVACION ASIMETRICO TRIPOLAR AUTOFUNDENTE P.CABLE NKY / SECO AL 70/70-95MM2</v>
          </cell>
        </row>
        <row r="1311">
          <cell r="B1311">
            <v>5111609</v>
          </cell>
          <cell r="C1311" t="str">
            <v>P3M</v>
          </cell>
          <cell r="D1311" t="str">
            <v>EMPALME DERECHO DERIVACION ASIMETRICO TRIPOLAR AUTOFUNDENTE P.CABLE NKY / SECO AL 120-185/6-35MM2</v>
          </cell>
        </row>
        <row r="1312">
          <cell r="B1312">
            <v>5111610</v>
          </cell>
          <cell r="C1312" t="str">
            <v>P3M</v>
          </cell>
          <cell r="D1312" t="str">
            <v>EMPALME DERECHO DERIVACION ASIMETRICO TRIPOLAR AUTOFUNDENTE P.CABLE NKY / SECO AL 120-185/70-185MM2</v>
          </cell>
        </row>
        <row r="1313">
          <cell r="B1313">
            <v>5111611</v>
          </cell>
          <cell r="C1313" t="str">
            <v>P3M</v>
          </cell>
          <cell r="D1313" t="str">
            <v>EMPALME DERECHO DERIVACION ASIMETRICO TRIPOLAR AUTOFUNDENTE P.CABLE NKY / SECO AL 240-300/6-35MM2</v>
          </cell>
        </row>
        <row r="1314">
          <cell r="B1314">
            <v>5111612</v>
          </cell>
          <cell r="C1314" t="str">
            <v>P3M</v>
          </cell>
          <cell r="D1314" t="str">
            <v>EMPALME DERECHO DERIVACION ASIMETRICO TRIPOLAR AUTOFUNDENTE P.CABLE NKY / SECO AL 240-300/70-300MM2</v>
          </cell>
        </row>
        <row r="1315">
          <cell r="B1315">
            <v>5111613</v>
          </cell>
          <cell r="C1315" t="str">
            <v>P3M</v>
          </cell>
          <cell r="D1315" t="str">
            <v>EMPALME DERECHO DERIVACION ASIMETRICO TRIPOLAR AUTOFUNDENTE P.CABLE NKY / SECO AL 500/6-35MM2</v>
          </cell>
        </row>
        <row r="1316">
          <cell r="B1316">
            <v>5111614</v>
          </cell>
          <cell r="C1316" t="str">
            <v>P3M</v>
          </cell>
          <cell r="D1316" t="str">
            <v>EMPALME DERECHO DERIVACION ASIMETRICO TRIPOLAR AUTOFUNDENTE P.CABLE NKY / SECO AL 500/70-500MM2</v>
          </cell>
        </row>
        <row r="1317">
          <cell r="B1317">
            <v>5111622</v>
          </cell>
          <cell r="C1317" t="str">
            <v>RAY</v>
          </cell>
          <cell r="D1317" t="str">
            <v>TERMINAL TERMORREST.P.CABL.NKY     6- 10MM2.COMPL.</v>
          </cell>
        </row>
        <row r="1318">
          <cell r="B1318">
            <v>5111633</v>
          </cell>
          <cell r="C1318" t="str">
            <v>RAY</v>
          </cell>
          <cell r="D1318" t="str">
            <v>TERMINAL TERMORREST.P.CABL.NKY    16- 35MM2.S/TUBO</v>
          </cell>
        </row>
        <row r="1319">
          <cell r="B1319">
            <v>5112102</v>
          </cell>
          <cell r="C1319" t="str">
            <v>BUR</v>
          </cell>
          <cell r="D1319" t="str">
            <v>CONECTOR TERMINAL A COMPRESION DE COBRE P.CABLE 6MM2, SIMPLE FIJACION</v>
          </cell>
        </row>
        <row r="1320">
          <cell r="B1320">
            <v>5112102</v>
          </cell>
          <cell r="C1320" t="str">
            <v>FAS</v>
          </cell>
          <cell r="D1320" t="str">
            <v>CONECTOR TERMINAL A COMPRESION DE COBRE P.CABLE 6MM2, SIMPLE FIJACION</v>
          </cell>
        </row>
        <row r="1321">
          <cell r="B1321">
            <v>5112102</v>
          </cell>
          <cell r="C1321" t="str">
            <v>TAL</v>
          </cell>
          <cell r="D1321" t="str">
            <v>CONECTOR TERMINAL A COMPRESION DE COBRE P.CABLE 6MM2, SIMPLE FIJACION</v>
          </cell>
        </row>
        <row r="1322">
          <cell r="B1322">
            <v>5112106</v>
          </cell>
          <cell r="C1322" t="str">
            <v>BUR</v>
          </cell>
          <cell r="D1322" t="str">
            <v>CONECTOR TERMINAL A COMPRESION DE COBRE P.CABLE 10MM2, SIMPLE FIJACION</v>
          </cell>
        </row>
        <row r="1323">
          <cell r="B1323">
            <v>5112106</v>
          </cell>
          <cell r="C1323" t="str">
            <v>FAS</v>
          </cell>
          <cell r="D1323" t="str">
            <v>CONECTOR TERMINAL A COMPRESION DE COBRE P.CABLE 10MM2, SIMPLE FIJACION</v>
          </cell>
        </row>
        <row r="1324">
          <cell r="B1324">
            <v>5112106</v>
          </cell>
          <cell r="C1324" t="str">
            <v>TAL</v>
          </cell>
          <cell r="D1324" t="str">
            <v>CONECTOR TERMINAL A COMPRESION DE COBRE P.CABLE 10MM2, SIMPLE FIJACION</v>
          </cell>
        </row>
        <row r="1325">
          <cell r="B1325">
            <v>5112116</v>
          </cell>
          <cell r="C1325" t="str">
            <v>BUR</v>
          </cell>
          <cell r="D1325" t="str">
            <v>CONECTOR TERMINAL A COMPRESION DE COBRE P.CABLE 16MM2, SIMPLE FIJACION</v>
          </cell>
        </row>
        <row r="1326">
          <cell r="B1326">
            <v>5112116</v>
          </cell>
          <cell r="C1326" t="str">
            <v>FAS</v>
          </cell>
          <cell r="D1326" t="str">
            <v>CONECTOR TERMINAL A COMPRESION DE COBRE P.CABLE 16MM2, SIMPLE FIJACION</v>
          </cell>
        </row>
        <row r="1327">
          <cell r="B1327">
            <v>5112116</v>
          </cell>
          <cell r="C1327" t="str">
            <v>TAL</v>
          </cell>
          <cell r="D1327" t="str">
            <v>CONECTOR TERMINAL A COMPRESION DE COBRE P.CABLE 16MM2, SIMPLE FIJACION</v>
          </cell>
        </row>
        <row r="1328">
          <cell r="B1328">
            <v>5112122</v>
          </cell>
          <cell r="C1328" t="str">
            <v>BUR</v>
          </cell>
          <cell r="D1328" t="str">
            <v>CONECTOR TERMINAL A COMPRESION DE COBRE P.CABLE 25MM2, SIMPLE FIJACION</v>
          </cell>
        </row>
        <row r="1329">
          <cell r="B1329">
            <v>5112122</v>
          </cell>
          <cell r="C1329" t="str">
            <v>FAS</v>
          </cell>
          <cell r="D1329" t="str">
            <v>CONECTOR TERMINAL A COMPRESION DE COBRE P.CABLE 25MM2, SIMPLE FIJACION</v>
          </cell>
        </row>
        <row r="1330">
          <cell r="B1330">
            <v>5112122</v>
          </cell>
          <cell r="C1330" t="str">
            <v>TAL</v>
          </cell>
          <cell r="D1330" t="str">
            <v>CONECTOR TERMINAL A COMPRESION DE COBRE P.CABLE 25MM2, SIMPLE FIJACION</v>
          </cell>
        </row>
        <row r="1331">
          <cell r="B1331">
            <v>5112126</v>
          </cell>
          <cell r="C1331" t="str">
            <v>BUR</v>
          </cell>
          <cell r="D1331" t="str">
            <v>CONECTOR TERMINAL A COMPRESION DE COBRE P.CABLE 35MM2, SIMPLE FIJACION</v>
          </cell>
        </row>
        <row r="1332">
          <cell r="B1332">
            <v>5112126</v>
          </cell>
          <cell r="C1332" t="str">
            <v>FAS</v>
          </cell>
          <cell r="D1332" t="str">
            <v>CONECTOR TERMINAL A COMPRESION DE COBRE P.CABLE 35MM2, SIMPLE FIJACION</v>
          </cell>
        </row>
        <row r="1333">
          <cell r="B1333">
            <v>5112126</v>
          </cell>
          <cell r="C1333" t="str">
            <v>TAL</v>
          </cell>
          <cell r="D1333" t="str">
            <v>CONECTOR TERMINAL A COMPRESION DE COBRE P.CABLE 35MM2, SIMPLE FIJACION</v>
          </cell>
        </row>
        <row r="1334">
          <cell r="B1334">
            <v>5112201</v>
          </cell>
          <cell r="C1334" t="str">
            <v>BUR</v>
          </cell>
          <cell r="D1334" t="str">
            <v>CONECTOR TERMINAL A COMPRESION DE COBRE P.CABLE 35MM2, SIMPLE FIJACION P.PERNO 1/2" DIAM.</v>
          </cell>
        </row>
        <row r="1335">
          <cell r="B1335">
            <v>5112201</v>
          </cell>
          <cell r="C1335" t="str">
            <v>FAS</v>
          </cell>
          <cell r="D1335" t="str">
            <v>CONECTOR TERMINAL A COMPRESION DE COBRE P.CABLE 35MM2, SIMPLE FIJACION P.PERNO 1/2" DIAM.</v>
          </cell>
        </row>
        <row r="1336">
          <cell r="B1336">
            <v>5112201</v>
          </cell>
          <cell r="C1336" t="str">
            <v>TAL</v>
          </cell>
          <cell r="D1336" t="str">
            <v>CONECTOR TERMINAL A COMPRESION DE COBRE P.CABLE 35MM2, SIMPLE FIJACION P.PERNO 1/2" DIAM.</v>
          </cell>
        </row>
        <row r="1337">
          <cell r="B1337">
            <v>5112202</v>
          </cell>
          <cell r="C1337" t="str">
            <v>BUR</v>
          </cell>
          <cell r="D1337" t="str">
            <v>CONECTOR TERMINAL A COMPRESION DE COBRE P.CABLE 70MM2, SIMPLE FIJACION</v>
          </cell>
        </row>
        <row r="1338">
          <cell r="B1338">
            <v>5112202</v>
          </cell>
          <cell r="C1338" t="str">
            <v>FAS</v>
          </cell>
          <cell r="D1338" t="str">
            <v>CONECTOR TERMINAL A COMPRESION DE COBRE P.CABLE 70MM2, SIMPLE FIJACION</v>
          </cell>
        </row>
        <row r="1339">
          <cell r="B1339">
            <v>5112202</v>
          </cell>
          <cell r="C1339" t="str">
            <v>TAL</v>
          </cell>
          <cell r="D1339" t="str">
            <v>CONECTOR TERMINAL A COMPRESION DE COBRE P.CABLE 70MM2, SIMPLE FIJACION</v>
          </cell>
        </row>
        <row r="1340">
          <cell r="B1340">
            <v>5112216</v>
          </cell>
          <cell r="C1340" t="str">
            <v>BUR</v>
          </cell>
          <cell r="D1340" t="str">
            <v>CONECTOR TERMINAL A COMPRESION DE COBRE P.CABLE 120MM2, SIMPLE FIJACION</v>
          </cell>
        </row>
        <row r="1341">
          <cell r="B1341">
            <v>5112216</v>
          </cell>
          <cell r="C1341" t="str">
            <v>FAS</v>
          </cell>
          <cell r="D1341" t="str">
            <v>CONECTOR TERMINAL A COMPRESION DE COBRE P.CABLE 120MM2, SIMPLE FIJACION</v>
          </cell>
        </row>
        <row r="1342">
          <cell r="B1342">
            <v>5112216</v>
          </cell>
          <cell r="C1342" t="str">
            <v>TAL</v>
          </cell>
          <cell r="D1342" t="str">
            <v>CONECTOR TERMINAL A COMPRESION DE COBRE P.CABLE 120MM2, SIMPLE FIJACION</v>
          </cell>
        </row>
        <row r="1343">
          <cell r="B1343">
            <v>5112242</v>
          </cell>
          <cell r="C1343" t="str">
            <v>BUR</v>
          </cell>
          <cell r="D1343" t="str">
            <v>CONECTOR TERMINAL A COMPRESION DE COBRE P.CABLE 185MM2, SIMPLE FIJACION</v>
          </cell>
        </row>
        <row r="1344">
          <cell r="B1344">
            <v>5112242</v>
          </cell>
          <cell r="C1344" t="str">
            <v>FAS</v>
          </cell>
          <cell r="D1344" t="str">
            <v>CONECTOR TERMINAL A COMPRESION DE COBRE P.CABLE 185MM2, SIMPLE FIJACION</v>
          </cell>
        </row>
        <row r="1345">
          <cell r="B1345">
            <v>5112242</v>
          </cell>
          <cell r="C1345" t="str">
            <v>TAL</v>
          </cell>
          <cell r="D1345" t="str">
            <v>CONECTOR TERMINAL A COMPRESION DE COBRE P.CABLE 185MM2, SIMPLE FIJACION</v>
          </cell>
        </row>
        <row r="1346">
          <cell r="B1346">
            <v>5112246</v>
          </cell>
          <cell r="C1346" t="str">
            <v>BUR</v>
          </cell>
          <cell r="D1346" t="str">
            <v>CONECTOR TERMINAL A COMPRESION DE COBRE P.CABLE 240MM2, SIMPLE FIJACION</v>
          </cell>
        </row>
        <row r="1347">
          <cell r="B1347">
            <v>5112246</v>
          </cell>
          <cell r="C1347" t="str">
            <v>FAS</v>
          </cell>
          <cell r="D1347" t="str">
            <v>CONECTOR TERMINAL A COMPRESION DE COBRE P.CABLE 240MM2, SIMPLE FIJACION</v>
          </cell>
        </row>
        <row r="1348">
          <cell r="B1348">
            <v>5112246</v>
          </cell>
          <cell r="C1348" t="str">
            <v>TAL</v>
          </cell>
          <cell r="D1348" t="str">
            <v>CONECTOR TERMINAL A COMPRESION DE COBRE P.CABLE 240MM2, SIMPLE FIJACION</v>
          </cell>
        </row>
        <row r="1349">
          <cell r="B1349">
            <v>5112254</v>
          </cell>
          <cell r="C1349" t="str">
            <v>BUR</v>
          </cell>
          <cell r="D1349" t="str">
            <v>CONECTOR TERMINAL A COMPRESION DE COBRE P.CABLE 50MM2 SIMPLE FIJACION</v>
          </cell>
        </row>
        <row r="1350">
          <cell r="B1350">
            <v>5112262</v>
          </cell>
          <cell r="C1350" t="str">
            <v>BUR</v>
          </cell>
          <cell r="D1350" t="str">
            <v>CONECTOR TERMINAL A COMPRESION DE COBRE P.CABLE 300MM2, SIMPLE FIJACION</v>
          </cell>
        </row>
        <row r="1351">
          <cell r="B1351">
            <v>5112262</v>
          </cell>
          <cell r="C1351" t="str">
            <v>FAS</v>
          </cell>
          <cell r="D1351" t="str">
            <v>CONECTOR TERMINAL A COMPRESION DE COBRE P.CABLE 300MM2, SIMPLE FIJACION</v>
          </cell>
        </row>
        <row r="1352">
          <cell r="B1352">
            <v>5112262</v>
          </cell>
          <cell r="C1352" t="str">
            <v>TAL</v>
          </cell>
          <cell r="D1352" t="str">
            <v>CONECTOR TERMINAL A COMPRESION DE COBRE P.CABLE 300MM2, SIMPLE FIJACION</v>
          </cell>
        </row>
        <row r="1353">
          <cell r="B1353">
            <v>5112264</v>
          </cell>
          <cell r="C1353" t="str">
            <v>BUR</v>
          </cell>
          <cell r="D1353" t="str">
            <v>CONECTOR TERMINAL A COMPRENSION DE AA 35 MM2</v>
          </cell>
        </row>
        <row r="1354">
          <cell r="B1354">
            <v>5112266</v>
          </cell>
          <cell r="C1354" t="str">
            <v>BUR</v>
          </cell>
          <cell r="D1354" t="str">
            <v>CONECTOR TERMINAL A COMPRENSION DE AA 70 MM2</v>
          </cell>
        </row>
        <row r="1355">
          <cell r="B1355">
            <v>5112268</v>
          </cell>
          <cell r="C1355" t="str">
            <v>BUR</v>
          </cell>
          <cell r="D1355" t="str">
            <v>CONECTOR TERMINAL A COMPRENSION DE AA 120 MM2</v>
          </cell>
        </row>
        <row r="1356">
          <cell r="B1356">
            <v>5112269</v>
          </cell>
          <cell r="C1356" t="str">
            <v>BUR</v>
          </cell>
          <cell r="D1356" t="str">
            <v>CONECTOR TERMINAL A COMPRESION DE AA 185MM2</v>
          </cell>
        </row>
        <row r="1357">
          <cell r="B1357">
            <v>5112310</v>
          </cell>
          <cell r="C1357" t="str">
            <v>AMP</v>
          </cell>
          <cell r="D1357" t="str">
            <v>CONECTOR TIP."C"CU.ELECT.ESTAÑ. A COMPRES. 6/1,5-4MM2 BT (AMP)</v>
          </cell>
        </row>
        <row r="1358">
          <cell r="B1358">
            <v>5112314</v>
          </cell>
          <cell r="C1358" t="str">
            <v>AMP</v>
          </cell>
          <cell r="D1358" t="str">
            <v>CONECTOR TIP."C"CU.ELECT.ESTAÑ. A COMPRES. 16-25/1,5-16MM2 BT (AMP)</v>
          </cell>
        </row>
        <row r="1359">
          <cell r="B1359">
            <v>5112316</v>
          </cell>
          <cell r="C1359" t="str">
            <v>AMP</v>
          </cell>
          <cell r="D1359" t="str">
            <v>CONECTOR TIP."C"CU.ELECT.ESTAÑ. A COMPRES. 25-35/1,5-25MM2 BT (AMP)</v>
          </cell>
        </row>
        <row r="1360">
          <cell r="B1360">
            <v>5112318</v>
          </cell>
          <cell r="C1360" t="str">
            <v>AMP</v>
          </cell>
          <cell r="D1360" t="str">
            <v>CONECTOR TIP."C"CU.ELECT.ESTAÑ. A COMPRES. 35-50/1,5-35MM2 BT (AMP)</v>
          </cell>
        </row>
        <row r="1361">
          <cell r="B1361">
            <v>5112320</v>
          </cell>
          <cell r="C1361" t="str">
            <v>AMP</v>
          </cell>
          <cell r="D1361" t="str">
            <v>CONECTOR TIP."C"CU.ELECT.ESTAÑ. A COMPRES. 50-70/1,5-50MM2 BT (AMP)</v>
          </cell>
        </row>
        <row r="1362">
          <cell r="B1362">
            <v>5112322</v>
          </cell>
          <cell r="C1362" t="str">
            <v>AMP</v>
          </cell>
          <cell r="D1362" t="str">
            <v>CONECTOR TIP."C"CU.ELECT.ESTAÑ. A COMPRES. 70/35-70MM2 BT (AMP)</v>
          </cell>
        </row>
        <row r="1363">
          <cell r="B1363">
            <v>5112339</v>
          </cell>
          <cell r="C1363" t="str">
            <v>AMP</v>
          </cell>
          <cell r="D1363" t="str">
            <v>CONECTOR TIP."C"CU.ELECT.ESTAÑ. A COMPRES. 25/16-25MM2 BT (3M)</v>
          </cell>
        </row>
        <row r="1364">
          <cell r="B1364">
            <v>5112339</v>
          </cell>
          <cell r="C1364" t="str">
            <v>BUR</v>
          </cell>
          <cell r="D1364" t="str">
            <v>CONECTOR TIP."C"CU.ELECT.ESTAÑ. A COMPRES. 25/16-25MM2 BT (3M)</v>
          </cell>
        </row>
        <row r="1365">
          <cell r="B1365">
            <v>5112339</v>
          </cell>
          <cell r="C1365" t="str">
            <v>CEM</v>
          </cell>
          <cell r="D1365" t="str">
            <v>CONECTOR TIP."C"CU.ELECT.ESTAÑ. A COMPRES. 25/16-25MM2 BT (3M)</v>
          </cell>
        </row>
        <row r="1366">
          <cell r="B1366">
            <v>5112341</v>
          </cell>
          <cell r="C1366" t="str">
            <v>AMP</v>
          </cell>
          <cell r="D1366" t="str">
            <v>CONECTOR TIP."C"CU.ELECT.ESTAÑ. A COMPRES. 10/1,5-10MM2 BT (3M)</v>
          </cell>
        </row>
        <row r="1367">
          <cell r="B1367">
            <v>5112341</v>
          </cell>
          <cell r="C1367" t="str">
            <v>BUR</v>
          </cell>
          <cell r="D1367" t="str">
            <v>CONECTOR TIP."C"CU.ELECT.ESTAÑ. A COMPRES. 10/1,5-10MM2 BT (3M)</v>
          </cell>
        </row>
        <row r="1368">
          <cell r="B1368">
            <v>5112341</v>
          </cell>
          <cell r="C1368" t="str">
            <v>CEM</v>
          </cell>
          <cell r="D1368" t="str">
            <v>CONECTOR TIP."C"CU.ELECT.ESTAÑ. A COMPRES. 10/1,5-10MM2 BT (3M)</v>
          </cell>
        </row>
        <row r="1369">
          <cell r="B1369">
            <v>5112342</v>
          </cell>
          <cell r="C1369" t="str">
            <v>AMP</v>
          </cell>
          <cell r="D1369" t="str">
            <v>CONECTOR TIP."C"CU.ELECT.ESTAÑ. A COMPRES. 16/1,5-16MM2 BT (3M)</v>
          </cell>
        </row>
        <row r="1370">
          <cell r="B1370">
            <v>5112342</v>
          </cell>
          <cell r="C1370" t="str">
            <v>BUR</v>
          </cell>
          <cell r="D1370" t="str">
            <v>CONECTOR TIP."C"CU.ELECT.ESTAÑ. A COMPRES. 16/1,5-16MM2 BT (3M)</v>
          </cell>
        </row>
        <row r="1371">
          <cell r="B1371">
            <v>5112342</v>
          </cell>
          <cell r="C1371" t="str">
            <v>CEM</v>
          </cell>
          <cell r="D1371" t="str">
            <v>CONECTOR TIP."C"CU.ELECT.ESTAÑ. A COMPRES. 16/1,5-16MM2 BT (3M)</v>
          </cell>
        </row>
        <row r="1372">
          <cell r="B1372">
            <v>5112368</v>
          </cell>
          <cell r="C1372" t="str">
            <v>TAL</v>
          </cell>
          <cell r="D1372" t="str">
            <v>DERIVACION DE BRONCE PARA EMPALME       70/ 35MM2.</v>
          </cell>
        </row>
        <row r="1373">
          <cell r="B1373">
            <v>5112372</v>
          </cell>
          <cell r="C1373" t="str">
            <v>TAL</v>
          </cell>
          <cell r="D1373" t="str">
            <v>DERIVACION DE BRONCE PARA EMPALME       70/ 70MM2.</v>
          </cell>
        </row>
        <row r="1374">
          <cell r="B1374">
            <v>5112376</v>
          </cell>
          <cell r="C1374" t="str">
            <v>TAL</v>
          </cell>
          <cell r="D1374" t="str">
            <v>UNION TUB. CU. ESTAÑADO TABIC. COMPR. P/ EMPALME ASIM. 16-25MM2</v>
          </cell>
        </row>
        <row r="1375">
          <cell r="B1375">
            <v>5112378</v>
          </cell>
          <cell r="C1375" t="str">
            <v>TAL</v>
          </cell>
          <cell r="D1375" t="str">
            <v>UNION TUB. CU. ESTAÑADO TAB. COMPR. P. CABLES DIF. SECCION 35/16MM2</v>
          </cell>
        </row>
        <row r="1376">
          <cell r="B1376">
            <v>5112381</v>
          </cell>
          <cell r="C1376" t="str">
            <v>TAL</v>
          </cell>
          <cell r="D1376" t="str">
            <v>UNION TUB. CU. ESTAÑADO TABIC. COMPR. P/ EMPALME ASIM. 25-35MM2</v>
          </cell>
        </row>
        <row r="1377">
          <cell r="B1377">
            <v>5112382</v>
          </cell>
          <cell r="C1377" t="str">
            <v>TAL</v>
          </cell>
          <cell r="D1377" t="str">
            <v>UNION TUB. CU. ESTAÑADO TABIC. COMPR. P/ EMPALME ASIM. 35-50MM2</v>
          </cell>
        </row>
        <row r="1378">
          <cell r="B1378">
            <v>5112383</v>
          </cell>
          <cell r="C1378" t="str">
            <v>TAL</v>
          </cell>
          <cell r="D1378" t="str">
            <v>UNION.CU.TABICADA.ESTA?ADAS.70-25MM2.</v>
          </cell>
        </row>
        <row r="1379">
          <cell r="B1379">
            <v>5112384</v>
          </cell>
          <cell r="C1379" t="str">
            <v>TAL</v>
          </cell>
          <cell r="D1379" t="str">
            <v>UNION TUB. CU. ESTAÑADO TABIC. COMPR. P/ EMPALME ASIM. 50-70MM2</v>
          </cell>
        </row>
        <row r="1380">
          <cell r="B1380">
            <v>5112390</v>
          </cell>
          <cell r="C1380" t="str">
            <v>TAL</v>
          </cell>
          <cell r="D1380" t="str">
            <v>UNION TUB. CU. ESTAÑADO TABIC. COMPR. P/ EMPALME ASIM. 120-240MM2</v>
          </cell>
        </row>
        <row r="1381">
          <cell r="B1381">
            <v>5112396</v>
          </cell>
          <cell r="C1381" t="str">
            <v>BUR</v>
          </cell>
          <cell r="D1381" t="str">
            <v>CONECTOR EN DERIVACION EN C DE COBRE RECOCIDO P.CONDUCTOR 16-35MM2 / 16-35MM2</v>
          </cell>
        </row>
        <row r="1382">
          <cell r="B1382">
            <v>5112402</v>
          </cell>
          <cell r="C1382" t="str">
            <v>BUR</v>
          </cell>
          <cell r="D1382" t="str">
            <v>UNION CU.DERECHA ABIERTA PARA CONDUCTOR      6MM2.</v>
          </cell>
        </row>
        <row r="1383">
          <cell r="B1383">
            <v>5112402</v>
          </cell>
          <cell r="C1383" t="str">
            <v>FAS</v>
          </cell>
          <cell r="D1383" t="str">
            <v>UNION CU.DERECHA ABIERTA PARA CONDUCTOR      6MM2.</v>
          </cell>
        </row>
        <row r="1384">
          <cell r="B1384">
            <v>5112402</v>
          </cell>
          <cell r="C1384" t="str">
            <v>TAL</v>
          </cell>
          <cell r="D1384" t="str">
            <v>UNION CU.DERECHA ABIERTA PARA CONDUCTOR      6MM2.</v>
          </cell>
        </row>
        <row r="1385">
          <cell r="B1385">
            <v>5112406</v>
          </cell>
          <cell r="C1385" t="str">
            <v>BUR</v>
          </cell>
          <cell r="D1385" t="str">
            <v>UNION CU.DERECHA ABIERTA PARA CONDUCTOR     10MM2.</v>
          </cell>
        </row>
        <row r="1386">
          <cell r="B1386">
            <v>5112406</v>
          </cell>
          <cell r="C1386" t="str">
            <v>FAS</v>
          </cell>
          <cell r="D1386" t="str">
            <v>UNION CU.DERECHA ABIERTA PARA CONDUCTOR     10MM2.</v>
          </cell>
        </row>
        <row r="1387">
          <cell r="B1387">
            <v>5112406</v>
          </cell>
          <cell r="C1387" t="str">
            <v>TAL</v>
          </cell>
          <cell r="D1387" t="str">
            <v>UNION CU.DERECHA ABIERTA PARA CONDUCTOR     10MM2.</v>
          </cell>
        </row>
        <row r="1388">
          <cell r="B1388">
            <v>5112416</v>
          </cell>
          <cell r="C1388" t="str">
            <v>BUR</v>
          </cell>
          <cell r="D1388" t="str">
            <v>UNION CU.DERECHA ABIERTA PARA CONDUCTOR     16MM2.</v>
          </cell>
        </row>
        <row r="1389">
          <cell r="B1389">
            <v>5112416</v>
          </cell>
          <cell r="C1389" t="str">
            <v>FAS</v>
          </cell>
          <cell r="D1389" t="str">
            <v>UNION CU.DERECHA ABIERTA PARA CONDUCTOR     16MM2.</v>
          </cell>
        </row>
        <row r="1390">
          <cell r="B1390">
            <v>5112416</v>
          </cell>
          <cell r="C1390" t="str">
            <v>TAL</v>
          </cell>
          <cell r="D1390" t="str">
            <v>UNION CU.DERECHA ABIERTA PARA CONDUCTOR     16MM2.</v>
          </cell>
        </row>
        <row r="1391">
          <cell r="B1391">
            <v>5112426</v>
          </cell>
          <cell r="C1391" t="str">
            <v>BUR</v>
          </cell>
          <cell r="D1391" t="str">
            <v>UNION CU.DERECHA ABIERTA PARA CONDUCTOR     35MM2.</v>
          </cell>
        </row>
        <row r="1392">
          <cell r="B1392">
            <v>5112426</v>
          </cell>
          <cell r="C1392" t="str">
            <v>FAS</v>
          </cell>
          <cell r="D1392" t="str">
            <v>UNION CU.DERECHA ABIERTA PARA CONDUCTOR     35MM2.</v>
          </cell>
        </row>
        <row r="1393">
          <cell r="B1393">
            <v>5112426</v>
          </cell>
          <cell r="C1393" t="str">
            <v>TAL</v>
          </cell>
          <cell r="D1393" t="str">
            <v>UNION CU.DERECHA ABIERTA PARA CONDUCTOR     35MM2.</v>
          </cell>
        </row>
        <row r="1394">
          <cell r="B1394">
            <v>5112432</v>
          </cell>
          <cell r="C1394" t="str">
            <v>BUR</v>
          </cell>
          <cell r="D1394" t="str">
            <v>UNION CU.DERECHA ABIERTA PARA CONDUCTOR     70MM2.</v>
          </cell>
        </row>
        <row r="1395">
          <cell r="B1395">
            <v>5112432</v>
          </cell>
          <cell r="C1395" t="str">
            <v>FAS</v>
          </cell>
          <cell r="D1395" t="str">
            <v>UNION CU.DERECHA ABIERTA PARA CONDUCTOR     70MM2.</v>
          </cell>
        </row>
        <row r="1396">
          <cell r="B1396">
            <v>5112432</v>
          </cell>
          <cell r="C1396" t="str">
            <v>TAL</v>
          </cell>
          <cell r="D1396" t="str">
            <v>UNION CU.DERECHA ABIERTA PARA CONDUCTOR     70MM2.</v>
          </cell>
        </row>
        <row r="1397">
          <cell r="B1397">
            <v>5112442</v>
          </cell>
          <cell r="C1397" t="str">
            <v>BUR</v>
          </cell>
          <cell r="D1397" t="str">
            <v>UNION CU.DERECHA ABIERTA PARA CONDUCTOR    120MM2.</v>
          </cell>
        </row>
        <row r="1398">
          <cell r="B1398">
            <v>5112442</v>
          </cell>
          <cell r="C1398" t="str">
            <v>FAS</v>
          </cell>
          <cell r="D1398" t="str">
            <v>UNION CU.DERECHA ABIERTA PARA CONDUCTOR    120MM2.</v>
          </cell>
        </row>
        <row r="1399">
          <cell r="B1399">
            <v>5112442</v>
          </cell>
          <cell r="C1399" t="str">
            <v>TAL</v>
          </cell>
          <cell r="D1399" t="str">
            <v>UNION CU.DERECHA ABIERTA PARA CONDUCTOR    120MM2.</v>
          </cell>
        </row>
        <row r="1400">
          <cell r="B1400">
            <v>5112452</v>
          </cell>
          <cell r="C1400" t="str">
            <v>BUR</v>
          </cell>
          <cell r="D1400" t="str">
            <v>UNION CU.DERECHA ABIERTA PARA CONDUCTOR    185MM2.</v>
          </cell>
        </row>
        <row r="1401">
          <cell r="B1401">
            <v>5112452</v>
          </cell>
          <cell r="C1401" t="str">
            <v>FAS</v>
          </cell>
          <cell r="D1401" t="str">
            <v>UNION CU.DERECHA ABIERTA PARA CONDUCTOR    185MM2.</v>
          </cell>
        </row>
        <row r="1402">
          <cell r="B1402">
            <v>5112452</v>
          </cell>
          <cell r="C1402" t="str">
            <v>TAL</v>
          </cell>
          <cell r="D1402" t="str">
            <v>UNION CU.DERECHA ABIERTA PARA CONDUCTOR    185MM2.</v>
          </cell>
        </row>
        <row r="1403">
          <cell r="B1403">
            <v>5112462</v>
          </cell>
          <cell r="C1403" t="str">
            <v>BUR</v>
          </cell>
          <cell r="D1403" t="str">
            <v>UNION CU.DERECHA ABIERTA PARA CONDUCTOR    240MM2.</v>
          </cell>
        </row>
        <row r="1404">
          <cell r="B1404">
            <v>5112462</v>
          </cell>
          <cell r="C1404" t="str">
            <v>FAS</v>
          </cell>
          <cell r="D1404" t="str">
            <v>UNION CU.DERECHA ABIERTA PARA CONDUCTOR    240MM2.</v>
          </cell>
        </row>
        <row r="1405">
          <cell r="B1405">
            <v>5112462</v>
          </cell>
          <cell r="C1405" t="str">
            <v>TAL</v>
          </cell>
          <cell r="D1405" t="str">
            <v>UNION CU.DERECHA ABIERTA PARA CONDUCTOR    240MM2.</v>
          </cell>
        </row>
        <row r="1406">
          <cell r="B1406">
            <v>5112472</v>
          </cell>
          <cell r="C1406" t="str">
            <v>BUR</v>
          </cell>
          <cell r="D1406" t="str">
            <v>UNION CU.DERECHA ABIERTA PARA CONDUCTOR    300MM2.</v>
          </cell>
        </row>
        <row r="1407">
          <cell r="B1407">
            <v>5112472</v>
          </cell>
          <cell r="C1407" t="str">
            <v>FAS</v>
          </cell>
          <cell r="D1407" t="str">
            <v>UNION CU.DERECHA ABIERTA PARA CONDUCTOR    300MM2.</v>
          </cell>
        </row>
        <row r="1408">
          <cell r="B1408">
            <v>5112472</v>
          </cell>
          <cell r="C1408" t="str">
            <v>TAL</v>
          </cell>
          <cell r="D1408" t="str">
            <v>UNION CU.DERECHA ABIERTA PARA CONDUCTOR    300MM2.</v>
          </cell>
        </row>
        <row r="1409">
          <cell r="B1409">
            <v>5112482</v>
          </cell>
          <cell r="C1409" t="str">
            <v>BUR</v>
          </cell>
          <cell r="D1409" t="str">
            <v>UNION CU.DERECHA ABIERTA PARA CONDUCTOR    500MM2.</v>
          </cell>
        </row>
        <row r="1410">
          <cell r="B1410">
            <v>5112482</v>
          </cell>
          <cell r="C1410" t="str">
            <v>FAS</v>
          </cell>
          <cell r="D1410" t="str">
            <v>UNION CU.DERECHA ABIERTA PARA CONDUCTOR    500MM2.</v>
          </cell>
        </row>
        <row r="1411">
          <cell r="B1411">
            <v>5112482</v>
          </cell>
          <cell r="C1411" t="str">
            <v>TAL</v>
          </cell>
          <cell r="D1411" t="str">
            <v>UNION CU.DERECHA ABIERTA PARA CONDUCTOR    500MM2.</v>
          </cell>
        </row>
        <row r="1412">
          <cell r="B1412">
            <v>5112602</v>
          </cell>
          <cell r="C1412" t="str">
            <v>FAS</v>
          </cell>
          <cell r="D1412" t="str">
            <v>UNION CU.DERECHA A COMPRESION P.CABLE        6MM2.</v>
          </cell>
        </row>
        <row r="1413">
          <cell r="B1413">
            <v>5112602</v>
          </cell>
          <cell r="C1413" t="str">
            <v>TAL</v>
          </cell>
          <cell r="D1413" t="str">
            <v>UNION CU.DERECHA A COMPRESION P.CABLE        6MM2.</v>
          </cell>
        </row>
        <row r="1414">
          <cell r="B1414">
            <v>5112606</v>
          </cell>
          <cell r="C1414" t="str">
            <v>FAS</v>
          </cell>
          <cell r="D1414" t="str">
            <v>UNION CU.DERECHA A COMPRESION P.CABLE       10MM2.</v>
          </cell>
        </row>
        <row r="1415">
          <cell r="B1415">
            <v>5112606</v>
          </cell>
          <cell r="C1415" t="str">
            <v>TAL</v>
          </cell>
          <cell r="D1415" t="str">
            <v>UNION CU.DERECHA A COMPRESION P.CABLE       10MM2.</v>
          </cell>
        </row>
        <row r="1416">
          <cell r="B1416">
            <v>5112616</v>
          </cell>
          <cell r="C1416" t="str">
            <v>FAS</v>
          </cell>
          <cell r="D1416" t="str">
            <v>UNION CU.DERECHA A COMPRESION P.CABLE       16MM2.</v>
          </cell>
        </row>
        <row r="1417">
          <cell r="B1417">
            <v>5112616</v>
          </cell>
          <cell r="C1417" t="str">
            <v>TAL</v>
          </cell>
          <cell r="D1417" t="str">
            <v>UNION CU.DERECHA A COMPRESION P.CABLE       16MM2.</v>
          </cell>
        </row>
        <row r="1418">
          <cell r="B1418">
            <v>5112626</v>
          </cell>
          <cell r="C1418" t="str">
            <v>FAS</v>
          </cell>
          <cell r="D1418" t="str">
            <v>CONECTOR TUBULAR A COMPRESION SIN TABICAR CU. ESTAÑ. 35MM2.</v>
          </cell>
        </row>
        <row r="1419">
          <cell r="B1419">
            <v>5112626</v>
          </cell>
          <cell r="C1419" t="str">
            <v>TAL</v>
          </cell>
          <cell r="D1419" t="str">
            <v>CONECTOR TUBULAR A COMPRESION SIN TABICAR CU. ESTAÑ. 35MM2.</v>
          </cell>
        </row>
        <row r="1420">
          <cell r="B1420">
            <v>5112632</v>
          </cell>
          <cell r="C1420" t="str">
            <v>FAS</v>
          </cell>
          <cell r="D1420" t="str">
            <v>UNION CU.DERECHA A COMPRESION P.CABLE       70MM2.</v>
          </cell>
        </row>
        <row r="1421">
          <cell r="B1421">
            <v>5112632</v>
          </cell>
          <cell r="C1421" t="str">
            <v>TAL</v>
          </cell>
          <cell r="D1421" t="str">
            <v>UNION CU.DERECHA A COMPRESION P.CABLE       70MM2.</v>
          </cell>
        </row>
        <row r="1422">
          <cell r="B1422">
            <v>5112642</v>
          </cell>
          <cell r="C1422" t="str">
            <v>FAS</v>
          </cell>
          <cell r="D1422" t="str">
            <v>UNION CU.DERECHA A COMPRESION P.CABLE      120MM2.</v>
          </cell>
        </row>
        <row r="1423">
          <cell r="B1423">
            <v>5112642</v>
          </cell>
          <cell r="C1423" t="str">
            <v>TAL</v>
          </cell>
          <cell r="D1423" t="str">
            <v>UNION CU.DERECHA A COMPRESION P.CABLE      120MM2.</v>
          </cell>
        </row>
        <row r="1424">
          <cell r="B1424">
            <v>5112652</v>
          </cell>
          <cell r="C1424" t="str">
            <v>FAS</v>
          </cell>
          <cell r="D1424" t="str">
            <v>UNION CU.DERECHA A COMPRESION P.CABLE      185MM2.</v>
          </cell>
        </row>
        <row r="1425">
          <cell r="B1425">
            <v>5112652</v>
          </cell>
          <cell r="C1425" t="str">
            <v>TAL</v>
          </cell>
          <cell r="D1425" t="str">
            <v>UNION CU.DERECHA A COMPRESION P.CABLE      185MM2.</v>
          </cell>
        </row>
        <row r="1426">
          <cell r="B1426">
            <v>5112662</v>
          </cell>
          <cell r="C1426" t="str">
            <v>FAS</v>
          </cell>
          <cell r="D1426" t="str">
            <v>UNION CU.DERECHA A COMPRESION P.CABLE      240MM2.</v>
          </cell>
        </row>
        <row r="1427">
          <cell r="B1427">
            <v>5112662</v>
          </cell>
          <cell r="C1427" t="str">
            <v>TAL</v>
          </cell>
          <cell r="D1427" t="str">
            <v>UNION CU.DERECHA A COMPRESION P.CABLE      240MM2.</v>
          </cell>
        </row>
        <row r="1428">
          <cell r="B1428">
            <v>5112672</v>
          </cell>
          <cell r="C1428" t="str">
            <v>FAS</v>
          </cell>
          <cell r="D1428" t="str">
            <v>UNION CU.DERECHA A COMPRESION P.CABLE      300MM2.</v>
          </cell>
        </row>
        <row r="1429">
          <cell r="B1429">
            <v>5112672</v>
          </cell>
          <cell r="C1429" t="str">
            <v>TAL</v>
          </cell>
          <cell r="D1429" t="str">
            <v>UNION CU.DERECHA A COMPRESION P.CABLE      300MM2.</v>
          </cell>
        </row>
        <row r="1430">
          <cell r="B1430">
            <v>5112680</v>
          </cell>
          <cell r="C1430" t="str">
            <v>FRA</v>
          </cell>
          <cell r="D1430" t="str">
            <v>UNION P.EMPALME AUTOMATICO P.CABLE DE GUARDA DE ACERO 9,52 - 10,6MM DIAM.</v>
          </cell>
        </row>
        <row r="1431">
          <cell r="B1431">
            <v>5112852</v>
          </cell>
          <cell r="C1431" t="str">
            <v>BYH</v>
          </cell>
          <cell r="D1431" t="str">
            <v>CONECTOR MECANICO EN DERIVACION DE ALEACION DE ALUMINIO P.CABLES DE ALUMINIO 35-95/6-35MM2, B.T</v>
          </cell>
        </row>
        <row r="1432">
          <cell r="B1432">
            <v>5112852</v>
          </cell>
          <cell r="C1432" t="str">
            <v>P3M</v>
          </cell>
          <cell r="D1432" t="str">
            <v>CONECTOR MECANICO EN DERIVACION DE ALEACION DE ALUMINIO P.CABLES DE ALUMINIO 35-95/6-35MM2, B.T</v>
          </cell>
        </row>
        <row r="1433">
          <cell r="B1433">
            <v>5112854</v>
          </cell>
          <cell r="C1433" t="str">
            <v>BYH</v>
          </cell>
          <cell r="D1433" t="str">
            <v>CONECTOR MECANICO EN DERIVACION DE ALEACION DE ALUMINIO P.CABLES 120-185 / 6-35MM2 EN RED B.T.</v>
          </cell>
        </row>
        <row r="1434">
          <cell r="B1434">
            <v>5112854</v>
          </cell>
          <cell r="C1434" t="str">
            <v>P3M</v>
          </cell>
          <cell r="D1434" t="str">
            <v>CONECTOR MECANICO EN DERIVACION DE ALEACION DE ALUMINIO P.CABLES 120-185 / 6-35MM2 EN RED B.T.</v>
          </cell>
        </row>
        <row r="1435">
          <cell r="B1435">
            <v>5112856</v>
          </cell>
          <cell r="C1435" t="str">
            <v>BYH</v>
          </cell>
          <cell r="D1435" t="str">
            <v>CONECTOR MECANICO EN DERIVACION DE ALEACION DE ALUMINIO P.CABLES AAAC 240-300 / 6-35MM2 EN RED B.T.</v>
          </cell>
        </row>
        <row r="1436">
          <cell r="B1436">
            <v>5112856</v>
          </cell>
          <cell r="C1436" t="str">
            <v>P3M</v>
          </cell>
          <cell r="D1436" t="str">
            <v>CONECTOR MECANICO EN DERIVACION DE ALEACION DE ALUMINIO P.CABLES AAAC 240-300 / 6-35MM2 EN RED B.T.</v>
          </cell>
        </row>
        <row r="1437">
          <cell r="B1437">
            <v>5112858</v>
          </cell>
          <cell r="C1437" t="str">
            <v>BYH</v>
          </cell>
          <cell r="D1437" t="str">
            <v>CONECTOR MECANICO EN DERIVACION DE ALEACION DE ALUMINIO P.CABLES AAAC 500 / 6-35MM2 EN RED B.T.</v>
          </cell>
        </row>
        <row r="1438">
          <cell r="B1438">
            <v>5112872</v>
          </cell>
          <cell r="C1438" t="str">
            <v>BYH</v>
          </cell>
          <cell r="D1438" t="str">
            <v>CONECTOR MECANICO EN DERIVACION DE ALEACION DE ALUMINIO P.CABLES DE ALUMINIO 70-95/70-95MM2, B.T</v>
          </cell>
        </row>
        <row r="1439">
          <cell r="B1439">
            <v>5112872</v>
          </cell>
          <cell r="C1439" t="str">
            <v>P3M</v>
          </cell>
          <cell r="D1439" t="str">
            <v>CONECTOR MECANICO EN DERIVACION DE ALEACION DE ALUMINIO P.CABLES DE ALUMINIO 70-95/70-95MM2, B.T</v>
          </cell>
        </row>
        <row r="1440">
          <cell r="B1440">
            <v>5112874</v>
          </cell>
          <cell r="C1440" t="str">
            <v>BYH</v>
          </cell>
          <cell r="D1440" t="str">
            <v>CONECTOR MECANICO EN DERIVACION DE ALEACION DE ALUMINIO P.CABLES DE ALUMINIO 120-185/70-185MM2, B.T</v>
          </cell>
        </row>
        <row r="1441">
          <cell r="B1441">
            <v>5112874</v>
          </cell>
          <cell r="C1441" t="str">
            <v>P3M</v>
          </cell>
          <cell r="D1441" t="str">
            <v>CONECTOR MECANICO EN DERIVACION DE ALEACION DE ALUMINIO P.CABLES DE ALUMINIO 120-185/70-185MM2, B.T</v>
          </cell>
        </row>
        <row r="1442">
          <cell r="B1442">
            <v>5112876</v>
          </cell>
          <cell r="C1442" t="str">
            <v>BYH</v>
          </cell>
          <cell r="D1442" t="str">
            <v>CONECTOR MECANICO EN DERIVACION DE ALEACION DE ALUMINIO P.CABLES DE ALUMINIO 240-300/70-300MM2, B.T</v>
          </cell>
        </row>
        <row r="1443">
          <cell r="B1443">
            <v>5112876</v>
          </cell>
          <cell r="C1443" t="str">
            <v>P3M</v>
          </cell>
          <cell r="D1443" t="str">
            <v>CONECTOR MECANICO EN DERIVACION DE ALEACION DE ALUMINIO P.CABLES DE ALUMINIO 240-300/70-300MM2, B.T</v>
          </cell>
        </row>
        <row r="1444">
          <cell r="B1444">
            <v>5112878</v>
          </cell>
          <cell r="C1444" t="str">
            <v>BYH</v>
          </cell>
          <cell r="D1444" t="str">
            <v>CONECTOR MECANICO EN DERIVACION DE ALEACION DE ALUMINIO P.CABLES AAAC 500 / 240-500MM2 EN RED B.T.</v>
          </cell>
        </row>
        <row r="1445">
          <cell r="B1445">
            <v>5112878</v>
          </cell>
          <cell r="C1445" t="str">
            <v>SIC</v>
          </cell>
          <cell r="D1445" t="str">
            <v>CONECTOR MECANICO EN DERIVACION DE ALEACION DE ALUMINIO P.CABLES AAAC 500 / 240-500MM2 EN RED B.T.</v>
          </cell>
        </row>
        <row r="1446">
          <cell r="B1446">
            <v>5112880</v>
          </cell>
          <cell r="C1446" t="str">
            <v>BYH</v>
          </cell>
          <cell r="D1446" t="str">
            <v>CONECTOR MECANICO EN DERIVACION DE ALEACION DE ALUMINIO P.CABLES AAAC 500 / 70-120MM2 EN RED B.T.</v>
          </cell>
        </row>
        <row r="1447">
          <cell r="B1447">
            <v>5112880</v>
          </cell>
          <cell r="C1447" t="str">
            <v>SIC</v>
          </cell>
          <cell r="D1447" t="str">
            <v>CONECTOR MECANICO EN DERIVACION DE ALEACION DE ALUMINIO P.CABLES AAAC 500 / 70-120MM2 EN RED B.T.</v>
          </cell>
        </row>
        <row r="1448">
          <cell r="B1448">
            <v>5112881</v>
          </cell>
          <cell r="C1448" t="str">
            <v>P3M</v>
          </cell>
          <cell r="D1448" t="str">
            <v>CONECTOR MECANICO EN DERIVACION DE ALEACION DE ALUMINIO P.CABLES DE ALUMINIO 240-400/70-400MM2, B.T</v>
          </cell>
        </row>
        <row r="1449">
          <cell r="B1449">
            <v>5112922</v>
          </cell>
          <cell r="C1449" t="str">
            <v>TCE</v>
          </cell>
          <cell r="D1449" t="str">
            <v>CONECTOR TERMINAL A COMPRESION BIMETALICO P.CABLE DE ALUMINIO 16MM2, SIMPLE FIJACION</v>
          </cell>
        </row>
        <row r="1450">
          <cell r="B1450">
            <v>5112924</v>
          </cell>
          <cell r="C1450" t="str">
            <v>TCE</v>
          </cell>
          <cell r="D1450" t="str">
            <v>CONECTOR TERMINAL A COMPRESION BIMETALICO P.CABLE DE ALUMINIO 25MM2, SIMPLE FIJACION</v>
          </cell>
        </row>
        <row r="1451">
          <cell r="B1451">
            <v>5112925</v>
          </cell>
          <cell r="C1451" t="str">
            <v>TCE</v>
          </cell>
          <cell r="D1451" t="str">
            <v>CONECTOR TERMINAL A COMPRESION BIMETALICO P.CABLE DE ALUMINIO 50MM2, SIMPLE FIJACION</v>
          </cell>
        </row>
        <row r="1452">
          <cell r="B1452">
            <v>5112926</v>
          </cell>
          <cell r="C1452" t="str">
            <v>RAY</v>
          </cell>
          <cell r="D1452" t="str">
            <v>CONECTOR TERMINAL A COMPRESION BIMETALICO P.CABLE DE ALUMINIO 70MM2, SIMPLE FIJACION</v>
          </cell>
        </row>
        <row r="1453">
          <cell r="B1453">
            <v>5112926</v>
          </cell>
          <cell r="C1453" t="str">
            <v>TCE</v>
          </cell>
          <cell r="D1453" t="str">
            <v>CONECTOR TERMINAL A COMPRESION BIMETALICO P.CABLE DE ALUMINIO 70MM2, SIMPLE FIJACION</v>
          </cell>
        </row>
        <row r="1454">
          <cell r="B1454">
            <v>5112928</v>
          </cell>
          <cell r="C1454" t="str">
            <v>TCE</v>
          </cell>
          <cell r="D1454" t="str">
            <v>CONECTOR TERMINAL A COMPRESION BIMETALICO P.CABLE DE ALUMINIO 95MM2, SIMPLE FIJACION</v>
          </cell>
        </row>
        <row r="1455">
          <cell r="B1455">
            <v>5113323</v>
          </cell>
          <cell r="C1455" t="str">
            <v>P3M</v>
          </cell>
          <cell r="D1455" t="str">
            <v>MANGA.TERMORR.PUNT.MUERTA.NKY-NYY.6/35MM2.</v>
          </cell>
        </row>
        <row r="1456">
          <cell r="B1456">
            <v>5113323</v>
          </cell>
          <cell r="C1456" t="str">
            <v>RAY</v>
          </cell>
          <cell r="D1456" t="str">
            <v>MANGA.TERMORR.PUNT.MUERTA.NKY-NYY.6/35MM2.</v>
          </cell>
        </row>
        <row r="1457">
          <cell r="B1457">
            <v>5114116</v>
          </cell>
          <cell r="C1457" t="str">
            <v>RAY</v>
          </cell>
          <cell r="D1457" t="str">
            <v>CINTA AISLANTE TERMOC.P.UNIONES &amp;CONEX./AUTOP.10KV</v>
          </cell>
        </row>
        <row r="1458">
          <cell r="B1458">
            <v>5114117</v>
          </cell>
          <cell r="C1458" t="str">
            <v>RAY</v>
          </cell>
          <cell r="D1458" t="str">
            <v>PLACA AISLANTE TERMOC.P.UNIONES &amp;CONEX./AUTOP.10KV</v>
          </cell>
        </row>
        <row r="1459">
          <cell r="B1459">
            <v>5114122</v>
          </cell>
          <cell r="C1459" t="str">
            <v>P3M</v>
          </cell>
          <cell r="D1459" t="str">
            <v>CINTA AISLANTE TERMOPLASTICA DE PVC DE 19MM X 4,5M X 0,15MM 600V COLOR BLANCO USO EN INTERIORES</v>
          </cell>
        </row>
        <row r="1460">
          <cell r="B1460">
            <v>5114122</v>
          </cell>
          <cell r="C1460" t="str">
            <v>P3M</v>
          </cell>
          <cell r="D1460" t="str">
            <v>CINTA AISLANTE TERMOPLASTICA DE PVC DE 19MM X 4,5M X 0,15MM 600V COLOR BLANCO USO EN INTERIORES</v>
          </cell>
        </row>
        <row r="1461">
          <cell r="B1461">
            <v>5114124</v>
          </cell>
          <cell r="C1461" t="str">
            <v>P3M</v>
          </cell>
          <cell r="D1461" t="str">
            <v>CINTA AISLANTE TERMOPLASTICA DE PVC DE 19MM X 4,5M X 0,15MM 600V COLOR NEGRO USO EN INTERIORES</v>
          </cell>
        </row>
        <row r="1462">
          <cell r="B1462">
            <v>5114124</v>
          </cell>
          <cell r="C1462" t="str">
            <v>P3M</v>
          </cell>
          <cell r="D1462" t="str">
            <v>CINTA AISLANTE TERMOPLASTICA DE PVC DE 19MM X 4,5M X 0,15MM 600V COLOR NEGRO USO EN INTERIORES</v>
          </cell>
        </row>
        <row r="1463">
          <cell r="B1463">
            <v>5114126</v>
          </cell>
          <cell r="C1463" t="str">
            <v>P3M</v>
          </cell>
          <cell r="D1463" t="str">
            <v>CINTA AISLANTE TERMOPLASTICA DE PVC DE 19MM X 4,5M X 0,15MM 600V COLOR ROJO USO EN INTERIORES</v>
          </cell>
        </row>
        <row r="1464">
          <cell r="B1464">
            <v>5114126</v>
          </cell>
          <cell r="C1464" t="str">
            <v>P3M</v>
          </cell>
          <cell r="D1464" t="str">
            <v>CINTA AISLANTE TERMOPLASTICA DE PVC DE 19MM X 4,5M X 0,15MM 600V COLOR ROJO USO EN INTERIORES</v>
          </cell>
        </row>
        <row r="1465">
          <cell r="B1465">
            <v>5114128</v>
          </cell>
          <cell r="C1465" t="str">
            <v>P3M</v>
          </cell>
          <cell r="D1465" t="str">
            <v>CINTA AISLANTE TERMOPLASTICA DE PVC DE 19MM X 4,5M X 0,15MM 600V COLOR VERDE USO EN INTERIORES</v>
          </cell>
        </row>
        <row r="1466">
          <cell r="B1466">
            <v>5114128</v>
          </cell>
          <cell r="C1466" t="str">
            <v>P3M</v>
          </cell>
          <cell r="D1466" t="str">
            <v>CINTA AISLANTE TERMOPLASTICA DE PVC DE 19MM X 4,5M X 0,15MM 600V COLOR VERDE USO EN INTERIORES</v>
          </cell>
        </row>
        <row r="1467">
          <cell r="B1467">
            <v>5114170</v>
          </cell>
          <cell r="C1467" t="str">
            <v>P3M</v>
          </cell>
          <cell r="D1467" t="str">
            <v>CINTA AISLANTE TERMOPLASTICA DE PVC DE 19MM X 20M X 0,15MM 600V COLOR BLANCO USO EN INTERIORES</v>
          </cell>
        </row>
        <row r="1468">
          <cell r="B1468">
            <v>5114170</v>
          </cell>
          <cell r="C1468" t="str">
            <v>P3M</v>
          </cell>
          <cell r="D1468" t="str">
            <v>CINTA AISLANTE TERMOPLASTICA DE PVC DE 19MM X 20M X 0,15MM 600V COLOR BLANCO USO EN INTERIORES</v>
          </cell>
        </row>
        <row r="1469">
          <cell r="B1469">
            <v>5114170</v>
          </cell>
          <cell r="C1469" t="str">
            <v>PLY</v>
          </cell>
          <cell r="D1469" t="str">
            <v>CINTA AISLANTE TERMOPLASTICA DE PVC DE 19MM X 20M X 0,15MM 600V COLOR BLANCO USO EN INTERIORES</v>
          </cell>
        </row>
        <row r="1470">
          <cell r="B1470">
            <v>5114171</v>
          </cell>
          <cell r="C1470" t="str">
            <v>P3M</v>
          </cell>
          <cell r="D1470" t="str">
            <v>CINTA AISLANTE TERMOPLASTICA DE PVC DE 19MM X 20M X 0,15MM 600V COLOR ROJO USO EN INTERIORES</v>
          </cell>
        </row>
        <row r="1471">
          <cell r="B1471">
            <v>5114171</v>
          </cell>
          <cell r="C1471" t="str">
            <v>P3M</v>
          </cell>
          <cell r="D1471" t="str">
            <v>CINTA AISLANTE TERMOPLASTICA DE PVC DE 19MM X 20M X 0,15MM 600V COLOR ROJO USO EN INTERIORES</v>
          </cell>
        </row>
        <row r="1472">
          <cell r="B1472">
            <v>5114171</v>
          </cell>
          <cell r="C1472" t="str">
            <v>PLY</v>
          </cell>
          <cell r="D1472" t="str">
            <v>CINTA AISLANTE TERMOPLASTICA DE PVC DE 19MM X 20M X 0,15MM 600V COLOR ROJO USO EN INTERIORES</v>
          </cell>
        </row>
        <row r="1473">
          <cell r="B1473">
            <v>5114172</v>
          </cell>
          <cell r="C1473" t="str">
            <v>P3M</v>
          </cell>
          <cell r="D1473" t="str">
            <v>CINTA AISLANTE TERMOPLASTICA DE PVC DE 19MM X 20M X 0,15MM 600V COLOR VERDE USO EN INTERIORES</v>
          </cell>
        </row>
        <row r="1474">
          <cell r="B1474">
            <v>5114172</v>
          </cell>
          <cell r="C1474" t="str">
            <v>P3M</v>
          </cell>
          <cell r="D1474" t="str">
            <v>CINTA AISLANTE TERMOPLASTICA DE PVC DE 19MM X 20M X 0,15MM 600V COLOR VERDE USO EN INTERIORES</v>
          </cell>
        </row>
        <row r="1475">
          <cell r="B1475">
            <v>5114172</v>
          </cell>
          <cell r="C1475" t="str">
            <v>PLY</v>
          </cell>
          <cell r="D1475" t="str">
            <v>CINTA AISLANTE TERMOPLASTICA DE PVC DE 19MM X 20M X 0,15MM 600V COLOR VERDE USO EN INTERIORES</v>
          </cell>
        </row>
        <row r="1476">
          <cell r="B1476">
            <v>5114182</v>
          </cell>
          <cell r="C1476" t="str">
            <v>PLY</v>
          </cell>
          <cell r="D1476" t="str">
            <v>CINTA AISLANTE TERMOPLASTICA DE PVC DE 19MM X 20M X 0,18MM 600V COLOR BLANCO USO EN INTERIORES</v>
          </cell>
        </row>
        <row r="1477">
          <cell r="B1477">
            <v>5114184</v>
          </cell>
          <cell r="C1477" t="str">
            <v>PLY</v>
          </cell>
          <cell r="D1477" t="str">
            <v>CINTA AISLANTE TERMOPLASTICA DE PVC DE 19MM X 20M X 0,18MM 600V COLOR NEGRO USO EN INTERIORES</v>
          </cell>
        </row>
        <row r="1478">
          <cell r="B1478">
            <v>5114186</v>
          </cell>
          <cell r="C1478" t="str">
            <v>PLY</v>
          </cell>
          <cell r="D1478" t="str">
            <v>CINTA AISLANTE TERMOPLASTICA DE PVC DE 19MM X 20M X 0,18MM 600V COLOR ROJO USO EN INTERIORES</v>
          </cell>
        </row>
        <row r="1479">
          <cell r="B1479">
            <v>5114188</v>
          </cell>
          <cell r="C1479" t="str">
            <v>PLY</v>
          </cell>
          <cell r="D1479" t="str">
            <v>CINTA AISLANTE TERMOPLASTICA DE PVC DE 19MM X 20M X 0,18MM 600V COLOR VERDE USO EN INTERIORES</v>
          </cell>
        </row>
        <row r="1480">
          <cell r="B1480">
            <v>5114364</v>
          </cell>
          <cell r="C1480" t="str">
            <v>P3M</v>
          </cell>
          <cell r="D1480" t="str">
            <v>CINTA AISLANTE TERMOPLASTICA DE PVC DE 19MM X 20M X 0,15MM 600V COLOR NEGRO USO EN INTERIORES</v>
          </cell>
        </row>
        <row r="1481">
          <cell r="B1481">
            <v>5114364</v>
          </cell>
          <cell r="C1481" t="str">
            <v>P3M</v>
          </cell>
          <cell r="D1481" t="str">
            <v>CINTA AISLANTE TERMOPLASTICA DE PVC DE 19MM X 20M X 0,15MM 600V COLOR NEGRO USO EN INTERIORES</v>
          </cell>
        </row>
        <row r="1482">
          <cell r="B1482">
            <v>5114364</v>
          </cell>
          <cell r="C1482" t="str">
            <v>PLY</v>
          </cell>
          <cell r="D1482" t="str">
            <v>CINTA AISLANTE TERMOPLASTICA DE PVC DE 19MM X 20M X 0,15MM 600V COLOR NEGRO USO EN INTERIORES</v>
          </cell>
        </row>
        <row r="1483">
          <cell r="B1483">
            <v>5114370</v>
          </cell>
          <cell r="C1483" t="str">
            <v>P3M</v>
          </cell>
          <cell r="D1483" t="str">
            <v>CINTA AISLANTE TERMOPLASTICA DE PVC ALTA PERFORMANCE 19MM X 20M X 0,18MM 600V COLOR NEGRO</v>
          </cell>
        </row>
        <row r="1484">
          <cell r="B1484">
            <v>5114370</v>
          </cell>
          <cell r="C1484" t="str">
            <v>PLY</v>
          </cell>
          <cell r="D1484" t="str">
            <v>CINTA AISLANTE TERMOPLASTICA DE PVC ALTA PERFORMANCE 19MM X 20M X 0,18MM 600V COLOR NEGRO</v>
          </cell>
        </row>
        <row r="1485">
          <cell r="B1485">
            <v>5114384</v>
          </cell>
          <cell r="C1485" t="str">
            <v>KUR</v>
          </cell>
          <cell r="D1485" t="str">
            <v>CINTA AISLANTE TERMOPLASTICA DE PVC ALTA PERFORMANCE 38MM X 33M X 0,18MM 600V COLOR NEGRO</v>
          </cell>
        </row>
        <row r="1486">
          <cell r="B1486">
            <v>5114384</v>
          </cell>
          <cell r="C1486" t="str">
            <v>P3M</v>
          </cell>
          <cell r="D1486" t="str">
            <v>CINTA AISLANTE TERMOPLASTICA DE PVC ALTA PERFORMANCE 38MM X 33M X 0,18MM 600V COLOR NEGRO</v>
          </cell>
        </row>
        <row r="1487">
          <cell r="B1487">
            <v>5114384</v>
          </cell>
          <cell r="C1487" t="str">
            <v>PLY</v>
          </cell>
          <cell r="D1487" t="str">
            <v>CINTA AISLANTE TERMOPLASTICA DE PVC ALTA PERFORMANCE 38MM X 33M X 0,18MM 600V COLOR NEGRO</v>
          </cell>
        </row>
        <row r="1488">
          <cell r="B1488">
            <v>5114390</v>
          </cell>
          <cell r="C1488" t="str">
            <v>RAY</v>
          </cell>
          <cell r="D1488" t="str">
            <v>CINTA AISLANTE TERMOCONTRAIBLE P.LINEAS AEREAS 10KV. . RAYCHEM: OLIT M.</v>
          </cell>
        </row>
        <row r="1489">
          <cell r="B1489">
            <v>5114702</v>
          </cell>
          <cell r="C1489" t="str">
            <v>EIN</v>
          </cell>
          <cell r="D1489" t="str">
            <v>CINTA SENALIZADORA AMARILLA P.CABLES SUBTERRANEOS 220V P.LUZ DEL SUR</v>
          </cell>
        </row>
        <row r="1490">
          <cell r="B1490">
            <v>5114702</v>
          </cell>
          <cell r="C1490" t="str">
            <v>ENL</v>
          </cell>
          <cell r="D1490" t="str">
            <v>CINTA SENALIZADORA AMARILLA P.CABLES SUBTERRANEOS 220V P.LUZ DEL SUR</v>
          </cell>
        </row>
        <row r="1491">
          <cell r="B1491">
            <v>5114702</v>
          </cell>
          <cell r="C1491" t="str">
            <v>PML</v>
          </cell>
          <cell r="D1491" t="str">
            <v>CINTA SENALIZADORA AMARILLA P.CABLES SUBTERRANEOS 220V P.LUZ DEL SUR</v>
          </cell>
        </row>
        <row r="1492">
          <cell r="B1492">
            <v>5115102</v>
          </cell>
          <cell r="C1492" t="str">
            <v>SER</v>
          </cell>
          <cell r="D1492" t="str">
            <v>MASA AISL.BREA GRADO 160/180 PA. P.EMPAL.CABL.NKY</v>
          </cell>
        </row>
        <row r="1493">
          <cell r="B1493">
            <v>5119122</v>
          </cell>
          <cell r="C1493" t="str">
            <v>RAY</v>
          </cell>
          <cell r="D1493" t="str">
            <v>TUBO AISL.TERMORREST.P.TERM. CABLE NKY  16- 35MM2.</v>
          </cell>
        </row>
        <row r="1494">
          <cell r="B1494">
            <v>5119132</v>
          </cell>
          <cell r="C1494" t="str">
            <v>RAY</v>
          </cell>
          <cell r="D1494" t="str">
            <v>TUBO AISL.TERMORREST.P.TERM. CABLE NKY  70-120MM2.</v>
          </cell>
        </row>
        <row r="1495">
          <cell r="B1495">
            <v>5119144</v>
          </cell>
          <cell r="C1495" t="str">
            <v>RAY</v>
          </cell>
          <cell r="D1495" t="str">
            <v>TUBO TERMOCONTRAIBLE PARA AISLAMIENTO BARRAS 25 KV</v>
          </cell>
        </row>
        <row r="1496">
          <cell r="B1496">
            <v>5119144</v>
          </cell>
          <cell r="C1496" t="str">
            <v>RAY</v>
          </cell>
          <cell r="D1496" t="str">
            <v>TUBO TERMOCONTRAIBLE PARA AISLAMIENTO BARRAS 25 KV</v>
          </cell>
        </row>
        <row r="1497">
          <cell r="B1497">
            <v>5119146</v>
          </cell>
          <cell r="C1497" t="str">
            <v>RAY</v>
          </cell>
          <cell r="D1497" t="str">
            <v>TUBO TERMOCON.P.AISLAM. BARRAS BBIT 65/25 H. 35KV</v>
          </cell>
        </row>
        <row r="1498">
          <cell r="B1498">
            <v>5119147</v>
          </cell>
          <cell r="C1498" t="str">
            <v>RAY</v>
          </cell>
          <cell r="D1498" t="str">
            <v>TUBO TERMOCON.P.AISL.BARRAS BPTM 75/30 35KV</v>
          </cell>
        </row>
        <row r="1499">
          <cell r="B1499">
            <v>5119154</v>
          </cell>
          <cell r="C1499" t="str">
            <v>ECM</v>
          </cell>
          <cell r="D1499" t="str">
            <v>CUBIERTA.AISLA.PROTEC.P/COND.AEREO DESN.MT.16-70MM2.15KV.</v>
          </cell>
        </row>
        <row r="1500">
          <cell r="B1500">
            <v>5119154</v>
          </cell>
          <cell r="C1500" t="str">
            <v>RAY</v>
          </cell>
          <cell r="D1500" t="str">
            <v>CUBIERTA.AISLA.PROTEC.P/COND.AEREO DESN.MT.16-70MM2.15KV.</v>
          </cell>
        </row>
        <row r="1501">
          <cell r="B1501">
            <v>5119155</v>
          </cell>
          <cell r="C1501" t="str">
            <v>ECM</v>
          </cell>
          <cell r="D1501" t="str">
            <v>CUBIERTA.AISLA.PROTEC.P/COND.AEREO DESN.MT.70-185MM2.15KV.</v>
          </cell>
        </row>
        <row r="1502">
          <cell r="B1502">
            <v>5119155</v>
          </cell>
          <cell r="C1502" t="str">
            <v>RAY</v>
          </cell>
          <cell r="D1502" t="str">
            <v>CUBIERTA.AISLA.PROTEC.P/COND.AEREO DESN.MT.70-185MM2.15KV.</v>
          </cell>
        </row>
        <row r="1503">
          <cell r="B1503">
            <v>5119188</v>
          </cell>
          <cell r="C1503" t="str">
            <v>ECM</v>
          </cell>
          <cell r="D1503" t="str">
            <v>TUBO TERMOCONTRAIBLE P.CABLE SECO ALUMINIO 1KV 70MM2 LONG.50MM</v>
          </cell>
        </row>
        <row r="1504">
          <cell r="B1504">
            <v>5119188</v>
          </cell>
          <cell r="C1504" t="str">
            <v>RAY</v>
          </cell>
          <cell r="D1504" t="str">
            <v>TUBO TERMOCONTRAIBLE P.CABLE SECO ALUMINIO 1KV 70MM2 LONG.50MM</v>
          </cell>
        </row>
        <row r="1505">
          <cell r="B1505">
            <v>5119190</v>
          </cell>
          <cell r="C1505" t="str">
            <v>ECM</v>
          </cell>
          <cell r="D1505" t="str">
            <v>TUBO TERMOCONTRAIBLE P.CABLE SECO ALUMINIO 1KV 120MM2 LONG.50MM</v>
          </cell>
        </row>
        <row r="1506">
          <cell r="B1506">
            <v>5119190</v>
          </cell>
          <cell r="C1506" t="str">
            <v>RAY</v>
          </cell>
          <cell r="D1506" t="str">
            <v>TUBO TERMOCONTRAIBLE P.CABLE SECO ALUMINIO 1KV 120MM2 LONG.50MM</v>
          </cell>
        </row>
        <row r="1507">
          <cell r="B1507">
            <v>5119194</v>
          </cell>
          <cell r="C1507" t="str">
            <v>ECM</v>
          </cell>
          <cell r="D1507" t="str">
            <v>TUBO TERMOCONTRAIBLE P.CABLE SECO ALUMINIO 1KV 300MM2 LONG.50MM</v>
          </cell>
        </row>
        <row r="1508">
          <cell r="B1508">
            <v>5119194</v>
          </cell>
          <cell r="C1508" t="str">
            <v>RAY</v>
          </cell>
          <cell r="D1508" t="str">
            <v>TUBO TERMOCONTRAIBLE P.CABLE SECO ALUMINIO 1KV 300MM2 LONG.50MM</v>
          </cell>
        </row>
        <row r="1509">
          <cell r="B1509">
            <v>5119196</v>
          </cell>
          <cell r="C1509" t="str">
            <v>ECM</v>
          </cell>
          <cell r="D1509" t="str">
            <v>TUBO TERMOCONTRAIBLE P.CABLE SECO ALUMINIO 1KV 500MM2 LONG.50MM</v>
          </cell>
        </row>
        <row r="1510">
          <cell r="B1510">
            <v>5119196</v>
          </cell>
          <cell r="C1510" t="str">
            <v>RAY</v>
          </cell>
          <cell r="D1510" t="str">
            <v>TUBO TERMOCONTRAIBLE P.CABLE SECO ALUMINIO 1KV 500MM2 LONG.50MM</v>
          </cell>
        </row>
        <row r="1511">
          <cell r="B1511">
            <v>5119202</v>
          </cell>
          <cell r="C1511" t="str">
            <v>P3M</v>
          </cell>
          <cell r="D1511" t="str">
            <v>PUNTA MUERTA TERMOC. P. CABLES TRIP. B.T. 6-35MM2.</v>
          </cell>
        </row>
        <row r="1512">
          <cell r="B1512">
            <v>5119202</v>
          </cell>
          <cell r="C1512" t="str">
            <v>RAY</v>
          </cell>
          <cell r="D1512" t="str">
            <v>PUNTA MUERTA TERMOC. P. CABLES TRIP. B.T. 6-35MM2.</v>
          </cell>
        </row>
        <row r="1513">
          <cell r="B1513">
            <v>5119202</v>
          </cell>
          <cell r="C1513" t="str">
            <v>RAY</v>
          </cell>
          <cell r="D1513" t="str">
            <v>PUNTA MUERTA TERMOC. P. CABLES TRIP. B.T. 6-35MM2.</v>
          </cell>
        </row>
        <row r="1514">
          <cell r="B1514">
            <v>5119204</v>
          </cell>
          <cell r="C1514" t="str">
            <v>RAY</v>
          </cell>
          <cell r="D1514" t="str">
            <v>PUNTA MUERTA TERMOCONTRAIBLE P.CABLE ENERGIA UNIPOLAR SECO 6 - 10MM2 EN B.T.</v>
          </cell>
        </row>
        <row r="1515">
          <cell r="B1515">
            <v>5119204</v>
          </cell>
          <cell r="C1515" t="str">
            <v>RAY</v>
          </cell>
          <cell r="D1515" t="str">
            <v>PUNTA MUERTA TERMOCONTRAIBLE P.CABLE ENERGIA UNIPOLAR SECO 6 - 10MM2 EN B.T.</v>
          </cell>
        </row>
        <row r="1516">
          <cell r="B1516">
            <v>5119206</v>
          </cell>
          <cell r="C1516" t="str">
            <v>P3M</v>
          </cell>
          <cell r="D1516" t="str">
            <v>PUNTA MUERTA TERMOC. P. CABLES TRIP. B.T. 70-120MM2.</v>
          </cell>
        </row>
        <row r="1517">
          <cell r="B1517">
            <v>5119206</v>
          </cell>
          <cell r="C1517" t="str">
            <v>RAY</v>
          </cell>
          <cell r="D1517" t="str">
            <v>PUNTA MUERTA TERMOC. P. CABLES TRIP. B.T. 70-120MM2.</v>
          </cell>
        </row>
        <row r="1518">
          <cell r="B1518">
            <v>5119206</v>
          </cell>
          <cell r="C1518" t="str">
            <v>RAY</v>
          </cell>
          <cell r="D1518" t="str">
            <v>PUNTA MUERTA TERMOC. P. CABLES TRIP. B.T. 70-120MM2.</v>
          </cell>
        </row>
        <row r="1519">
          <cell r="B1519">
            <v>5119208</v>
          </cell>
          <cell r="C1519" t="str">
            <v>RAY</v>
          </cell>
          <cell r="D1519" t="str">
            <v>PUNTA MUERTA TERMOCONTRAIBLE P.CABLE ENERGIA UNIPOLAR SECO 16 - 95MM2 EN B.T.</v>
          </cell>
        </row>
        <row r="1520">
          <cell r="B1520">
            <v>5119208</v>
          </cell>
          <cell r="C1520" t="str">
            <v>RAY</v>
          </cell>
          <cell r="D1520" t="str">
            <v>PUNTA MUERTA TERMOCONTRAIBLE P.CABLE ENERGIA UNIPOLAR SECO 16 - 95MM2 EN B.T.</v>
          </cell>
        </row>
        <row r="1521">
          <cell r="B1521">
            <v>5119210</v>
          </cell>
          <cell r="C1521" t="str">
            <v>P3M</v>
          </cell>
          <cell r="D1521" t="str">
            <v>PUNTA MUERTA TERMOC. P. CABLES TRIP. B.T. 185-300MM2.</v>
          </cell>
        </row>
        <row r="1522">
          <cell r="B1522">
            <v>5119210</v>
          </cell>
          <cell r="C1522" t="str">
            <v>RAY</v>
          </cell>
          <cell r="D1522" t="str">
            <v>PUNTA MUERTA TERMOC. P. CABLES TRIP. B.T. 185-300MM2.</v>
          </cell>
        </row>
        <row r="1523">
          <cell r="B1523">
            <v>5119210</v>
          </cell>
          <cell r="C1523" t="str">
            <v>RAY</v>
          </cell>
          <cell r="D1523" t="str">
            <v>PUNTA MUERTA TERMOC. P. CABLES TRIP. B.T. 185-300MM2.</v>
          </cell>
        </row>
        <row r="1524">
          <cell r="B1524">
            <v>5119212</v>
          </cell>
          <cell r="C1524" t="str">
            <v>RAY</v>
          </cell>
          <cell r="D1524" t="str">
            <v>PUNTA MUERTA TERMOCONTRAIBLE P.CABLE ENERGIA UNIPOLAR SECO 120 - 300MM2 EN B.T.</v>
          </cell>
        </row>
        <row r="1525">
          <cell r="B1525">
            <v>5119212</v>
          </cell>
          <cell r="C1525" t="str">
            <v>RAY</v>
          </cell>
          <cell r="D1525" t="str">
            <v>PUNTA MUERTA TERMOCONTRAIBLE P.CABLE ENERGIA UNIPOLAR SECO 120 - 300MM2 EN B.T.</v>
          </cell>
        </row>
        <row r="1526">
          <cell r="B1526">
            <v>5119214</v>
          </cell>
          <cell r="C1526" t="str">
            <v>P3M</v>
          </cell>
          <cell r="D1526" t="str">
            <v>CAPUCHON TERMORREST.P.CABLE NKY         10/35MM2.</v>
          </cell>
        </row>
        <row r="1527">
          <cell r="B1527">
            <v>5119214</v>
          </cell>
          <cell r="C1527" t="str">
            <v>RAY</v>
          </cell>
          <cell r="D1527" t="str">
            <v>CAPUCHON TERMORREST.P.CABLE NKY         10/35MM2.</v>
          </cell>
        </row>
        <row r="1528">
          <cell r="B1528">
            <v>5119217</v>
          </cell>
          <cell r="C1528" t="str">
            <v>RAY</v>
          </cell>
          <cell r="D1528" t="str">
            <v>PUNTA MUERTA TERMOCONTRAIBLE P.CABLE ENERGIA UNIPOLAR SECO 500MM2 EN B.T.</v>
          </cell>
        </row>
        <row r="1529">
          <cell r="B1529">
            <v>5119217</v>
          </cell>
          <cell r="C1529" t="str">
            <v>RAY</v>
          </cell>
          <cell r="D1529" t="str">
            <v>PUNTA MUERTA TERMOCONTRAIBLE P.CABLE ENERGIA UNIPOLAR SECO 500MM2 EN B.T.</v>
          </cell>
        </row>
        <row r="1530">
          <cell r="B1530">
            <v>5119219</v>
          </cell>
          <cell r="C1530" t="str">
            <v>RAY</v>
          </cell>
          <cell r="D1530" t="str">
            <v>BOTA Y TUBO TERMOCONTRAIBLES P.CABLE CONCENTRICO MONOFASICO EN ACOMETIDAS DOMICILIARIAS B.T.</v>
          </cell>
        </row>
        <row r="1531">
          <cell r="B1531">
            <v>5119220</v>
          </cell>
          <cell r="C1531" t="str">
            <v>RAY</v>
          </cell>
          <cell r="D1531" t="str">
            <v>BOTA Y TUBO TERMOCONTRAIBLES P.CABLE CONCENTRICO TRIFASICO EN ACOMETIDAS DOMICILIARIAS B.T.</v>
          </cell>
        </row>
        <row r="1532">
          <cell r="B1532">
            <v>5119222</v>
          </cell>
          <cell r="C1532" t="str">
            <v>P3M</v>
          </cell>
          <cell r="D1532" t="str">
            <v>PUNTAS MUERTAS AUTOFUNDENTES P.CABLES ENERGIA UNIPOLARES 6 - 35MM2 KIT DE 3 FASES EN B.T.</v>
          </cell>
        </row>
        <row r="1533">
          <cell r="B1533">
            <v>5119223</v>
          </cell>
          <cell r="C1533" t="str">
            <v>P3M</v>
          </cell>
          <cell r="D1533" t="str">
            <v>PUNTAS MUERTAS AUTOFUNDENTES P.CABLES ENERGIA UNIPOLARES 70 - 120MM2 KIT DE 3 FASES EN B.T.</v>
          </cell>
        </row>
        <row r="1534">
          <cell r="B1534">
            <v>5119224</v>
          </cell>
          <cell r="C1534" t="str">
            <v>P3M</v>
          </cell>
          <cell r="D1534" t="str">
            <v>PUNTAS MUERTAS AUTOFUNDENTES P.CABLES ENERGIA UNIPOLARES 185 - 300MM2 KIT DE 3 FASES EN B.T.</v>
          </cell>
        </row>
        <row r="1535">
          <cell r="B1535">
            <v>5119225</v>
          </cell>
          <cell r="C1535" t="str">
            <v>P3M</v>
          </cell>
          <cell r="D1535" t="str">
            <v>PUNTAS MUERTAS AUTOFUNDENTES P.CABLES ENERGIA UNIPOLARES 400-500MM2 KIT DE 3 FASES EN B.T.</v>
          </cell>
        </row>
        <row r="1536">
          <cell r="B1536">
            <v>5119232</v>
          </cell>
          <cell r="C1536" t="str">
            <v>P3M</v>
          </cell>
          <cell r="D1536" t="str">
            <v>CAPUCHON TERMORREST.P.CABLE NKY         70/120MM2.</v>
          </cell>
        </row>
        <row r="1537">
          <cell r="B1537">
            <v>5119232</v>
          </cell>
          <cell r="C1537" t="str">
            <v>RAY</v>
          </cell>
          <cell r="D1537" t="str">
            <v>CAPUCHON TERMORREST.P.CABLE NKY         70/120MM2.</v>
          </cell>
        </row>
        <row r="1538">
          <cell r="B1538">
            <v>5119252</v>
          </cell>
          <cell r="C1538" t="str">
            <v>RAY</v>
          </cell>
          <cell r="D1538" t="str">
            <v>MANGA TERMORREST.P.BORNE 100KVA.     50MMDX300MML.</v>
          </cell>
        </row>
        <row r="1539">
          <cell r="B1539">
            <v>5119403</v>
          </cell>
          <cell r="C1539" t="str">
            <v>ELA</v>
          </cell>
          <cell r="D1539" t="str">
            <v>PUENTE 2 VIAS ENCHUF.P.SCP/SCB 200A.10KV*SID-ET-07</v>
          </cell>
        </row>
        <row r="1540">
          <cell r="B1540">
            <v>5119404</v>
          </cell>
          <cell r="C1540" t="str">
            <v>ELA</v>
          </cell>
          <cell r="D1540" t="str">
            <v>PUENTE DE DOS VIAS ENCHUFABLE (INSERTO DOBLE OCC) 15KV 200A REF. MARCA ELASTIMOLD MODELO 1602A3R</v>
          </cell>
        </row>
        <row r="1541">
          <cell r="B1541">
            <v>5119405</v>
          </cell>
          <cell r="C1541" t="str">
            <v>ELA</v>
          </cell>
          <cell r="D1541" t="str">
            <v>AISLADOR PASANTE TP.POZO LARGO   10KV.</v>
          </cell>
        </row>
        <row r="1542">
          <cell r="B1542">
            <v>5119406</v>
          </cell>
          <cell r="C1542" t="str">
            <v>CLD</v>
          </cell>
          <cell r="D1542" t="str">
            <v>AISLADOR PASANTE TP.POZO CORTO   10KV 200A</v>
          </cell>
        </row>
        <row r="1543">
          <cell r="B1543">
            <v>5119406</v>
          </cell>
          <cell r="C1543" t="str">
            <v>ELA</v>
          </cell>
          <cell r="D1543" t="str">
            <v>AISLADOR PASANTE TP.POZO CORTO   10KV 200A</v>
          </cell>
        </row>
        <row r="1544">
          <cell r="B1544">
            <v>5119408</v>
          </cell>
          <cell r="C1544" t="str">
            <v>ELA</v>
          </cell>
          <cell r="D1544" t="str">
            <v>VARILLA PARA CONEXION A TIERRA          *SID-ET-07</v>
          </cell>
        </row>
        <row r="1545">
          <cell r="B1545">
            <v>5119408</v>
          </cell>
          <cell r="C1545" t="str">
            <v>KEA</v>
          </cell>
          <cell r="D1545" t="str">
            <v>VARILLA PARA CONEXION A TIERRA          *SID-ET-07</v>
          </cell>
        </row>
        <row r="1546">
          <cell r="B1546">
            <v>5119409</v>
          </cell>
          <cell r="C1546" t="str">
            <v>ELA</v>
          </cell>
          <cell r="D1546" t="str">
            <v>TAPON CONECTOR C.AISLAMIENTO PLASTICO P.BORNE RECEPTACULO ENCHUFABLE 10KV</v>
          </cell>
        </row>
        <row r="1547">
          <cell r="B1547">
            <v>5119409</v>
          </cell>
          <cell r="C1547" t="str">
            <v>P3M</v>
          </cell>
          <cell r="D1547" t="str">
            <v>TAPON CONECTOR C.AISLAMIENTO PLASTICO P.BORNE RECEPTACULO ENCHUFABLE 10KV</v>
          </cell>
        </row>
        <row r="1548">
          <cell r="B1548">
            <v>5119410</v>
          </cell>
          <cell r="C1548" t="str">
            <v>COO</v>
          </cell>
          <cell r="D1548" t="str">
            <v>BORNE TP.RECEPTACULO ENCHUFABLE P.ACCIONAMIENTO CARGA 10KV 200A</v>
          </cell>
        </row>
        <row r="1549">
          <cell r="B1549">
            <v>5119410</v>
          </cell>
          <cell r="C1549" t="str">
            <v>ELA</v>
          </cell>
          <cell r="D1549" t="str">
            <v>BORNE TP.RECEPTACULO ENCHUFABLE P.ACCIONAMIENTO CARGA 10KV 200A</v>
          </cell>
        </row>
        <row r="1550">
          <cell r="B1550">
            <v>5119410</v>
          </cell>
          <cell r="C1550" t="str">
            <v>P3M</v>
          </cell>
          <cell r="D1550" t="str">
            <v>BORNE TP.RECEPTACULO ENCHUFABLE P.ACCIONAMIENTO CARGA 10KV 200A</v>
          </cell>
        </row>
        <row r="1551">
          <cell r="B1551">
            <v>5119411</v>
          </cell>
          <cell r="C1551" t="str">
            <v>COO</v>
          </cell>
          <cell r="D1551" t="str">
            <v>CONECTOR CODO P.CABLE SECO TP.N2XSY 25MM2 200A 10KV</v>
          </cell>
        </row>
        <row r="1552">
          <cell r="B1552">
            <v>5119411</v>
          </cell>
          <cell r="C1552" t="str">
            <v>ELA</v>
          </cell>
          <cell r="D1552" t="str">
            <v>CONECTOR CODO P.CABLE SECO TP.N2XSY 25MM2 200A 10KV</v>
          </cell>
        </row>
        <row r="1553">
          <cell r="B1553">
            <v>5119411</v>
          </cell>
          <cell r="C1553" t="str">
            <v>HUB</v>
          </cell>
          <cell r="D1553" t="str">
            <v>CONECTOR CODO P.CABLE SECO TP.N2XSY 25MM2 200A 10KV</v>
          </cell>
        </row>
        <row r="1554">
          <cell r="B1554">
            <v>5119411</v>
          </cell>
          <cell r="C1554" t="str">
            <v>P3M</v>
          </cell>
          <cell r="D1554" t="str">
            <v>CONECTOR CODO P.CABLE SECO TP.N2XSY 25MM2 200A 10KV</v>
          </cell>
        </row>
        <row r="1555">
          <cell r="B1555">
            <v>5119413</v>
          </cell>
          <cell r="C1555" t="str">
            <v>COO</v>
          </cell>
          <cell r="D1555" t="str">
            <v>CONECTOR CODO P.CABLE SECO TP.N2XSY 35MM2 200A 10KV</v>
          </cell>
        </row>
        <row r="1556">
          <cell r="B1556">
            <v>5119413</v>
          </cell>
          <cell r="C1556" t="str">
            <v>ELA</v>
          </cell>
          <cell r="D1556" t="str">
            <v>CONECTOR CODO P.CABLE SECO TP.N2XSY 35MM2 200A 10KV</v>
          </cell>
        </row>
        <row r="1557">
          <cell r="B1557">
            <v>5119413</v>
          </cell>
          <cell r="C1557" t="str">
            <v>P3M</v>
          </cell>
          <cell r="D1557" t="str">
            <v>CONECTOR CODO P.CABLE SECO TP.N2XSY 35MM2 200A 10KV</v>
          </cell>
        </row>
        <row r="1558">
          <cell r="B1558">
            <v>5119417</v>
          </cell>
          <cell r="C1558" t="str">
            <v>COO</v>
          </cell>
          <cell r="D1558" t="str">
            <v>CONECTOR CODO P.CABLE SECO TP.N2XSY 70MM2 200A 10KV</v>
          </cell>
        </row>
        <row r="1559">
          <cell r="B1559">
            <v>5119424</v>
          </cell>
          <cell r="C1559" t="str">
            <v>COO</v>
          </cell>
          <cell r="D1559" t="str">
            <v>CONECTOR CODO P.CABLE SECO TP.N2XSY 50MM2 200A 25KV</v>
          </cell>
        </row>
        <row r="1560">
          <cell r="B1560">
            <v>5119424</v>
          </cell>
          <cell r="C1560" t="str">
            <v>ELA</v>
          </cell>
          <cell r="D1560" t="str">
            <v>CONECTOR CODO P.CABLE SECO TP.N2XSY 50MM2 200A 25KV</v>
          </cell>
        </row>
        <row r="1561">
          <cell r="B1561">
            <v>5119425</v>
          </cell>
          <cell r="C1561" t="str">
            <v>COO</v>
          </cell>
          <cell r="D1561" t="str">
            <v>CONECTOR CODO P.CABLE SECO TP.N2XSY 70MM2 200A 25KV</v>
          </cell>
        </row>
        <row r="1562">
          <cell r="B1562">
            <v>5119425</v>
          </cell>
          <cell r="C1562" t="str">
            <v>ELA</v>
          </cell>
          <cell r="D1562" t="str">
            <v>CONECTOR CODO P.CABLE SECO TP.N2XSY 70MM2 200A 25KV</v>
          </cell>
        </row>
        <row r="1563">
          <cell r="B1563">
            <v>5119425</v>
          </cell>
          <cell r="C1563" t="str">
            <v>HUB</v>
          </cell>
          <cell r="D1563" t="str">
            <v>CONECTOR CODO P.CABLE SECO TP.N2XSY 70MM2 200A 25KV</v>
          </cell>
        </row>
        <row r="1564">
          <cell r="B1564">
            <v>5119425</v>
          </cell>
          <cell r="C1564" t="str">
            <v>P3M</v>
          </cell>
          <cell r="D1564" t="str">
            <v>CONECTOR CODO P.CABLE SECO TP.N2XSY 70MM2 200A 25KV</v>
          </cell>
        </row>
        <row r="1565">
          <cell r="B1565">
            <v>5119428</v>
          </cell>
          <cell r="C1565" t="str">
            <v>COO</v>
          </cell>
          <cell r="D1565" t="str">
            <v>CONECTOR CODO P.CABLE SECO TP.N2XSY - NA2XSY 120MM2 200A CL.15 / 25KV</v>
          </cell>
        </row>
        <row r="1566">
          <cell r="B1566">
            <v>5119428</v>
          </cell>
          <cell r="C1566" t="str">
            <v>ELA</v>
          </cell>
          <cell r="D1566" t="str">
            <v>CONECTOR CODO P.CABLE SECO TP.N2XSY - NA2XSY 120MM2 200A CL.15 / 25KV</v>
          </cell>
        </row>
        <row r="1567">
          <cell r="B1567">
            <v>5119440</v>
          </cell>
          <cell r="C1567" t="str">
            <v>COO</v>
          </cell>
          <cell r="D1567" t="str">
            <v>BORNE TP.RECEPTACULO ENCHUFABLE P.ACCIONAMIENTO CARGA 25KV 200A</v>
          </cell>
        </row>
        <row r="1568">
          <cell r="B1568">
            <v>5119440</v>
          </cell>
          <cell r="C1568" t="str">
            <v>ELA</v>
          </cell>
          <cell r="D1568" t="str">
            <v>BORNE TP.RECEPTACULO ENCHUFABLE P.ACCIONAMIENTO CARGA 25KV 200A</v>
          </cell>
        </row>
        <row r="1569">
          <cell r="B1569">
            <v>5119440</v>
          </cell>
          <cell r="C1569" t="str">
            <v>P3M</v>
          </cell>
          <cell r="D1569" t="str">
            <v>BORNE TP.RECEPTACULO ENCHUFABLE P.ACCIONAMIENTO CARGA 25KV 200A</v>
          </cell>
        </row>
        <row r="1570">
          <cell r="B1570">
            <v>5119450</v>
          </cell>
          <cell r="C1570" t="str">
            <v>ELA</v>
          </cell>
          <cell r="D1570" t="str">
            <v>TAPON CONECTOR C.AISLAMIENTO PLASTICO P.BORNE RECEPTACULO ENCHUFABLE 25KV</v>
          </cell>
        </row>
        <row r="1571">
          <cell r="B1571">
            <v>5119450</v>
          </cell>
          <cell r="C1571" t="str">
            <v>P3M</v>
          </cell>
          <cell r="D1571" t="str">
            <v>TAPON CONECTOR C.AISLAMIENTO PLASTICO P.BORNE RECEPTACULO ENCHUFABLE 25KV</v>
          </cell>
        </row>
        <row r="1572">
          <cell r="B1572">
            <v>5119460</v>
          </cell>
          <cell r="C1572" t="str">
            <v>COO</v>
          </cell>
          <cell r="D1572" t="str">
            <v>DERIVACION DE 3 VIAS TP.ENCHUFABLE DE CAUCHO C.BASE DE ACERO P.SECCIONAMIENTO C.CARGA 22,9KV 200A</v>
          </cell>
        </row>
        <row r="1573">
          <cell r="B1573">
            <v>5119464</v>
          </cell>
          <cell r="C1573" t="str">
            <v>ELA</v>
          </cell>
          <cell r="D1573" t="str">
            <v>AISLADOR PARQUEO ENCHUF.AISL.PLAST.10KV.*SID-ET-07</v>
          </cell>
        </row>
        <row r="1574">
          <cell r="B1574">
            <v>5119464</v>
          </cell>
          <cell r="C1574" t="str">
            <v>KEA</v>
          </cell>
          <cell r="D1574" t="str">
            <v>AISLADOR PARQUEO ENCHUF.AISL.PLAST.10KV.*SID-ET-07</v>
          </cell>
        </row>
        <row r="1575">
          <cell r="B1575">
            <v>5119466</v>
          </cell>
          <cell r="C1575" t="str">
            <v>ELA</v>
          </cell>
          <cell r="D1575" t="str">
            <v>VARILLA PARA PRUEBAS                    *SID-ET-07</v>
          </cell>
        </row>
        <row r="1576">
          <cell r="B1576">
            <v>5119466</v>
          </cell>
          <cell r="C1576" t="str">
            <v>KEA</v>
          </cell>
          <cell r="D1576" t="str">
            <v>VARILLA PARA PRUEBAS                    *SID-ET-07</v>
          </cell>
        </row>
        <row r="1577">
          <cell r="B1577">
            <v>5119467</v>
          </cell>
          <cell r="C1577" t="str">
            <v>ABH</v>
          </cell>
          <cell r="D1577" t="str">
            <v>ABRAZADERA P.SUJECION DE CONECTOR DE CODO 10 KV.</v>
          </cell>
        </row>
        <row r="1578">
          <cell r="B1578">
            <v>5119467</v>
          </cell>
          <cell r="C1578" t="str">
            <v>KEA</v>
          </cell>
          <cell r="D1578" t="str">
            <v>ABRAZADERA P.SUJECION DE CONECTOR DE CODO 10 KV.</v>
          </cell>
        </row>
        <row r="1579">
          <cell r="B1579">
            <v>5119469</v>
          </cell>
          <cell r="C1579" t="str">
            <v>COO</v>
          </cell>
          <cell r="D1579" t="str">
            <v>DERIVACION DE 3 VIAS TP.ENCHUFABLE DE CAUCHO C.BASE DE ACERO P.SECCIONAMIENTO C.CARGA 10KV 200A</v>
          </cell>
        </row>
        <row r="1580">
          <cell r="B1580">
            <v>5119469</v>
          </cell>
          <cell r="C1580" t="str">
            <v>ELA</v>
          </cell>
          <cell r="D1580" t="str">
            <v>DERIVACION DE 3 VIAS TP.ENCHUFABLE DE CAUCHO C.BASE DE ACERO P.SECCIONAMIENTO C.CARGA 10KV 200A</v>
          </cell>
        </row>
        <row r="1581">
          <cell r="B1581">
            <v>5119469</v>
          </cell>
          <cell r="C1581" t="str">
            <v>P3M</v>
          </cell>
          <cell r="D1581" t="str">
            <v>DERIVACION DE 3 VIAS TP.ENCHUFABLE DE CAUCHO C.BASE DE ACERO P.SECCIONAMIENTO C.CARGA 10KV 200A</v>
          </cell>
        </row>
        <row r="1582">
          <cell r="B1582">
            <v>5119470</v>
          </cell>
          <cell r="C1582" t="str">
            <v>ELA</v>
          </cell>
          <cell r="D1582" t="str">
            <v>DERIVACION DE 3 VIAS TP.ENCHUFABLE DE CAUCHO C.BASE DE ACERO P.SECCIONAMIENTO C.CARGA</v>
          </cell>
        </row>
        <row r="1583">
          <cell r="B1583">
            <v>5119470</v>
          </cell>
          <cell r="C1583" t="str">
            <v>GEL</v>
          </cell>
          <cell r="D1583" t="str">
            <v>DERIVACION DE 3 VIAS TP.ENCHUFABLE DE CAUCHO C.BASE DE ACERO P.SECCIONAMIENTO C.CARGA</v>
          </cell>
        </row>
        <row r="1584">
          <cell r="B1584">
            <v>5119470</v>
          </cell>
          <cell r="C1584" t="str">
            <v>KEA</v>
          </cell>
          <cell r="D1584" t="str">
            <v>DERIVACION DE 3 VIAS TP.ENCHUFABLE DE CAUCHO C.BASE DE ACERO P.SECCIONAMIENTO C.CARGA</v>
          </cell>
        </row>
        <row r="1585">
          <cell r="B1585">
            <v>5119474</v>
          </cell>
          <cell r="C1585" t="str">
            <v>COO</v>
          </cell>
          <cell r="D1585" t="str">
            <v>ADAPTADOR DE CONEXION A TIERRA P.CABLES EN 22.9KV. CON AISLAMIENTO XLPE DE 70MM2</v>
          </cell>
        </row>
        <row r="1586">
          <cell r="B1586">
            <v>5119474</v>
          </cell>
          <cell r="C1586" t="str">
            <v>ELA</v>
          </cell>
          <cell r="D1586" t="str">
            <v>ADAPTADOR DE CONEXION A TIERRA P.CABLES EN 22.9KV. CON AISLAMIENTO XLPE DE 70MM2</v>
          </cell>
        </row>
        <row r="1587">
          <cell r="B1587">
            <v>5119474</v>
          </cell>
          <cell r="C1587" t="str">
            <v>P3M</v>
          </cell>
          <cell r="D1587" t="str">
            <v>ADAPTADOR DE CONEXION A TIERRA P.CABLES EN 22.9KV. CON AISLAMIENTO XLPE DE 70MM2</v>
          </cell>
        </row>
        <row r="1588">
          <cell r="B1588">
            <v>5119475</v>
          </cell>
          <cell r="C1588" t="str">
            <v>COO</v>
          </cell>
          <cell r="D1588" t="str">
            <v>ADAPTADOR DE CONEXION A TIERRA P.CABLES EN 22.9KV. CON AISLAMIENTO XLPE DE 50MM2</v>
          </cell>
        </row>
        <row r="1589">
          <cell r="B1589">
            <v>5119475</v>
          </cell>
          <cell r="C1589" t="str">
            <v>ELA</v>
          </cell>
          <cell r="D1589" t="str">
            <v>ADAPTADOR DE CONEXION A TIERRA P.CABLES EN 22.9KV. CON AISLAMIENTO XLPE DE 50MM2</v>
          </cell>
        </row>
        <row r="1590">
          <cell r="B1590">
            <v>5119475</v>
          </cell>
          <cell r="C1590" t="str">
            <v>P3M</v>
          </cell>
          <cell r="D1590" t="str">
            <v>ADAPTADOR DE CONEXION A TIERRA P.CABLES EN 22.9KV. CON AISLAMIENTO XLPE DE 50MM2</v>
          </cell>
        </row>
        <row r="1591">
          <cell r="B1591">
            <v>5119477</v>
          </cell>
          <cell r="C1591" t="str">
            <v>COO</v>
          </cell>
          <cell r="D1591" t="str">
            <v>ADAPTADOR P.CONEXION A TIERRA P.CABLES DE AISLAMIENTO SECO DE 25MM2</v>
          </cell>
        </row>
        <row r="1592">
          <cell r="B1592">
            <v>5119477</v>
          </cell>
          <cell r="C1592" t="str">
            <v>ELA</v>
          </cell>
          <cell r="D1592" t="str">
            <v>ADAPTADOR P.CONEXION A TIERRA P.CABLES DE AISLAMIENTO SECO DE 25MM2</v>
          </cell>
        </row>
        <row r="1593">
          <cell r="B1593">
            <v>5119477</v>
          </cell>
          <cell r="C1593" t="str">
            <v>P3M</v>
          </cell>
          <cell r="D1593" t="str">
            <v>ADAPTADOR P.CONEXION A TIERRA P.CABLES DE AISLAMIENTO SECO DE 25MM2</v>
          </cell>
        </row>
        <row r="1594">
          <cell r="B1594">
            <v>5119478</v>
          </cell>
          <cell r="C1594" t="str">
            <v>COO</v>
          </cell>
          <cell r="D1594" t="str">
            <v>ADAPTADOR P.CONEXION A TIERRA P.CABLES DE AISLAMIENTO SECO DE 35MM2</v>
          </cell>
        </row>
        <row r="1595">
          <cell r="B1595">
            <v>5119478</v>
          </cell>
          <cell r="C1595" t="str">
            <v>ELA</v>
          </cell>
          <cell r="D1595" t="str">
            <v>ADAPTADOR P.CONEXION A TIERRA P.CABLES DE AISLAMIENTO SECO DE 35MM2</v>
          </cell>
        </row>
        <row r="1596">
          <cell r="B1596">
            <v>5119478</v>
          </cell>
          <cell r="C1596" t="str">
            <v>P3M</v>
          </cell>
          <cell r="D1596" t="str">
            <v>ADAPTADOR P.CONEXION A TIERRA P.CABLES DE AISLAMIENTO SECO DE 35MM2</v>
          </cell>
        </row>
        <row r="1597">
          <cell r="B1597">
            <v>5119488</v>
          </cell>
          <cell r="C1597" t="str">
            <v>COO</v>
          </cell>
          <cell r="D1597" t="str">
            <v>ADAPTADOR DE CONEXION A TIERRA P.CABLES EN 22.9KV. CON AISLAMIENTO XLPE DE 120MM2.</v>
          </cell>
        </row>
        <row r="1598">
          <cell r="B1598">
            <v>5119488</v>
          </cell>
          <cell r="C1598" t="str">
            <v>ELA</v>
          </cell>
          <cell r="D1598" t="str">
            <v>ADAPTADOR DE CONEXION A TIERRA P.CABLES EN 22.9KV. CON AISLAMIENTO XLPE DE 120MM2.</v>
          </cell>
        </row>
        <row r="1599">
          <cell r="B1599">
            <v>5131246</v>
          </cell>
          <cell r="C1599" t="str">
            <v>RAY</v>
          </cell>
          <cell r="D1599" t="str">
            <v>EMPALME DERECHO UNIPOLAR TERMOCONTRAIBLE P.CABLE N2XSY / NA2XSY 400MM2 CL.25KV</v>
          </cell>
        </row>
        <row r="1600">
          <cell r="B1600">
            <v>5131247</v>
          </cell>
          <cell r="C1600" t="str">
            <v>P3M</v>
          </cell>
          <cell r="D1600" t="str">
            <v>EMPALME DERECHO AUTOCONTRAIBLE P.CABLE N2XSY / NA2XSY 300 - 400MM2 22,9KV S.CONECTOR</v>
          </cell>
        </row>
        <row r="1601">
          <cell r="B1601">
            <v>5131247</v>
          </cell>
          <cell r="C1601" t="str">
            <v>P3M</v>
          </cell>
          <cell r="D1601" t="str">
            <v>EMPALME DERECHO AUTOCONTRAIBLE P.CABLE N2XSY / NA2XSY 300 - 400MM2 22,9KV S.CONECTOR</v>
          </cell>
        </row>
        <row r="1602">
          <cell r="B1602">
            <v>5131250</v>
          </cell>
          <cell r="C1602" t="str">
            <v>P3M</v>
          </cell>
          <cell r="D1602" t="str">
            <v>EMPALME DERECHO UNIPOLAR AUTOCONTRAIBLE P.CABLE N2XSY / NA2XSY 50-120MM2 22,9KV S.CONECTOR</v>
          </cell>
        </row>
        <row r="1603">
          <cell r="B1603">
            <v>5131250</v>
          </cell>
          <cell r="C1603" t="str">
            <v>P3M</v>
          </cell>
          <cell r="D1603" t="str">
            <v>EMPALME DERECHO UNIPOLAR AUTOCONTRAIBLE P.CABLE N2XSY / NA2XSY 50-120MM2 22,9KV S.CONECTOR</v>
          </cell>
        </row>
        <row r="1604">
          <cell r="B1604">
            <v>5131251</v>
          </cell>
          <cell r="C1604" t="str">
            <v>P3M</v>
          </cell>
          <cell r="D1604" t="str">
            <v>EMPALME DERECHO UNIPOLAR AUTOCONTRAIBLE P.CABLE N2XSY / NA2XSY 50-120MM2 22,9KV C.CONECTOR</v>
          </cell>
        </row>
        <row r="1605">
          <cell r="B1605">
            <v>5131251</v>
          </cell>
          <cell r="C1605" t="str">
            <v>P3M</v>
          </cell>
          <cell r="D1605" t="str">
            <v>EMPALME DERECHO UNIPOLAR AUTOCONTRAIBLE P.CABLE N2XSY / NA2XSY 50-120MM2 22,9KV C.CONECTOR</v>
          </cell>
        </row>
        <row r="1606">
          <cell r="B1606">
            <v>5131252</v>
          </cell>
          <cell r="C1606" t="str">
            <v>P3M</v>
          </cell>
          <cell r="D1606" t="str">
            <v>EMPALME DERECHO UNIPOLAR AUTOCONTRAIBLE P.CABLE N2XSY / NA2XSY 120-240MM2 22,9KV C.CONECTOR</v>
          </cell>
        </row>
        <row r="1607">
          <cell r="B1607">
            <v>5131252</v>
          </cell>
          <cell r="C1607" t="str">
            <v>P3M</v>
          </cell>
          <cell r="D1607" t="str">
            <v>EMPALME DERECHO UNIPOLAR AUTOCONTRAIBLE P.CABLE N2XSY / NA2XSY 120-240MM2 22,9KV C.CONECTOR</v>
          </cell>
        </row>
        <row r="1608">
          <cell r="B1608">
            <v>5131252</v>
          </cell>
          <cell r="C1608" t="str">
            <v>RAY</v>
          </cell>
          <cell r="D1608" t="str">
            <v>EMPALME DERECHO UNIPOLAR AUTOCONTRAIBLE P.CABLE N2XSY / NA2XSY 120-240MM2 22,9KV C.CONECTOR</v>
          </cell>
        </row>
        <row r="1609">
          <cell r="B1609">
            <v>5131253</v>
          </cell>
          <cell r="C1609" t="str">
            <v>P3M</v>
          </cell>
          <cell r="D1609" t="str">
            <v>EMPALME DERECHO UNIPOLAR AUTOCONTRAIBLE P.CABLE N2XSY / NA2XSY 240-400MM 10/2 22,9KV C.CONECTOR</v>
          </cell>
        </row>
        <row r="1610">
          <cell r="B1610">
            <v>5131255</v>
          </cell>
          <cell r="C1610" t="str">
            <v>P3M</v>
          </cell>
          <cell r="D1610" t="str">
            <v>EMPALME DERECHO SIMETRICO AUTOCONTRAIBLE P.CABLE N2XSY 25-70MM2 10KV S.CONECTOR</v>
          </cell>
        </row>
        <row r="1611">
          <cell r="B1611">
            <v>5131273</v>
          </cell>
          <cell r="C1611" t="str">
            <v>P3M</v>
          </cell>
          <cell r="D1611" t="str">
            <v>EMPALME DERECHO UNIPOLAR AUTOCONTRAIBLE P.CABLE N2XSY / NA2XSY 120-400MM2 22,9KV C.CONECTOR</v>
          </cell>
        </row>
        <row r="1612">
          <cell r="B1612">
            <v>5131274</v>
          </cell>
          <cell r="C1612" t="str">
            <v>P3M</v>
          </cell>
          <cell r="D1612" t="str">
            <v>EMPALME DERECHO UNIPOLAR AUTOFUNDENTE P.CABLE N2XSY / NA2XSY 70-120MM2 10/22,9KV C.CONECTOR</v>
          </cell>
        </row>
        <row r="1613">
          <cell r="B1613">
            <v>5131277</v>
          </cell>
          <cell r="C1613" t="str">
            <v>RAY</v>
          </cell>
          <cell r="D1613" t="str">
            <v>EMPALME DERECHO UNIPOLAR TERMOCONTRAIBLE P.CABLE N2XSY / NA2XSY 50-120MM2 22,9KV C.CONECTOR</v>
          </cell>
        </row>
        <row r="1614">
          <cell r="B1614">
            <v>5131278</v>
          </cell>
          <cell r="C1614" t="str">
            <v>RAY</v>
          </cell>
          <cell r="D1614" t="str">
            <v>EMPALME DERECHO UNIPOLAR TERMOCONTRAIBLE ULTRA RAPIDO P.CABLE N2XSY / NA2XSY 70-120MM2 10/22,9KV</v>
          </cell>
        </row>
        <row r="1615">
          <cell r="B1615">
            <v>5131279</v>
          </cell>
          <cell r="C1615" t="str">
            <v>RAY</v>
          </cell>
          <cell r="D1615" t="str">
            <v>EMPALME DERECHO UNIPOLAR TERMOCONTRAIBLE ULTRA RAPIDO P.CABLE N2XSY / NA2XSY 25-120MM2 10/22,9KV</v>
          </cell>
        </row>
        <row r="1616">
          <cell r="B1616">
            <v>5131280</v>
          </cell>
          <cell r="C1616" t="str">
            <v>RAY</v>
          </cell>
          <cell r="D1616" t="str">
            <v>EMPALME DERECHO UNIPOLAR TERMOCONTRAIBLE P.CABLE N2XSY / NA2XSY 120-400MM2 22,9KV C.CONECTOR</v>
          </cell>
        </row>
        <row r="1617">
          <cell r="B1617">
            <v>5131281</v>
          </cell>
          <cell r="C1617" t="str">
            <v>RAY</v>
          </cell>
          <cell r="D1617" t="str">
            <v>EMPALME DERECHO UNIPOLAR TERMOCONTRAIBLE ULTRA RAPIDO P.CABLE N2XSY / NA2XSY 120-400MM2 10/22,9KV</v>
          </cell>
        </row>
        <row r="1618">
          <cell r="B1618">
            <v>5131282</v>
          </cell>
          <cell r="C1618" t="str">
            <v>RAY</v>
          </cell>
          <cell r="D1618" t="str">
            <v>EMPALME DERECHO UNIPOLAR TERMOCONTRAIBLE ULTRA RAPIDO P.CABLE N2XSY / NA2XSY 240-400MM2 10/22,9KV</v>
          </cell>
        </row>
        <row r="1619">
          <cell r="B1619">
            <v>5131285</v>
          </cell>
          <cell r="C1619" t="str">
            <v>RAY</v>
          </cell>
          <cell r="D1619" t="str">
            <v>EMPALME DERECHO UNIPOLAR TERMOCONTRAIBLE EXTRA ULTRA RAPIDO P.CABLE N2XSY / NA2XSY 185-400MM2 22,9KV</v>
          </cell>
        </row>
        <row r="1620">
          <cell r="B1620">
            <v>5131288</v>
          </cell>
          <cell r="C1620" t="str">
            <v>P3M</v>
          </cell>
          <cell r="D1620" t="str">
            <v>EMPALME DERECHO UNIPOLAR AUTOFUNDENTE P.CABLE N2XSY / NA2XSY 120-400MM2 10/22,9KV C.CONECTOR</v>
          </cell>
        </row>
        <row r="1621">
          <cell r="B1621">
            <v>5131289</v>
          </cell>
          <cell r="C1621" t="str">
            <v>RAY</v>
          </cell>
          <cell r="D1621" t="str">
            <v>EMPALME DERECHO UNIPOLAR TERMOCONTRAIBLE P.CABLE N2XSY / NA2XSY 120 - 240MM2 22,9KV C.CONECTOR</v>
          </cell>
        </row>
        <row r="1622">
          <cell r="B1622">
            <v>5131315</v>
          </cell>
          <cell r="C1622" t="str">
            <v>RAY</v>
          </cell>
          <cell r="D1622" t="str">
            <v>EMPALME ASIMETRICO TRIPOLAR TERMOCONTRAIBLE ULTRA RAPIDO P.CABLE NKY / NA2XSY 70-120MM2 10/22,9KV</v>
          </cell>
        </row>
        <row r="1623">
          <cell r="B1623">
            <v>5131316</v>
          </cell>
          <cell r="C1623" t="str">
            <v>P3M</v>
          </cell>
          <cell r="D1623" t="str">
            <v>EMPALME ASIMETRICO TRIPOLAR AUTOFUNDENTE P.CABLE NKY / NA2XSY 70-120MM2 10/22,9KV C.CONECTOR</v>
          </cell>
        </row>
        <row r="1624">
          <cell r="B1624">
            <v>5131320</v>
          </cell>
          <cell r="C1624" t="str">
            <v>RAY</v>
          </cell>
          <cell r="D1624" t="str">
            <v>EMPAL. ASIM.DERE.TRIP.TERMO.NKY-N2XSY 120MM2 10KV</v>
          </cell>
        </row>
        <row r="1625">
          <cell r="B1625">
            <v>5131330</v>
          </cell>
          <cell r="C1625" t="str">
            <v>ECM</v>
          </cell>
          <cell r="D1625" t="str">
            <v>EMPALME ASIM. DER. TERMOCON. P. CABLE NKY-N2XSY 16-70MM2 10KV. SIN CONECTOR</v>
          </cell>
        </row>
        <row r="1626">
          <cell r="B1626">
            <v>5131330</v>
          </cell>
          <cell r="C1626" t="str">
            <v>RAY</v>
          </cell>
          <cell r="D1626" t="str">
            <v>EMPALME ASIM. DER. TERMOCON. P. CABLE NKY-N2XSY 16-70MM2 10KV. SIN CONECTOR</v>
          </cell>
        </row>
        <row r="1627">
          <cell r="B1627">
            <v>5131331</v>
          </cell>
          <cell r="C1627" t="str">
            <v>ECM</v>
          </cell>
          <cell r="D1627" t="str">
            <v>EMPALME ASIM. DER. TERMOCON. P. CABLES NKY-N2XSY 120-240MM2 10KV. SIN CONECTOR</v>
          </cell>
        </row>
        <row r="1628">
          <cell r="B1628">
            <v>5131331</v>
          </cell>
          <cell r="C1628" t="str">
            <v>RAY</v>
          </cell>
          <cell r="D1628" t="str">
            <v>EMPALME ASIM. DER. TERMOCON. P. CABLES NKY-N2XSY 120-240MM2 10KV. SIN CONECTOR</v>
          </cell>
        </row>
        <row r="1629">
          <cell r="B1629">
            <v>5131334</v>
          </cell>
          <cell r="C1629" t="str">
            <v>RAY</v>
          </cell>
          <cell r="D1629" t="str">
            <v>EMPALME ASIM. DER. TERMOCON. NKY-N2XSY 16-70MM2 10KV. C/CONECT.</v>
          </cell>
        </row>
        <row r="1630">
          <cell r="B1630">
            <v>5131335</v>
          </cell>
          <cell r="C1630" t="str">
            <v>RAY</v>
          </cell>
          <cell r="D1630" t="str">
            <v>EMPALME ASIMETRICO DERECHO TERMO. NKY-N2XSY 120-240MM2 10KV C/CONECTOR TABICADO RELLENOS CLASE 17KV.</v>
          </cell>
        </row>
        <row r="1631">
          <cell r="B1631">
            <v>5131346</v>
          </cell>
          <cell r="C1631" t="str">
            <v>P3M</v>
          </cell>
          <cell r="D1631" t="str">
            <v>EMPAL.SIMET.DERE.TRIP.CABLENKY 10KV.3X70MM2 CINTA</v>
          </cell>
        </row>
        <row r="1632">
          <cell r="B1632">
            <v>5131356</v>
          </cell>
          <cell r="C1632" t="str">
            <v>P3M</v>
          </cell>
          <cell r="D1632" t="str">
            <v>EMPALME DERECHO NKY 10KV  3X16 MM2.</v>
          </cell>
        </row>
        <row r="1633">
          <cell r="B1633">
            <v>5131365</v>
          </cell>
          <cell r="C1633" t="str">
            <v>RAY</v>
          </cell>
          <cell r="D1633" t="str">
            <v>EMPALME DERECHO.TERMOC. NKY.10KV.3X16-35MM2.</v>
          </cell>
        </row>
        <row r="1634">
          <cell r="B1634">
            <v>5131370</v>
          </cell>
          <cell r="C1634" t="str">
            <v>RAY</v>
          </cell>
          <cell r="D1634" t="str">
            <v>EMPALME DERECHO TERMOC.NKY.10KV.3X16-3X70MM2 SIN CONECTOR TABICADO.</v>
          </cell>
        </row>
        <row r="1635">
          <cell r="B1635">
            <v>5131371</v>
          </cell>
          <cell r="C1635" t="str">
            <v>RAY</v>
          </cell>
          <cell r="D1635" t="str">
            <v>EMPALME DER. TERMOC. CABLE NKY 120-240MM2 10KV.</v>
          </cell>
        </row>
        <row r="1636">
          <cell r="B1636">
            <v>5131372</v>
          </cell>
          <cell r="C1636" t="str">
            <v>P3M</v>
          </cell>
          <cell r="D1636" t="str">
            <v>EMPALME DERECHO.NKY.10KV.3X120MM2.</v>
          </cell>
        </row>
        <row r="1637">
          <cell r="B1637">
            <v>5131373</v>
          </cell>
          <cell r="C1637" t="str">
            <v>P3M</v>
          </cell>
          <cell r="D1637" t="str">
            <v>EMPALME DERECHO.NKY.10KV.3X240MM2.</v>
          </cell>
        </row>
        <row r="1638">
          <cell r="B1638">
            <v>5131374</v>
          </cell>
          <cell r="C1638" t="str">
            <v>RAY</v>
          </cell>
          <cell r="D1638" t="str">
            <v>EMPALME DER. TERMOC. CABLE NKY 16-70MM2 10KV. C/CONECT.</v>
          </cell>
        </row>
        <row r="1639">
          <cell r="B1639">
            <v>5131375</v>
          </cell>
          <cell r="C1639" t="str">
            <v>RAY</v>
          </cell>
          <cell r="D1639" t="str">
            <v>EMPALME DER. TERMOC. CABLE NKY 120-240MM2 10KV. C/CONECT.</v>
          </cell>
        </row>
        <row r="1640">
          <cell r="B1640">
            <v>5131380</v>
          </cell>
          <cell r="C1640" t="str">
            <v>RAY</v>
          </cell>
          <cell r="D1640" t="str">
            <v>EMPALME DERECHO CABLE NKY 3X120MM2 15KV TERMOCONT.</v>
          </cell>
        </row>
        <row r="1641">
          <cell r="B1641">
            <v>5131382</v>
          </cell>
          <cell r="C1641" t="str">
            <v>P3M</v>
          </cell>
          <cell r="D1641" t="str">
            <v>EMPAL.DERE.CABLE SECO N2XSY 1X 50MM2 15KV. PREMOLD</v>
          </cell>
        </row>
        <row r="1642">
          <cell r="B1642">
            <v>5131384</v>
          </cell>
          <cell r="C1642" t="str">
            <v>P3M</v>
          </cell>
          <cell r="D1642" t="str">
            <v>EMPAL.DERE.CABLE SECO N2XSY 1X 70MM2  15KV.PREMOLD</v>
          </cell>
        </row>
        <row r="1643">
          <cell r="B1643">
            <v>5131386</v>
          </cell>
          <cell r="C1643" t="str">
            <v>P3M</v>
          </cell>
          <cell r="D1643" t="str">
            <v>EMPAL.DERE.CABLE SECO N2XSY 50-120MM2 15KV.AUTOCONT.ULTRA-RAP.</v>
          </cell>
        </row>
        <row r="1644">
          <cell r="B1644">
            <v>5131390</v>
          </cell>
          <cell r="C1644" t="str">
            <v>P3M</v>
          </cell>
          <cell r="D1644" t="str">
            <v>EMPAL.DERE.CABLE SECO N2XSY 1X240MM2 15KV.AUTOCONT.ULTRA-RAP.</v>
          </cell>
        </row>
        <row r="1645">
          <cell r="B1645">
            <v>5131395</v>
          </cell>
          <cell r="C1645" t="str">
            <v>ECM</v>
          </cell>
          <cell r="D1645" t="str">
            <v>EMPALME DERECHO UNIPOLAR TERMOCONTRAIBLE P.CABLE N2XSY 25 - 95MM2 CL.15KV</v>
          </cell>
        </row>
        <row r="1646">
          <cell r="B1646">
            <v>5131395</v>
          </cell>
          <cell r="C1646" t="str">
            <v>RAY</v>
          </cell>
          <cell r="D1646" t="str">
            <v>EMPALME DERECHO UNIPOLAR TERMOCONTRAIBLE P.CABLE N2XSY 25 - 95MM2 CL.15KV</v>
          </cell>
        </row>
        <row r="1647">
          <cell r="B1647">
            <v>5131398</v>
          </cell>
          <cell r="C1647" t="str">
            <v>ECM</v>
          </cell>
          <cell r="D1647" t="str">
            <v>EMPALME DERECHO UNIPOLAR TERMOCONTRAIBLE P.CABLE N2XSY 120 - 240MM2 CL.15KV</v>
          </cell>
        </row>
        <row r="1648">
          <cell r="B1648">
            <v>5131398</v>
          </cell>
          <cell r="C1648" t="str">
            <v>RAY</v>
          </cell>
          <cell r="D1648" t="str">
            <v>EMPALME DERECHO UNIPOLAR TERMOCONTRAIBLE P.CABLE N2XSY 120 - 240MM2 CL.15KV</v>
          </cell>
        </row>
        <row r="1649">
          <cell r="B1649">
            <v>5131400</v>
          </cell>
          <cell r="C1649" t="str">
            <v>P3M</v>
          </cell>
          <cell r="D1649" t="str">
            <v>EMPALME DERECHO TRIPOLAR AUTOFUNDENTE TP.CINTAS P.CABLE N2XS2Y-S 35 - 70MM2 10KV</v>
          </cell>
        </row>
        <row r="1650">
          <cell r="B1650">
            <v>5131408</v>
          </cell>
          <cell r="C1650" t="str">
            <v>RAY</v>
          </cell>
          <cell r="D1650" t="str">
            <v>EMPALME DERECHO TRIPOLAR TERMOCONTRAIBLE P.CABLE N2XSY 120 - 240MM2 CL.15KV</v>
          </cell>
        </row>
        <row r="1651">
          <cell r="B1651">
            <v>5131420</v>
          </cell>
          <cell r="C1651" t="str">
            <v>P3M</v>
          </cell>
          <cell r="D1651" t="str">
            <v>EMPALME ASIMET.DERECH.TRIP.RESINA P.NKY-N2XSY  120MM2. 10KV</v>
          </cell>
        </row>
        <row r="1652">
          <cell r="B1652">
            <v>5131422</v>
          </cell>
          <cell r="C1652" t="str">
            <v>P3M</v>
          </cell>
          <cell r="D1652" t="str">
            <v>EMPALME ASIM.DERE.TRIP. RESINA P. NKY-N2XSY240-120/240MM 10KV</v>
          </cell>
        </row>
        <row r="1653">
          <cell r="B1653">
            <v>5131424</v>
          </cell>
          <cell r="C1653" t="str">
            <v>PIR</v>
          </cell>
          <cell r="D1653" t="str">
            <v>EMPALME ASIMET. P.CABLE N2YCY 10KV.     16/ 35MM2.</v>
          </cell>
        </row>
        <row r="1654">
          <cell r="B1654">
            <v>5131432</v>
          </cell>
          <cell r="C1654" t="str">
            <v>P3M</v>
          </cell>
          <cell r="D1654" t="str">
            <v>EMPALME ASIMET.DERE.TRIP. RESINA P.NKY-N2XSY 16-35/35MM2 10KV</v>
          </cell>
        </row>
        <row r="1655">
          <cell r="B1655">
            <v>5131436</v>
          </cell>
          <cell r="C1655" t="str">
            <v>P3M</v>
          </cell>
          <cell r="D1655" t="str">
            <v>EMPALME ASIMET.DER.TRIP. RESINA P. CAB.NKY-N2XSY 70/35MM2.10KV</v>
          </cell>
        </row>
        <row r="1656">
          <cell r="B1656">
            <v>5131445</v>
          </cell>
          <cell r="C1656" t="str">
            <v>RAY</v>
          </cell>
          <cell r="D1656" t="str">
            <v>EMPALME ASIMETRICO TRIPOLAR TERMOCONTRAIBLE ULTRA RAPIDO P.CABLE NKY / NA2XSY 240/400MM2 10/22,9KV</v>
          </cell>
        </row>
        <row r="1657">
          <cell r="B1657">
            <v>5131446</v>
          </cell>
          <cell r="C1657" t="str">
            <v>RAY</v>
          </cell>
          <cell r="D1657" t="str">
            <v>EMPALME ASIMETRICO TRIPOLAR TERMOCONTRAIBLE ULTRA RAPIDO P.CABLE NKY / NA2XSY 120-400MM2 10/22,9KV</v>
          </cell>
        </row>
        <row r="1658">
          <cell r="B1658">
            <v>5131447</v>
          </cell>
          <cell r="C1658" t="str">
            <v>P3M</v>
          </cell>
          <cell r="D1658" t="str">
            <v>EMPALME ASIMETRICO TRIPOLAR AUTOFUNDENTE P.CABLE NKY / NA2XSY 120-400MM2 10/22,9KV C.CONECTOR</v>
          </cell>
        </row>
        <row r="1659">
          <cell r="B1659">
            <v>5131513</v>
          </cell>
          <cell r="C1659" t="str">
            <v>P3M</v>
          </cell>
          <cell r="D1659" t="str">
            <v>EMPALME DERIV.NKY.10KV.35/35-16MM2.</v>
          </cell>
        </row>
        <row r="1660">
          <cell r="B1660">
            <v>5131524</v>
          </cell>
          <cell r="C1660" t="str">
            <v>P3M</v>
          </cell>
          <cell r="D1660" t="str">
            <v>EMPAL.DERIV.TRIP.NKY 70/70MM2.10KV.CINTAS</v>
          </cell>
        </row>
        <row r="1661">
          <cell r="B1661">
            <v>5131528</v>
          </cell>
          <cell r="C1661" t="str">
            <v>P3M</v>
          </cell>
          <cell r="D1661" t="str">
            <v>EMPAL.DERI.TRIP.CABLE NKY 70/ 35-16MM2.10KV.CINTA</v>
          </cell>
        </row>
        <row r="1662">
          <cell r="B1662">
            <v>5131531</v>
          </cell>
          <cell r="C1662" t="str">
            <v>P3M</v>
          </cell>
          <cell r="D1662" t="str">
            <v>EMPALME DERIVACION.NKY.10KV.120-35MM2.</v>
          </cell>
        </row>
        <row r="1663">
          <cell r="B1663">
            <v>5131534</v>
          </cell>
          <cell r="C1663" t="str">
            <v>P3M</v>
          </cell>
          <cell r="D1663" t="str">
            <v>EMPALME DERIV. TRIP. RESINA P. CAB.NKY 120/120-70MM2.10KV.</v>
          </cell>
        </row>
        <row r="1664">
          <cell r="B1664">
            <v>5131548</v>
          </cell>
          <cell r="C1664" t="str">
            <v>P3M</v>
          </cell>
          <cell r="D1664" t="str">
            <v>EMPAL.DERIV.TRIP.P.CAB.N2XSY 1X25MM2.10KV. CINTAS</v>
          </cell>
        </row>
        <row r="1665">
          <cell r="B1665">
            <v>5131579</v>
          </cell>
          <cell r="C1665" t="str">
            <v>P3M</v>
          </cell>
          <cell r="D1665" t="str">
            <v>EMPAL.DER.CABLE SECO N2XSY 1X25-1X70MM2 15KV AUTOCON.RAPIDO</v>
          </cell>
        </row>
        <row r="1666">
          <cell r="B1666">
            <v>5131581</v>
          </cell>
          <cell r="C1666" t="str">
            <v>P3M</v>
          </cell>
          <cell r="D1666" t="str">
            <v>EMPAL.DERE.CAB.N2XSY 22,9 KV.1X50MM2 AUTOCONT.ULTRA-RAP.</v>
          </cell>
        </row>
        <row r="1667">
          <cell r="B1667">
            <v>5131584</v>
          </cell>
          <cell r="C1667" t="str">
            <v>P3M</v>
          </cell>
          <cell r="D1667" t="str">
            <v>EMPALME DERE.CAB.SECO N2XSY 22 9 KV 1X240MM2 AUTOCONT.ULTRA-RAP.</v>
          </cell>
        </row>
        <row r="1668">
          <cell r="B1668">
            <v>5131585</v>
          </cell>
          <cell r="C1668" t="str">
            <v>P3M</v>
          </cell>
          <cell r="D1668" t="str">
            <v>EMPALME EN DERIVACION TP.CINTAS P.CABLE N2XSY 50 / 50MM2 22,9KV</v>
          </cell>
        </row>
        <row r="1669">
          <cell r="B1669">
            <v>5131586</v>
          </cell>
          <cell r="C1669" t="str">
            <v>P3M</v>
          </cell>
          <cell r="D1669" t="str">
            <v>EMPALME EN DERIVACION TP.CINTAS P.CABLE N2XSY 70 / 50 - 70MM2 22,9KV</v>
          </cell>
        </row>
        <row r="1670">
          <cell r="B1670">
            <v>5131587</v>
          </cell>
          <cell r="C1670" t="str">
            <v>P3M</v>
          </cell>
          <cell r="D1670" t="str">
            <v>EMPALME EN DERIVACION TP.CINTAS P.CABLE N2XSY 120 / 50 - 70 - 120MM2 22,9KV</v>
          </cell>
        </row>
        <row r="1671">
          <cell r="B1671">
            <v>5131588</v>
          </cell>
          <cell r="C1671" t="str">
            <v>P3M</v>
          </cell>
          <cell r="D1671" t="str">
            <v>EMPALME EN DERIVACION TP.CINTAS P.CABLE N2XSY 240 / 70 - 120MM2 22,9KV</v>
          </cell>
        </row>
        <row r="1672">
          <cell r="B1672">
            <v>5131589</v>
          </cell>
          <cell r="C1672" t="str">
            <v>P3M</v>
          </cell>
          <cell r="D1672" t="str">
            <v>EMPAL.DER.CABLE SECO N2XSY 1X120-1X240MM2 AUTOCON.RAPIDO</v>
          </cell>
        </row>
        <row r="1673">
          <cell r="B1673">
            <v>5131593</v>
          </cell>
          <cell r="C1673" t="str">
            <v>ECM</v>
          </cell>
          <cell r="D1673" t="str">
            <v>EMPALME DERECHO UNIPOLAR TERMOCONTRAIBLE P.CABLE N2XSY 185 - 240MM2 CL.25KV</v>
          </cell>
        </row>
        <row r="1674">
          <cell r="B1674">
            <v>5131593</v>
          </cell>
          <cell r="C1674" t="str">
            <v>RAY</v>
          </cell>
          <cell r="D1674" t="str">
            <v>EMPALME DERECHO UNIPOLAR TERMOCONTRAIBLE P.CABLE N2XSY 185 - 240MM2 CL.25KV</v>
          </cell>
        </row>
        <row r="1675">
          <cell r="B1675">
            <v>5131595</v>
          </cell>
          <cell r="C1675" t="str">
            <v>RAY</v>
          </cell>
          <cell r="D1675" t="str">
            <v>EMPALME EN DERIVACION TERMOCONTRAIBLE P.CABLE N2XSY 25 - 70 / 25 - 70MM2 22,9KV</v>
          </cell>
        </row>
        <row r="1676">
          <cell r="B1676">
            <v>5131596</v>
          </cell>
          <cell r="C1676" t="str">
            <v>ECM</v>
          </cell>
          <cell r="D1676" t="str">
            <v>EMPALME DERECHO UNIPOLAR TERMOCONTRAIBLE P.CABLE N2XSY 35 - 120MM2 CL.25KV</v>
          </cell>
        </row>
        <row r="1677">
          <cell r="B1677">
            <v>5131596</v>
          </cell>
          <cell r="C1677" t="str">
            <v>RAY</v>
          </cell>
          <cell r="D1677" t="str">
            <v>EMPALME DERECHO UNIPOLAR TERMOCONTRAIBLE P.CABLE N2XSY 35 - 120MM2 CL.25KV</v>
          </cell>
        </row>
        <row r="1678">
          <cell r="B1678">
            <v>5131602</v>
          </cell>
          <cell r="C1678" t="str">
            <v>ECM</v>
          </cell>
          <cell r="D1678" t="str">
            <v>TERMINAL TERMOCONT. INT.P.CABLE N2XSY 3-1X 25 A 3-1X70 MM2  10KV.</v>
          </cell>
        </row>
        <row r="1679">
          <cell r="B1679">
            <v>5131602</v>
          </cell>
          <cell r="C1679" t="str">
            <v>RAY</v>
          </cell>
          <cell r="D1679" t="str">
            <v>TERMINAL TERMOCONT. INT.P.CABLE N2XSY 3-1X 25 A 3-1X70 MM2  10KV.</v>
          </cell>
        </row>
        <row r="1680">
          <cell r="B1680">
            <v>5131603</v>
          </cell>
          <cell r="C1680" t="str">
            <v>P3M</v>
          </cell>
          <cell r="D1680" t="str">
            <v>TERMINAL INTERIOR P. CABLE N2XSY 3-1X25-70MM2 10KV. AUTOCON. ULTRARAPIDO</v>
          </cell>
        </row>
        <row r="1681">
          <cell r="B1681">
            <v>5131605</v>
          </cell>
          <cell r="C1681" t="str">
            <v>P3M</v>
          </cell>
          <cell r="D1681" t="str">
            <v>TERMINAL INTERIOR P. CABLE N2XSY 3-1X120-240MM2 10KV. AUTOCON. ULTRARAPIDO</v>
          </cell>
        </row>
        <row r="1682">
          <cell r="B1682">
            <v>5131608</v>
          </cell>
          <cell r="C1682" t="str">
            <v>RAY</v>
          </cell>
          <cell r="D1682" t="str">
            <v>TERMINAL INT.P.N2XSY 3-1X70 A 3-1X120 MM2  10KV.</v>
          </cell>
        </row>
        <row r="1683">
          <cell r="B1683">
            <v>5131614</v>
          </cell>
          <cell r="C1683" t="str">
            <v>ECM</v>
          </cell>
          <cell r="D1683" t="str">
            <v>TERM.INT.TERMOCONT. P.CABLE SECO N2XSY 3-1X120 A 3-1X240MM2  10KV.</v>
          </cell>
        </row>
        <row r="1684">
          <cell r="B1684">
            <v>5131614</v>
          </cell>
          <cell r="C1684" t="str">
            <v>RAY</v>
          </cell>
          <cell r="D1684" t="str">
            <v>TERM.INT.TERMOCONT. P.CABLE SECO N2XSY 3-1X120 A 3-1X240MM2  10KV.</v>
          </cell>
        </row>
        <row r="1685">
          <cell r="B1685">
            <v>5131618</v>
          </cell>
          <cell r="C1685" t="str">
            <v>ECM</v>
          </cell>
          <cell r="D1685" t="str">
            <v>TERMINAL TRIPOLAR TERMOCONTRAIBLE TP.EXTERIOR P.CABLE N2XSY / NA2XSY 25-95MM2 CL.15KV</v>
          </cell>
        </row>
        <row r="1686">
          <cell r="B1686">
            <v>5131618</v>
          </cell>
          <cell r="C1686" t="str">
            <v>RAY</v>
          </cell>
          <cell r="D1686" t="str">
            <v>TERMINAL TRIPOLAR TERMOCONTRAIBLE TP.EXTERIOR P.CABLE N2XSY / NA2XSY 25-95MM2 CL.15KV</v>
          </cell>
        </row>
        <row r="1687">
          <cell r="B1687">
            <v>5131621</v>
          </cell>
          <cell r="C1687" t="str">
            <v>P3M</v>
          </cell>
          <cell r="D1687" t="str">
            <v>TERMINAL TRIPOLAR AUTOCONTRAIBLE ULTRARAPIDO P.CABLE N2XSY/NA2XSY 25-95MM2 15KV INTERIOR / EXTERIOR</v>
          </cell>
        </row>
        <row r="1688">
          <cell r="B1688">
            <v>5131622</v>
          </cell>
          <cell r="C1688" t="str">
            <v>RAY</v>
          </cell>
          <cell r="D1688" t="str">
            <v>TERMI.EXT.P.CABL.SECO N2XSY 3-1X 50MM2 10KV.TERMO.</v>
          </cell>
        </row>
        <row r="1689">
          <cell r="B1689">
            <v>5131623</v>
          </cell>
          <cell r="C1689" t="str">
            <v>P3M</v>
          </cell>
          <cell r="D1689" t="str">
            <v>TERMINAL TRIPOLAR AUTOCONTRAIBLE ULTRARAPIDO P.CABLE N2XSY/NA2XSY 120-240MM2 15KV INTERIOR/EXTERIOR</v>
          </cell>
        </row>
        <row r="1690">
          <cell r="B1690">
            <v>5131624</v>
          </cell>
          <cell r="C1690" t="str">
            <v>RAY</v>
          </cell>
          <cell r="D1690" t="str">
            <v>TER.EX.P.C/S.N2XSY 3-1X70 A 3-1X120 MM2 10KV.TERM</v>
          </cell>
        </row>
        <row r="1691">
          <cell r="B1691">
            <v>5131626</v>
          </cell>
          <cell r="C1691" t="str">
            <v>RAY</v>
          </cell>
          <cell r="D1691" t="str">
            <v>TERMINAL EXT.P.CABLE SECO N2XSY 3-1X120MM2  10KV.</v>
          </cell>
        </row>
        <row r="1692">
          <cell r="B1692">
            <v>5131630</v>
          </cell>
          <cell r="C1692" t="str">
            <v>ECM</v>
          </cell>
          <cell r="D1692" t="str">
            <v>TERMINAL TRIPOLAR TERMOCONTRAIBLE TP.EXTERIOR P.CABLE N2XSY / NA2XSY 120-240MM2 CL.15KV</v>
          </cell>
        </row>
        <row r="1693">
          <cell r="B1693">
            <v>5131630</v>
          </cell>
          <cell r="C1693" t="str">
            <v>RAY</v>
          </cell>
          <cell r="D1693" t="str">
            <v>TERMINAL TRIPOLAR TERMOCONTRAIBLE TP.EXTERIOR P.CABLE N2XSY / NA2XSY 120-240MM2 CL.15KV</v>
          </cell>
        </row>
        <row r="1694">
          <cell r="B1694">
            <v>5131636</v>
          </cell>
          <cell r="C1694" t="str">
            <v>P3M</v>
          </cell>
          <cell r="D1694" t="str">
            <v>TERMINAL  INTERIOR  P.NKY 10KV. 3X 16MM2.TERMOR.</v>
          </cell>
        </row>
        <row r="1695">
          <cell r="B1695">
            <v>5131636</v>
          </cell>
          <cell r="C1695" t="str">
            <v>RAY</v>
          </cell>
          <cell r="D1695" t="str">
            <v>TERMINAL  INTERIOR  P.NKY 10KV. 3X 16MM2.TERMOR.</v>
          </cell>
        </row>
        <row r="1696">
          <cell r="B1696">
            <v>5131642</v>
          </cell>
          <cell r="C1696" t="str">
            <v>ECM</v>
          </cell>
          <cell r="D1696" t="str">
            <v>TERMINAL INTERIOR P.NKY 10KV. 3x16-35 MM2.TERMOC</v>
          </cell>
        </row>
        <row r="1697">
          <cell r="B1697">
            <v>5131642</v>
          </cell>
          <cell r="C1697" t="str">
            <v>P3M</v>
          </cell>
          <cell r="D1697" t="str">
            <v>TERMINAL INTERIOR P.NKY 10KV. 3x16-35 MM2.TERMOC</v>
          </cell>
        </row>
        <row r="1698">
          <cell r="B1698">
            <v>5131642</v>
          </cell>
          <cell r="C1698" t="str">
            <v>RAY</v>
          </cell>
          <cell r="D1698" t="str">
            <v>TERMINAL INTERIOR P.NKY 10KV. 3x16-35 MM2.TERMOC</v>
          </cell>
        </row>
        <row r="1699">
          <cell r="B1699">
            <v>5131644</v>
          </cell>
          <cell r="C1699" t="str">
            <v>P3M</v>
          </cell>
          <cell r="D1699" t="str">
            <v>TERMINAL INTERIOR  P.NKY 10KV. 3X 70MM2.TERMOC.</v>
          </cell>
        </row>
        <row r="1700">
          <cell r="B1700">
            <v>5131644</v>
          </cell>
          <cell r="C1700" t="str">
            <v>RAY</v>
          </cell>
          <cell r="D1700" t="str">
            <v>TERMINAL INTERIOR  P.NKY 10KV. 3X 70MM2.TERMOC.</v>
          </cell>
        </row>
        <row r="1701">
          <cell r="B1701">
            <v>5131648</v>
          </cell>
          <cell r="C1701" t="str">
            <v>ECM</v>
          </cell>
          <cell r="D1701" t="str">
            <v>TERMINAL INTERIOR   P. NKY 10KV. 3x70-120 MM2.TERMOC.</v>
          </cell>
        </row>
        <row r="1702">
          <cell r="B1702">
            <v>5131648</v>
          </cell>
          <cell r="C1702" t="str">
            <v>P3M</v>
          </cell>
          <cell r="D1702" t="str">
            <v>TERMINAL INTERIOR   P. NKY 10KV. 3x70-120 MM2.TERMOC.</v>
          </cell>
        </row>
        <row r="1703">
          <cell r="B1703">
            <v>5131648</v>
          </cell>
          <cell r="C1703" t="str">
            <v>RAY</v>
          </cell>
          <cell r="D1703" t="str">
            <v>TERMINAL INTERIOR   P. NKY 10KV. 3x70-120 MM2.TERMOC.</v>
          </cell>
        </row>
        <row r="1704">
          <cell r="B1704">
            <v>5131656</v>
          </cell>
          <cell r="C1704" t="str">
            <v>ECM</v>
          </cell>
          <cell r="D1704" t="str">
            <v>TERMINAL INTERIOR  P. NKY 10KV.3X240MM2.TERMOC.</v>
          </cell>
        </row>
        <row r="1705">
          <cell r="B1705">
            <v>5131656</v>
          </cell>
          <cell r="C1705" t="str">
            <v>P3M</v>
          </cell>
          <cell r="D1705" t="str">
            <v>TERMINAL INTERIOR  P. NKY 10KV.3X240MM2.TERMOC.</v>
          </cell>
        </row>
        <row r="1706">
          <cell r="B1706">
            <v>5131656</v>
          </cell>
          <cell r="C1706" t="str">
            <v>RAY</v>
          </cell>
          <cell r="D1706" t="str">
            <v>TERMINAL INTERIOR  P. NKY 10KV.3X240MM2.TERMOC.</v>
          </cell>
        </row>
        <row r="1707">
          <cell r="B1707">
            <v>5131658</v>
          </cell>
          <cell r="C1707" t="str">
            <v>P3M</v>
          </cell>
          <cell r="D1707" t="str">
            <v>TERMINAL TRIPOLAR AUTOCONTRAIBLE RAPIDO P.CABLE N2XSY / NA2XSY 25-95MM2 CL.15KV INTERIOR / EXTERIOR</v>
          </cell>
        </row>
        <row r="1708">
          <cell r="B1708">
            <v>5131661</v>
          </cell>
          <cell r="C1708" t="str">
            <v>P3M</v>
          </cell>
          <cell r="D1708" t="str">
            <v>TERMINAL TRIPOLAR AUTOCONTRAIBLE RAPIDO P.CABLE N2XSY / NA2XSY 120-240MM2 CL15KV INTERIOR / EXTERIOR</v>
          </cell>
        </row>
        <row r="1709">
          <cell r="B1709">
            <v>5131688</v>
          </cell>
          <cell r="C1709" t="str">
            <v>P3M</v>
          </cell>
          <cell r="D1709" t="str">
            <v>TERMINAL INT. AUTOCONTR.TP. RAPIDO P/N2XSY 25-70MM2  10 KV.</v>
          </cell>
        </row>
        <row r="1710">
          <cell r="B1710">
            <v>5131691</v>
          </cell>
          <cell r="C1710" t="str">
            <v>P3M</v>
          </cell>
          <cell r="D1710" t="str">
            <v>TERMINAL INT. AUTOCONTR.TP. RAPIDO P/N2XSY 120-240MM2  10 KV.</v>
          </cell>
        </row>
        <row r="1711">
          <cell r="B1711">
            <v>5131699</v>
          </cell>
          <cell r="C1711" t="str">
            <v>RAY</v>
          </cell>
          <cell r="D1711" t="str">
            <v>TERMINAL UNIPOLAR TERMOCONTRAIBLE TP.INTERIOR P.CABLE NA2XSY 400MM2 CL.25KV</v>
          </cell>
        </row>
        <row r="1712">
          <cell r="B1712">
            <v>5131705</v>
          </cell>
          <cell r="C1712" t="str">
            <v>RAY</v>
          </cell>
          <cell r="D1712" t="str">
            <v>TERMINAL UNIPOLAR TERMOCONTRAIBLE TP.EXTERIOR P.CABLE NA2XSY 400MM2 CL.25KV</v>
          </cell>
        </row>
        <row r="1713">
          <cell r="B1713">
            <v>5131726</v>
          </cell>
          <cell r="C1713" t="str">
            <v>RAY</v>
          </cell>
          <cell r="D1713" t="str">
            <v>TERMINACION INTERIOR.TERMOCONTR.N2XSY.25KV.500MM2.</v>
          </cell>
        </row>
        <row r="1714">
          <cell r="B1714">
            <v>5131741</v>
          </cell>
          <cell r="C1714" t="str">
            <v>RAY</v>
          </cell>
          <cell r="D1714" t="str">
            <v>TERMINALES UNIPOLARES TERMOCONTRAIBLES TP.EXTERIOR P.CABLE NA2XSY 400MM2 CL.25KV</v>
          </cell>
        </row>
        <row r="1715">
          <cell r="B1715">
            <v>5131742</v>
          </cell>
          <cell r="C1715" t="str">
            <v>RAY</v>
          </cell>
          <cell r="D1715" t="str">
            <v>TERMINAL UNIPOLAR TERMOCONTRAIBLE TP.EXTERIOR P.CABLE NA2XSY 400MM2 CL.25KV S.CONECTOR</v>
          </cell>
        </row>
        <row r="1716">
          <cell r="B1716">
            <v>5131768</v>
          </cell>
          <cell r="C1716" t="str">
            <v>RAY</v>
          </cell>
          <cell r="D1716" t="str">
            <v>TERMINALES UNIPOLARES INTERIORES TERMOCONTRAIBLES ULTRA RAPIDOS P.CABLE N2XSY 3-1X70-240MM2 24KV</v>
          </cell>
        </row>
        <row r="1717">
          <cell r="B1717">
            <v>5131771</v>
          </cell>
          <cell r="C1717" t="str">
            <v>RAY</v>
          </cell>
          <cell r="D1717" t="str">
            <v>TERMINALES UNIPOLARES INTERIORES TERMOCONTRAIBLES COMPACTO RAPIDO P.CABLE NA2XSY 400MM2 24KV</v>
          </cell>
        </row>
        <row r="1718">
          <cell r="B1718">
            <v>5131772</v>
          </cell>
          <cell r="C1718" t="str">
            <v>RAY</v>
          </cell>
          <cell r="D1718" t="str">
            <v>TERMINALES UNIPOLARES INTERIORES TERMOCONTRAIBLES COMPACTO RAPIDO P.CABLE NA2XSY 120MM2 24KV</v>
          </cell>
        </row>
        <row r="1719">
          <cell r="B1719">
            <v>5131775</v>
          </cell>
          <cell r="C1719" t="str">
            <v>P3M</v>
          </cell>
          <cell r="D1719" t="str">
            <v>TERMINALES UNIPOLARES AUTOCONTRAIBLES TP.INTERIOR P.CABLE NA2XSY 185-400MM2 22,9KV C.CONECTOR</v>
          </cell>
        </row>
        <row r="1720">
          <cell r="B1720">
            <v>5131776</v>
          </cell>
          <cell r="C1720" t="str">
            <v>P3M</v>
          </cell>
          <cell r="D1720" t="str">
            <v>TERMINACION AUTOCONTRAIBLE TP.INTERIOR P.CABLE N2XSY-NA2XSY 50-120MM2 22,9KV C.CONECTOR</v>
          </cell>
        </row>
        <row r="1721">
          <cell r="B1721">
            <v>5131777</v>
          </cell>
          <cell r="C1721" t="str">
            <v>P3M</v>
          </cell>
          <cell r="D1721" t="str">
            <v>TERMINACION  AUTOCONTRAIBLE TP.EXTERIOR P.CABLE N2XSY-NA2XSY 185-400MM2 22,9KV C.CONECTOR</v>
          </cell>
        </row>
        <row r="1722">
          <cell r="B1722">
            <v>5131778</v>
          </cell>
          <cell r="C1722" t="str">
            <v>P3M</v>
          </cell>
          <cell r="D1722" t="str">
            <v>TERMINACION UNIPOLAR AUTOCONTRAIBLE TP.EXTERIOR P.CABLE N2XSY-NA2XSY 185-400MM2 22,9KV SIN CONECTOR</v>
          </cell>
        </row>
        <row r="1723">
          <cell r="B1723">
            <v>5131806</v>
          </cell>
          <cell r="C1723" t="str">
            <v>P3M</v>
          </cell>
          <cell r="D1723" t="str">
            <v>TERMINAL TP.CAJA INTEMP.CABLE NKY 10KV.3X 16MM2.TERMO.</v>
          </cell>
        </row>
        <row r="1724">
          <cell r="B1724">
            <v>5131806</v>
          </cell>
          <cell r="C1724" t="str">
            <v>RAY</v>
          </cell>
          <cell r="D1724" t="str">
            <v>TERMINAL TP.CAJA INTEMP.CABLE NKY 10KV.3X 16MM2.TERMO.</v>
          </cell>
        </row>
        <row r="1725">
          <cell r="B1725">
            <v>5131812</v>
          </cell>
          <cell r="C1725" t="str">
            <v>ECM</v>
          </cell>
          <cell r="D1725" t="str">
            <v>TERMINAL TP.CAJA INTERP.P.CABLE NKY 10KV. 3x16-35 MM2. TERMOC.</v>
          </cell>
        </row>
        <row r="1726">
          <cell r="B1726">
            <v>5131812</v>
          </cell>
          <cell r="C1726" t="str">
            <v>P3M</v>
          </cell>
          <cell r="D1726" t="str">
            <v>TERMINAL TP.CAJA INTERP.P.CABLE NKY 10KV. 3x16-35 MM2. TERMOC.</v>
          </cell>
        </row>
        <row r="1727">
          <cell r="B1727">
            <v>5131812</v>
          </cell>
          <cell r="C1727" t="str">
            <v>RAY</v>
          </cell>
          <cell r="D1727" t="str">
            <v>TERMINAL TP.CAJA INTERP.P.CABLE NKY 10KV. 3x16-35 MM2. TERMOC.</v>
          </cell>
        </row>
        <row r="1728">
          <cell r="B1728">
            <v>5131815</v>
          </cell>
          <cell r="C1728" t="str">
            <v>P3M</v>
          </cell>
          <cell r="D1728" t="str">
            <v>TERMINACION EXTERIOR.NKY.10KV.3-1X70MM2.</v>
          </cell>
        </row>
        <row r="1729">
          <cell r="B1729">
            <v>5131815</v>
          </cell>
          <cell r="C1729" t="str">
            <v>RAY</v>
          </cell>
          <cell r="D1729" t="str">
            <v>TERMINACION EXTERIOR.NKY.10KV.3-1X70MM2.</v>
          </cell>
        </row>
        <row r="1730">
          <cell r="B1730">
            <v>5131822</v>
          </cell>
          <cell r="C1730" t="str">
            <v>ECM</v>
          </cell>
          <cell r="D1730" t="str">
            <v>TERMINAL TP.CAJA INTEMP.P.CABLE NKY 10KV 3x70-120 MM2 TERMOC.</v>
          </cell>
        </row>
        <row r="1731">
          <cell r="B1731">
            <v>5131822</v>
          </cell>
          <cell r="C1731" t="str">
            <v>P3M</v>
          </cell>
          <cell r="D1731" t="str">
            <v>TERMINAL TP.CAJA INTEMP.P.CABLE NKY 10KV 3x70-120 MM2 TERMOC.</v>
          </cell>
        </row>
        <row r="1732">
          <cell r="B1732">
            <v>5131822</v>
          </cell>
          <cell r="C1732" t="str">
            <v>RAY</v>
          </cell>
          <cell r="D1732" t="str">
            <v>TERMINAL TP.CAJA INTEMP.P.CABLE NKY 10KV 3x70-120 MM2 TERMOC.</v>
          </cell>
        </row>
        <row r="1733">
          <cell r="B1733">
            <v>5131832</v>
          </cell>
          <cell r="C1733" t="str">
            <v>RAY</v>
          </cell>
          <cell r="D1733" t="str">
            <v>TERMINAL INTEMP. GW   P.CABLE NKY 10KV.  3X120MM2.</v>
          </cell>
        </row>
        <row r="1734">
          <cell r="B1734">
            <v>5131838</v>
          </cell>
          <cell r="C1734" t="str">
            <v>ECM</v>
          </cell>
          <cell r="D1734" t="str">
            <v>TERMINAL EXT. TERM.P.CABLE NKY 10KV.3X240MM2. RAYC</v>
          </cell>
        </row>
        <row r="1735">
          <cell r="B1735">
            <v>5131838</v>
          </cell>
          <cell r="C1735" t="str">
            <v>P3M</v>
          </cell>
          <cell r="D1735" t="str">
            <v>TERMINAL EXT. TERM.P.CABLE NKY 10KV.3X240MM2. RAYC</v>
          </cell>
        </row>
        <row r="1736">
          <cell r="B1736">
            <v>5131838</v>
          </cell>
          <cell r="C1736" t="str">
            <v>RAY</v>
          </cell>
          <cell r="D1736" t="str">
            <v>TERMINAL EXT. TERM.P.CABLE NKY 10KV.3X240MM2. RAYC</v>
          </cell>
        </row>
        <row r="1737">
          <cell r="B1737">
            <v>5131864</v>
          </cell>
          <cell r="C1737" t="str">
            <v>RAY</v>
          </cell>
          <cell r="D1737" t="str">
            <v>TERMINAL TRIPOLAR TERMOCONTRAIBLE TP.INTERIOR P.CABLE DE ALUMINIO NA2XSY 120MM2 CL.25KV</v>
          </cell>
        </row>
        <row r="1738">
          <cell r="B1738">
            <v>5131865</v>
          </cell>
          <cell r="C1738" t="str">
            <v>RAY</v>
          </cell>
          <cell r="D1738" t="str">
            <v>TERMINAL TRIPOLAR TERMOCONTRAIBLE TP.EXTERIOR P.CABLE DE ALUMINIO NA2XSY 120MM2 CL.25KV</v>
          </cell>
        </row>
        <row r="1739">
          <cell r="B1739">
            <v>5131867</v>
          </cell>
          <cell r="C1739" t="str">
            <v>P3M</v>
          </cell>
          <cell r="D1739" t="str">
            <v>TERMINACION AUTOCONTRAIBLE TP.EXTERIOR P.CABLE N2XSY-NA2XSY 50-120MM2 22,9KV C.CONECTOR</v>
          </cell>
        </row>
        <row r="1740">
          <cell r="B1740">
            <v>5131868</v>
          </cell>
          <cell r="C1740" t="str">
            <v>P3M</v>
          </cell>
          <cell r="D1740" t="str">
            <v>TERMINAL PORCEL.INTEMP.P.CABLE N2XSY 10KV. 25MM2.</v>
          </cell>
        </row>
        <row r="1741">
          <cell r="B1741">
            <v>5131875</v>
          </cell>
          <cell r="C1741" t="str">
            <v>RAY</v>
          </cell>
          <cell r="D1741" t="str">
            <v>TERMINAL. EXT. P. CABLE NA2XS2Y-S 35-70MM2. 15KV. TERMOC.</v>
          </cell>
        </row>
        <row r="1742">
          <cell r="B1742">
            <v>5131882</v>
          </cell>
          <cell r="C1742" t="str">
            <v>P3M</v>
          </cell>
          <cell r="D1742" t="str">
            <v>EMPALME EXT.P.CABLE AA NA2XS2Y-S 35-70MM2.15KV.</v>
          </cell>
        </row>
        <row r="1743">
          <cell r="B1743">
            <v>5131884</v>
          </cell>
          <cell r="C1743" t="str">
            <v>P3M</v>
          </cell>
          <cell r="D1743" t="str">
            <v>EMPALME EXT.P. CABLE .AA NA2XS2Y-S 120MM2.15KV.</v>
          </cell>
        </row>
        <row r="1744">
          <cell r="B1744">
            <v>5131887</v>
          </cell>
          <cell r="C1744" t="str">
            <v>RAY</v>
          </cell>
          <cell r="D1744" t="str">
            <v>EMPALME EXT. P. CABLE AA  NA2XS2Y-S 35MM2  15KV.  RAYCHEM</v>
          </cell>
        </row>
        <row r="1745">
          <cell r="B1745">
            <v>5131889</v>
          </cell>
          <cell r="C1745" t="str">
            <v>RAY</v>
          </cell>
          <cell r="D1745" t="str">
            <v>EMPALME EXT. CABLE AA  NA2XS2Y-S 120MM2  15KV. TERMOC.</v>
          </cell>
        </row>
        <row r="1746">
          <cell r="B1746">
            <v>5131892</v>
          </cell>
          <cell r="C1746" t="str">
            <v>P3M</v>
          </cell>
          <cell r="D1746" t="str">
            <v>TERM.EXT.P.C.SEC.N2XSY 3-1X50 HAS.70MM2 22,9 KV 3M</v>
          </cell>
        </row>
        <row r="1747">
          <cell r="B1747">
            <v>5131893</v>
          </cell>
          <cell r="C1747" t="str">
            <v>P3M</v>
          </cell>
          <cell r="D1747" t="str">
            <v>TERMINAL EXT. CORTO P. CABLE SECO N2XSY 3-1X50-120MM2 22,9KV.AUTOCONT.ULTRA-RAP</v>
          </cell>
        </row>
        <row r="1748">
          <cell r="B1748">
            <v>5131894</v>
          </cell>
          <cell r="C1748" t="str">
            <v>P3M</v>
          </cell>
          <cell r="D1748" t="str">
            <v>TERM.EXT.C.SEC.N2XSY 3-1X120 HAST.240MM2 22,9KV 3M</v>
          </cell>
        </row>
        <row r="1749">
          <cell r="B1749">
            <v>5131896</v>
          </cell>
          <cell r="C1749" t="str">
            <v>P3M</v>
          </cell>
          <cell r="D1749" t="str">
            <v>TERMINAL.EXT.P.CABLE.SECO N2XSY 3-1X50-120MM2 22,9KV.AUTOCONT.ULTRA-RAP.</v>
          </cell>
        </row>
        <row r="1750">
          <cell r="B1750">
            <v>5131897</v>
          </cell>
          <cell r="C1750" t="str">
            <v>ECM</v>
          </cell>
          <cell r="D1750" t="str">
            <v>TERM.EXT.C.SECO N2XSY 3-1X50 -120MM2 22,9 KV.TERMOC.</v>
          </cell>
        </row>
        <row r="1751">
          <cell r="B1751">
            <v>5131897</v>
          </cell>
          <cell r="C1751" t="str">
            <v>RAY</v>
          </cell>
          <cell r="D1751" t="str">
            <v>TERM.EXT.C.SECO N2XSY 3-1X50 -120MM2 22,9 KV.TERMOC.</v>
          </cell>
        </row>
        <row r="1752">
          <cell r="B1752">
            <v>5131900</v>
          </cell>
          <cell r="C1752" t="str">
            <v>ECM</v>
          </cell>
          <cell r="D1752" t="str">
            <v>TERM.EXT.P.C.SECO N2XSY 3-1X240MM2 22,9 KV RAYCH.</v>
          </cell>
        </row>
        <row r="1753">
          <cell r="B1753">
            <v>5131900</v>
          </cell>
          <cell r="C1753" t="str">
            <v>RAY</v>
          </cell>
          <cell r="D1753" t="str">
            <v>TERM.EXT.P.C.SECO N2XSY 3-1X240MM2 22,9 KV RAYCH.</v>
          </cell>
        </row>
        <row r="1754">
          <cell r="B1754">
            <v>5131901</v>
          </cell>
          <cell r="C1754" t="str">
            <v>P3M</v>
          </cell>
          <cell r="D1754" t="str">
            <v>TERMINAL.EXT.P.CABLE.SECO N2XSY 3-1X240MM2 22,9KV.AUTOCONT.ULTRA-RAP.</v>
          </cell>
        </row>
        <row r="1755">
          <cell r="B1755">
            <v>5131902</v>
          </cell>
          <cell r="C1755" t="str">
            <v>P3M</v>
          </cell>
          <cell r="D1755" t="str">
            <v>TERM.INT.C.SECO N2XSY 3-1X50-120MM2 22,9 KV.AUTOCONT.ULTRA-RAP.</v>
          </cell>
        </row>
        <row r="1756">
          <cell r="B1756">
            <v>5131904</v>
          </cell>
          <cell r="C1756" t="str">
            <v>P3M</v>
          </cell>
          <cell r="D1756" t="str">
            <v>TERM.INT.C.SEC.N2XSY 3-1X240MM2  22,9 KV.AUTOCONT.ULTRA-RAP.</v>
          </cell>
        </row>
        <row r="1757">
          <cell r="B1757">
            <v>5131907</v>
          </cell>
          <cell r="C1757" t="str">
            <v>ECM</v>
          </cell>
          <cell r="D1757" t="str">
            <v>TERM.INT.C.SEC.N2XSY 3-1X50 A 120MM2. 22,9 KV.TERMOC.</v>
          </cell>
        </row>
        <row r="1758">
          <cell r="B1758">
            <v>5131907</v>
          </cell>
          <cell r="C1758" t="str">
            <v>RAY</v>
          </cell>
          <cell r="D1758" t="str">
            <v>TERM.INT.C.SEC.N2XSY 3-1X50 A 120MM2. 22,9 KV.TERMOC.</v>
          </cell>
        </row>
        <row r="1759">
          <cell r="B1759">
            <v>5131910</v>
          </cell>
          <cell r="C1759" t="str">
            <v>ECM</v>
          </cell>
          <cell r="D1759" t="str">
            <v>TERM. INT.CABL.SECO N2XSY 3-1X240MM2 22,9 KV.TERMOC.</v>
          </cell>
        </row>
        <row r="1760">
          <cell r="B1760">
            <v>5131910</v>
          </cell>
          <cell r="C1760" t="str">
            <v>RAY</v>
          </cell>
          <cell r="D1760" t="str">
            <v>TERM. INT.CABL.SECO N2XSY 3-1X240MM2 22,9 KV.TERMOC.</v>
          </cell>
        </row>
        <row r="1761">
          <cell r="B1761">
            <v>5131914</v>
          </cell>
          <cell r="C1761" t="str">
            <v>RAY</v>
          </cell>
          <cell r="D1761" t="str">
            <v>EXTENSOR DE LINEA DE FUGA 100-80 MM. DIAMET.</v>
          </cell>
        </row>
        <row r="1762">
          <cell r="B1762">
            <v>5131916</v>
          </cell>
          <cell r="C1762" t="str">
            <v>RAY</v>
          </cell>
          <cell r="D1762" t="str">
            <v>EXTENSOR DE LINEA DE FUGA 120-100 MM. DIAMET.</v>
          </cell>
        </row>
        <row r="1763">
          <cell r="B1763">
            <v>5131918</v>
          </cell>
          <cell r="C1763" t="str">
            <v>RAY</v>
          </cell>
          <cell r="D1763" t="str">
            <v>EXTENSOR DE LINEA DE FUGA 140-120 MM. DIAMET.</v>
          </cell>
        </row>
        <row r="1764">
          <cell r="B1764">
            <v>5131920</v>
          </cell>
          <cell r="C1764" t="str">
            <v>P3M</v>
          </cell>
          <cell r="D1764" t="str">
            <v>ETIQUETAS MARCACION EMPALMES SUBTERRANEOS 85X50MM.</v>
          </cell>
        </row>
        <row r="1765">
          <cell r="B1765">
            <v>5131920</v>
          </cell>
          <cell r="C1765" t="str">
            <v>RAY</v>
          </cell>
          <cell r="D1765" t="str">
            <v>ETIQUETAS MARCACION EMPALMES SUBTERRANEOS 85X50MM.</v>
          </cell>
        </row>
        <row r="1766">
          <cell r="B1766">
            <v>5131932</v>
          </cell>
          <cell r="C1766" t="str">
            <v>P3M</v>
          </cell>
          <cell r="D1766" t="str">
            <v>TERMINAL EXT. CABLE  AUTOPORT. N2XS2Y-S 1X70MM2  10KV.  3M</v>
          </cell>
        </row>
        <row r="1767">
          <cell r="B1767">
            <v>5131936</v>
          </cell>
          <cell r="C1767" t="str">
            <v>ECM</v>
          </cell>
          <cell r="D1767" t="str">
            <v>TERM.EXT.CAB.AUTOP.CU N2XS2Y-S 3X35-3X70MM2.10KV.TERMOC.</v>
          </cell>
        </row>
        <row r="1768">
          <cell r="B1768">
            <v>5131936</v>
          </cell>
          <cell r="C1768" t="str">
            <v>RAY</v>
          </cell>
          <cell r="D1768" t="str">
            <v>TERM.EXT.CAB.AUTOP.CU N2XS2Y-S 3X35-3X70MM2.10KV.TERMOC.</v>
          </cell>
        </row>
        <row r="1769">
          <cell r="B1769">
            <v>5132340</v>
          </cell>
          <cell r="C1769" t="str">
            <v>TAL</v>
          </cell>
          <cell r="D1769" t="str">
            <v>UNION CU.DER.TABICADA COMP. 6MM2. MT</v>
          </cell>
        </row>
        <row r="1770">
          <cell r="B1770">
            <v>5132342</v>
          </cell>
          <cell r="C1770" t="str">
            <v>TAL</v>
          </cell>
          <cell r="D1770" t="str">
            <v>UNION CU.DER.TABICADA COMPR. 10MM2.</v>
          </cell>
        </row>
        <row r="1771">
          <cell r="B1771">
            <v>5132344</v>
          </cell>
          <cell r="C1771" t="str">
            <v>TAL</v>
          </cell>
          <cell r="D1771" t="str">
            <v>UNION CU. DER.TABICADA COMPR. 16MM2. MT</v>
          </cell>
        </row>
        <row r="1772">
          <cell r="B1772">
            <v>5132346</v>
          </cell>
          <cell r="C1772" t="str">
            <v>TAL</v>
          </cell>
          <cell r="D1772" t="str">
            <v>UNION TUB. CU. ESTAÑADO TABIC. COMPR. P/ EMPALME ASIM. 25-25MM2</v>
          </cell>
        </row>
        <row r="1773">
          <cell r="B1773">
            <v>5132348</v>
          </cell>
          <cell r="C1773" t="str">
            <v>TAL</v>
          </cell>
          <cell r="D1773" t="str">
            <v>UNION TUB. CU. ESTAÑADO TABIC. COMPR. P/ EMPALME ASIM. 35-35MM2</v>
          </cell>
        </row>
        <row r="1774">
          <cell r="B1774">
            <v>5132350</v>
          </cell>
          <cell r="C1774" t="str">
            <v>TAL</v>
          </cell>
          <cell r="D1774" t="str">
            <v>UNION TUB. CU. ESTAÑADO TABIC. COMPR. P/ EMPALME ASIM. 70-70MM2</v>
          </cell>
        </row>
        <row r="1775">
          <cell r="B1775">
            <v>5132352</v>
          </cell>
          <cell r="C1775" t="str">
            <v>TAL</v>
          </cell>
          <cell r="D1775" t="str">
            <v>UNION TUB. CU. ESTAÑADO TABIC. COMPR. P/ EMPALME ASIM. 120-120MM2</v>
          </cell>
        </row>
        <row r="1776">
          <cell r="B1776">
            <v>5132354</v>
          </cell>
          <cell r="C1776" t="str">
            <v>TAL</v>
          </cell>
          <cell r="D1776" t="str">
            <v>UNION TUB. CU. ESTAÑADO TABIC. COMPR. P/ EMPALME ASIM. 185-185MM2</v>
          </cell>
        </row>
        <row r="1777">
          <cell r="B1777">
            <v>5132356</v>
          </cell>
          <cell r="C1777" t="str">
            <v>TAL</v>
          </cell>
          <cell r="D1777" t="str">
            <v>UNION TUB. CU. ESTAÑADO TABIC. COMPR. P/ EMPALME ASIM. 240-240MM2</v>
          </cell>
        </row>
        <row r="1778">
          <cell r="B1778">
            <v>5132358</v>
          </cell>
          <cell r="C1778" t="str">
            <v>TAL</v>
          </cell>
          <cell r="D1778" t="str">
            <v>UNION TUB. CU. ESTAÑADO TABIC. COMPR. P/ EMPALME ASIM. 300-300MM2</v>
          </cell>
        </row>
        <row r="1779">
          <cell r="B1779">
            <v>5132360</v>
          </cell>
          <cell r="C1779" t="str">
            <v>TAL</v>
          </cell>
          <cell r="D1779" t="str">
            <v>UNION CU. DER.TABICADA COMPR.  500MM2  MT</v>
          </cell>
        </row>
        <row r="1780">
          <cell r="B1780">
            <v>5132371</v>
          </cell>
          <cell r="C1780" t="str">
            <v>TAL</v>
          </cell>
          <cell r="D1780" t="str">
            <v>UNION TUBULAR CU.ESTANADO TABICADA A COMPRESION P.EMPALME ASIM. 16 - 70MM2</v>
          </cell>
        </row>
        <row r="1781">
          <cell r="B1781">
            <v>5132372</v>
          </cell>
          <cell r="C1781" t="str">
            <v>TAL</v>
          </cell>
          <cell r="D1781" t="str">
            <v>UNION TUB. CU. ESTAÑADO TABIC. COMPR. P/ EMPALME ASIM. 35-70MM2</v>
          </cell>
        </row>
        <row r="1782">
          <cell r="B1782">
            <v>5132374</v>
          </cell>
          <cell r="C1782" t="str">
            <v>TAL</v>
          </cell>
          <cell r="D1782" t="str">
            <v>UNION TUB. CU. ESTAÑADO TABIC. COMPR. P/ EMPALME ASIM. 70-120MM2</v>
          </cell>
        </row>
        <row r="1783">
          <cell r="B1783">
            <v>5132376</v>
          </cell>
          <cell r="C1783" t="str">
            <v>TAL</v>
          </cell>
          <cell r="D1783" t="str">
            <v>UNION TUB. CU. ESTAÑADO TABIC. COMPR. P/ EMPALME ASIM. 120-185MM2</v>
          </cell>
        </row>
        <row r="1784">
          <cell r="B1784">
            <v>5132378</v>
          </cell>
          <cell r="C1784" t="str">
            <v>TAL</v>
          </cell>
          <cell r="D1784" t="str">
            <v>UNION TUB. CU. ESTAÑADO TABIC. COMPR. P/ EMPALME ASIM. 185-240MM2</v>
          </cell>
        </row>
        <row r="1785">
          <cell r="B1785">
            <v>5132380</v>
          </cell>
          <cell r="C1785" t="str">
            <v>TAL</v>
          </cell>
          <cell r="D1785" t="str">
            <v>UNION TUB. CU. ESTAÑADO TABIC. COMPR. P/ EMPALME ASIM. 240-300MM2</v>
          </cell>
        </row>
        <row r="1786">
          <cell r="B1786">
            <v>5132386</v>
          </cell>
          <cell r="C1786" t="str">
            <v>TAL</v>
          </cell>
          <cell r="D1786" t="str">
            <v>UNION TUB. CU. ESTAÑADO TABIC. COMPR. P/ EMPALME ASIM. 300-500MM2</v>
          </cell>
        </row>
        <row r="1787">
          <cell r="B1787">
            <v>5132742</v>
          </cell>
          <cell r="C1787" t="str">
            <v>SIM</v>
          </cell>
          <cell r="D1787" t="str">
            <v>CONECTOR DERECHO MECANICO TABICADO DE ALEACION DE ALUMINIO P.CABLE 25 - 95 / 25 - 95MM2 P.RED M.T.</v>
          </cell>
        </row>
        <row r="1788">
          <cell r="B1788">
            <v>5132744</v>
          </cell>
          <cell r="C1788" t="str">
            <v>SIM</v>
          </cell>
          <cell r="D1788" t="str">
            <v>CONECTOR DERECHO MECANICO TABICADO DE ALEACION DE ALUMINIO P.CABLE 35 - 150 / 35 - 150MM2 P.RED M.T.</v>
          </cell>
        </row>
        <row r="1789">
          <cell r="B1789">
            <v>5132746</v>
          </cell>
          <cell r="C1789" t="str">
            <v>SIM</v>
          </cell>
          <cell r="D1789" t="str">
            <v>CONECTOR DERECHO MECANICO TABICADO DE ALEACION DE ALUMINIO P.CABLE 95 - 240 / 95 - 240MM2 P.RED M.T.</v>
          </cell>
        </row>
        <row r="1790">
          <cell r="B1790">
            <v>5132748</v>
          </cell>
          <cell r="C1790" t="str">
            <v>SIM</v>
          </cell>
          <cell r="D1790" t="str">
            <v>CONECTOR DERECHO MECANICO TABICADO DE ALEACION DE ALUMINIO P.CABLE 185-400 / 185-400MM2 P.RED M.T.</v>
          </cell>
        </row>
        <row r="1791">
          <cell r="B1791">
            <v>5132750</v>
          </cell>
          <cell r="C1791" t="str">
            <v>SIM</v>
          </cell>
          <cell r="D1791" t="str">
            <v>CONECTOR DERECHO MECANICO TABICADO DE ALEACION DE ALUMINIO P.CABLE 25 - 95 / 95 - 240MM2 P.RED M.T.</v>
          </cell>
        </row>
        <row r="1792">
          <cell r="B1792">
            <v>5132752</v>
          </cell>
          <cell r="C1792" t="str">
            <v>SIM</v>
          </cell>
          <cell r="D1792" t="str">
            <v>CONECTOR DERECHO MECANICO TABICADO DE ALEACION DE ALUMINIO P.CABLE 95 - 240 / 185 - 400MM2 P.RED M.T</v>
          </cell>
        </row>
        <row r="1793">
          <cell r="B1793">
            <v>5132866</v>
          </cell>
          <cell r="C1793" t="str">
            <v>P3M</v>
          </cell>
          <cell r="D1793" t="str">
            <v>CONECTOR TERMINAL MECANICO DE ALEACION DE ALUMINIO P.CABLE AL 120-185MM2 P.LLAVE HORIZONTAL 250/315A</v>
          </cell>
        </row>
        <row r="1794">
          <cell r="B1794">
            <v>5132866</v>
          </cell>
          <cell r="C1794" t="str">
            <v>SIM</v>
          </cell>
          <cell r="D1794" t="str">
            <v>CONECTOR TERMINAL MECANICO DE ALEACION DE ALUMINIO P.CABLE AL 120-185MM2 P.LLAVE HORIZONTAL 250/315A</v>
          </cell>
        </row>
        <row r="1795">
          <cell r="B1795">
            <v>5132868</v>
          </cell>
          <cell r="C1795" t="str">
            <v>P3M</v>
          </cell>
          <cell r="D1795" t="str">
            <v>CONECTOR TERMINAL MECANICO DE ALEACION DE ALUMINIO P.CABLE AL 185-300MM2 P.LLAVE VERTICAL 400A</v>
          </cell>
        </row>
        <row r="1796">
          <cell r="B1796">
            <v>5132868</v>
          </cell>
          <cell r="C1796" t="str">
            <v>SIM</v>
          </cell>
          <cell r="D1796" t="str">
            <v>CONECTOR TERMINAL MECANICO DE ALEACION DE ALUMINIO P.CABLE AL 185-300MM2 P.LLAVE VERTICAL 400A</v>
          </cell>
        </row>
        <row r="1797">
          <cell r="B1797">
            <v>5132870</v>
          </cell>
          <cell r="C1797" t="str">
            <v>P3M</v>
          </cell>
          <cell r="D1797" t="str">
            <v>CONECTOR TERMINAL MECANICO DE ALEACION DE ALUMINIO P.CABLE AL 300-500MM2 P.LLAVE VERTICAL 500/630A</v>
          </cell>
        </row>
        <row r="1798">
          <cell r="B1798">
            <v>5132870</v>
          </cell>
          <cell r="C1798" t="str">
            <v>SIM</v>
          </cell>
          <cell r="D1798" t="str">
            <v>CONECTOR TERMINAL MECANICO DE ALEACION DE ALUMINIO P.CABLE AL 300-500MM2 P.LLAVE VERTICAL 500/630A</v>
          </cell>
        </row>
        <row r="1799">
          <cell r="B1799">
            <v>5132872</v>
          </cell>
          <cell r="C1799" t="str">
            <v>GPH</v>
          </cell>
          <cell r="D1799" t="str">
            <v>CONECTOR TERMINAL MECANICO DE ALEACION DE ALUMINIO P.CABLE CU / AL 25 - 95MM2 P.RED M.T.</v>
          </cell>
        </row>
        <row r="1800">
          <cell r="B1800">
            <v>5132872</v>
          </cell>
          <cell r="C1800" t="str">
            <v>SIM</v>
          </cell>
          <cell r="D1800" t="str">
            <v>CONECTOR TERMINAL MECANICO DE ALEACION DE ALUMINIO P.CABLE CU / AL 25 - 95MM2 P.RED M.T.</v>
          </cell>
        </row>
        <row r="1801">
          <cell r="B1801">
            <v>5132874</v>
          </cell>
          <cell r="C1801" t="str">
            <v>GPH</v>
          </cell>
          <cell r="D1801" t="str">
            <v>CONECTOR TERMINAL MECANICO DE ALEACION DE ALUMINIO P.CABLE CU / AL 35 - 150MM2 P.RED M.T.</v>
          </cell>
        </row>
        <row r="1802">
          <cell r="B1802">
            <v>5132874</v>
          </cell>
          <cell r="C1802" t="str">
            <v>SIM</v>
          </cell>
          <cell r="D1802" t="str">
            <v>CONECTOR TERMINAL MECANICO DE ALEACION DE ALUMINIO P.CABLE CU / AL 35 - 150MM2 P.RED M.T.</v>
          </cell>
        </row>
        <row r="1803">
          <cell r="B1803">
            <v>5132876</v>
          </cell>
          <cell r="C1803" t="str">
            <v>GPH</v>
          </cell>
          <cell r="D1803" t="str">
            <v>CONECTOR TERMINAL MECANICO DE ALEACION DE ALUMINIO P.CABLE CU / AL 95 - 240MM2 P.RED M.T.</v>
          </cell>
        </row>
        <row r="1804">
          <cell r="B1804">
            <v>5132876</v>
          </cell>
          <cell r="C1804" t="str">
            <v>SIM</v>
          </cell>
          <cell r="D1804" t="str">
            <v>CONECTOR TERMINAL MECANICO DE ALEACION DE ALUMINIO P.CABLE CU / AL 95 - 240MM2 P.RED M.T.</v>
          </cell>
        </row>
        <row r="1805">
          <cell r="B1805">
            <v>5132879</v>
          </cell>
          <cell r="C1805" t="str">
            <v>GPH</v>
          </cell>
          <cell r="D1805" t="str">
            <v>CONECTOR TERMINAL MECANICO DE ALEACION DE ALUMINIO P.CABLE CU / AL 185 - 400MM2 P.RED M.T.</v>
          </cell>
        </row>
        <row r="1806">
          <cell r="B1806">
            <v>5132879</v>
          </cell>
          <cell r="C1806" t="str">
            <v>SIM</v>
          </cell>
          <cell r="D1806" t="str">
            <v>CONECTOR TERMINAL MECANICO DE ALEACION DE ALUMINIO P.CABLE CU / AL 185 - 400MM2 P.RED M.T.</v>
          </cell>
        </row>
        <row r="1807">
          <cell r="B1807">
            <v>5134362</v>
          </cell>
          <cell r="C1807" t="str">
            <v>SIB</v>
          </cell>
          <cell r="D1807" t="str">
            <v>MANTA AISLANTE C.VELCRO DE 800 X 1200MM 1KV</v>
          </cell>
        </row>
        <row r="1808">
          <cell r="B1808">
            <v>5134365</v>
          </cell>
          <cell r="C1808" t="str">
            <v>SAL</v>
          </cell>
          <cell r="D1808" t="str">
            <v>MANTA AISLANTE DE CAUCHO DE ALTA CAPACIDAD DIELECTRICA TIPO I, CL.2, 1/4" ESPESOR 17KV</v>
          </cell>
        </row>
        <row r="1809">
          <cell r="B1809">
            <v>5134372</v>
          </cell>
          <cell r="C1809" t="str">
            <v>P3M</v>
          </cell>
          <cell r="D1809" t="str">
            <v>MANTA AISLANTE ANTITRACKING AUTOFUNDENTE C.CAPA EPR DE 200MM X 3M COLOR NEGRO CL.2A 15KV</v>
          </cell>
        </row>
        <row r="1810">
          <cell r="B1810">
            <v>5134557</v>
          </cell>
          <cell r="C1810" t="str">
            <v>P3M</v>
          </cell>
          <cell r="D1810" t="str">
            <v>CINTA AISLANTE MASTIC DE GOMA AUTOFUNDENTE C.SOPORTE DE PVC 102MM X 3M X 2,29MM 600V COLOR NEGRO</v>
          </cell>
        </row>
        <row r="1811">
          <cell r="B1811">
            <v>5134557</v>
          </cell>
          <cell r="C1811" t="str">
            <v>PLY</v>
          </cell>
          <cell r="D1811" t="str">
            <v>CINTA AISLANTE MASTIC DE GOMA AUTOFUNDENTE C.SOPORTE DE PVC 102MM X 3M X 2,29MM 600V COLOR NEGRO</v>
          </cell>
        </row>
        <row r="1812">
          <cell r="B1812">
            <v>5134702</v>
          </cell>
          <cell r="C1812" t="str">
            <v>CRP</v>
          </cell>
          <cell r="D1812" t="str">
            <v>CINTA SENALIZADORA ROJA P.CABLES SUBTERRANEOS 10KV P.LUZ DEL SUR</v>
          </cell>
        </row>
        <row r="1813">
          <cell r="B1813">
            <v>5134702</v>
          </cell>
          <cell r="C1813" t="str">
            <v>EIN</v>
          </cell>
          <cell r="D1813" t="str">
            <v>CINTA SENALIZADORA ROJA P.CABLES SUBTERRANEOS 10KV P.LUZ DEL SUR</v>
          </cell>
        </row>
        <row r="1814">
          <cell r="B1814">
            <v>5134722</v>
          </cell>
          <cell r="C1814" t="str">
            <v>EIN</v>
          </cell>
          <cell r="D1814" t="str">
            <v>CINTA SENALIZADORA ROJA P.CABLES SUBTERRANEOS 22,9KV P.LUZ DEL SUR</v>
          </cell>
        </row>
        <row r="1815">
          <cell r="B1815">
            <v>5134722</v>
          </cell>
          <cell r="C1815" t="str">
            <v>PAK</v>
          </cell>
          <cell r="D1815" t="str">
            <v>CINTA SENALIZADORA ROJA P.CABLES SUBTERRANEOS 22,9KV P.LUZ DEL SUR</v>
          </cell>
        </row>
        <row r="1816">
          <cell r="B1816">
            <v>5134822</v>
          </cell>
          <cell r="C1816" t="str">
            <v>P3M</v>
          </cell>
          <cell r="D1816" t="str">
            <v>JUEGO DE LIMPIEZA CC-2 P.PREPARAC. DE CABLES M.T.</v>
          </cell>
        </row>
        <row r="1817">
          <cell r="B1817">
            <v>5139324</v>
          </cell>
          <cell r="C1817" t="str">
            <v>P3M</v>
          </cell>
          <cell r="D1817" t="str">
            <v>CINTA DE MALLA METALICA DE COBRE ESTANADO EN FORMA DE TEJIDO TUBULAR 2,54MM X 4,60M</v>
          </cell>
        </row>
        <row r="1818">
          <cell r="B1818">
            <v>5139475</v>
          </cell>
          <cell r="C1818" t="str">
            <v>RAY</v>
          </cell>
          <cell r="D1818" t="str">
            <v>TUBO AISLANTE TERMOCONTRAIBLE P/BARRAS 25KV, BPTM-100/40-A/U</v>
          </cell>
        </row>
        <row r="1819">
          <cell r="B1819">
            <v>5153208</v>
          </cell>
          <cell r="C1819" t="str">
            <v>SER</v>
          </cell>
          <cell r="D1819" t="str">
            <v>MASA AISL.(26.5KG.) P.EMPALME MT-AT PIRELLI TP.A2D</v>
          </cell>
        </row>
        <row r="1820">
          <cell r="B1820">
            <v>5154556</v>
          </cell>
          <cell r="C1820" t="str">
            <v>P3M</v>
          </cell>
          <cell r="D1820" t="str">
            <v>CINTA AISLANTE DE GOMA AUTOFUNDENTE EPR DE 19MM X 9,20M X 0,76MM 69KV COLOR NEGRO</v>
          </cell>
        </row>
        <row r="1821">
          <cell r="B1821">
            <v>5154556</v>
          </cell>
          <cell r="C1821" t="str">
            <v>P3M</v>
          </cell>
          <cell r="D1821" t="str">
            <v>CINTA AISLANTE DE GOMA AUTOFUNDENTE EPR DE 19MM X 9,20M X 0,76MM 69KV COLOR NEGRO</v>
          </cell>
        </row>
        <row r="1822">
          <cell r="B1822">
            <v>5154556</v>
          </cell>
          <cell r="C1822" t="str">
            <v>P3M</v>
          </cell>
          <cell r="D1822" t="str">
            <v>CINTA AISLANTE DE GOMA AUTOFUNDENTE EPR DE 19MM X 9,20M X 0,76MM 69KV COLOR NEGRO</v>
          </cell>
        </row>
        <row r="1823">
          <cell r="B1823">
            <v>5211242</v>
          </cell>
          <cell r="C1823" t="str">
            <v>GAM</v>
          </cell>
          <cell r="D1823" t="str">
            <v>AISLADOR SUSP.PORCEL.400MM.FUGA CLASE 52.3 10KV</v>
          </cell>
        </row>
        <row r="1824">
          <cell r="B1824">
            <v>5211242</v>
          </cell>
          <cell r="C1824" t="str">
            <v>KSH</v>
          </cell>
          <cell r="D1824" t="str">
            <v>AISLADOR SUSP.PORCEL.400MM.FUGA CLASE 52.3 10KV</v>
          </cell>
        </row>
        <row r="1825">
          <cell r="B1825">
            <v>5211242</v>
          </cell>
          <cell r="C1825" t="str">
            <v>LAP</v>
          </cell>
          <cell r="D1825" t="str">
            <v>AISLADOR SUSP.PORCEL.400MM.FUGA CLASE 52.3 10KV</v>
          </cell>
        </row>
        <row r="1826">
          <cell r="B1826">
            <v>5211242</v>
          </cell>
          <cell r="C1826" t="str">
            <v>NGK</v>
          </cell>
          <cell r="D1826" t="str">
            <v>AISLADOR SUSP.PORCEL.400MM.FUGA CLASE 52.3 10KV</v>
          </cell>
        </row>
        <row r="1827">
          <cell r="B1827">
            <v>5211242</v>
          </cell>
          <cell r="C1827" t="str">
            <v>TER</v>
          </cell>
          <cell r="D1827" t="str">
            <v>AISLADOR SUSP.PORCEL.400MM.FUGA CLASE 52.3 10KV</v>
          </cell>
        </row>
        <row r="1828">
          <cell r="B1828">
            <v>5211252</v>
          </cell>
          <cell r="C1828" t="str">
            <v>GAM</v>
          </cell>
          <cell r="D1828" t="str">
            <v>AISLADOR SUSP.PORCEL.52.6 10KV. C/VAST.ESP. 400MM. FUGA</v>
          </cell>
        </row>
        <row r="1829">
          <cell r="B1829">
            <v>5211252</v>
          </cell>
          <cell r="C1829" t="str">
            <v>LAP</v>
          </cell>
          <cell r="D1829" t="str">
            <v>AISLADOR SUSP.PORCEL.52.6 10KV. C/VAST.ESP. 400MM. FUGA</v>
          </cell>
        </row>
        <row r="1830">
          <cell r="B1830">
            <v>5211252</v>
          </cell>
          <cell r="C1830" t="str">
            <v>NGK</v>
          </cell>
          <cell r="D1830" t="str">
            <v>AISLADOR SUSP.PORCEL.52.6 10KV. C/VAST.ESP. 400MM. FUGA</v>
          </cell>
        </row>
        <row r="1831">
          <cell r="B1831">
            <v>5211252</v>
          </cell>
          <cell r="C1831" t="str">
            <v>STN</v>
          </cell>
          <cell r="D1831" t="str">
            <v>AISLADOR SUSP.PORCEL.52.6 10KV. C/VAST.ESP. 400MM. FUGA</v>
          </cell>
        </row>
        <row r="1832">
          <cell r="B1832">
            <v>5211252</v>
          </cell>
          <cell r="C1832" t="str">
            <v>TER</v>
          </cell>
          <cell r="D1832" t="str">
            <v>AISLADOR SUSP.PORCEL.52.6 10KV. C/VAST.ESP. 400MM. FUGA</v>
          </cell>
        </row>
        <row r="1833">
          <cell r="B1833">
            <v>5211422</v>
          </cell>
          <cell r="C1833" t="str">
            <v>ELX</v>
          </cell>
          <cell r="D1833" t="str">
            <v>AISLADOR SUSP.POLIMERICO P.REDES DISTRIB. DE 22,9KV.</v>
          </cell>
        </row>
        <row r="1834">
          <cell r="B1834">
            <v>5211422</v>
          </cell>
          <cell r="C1834" t="str">
            <v>KLI</v>
          </cell>
          <cell r="D1834" t="str">
            <v>AISLADOR SUSP.POLIMERICO P.REDES DISTRIB. DE 22,9KV.</v>
          </cell>
        </row>
        <row r="1835">
          <cell r="B1835">
            <v>5211422</v>
          </cell>
          <cell r="C1835" t="str">
            <v>MAC</v>
          </cell>
          <cell r="D1835" t="str">
            <v>AISLADOR SUSP.POLIMERICO P.REDES DISTRIB. DE 22,9KV.</v>
          </cell>
        </row>
        <row r="1836">
          <cell r="B1836">
            <v>5211422</v>
          </cell>
          <cell r="C1836" t="str">
            <v>RLB</v>
          </cell>
          <cell r="D1836" t="str">
            <v>AISLADOR SUSP.POLIMERICO P.REDES DISTRIB. DE 22,9KV.</v>
          </cell>
        </row>
        <row r="1837">
          <cell r="B1837">
            <v>5211422</v>
          </cell>
          <cell r="C1837" t="str">
            <v>SIL</v>
          </cell>
          <cell r="D1837" t="str">
            <v>AISLADOR SUSP.POLIMERICO P.REDES DISTRIB. DE 22,9KV.</v>
          </cell>
        </row>
        <row r="1838">
          <cell r="B1838">
            <v>5211422</v>
          </cell>
          <cell r="C1838" t="str">
            <v>SIL</v>
          </cell>
          <cell r="D1838" t="str">
            <v>AISLADOR SUSP.POLIMERICO P.REDES DISTRIB. DE 22,9KV.</v>
          </cell>
        </row>
        <row r="1839">
          <cell r="B1839">
            <v>5211422</v>
          </cell>
          <cell r="C1839" t="str">
            <v>STN</v>
          </cell>
          <cell r="D1839" t="str">
            <v>AISLADOR SUSP.POLIMERICO P.REDES DISTRIB. DE 22,9KV.</v>
          </cell>
        </row>
        <row r="1840">
          <cell r="B1840">
            <v>5212010</v>
          </cell>
          <cell r="C1840" t="str">
            <v>KLI</v>
          </cell>
          <cell r="D1840" t="str">
            <v>AISLADOR POLIMERICO TP.SUSPENSION / ANCLAJE 10KV 400MM LONG. L.F. 600MM 45KN C.ACCESORIOS</v>
          </cell>
        </row>
        <row r="1841">
          <cell r="B1841">
            <v>5212010</v>
          </cell>
          <cell r="C1841" t="str">
            <v>MAC</v>
          </cell>
          <cell r="D1841" t="str">
            <v>AISLADOR POLIMERICO TP.SUSPENSION / ANCLAJE 10KV 400MM LONG. L.F. 600MM 45KN C.ACCESORIOS</v>
          </cell>
        </row>
        <row r="1842">
          <cell r="B1842">
            <v>5212010</v>
          </cell>
          <cell r="C1842" t="str">
            <v>RAY</v>
          </cell>
          <cell r="D1842" t="str">
            <v>AISLADOR POLIMERICO TP.SUSPENSION / ANCLAJE 10KV 400MM LONG. L.F. 600MM 45KN C.ACCESORIOS</v>
          </cell>
        </row>
        <row r="1843">
          <cell r="B1843">
            <v>5212010</v>
          </cell>
          <cell r="C1843" t="str">
            <v>RLB</v>
          </cell>
          <cell r="D1843" t="str">
            <v>AISLADOR POLIMERICO TP.SUSPENSION / ANCLAJE 10KV 400MM LONG. L.F. 600MM 45KN C.ACCESORIOS</v>
          </cell>
        </row>
        <row r="1844">
          <cell r="B1844">
            <v>5212010</v>
          </cell>
          <cell r="C1844" t="str">
            <v>SIL</v>
          </cell>
          <cell r="D1844" t="str">
            <v>AISLADOR POLIMERICO TP.SUSPENSION / ANCLAJE 10KV 400MM LONG. L.F. 600MM 45KN C.ACCESORIOS</v>
          </cell>
        </row>
        <row r="1845">
          <cell r="B1845">
            <v>5212010</v>
          </cell>
          <cell r="C1845" t="str">
            <v>STN</v>
          </cell>
          <cell r="D1845" t="str">
            <v>AISLADOR POLIMERICO TP.SUSPENSION / ANCLAJE 10KV 400MM LONG. L.F. 600MM 45KN C.ACCESORIOS</v>
          </cell>
        </row>
        <row r="1846">
          <cell r="B1846">
            <v>5214470</v>
          </cell>
          <cell r="C1846" t="str">
            <v>GAM</v>
          </cell>
          <cell r="D1846" t="str">
            <v>AISLADOR PIN PORCELANA 56-2 C/ROSC.34.9MMD. P.10KV</v>
          </cell>
        </row>
        <row r="1847">
          <cell r="B1847">
            <v>5214470</v>
          </cell>
          <cell r="C1847" t="str">
            <v>KSH</v>
          </cell>
          <cell r="D1847" t="str">
            <v>AISLADOR PIN PORCELANA 56-2 C/ROSC.34.9MMD. P.10KV</v>
          </cell>
        </row>
        <row r="1848">
          <cell r="B1848">
            <v>5214470</v>
          </cell>
          <cell r="C1848" t="str">
            <v>NGK</v>
          </cell>
          <cell r="D1848" t="str">
            <v>AISLADOR PIN PORCELANA 56-2 C/ROSC.34.9MMD. P.10KV</v>
          </cell>
        </row>
        <row r="1849">
          <cell r="B1849">
            <v>5214470</v>
          </cell>
          <cell r="C1849" t="str">
            <v>OBC</v>
          </cell>
          <cell r="D1849" t="str">
            <v>AISLADOR PIN PORCELANA 56-2 C/ROSC.34.9MMD. P.10KV</v>
          </cell>
        </row>
        <row r="1850">
          <cell r="B1850">
            <v>5214470</v>
          </cell>
          <cell r="C1850" t="str">
            <v>TER</v>
          </cell>
          <cell r="D1850" t="str">
            <v>AISLADOR PIN PORCELANA 56-2 C/ROSC.34.9MMD. P.10KV</v>
          </cell>
        </row>
        <row r="1851">
          <cell r="B1851">
            <v>5214491</v>
          </cell>
          <cell r="C1851" t="str">
            <v>RAY</v>
          </cell>
          <cell r="D1851" t="str">
            <v>AISLADOR HIBRIDO TP. PIN PARA LINEAS DE 10 KV.</v>
          </cell>
        </row>
        <row r="1852">
          <cell r="B1852">
            <v>5214491</v>
          </cell>
          <cell r="C1852" t="str">
            <v>SIL</v>
          </cell>
          <cell r="D1852" t="str">
            <v>AISLADOR HIBRIDO TP. PIN PARA LINEAS DE 10 KV.</v>
          </cell>
        </row>
        <row r="1853">
          <cell r="B1853">
            <v>5214491</v>
          </cell>
          <cell r="C1853" t="str">
            <v>TCE</v>
          </cell>
          <cell r="D1853" t="str">
            <v>AISLADOR HIBRIDO TP. PIN PARA LINEAS DE 10 KV.</v>
          </cell>
        </row>
        <row r="1854">
          <cell r="B1854">
            <v>5214496</v>
          </cell>
          <cell r="C1854" t="str">
            <v>RAY</v>
          </cell>
          <cell r="D1854" t="str">
            <v>AISLADOR POLIMERICO TP.PIN P/LINEAS AEREAS 22,9KV.</v>
          </cell>
        </row>
        <row r="1855">
          <cell r="B1855">
            <v>5214496</v>
          </cell>
          <cell r="C1855" t="str">
            <v>RAY</v>
          </cell>
          <cell r="D1855" t="str">
            <v>AISLADOR POLIMERICO TP.PIN P/LINEAS AEREAS 22,9KV.</v>
          </cell>
        </row>
        <row r="1856">
          <cell r="B1856">
            <v>5214496</v>
          </cell>
          <cell r="C1856" t="str">
            <v>SIL</v>
          </cell>
          <cell r="D1856" t="str">
            <v>AISLADOR POLIMERICO TP.PIN P/LINEAS AEREAS 22,9KV.</v>
          </cell>
        </row>
        <row r="1857">
          <cell r="B1857">
            <v>5214496</v>
          </cell>
          <cell r="C1857" t="str">
            <v>TEM</v>
          </cell>
          <cell r="D1857" t="str">
            <v>AISLADOR POLIMERICO TP.PIN P/LINEAS AEREAS 22,9KV.</v>
          </cell>
        </row>
        <row r="1858">
          <cell r="B1858">
            <v>5217201</v>
          </cell>
          <cell r="C1858" t="str">
            <v>GAM</v>
          </cell>
          <cell r="D1858" t="str">
            <v>AISLADOR TP.CARRETE PORCELANA 50X48MM.        B.T. HAST.70MM2</v>
          </cell>
        </row>
        <row r="1859">
          <cell r="B1859">
            <v>5217201</v>
          </cell>
          <cell r="C1859" t="str">
            <v>ICB</v>
          </cell>
          <cell r="D1859" t="str">
            <v>AISLADOR TP.CARRETE PORCELANA 50X48MM.        B.T. HAST.70MM2</v>
          </cell>
        </row>
        <row r="1860">
          <cell r="B1860">
            <v>5217201</v>
          </cell>
          <cell r="C1860" t="str">
            <v>TER</v>
          </cell>
          <cell r="D1860" t="str">
            <v>AISLADOR TP.CARRETE PORCELANA 50X48MM.        B.T. HAST.70MM2</v>
          </cell>
        </row>
        <row r="1861">
          <cell r="B1861">
            <v>5217202</v>
          </cell>
          <cell r="C1861" t="str">
            <v>GAM</v>
          </cell>
          <cell r="D1861" t="str">
            <v>AISLADOR TP.CARRETE PORCELANA 79X76MM. CL.53-2 B.T</v>
          </cell>
        </row>
        <row r="1862">
          <cell r="B1862">
            <v>5217202</v>
          </cell>
          <cell r="C1862" t="str">
            <v>ICB</v>
          </cell>
          <cell r="D1862" t="str">
            <v>AISLADOR TP.CARRETE PORCELANA 79X76MM. CL.53-2 B.T</v>
          </cell>
        </row>
        <row r="1863">
          <cell r="B1863">
            <v>5217202</v>
          </cell>
          <cell r="C1863" t="str">
            <v>TER</v>
          </cell>
          <cell r="D1863" t="str">
            <v>AISLADOR TP.CARRETE PORCELANA 79X76MM. CL.53-2 B.T</v>
          </cell>
        </row>
        <row r="1864">
          <cell r="B1864">
            <v>5217208</v>
          </cell>
          <cell r="C1864" t="str">
            <v>GAM</v>
          </cell>
          <cell r="D1864" t="str">
            <v>AISLADOR TP.CARRETE PORCEL.53.1 220V.P.PORTALINEA.</v>
          </cell>
        </row>
        <row r="1865">
          <cell r="B1865">
            <v>5217208</v>
          </cell>
          <cell r="C1865" t="str">
            <v>STN</v>
          </cell>
          <cell r="D1865" t="str">
            <v>AISLADOR TP.CARRETE PORCEL.53.1 220V.P.PORTALINEA.</v>
          </cell>
        </row>
        <row r="1866">
          <cell r="B1866">
            <v>5217631</v>
          </cell>
          <cell r="C1866" t="str">
            <v>GAM</v>
          </cell>
          <cell r="D1866" t="str">
            <v>AISLADOR DE TENSION, PORCELANA, CLASE 54-2  P.VIENTO</v>
          </cell>
        </row>
        <row r="1867">
          <cell r="B1867">
            <v>5217631</v>
          </cell>
          <cell r="C1867" t="str">
            <v>STN</v>
          </cell>
          <cell r="D1867" t="str">
            <v>AISLADOR DE TENSION, PORCELANA, CLASE 54-2  P.VIENTO</v>
          </cell>
        </row>
        <row r="1868">
          <cell r="B1868">
            <v>5217631</v>
          </cell>
          <cell r="C1868" t="str">
            <v>TER</v>
          </cell>
          <cell r="D1868" t="str">
            <v>AISLADOR DE TENSION, PORCELANA, CLASE 54-2  P.VIENTO</v>
          </cell>
        </row>
        <row r="1869">
          <cell r="B1869">
            <v>5265103</v>
          </cell>
          <cell r="C1869" t="str">
            <v>MBT</v>
          </cell>
          <cell r="D1869" t="str">
            <v>AISLADOR SOPORTE PORTABARRA RESINA EPOXICA TP.BISFENOL 1KV L.F.31MM 30X24X30MM INTERIOR</v>
          </cell>
        </row>
        <row r="1870">
          <cell r="B1870">
            <v>5265104</v>
          </cell>
          <cell r="C1870" t="str">
            <v>MBT</v>
          </cell>
          <cell r="D1870" t="str">
            <v>AISLADOR SOPORTE PORTABARRA RESINA EPOXICA TP.BISFENOL 1KV L.F.41MM 40X34X40MM INTERIOR</v>
          </cell>
        </row>
        <row r="1871">
          <cell r="B1871">
            <v>5265104</v>
          </cell>
          <cell r="C1871" t="str">
            <v>MTR</v>
          </cell>
          <cell r="D1871" t="str">
            <v>AISLADOR SOPORTE PORTABARRA RESINA EPOXICA TP.BISFENOL 1KV L.F.41MM 40X34X40MM INTERIOR</v>
          </cell>
        </row>
        <row r="1872">
          <cell r="B1872">
            <v>5265105</v>
          </cell>
          <cell r="C1872" t="str">
            <v>MBT</v>
          </cell>
          <cell r="D1872" t="str">
            <v>AISLADOR SOPORTE PORTABARRA RESINA EPOXICA TP.BISFENOL 1KV L.F.51MM 50X44X50MM INTERIOR</v>
          </cell>
        </row>
        <row r="1873">
          <cell r="B1873">
            <v>5265106</v>
          </cell>
          <cell r="C1873" t="str">
            <v>MBT</v>
          </cell>
          <cell r="D1873" t="str">
            <v>AISLADOR SOPORTE PORTABARRA RESINA EPOXICA TP.BISFENOL 1KV L.F.61MM 60X50X64MM INTERIOR</v>
          </cell>
        </row>
        <row r="1874">
          <cell r="B1874">
            <v>5265106</v>
          </cell>
          <cell r="C1874" t="str">
            <v>MTR</v>
          </cell>
          <cell r="D1874" t="str">
            <v>AISLADOR SOPORTE PORTABARRA RESINA EPOXICA TP.BISFENOL 1KV L.F.61MM 60X50X64MM INTERIOR</v>
          </cell>
        </row>
        <row r="1875">
          <cell r="B1875">
            <v>5265220</v>
          </cell>
          <cell r="C1875" t="str">
            <v>GAM</v>
          </cell>
          <cell r="D1875" t="str">
            <v>AISLADOR SOP.PORTAB.PORC.J8-75 130MM.INT.10KV.</v>
          </cell>
        </row>
        <row r="1876">
          <cell r="B1876">
            <v>5265220</v>
          </cell>
          <cell r="C1876" t="str">
            <v>KSH</v>
          </cell>
          <cell r="D1876" t="str">
            <v>AISLADOR SOP.PORTAB.PORC.J8-75 130MM.INT.10KV.</v>
          </cell>
        </row>
        <row r="1877">
          <cell r="B1877">
            <v>5265420</v>
          </cell>
          <cell r="C1877" t="str">
            <v>GAM</v>
          </cell>
          <cell r="D1877" t="str">
            <v>AISLADOR SOP.PORTAB.PORCEL.J4-125 210MM.INT.22.9KV</v>
          </cell>
        </row>
        <row r="1878">
          <cell r="B1878">
            <v>5267220</v>
          </cell>
          <cell r="C1878" t="str">
            <v>GAM</v>
          </cell>
          <cell r="D1878" t="str">
            <v>AISLADOR SOP.PORTAEQ.PORCEL.J16-75 130MML.INT.10KV</v>
          </cell>
        </row>
        <row r="1879">
          <cell r="B1879">
            <v>5267220</v>
          </cell>
          <cell r="C1879" t="str">
            <v>KSH</v>
          </cell>
          <cell r="D1879" t="str">
            <v>AISLADOR SOP.PORTAEQ.PORCEL.J16-75 130MML.INT.10KV</v>
          </cell>
        </row>
        <row r="1880">
          <cell r="B1880">
            <v>5267320</v>
          </cell>
          <cell r="C1880" t="str">
            <v>GAM</v>
          </cell>
          <cell r="D1880" t="str">
            <v>AISLADOR SOP.PORTAEQ.PORC.J8-125 210MM.INT.22.9KV</v>
          </cell>
        </row>
        <row r="1881">
          <cell r="B1881">
            <v>5288124</v>
          </cell>
          <cell r="C1881" t="str">
            <v>P3M</v>
          </cell>
          <cell r="D1881" t="str">
            <v>CINTA AISLANTE DE ALGODON DE 19MM</v>
          </cell>
        </row>
        <row r="1882">
          <cell r="B1882">
            <v>5288124</v>
          </cell>
          <cell r="C1882" t="str">
            <v>PLY</v>
          </cell>
          <cell r="D1882" t="str">
            <v>CINTA AISLANTE DE ALGODON DE 19MM</v>
          </cell>
        </row>
        <row r="1883">
          <cell r="B1883">
            <v>5288420</v>
          </cell>
          <cell r="C1883" t="str">
            <v>P3M</v>
          </cell>
          <cell r="D1883" t="str">
            <v>CINTA AISLANTE DE ALGODON 19MMX18M</v>
          </cell>
        </row>
        <row r="1884">
          <cell r="B1884">
            <v>5295342</v>
          </cell>
          <cell r="C1884" t="str">
            <v>ERI</v>
          </cell>
          <cell r="D1884" t="str">
            <v>CEMENTO ESPECIAL CONDUCTIVO USADO PARA SISTEMAS ELECTRICOS</v>
          </cell>
        </row>
        <row r="1885">
          <cell r="B1885">
            <v>5295342</v>
          </cell>
          <cell r="C1885" t="str">
            <v>SAE</v>
          </cell>
          <cell r="D1885" t="str">
            <v>CEMENTO ESPECIAL CONDUCTIVO USADO PARA SISTEMAS ELECTRICOS</v>
          </cell>
        </row>
        <row r="1886">
          <cell r="B1886">
            <v>5295343</v>
          </cell>
          <cell r="C1886" t="str">
            <v>ERI</v>
          </cell>
          <cell r="D1886" t="str">
            <v>CEMENTO ESPECIAL CONDUCTIVO USADO PARA SISTEMAS ELECTRICOS EN BOLSAS DE 25LB</v>
          </cell>
        </row>
        <row r="1887">
          <cell r="B1887">
            <v>5295343</v>
          </cell>
          <cell r="C1887" t="str">
            <v>SAE</v>
          </cell>
          <cell r="D1887" t="str">
            <v>CEMENTO ESPECIAL CONDUCTIVO USADO PARA SISTEMAS ELECTRICOS EN BOLSAS DE 25LB</v>
          </cell>
        </row>
        <row r="1888">
          <cell r="B1888">
            <v>5295344</v>
          </cell>
          <cell r="C1888" t="str">
            <v>SAE</v>
          </cell>
          <cell r="D1888" t="str">
            <v>CEMENTO ESPECIAL CONDUCTIVO USADO PARA SISTEMAS ELECTRICOS EN BOLSAS DE 55LB</v>
          </cell>
        </row>
        <row r="1889">
          <cell r="B1889">
            <v>5297528</v>
          </cell>
          <cell r="C1889" t="str">
            <v>DRG</v>
          </cell>
          <cell r="D1889" t="str">
            <v>VISOR TRANSPARENTE P.CAJAS TIPO L - LT 110 X 115 X 3MM</v>
          </cell>
        </row>
        <row r="1890">
          <cell r="B1890">
            <v>5297528</v>
          </cell>
          <cell r="C1890" t="str">
            <v>TPO</v>
          </cell>
          <cell r="D1890" t="str">
            <v>VISOR TRANSPARENTE P.CAJAS TIPO L - LT 110 X 115 X 3MM</v>
          </cell>
        </row>
        <row r="1891">
          <cell r="B1891">
            <v>5311206</v>
          </cell>
          <cell r="C1891" t="str">
            <v>SCM</v>
          </cell>
          <cell r="D1891" t="str">
            <v>POSTE C.A.C. 7/100/120/225 P. A.P. Y/O L.A.B.T O MT</v>
          </cell>
        </row>
        <row r="1892">
          <cell r="B1892">
            <v>5311214</v>
          </cell>
          <cell r="C1892" t="str">
            <v>FAD</v>
          </cell>
          <cell r="D1892" t="str">
            <v>POSTE C.A.C. 7/200/120/225 P. A.P. Y/O L.A.B.T.</v>
          </cell>
        </row>
        <row r="1893">
          <cell r="B1893">
            <v>5311214</v>
          </cell>
          <cell r="C1893" t="str">
            <v>PSA</v>
          </cell>
          <cell r="D1893" t="str">
            <v>POSTE C.A.C. 7/200/120/225 P. A.P. Y/O L.A.B.T.</v>
          </cell>
        </row>
        <row r="1894">
          <cell r="B1894">
            <v>5311214</v>
          </cell>
          <cell r="C1894" t="str">
            <v>SCM</v>
          </cell>
          <cell r="D1894" t="str">
            <v>POSTE C.A.C. 7/200/120/225 P. A.P. Y/O L.A.B.T.</v>
          </cell>
        </row>
        <row r="1895">
          <cell r="B1895">
            <v>5311232</v>
          </cell>
          <cell r="C1895" t="str">
            <v>SCM</v>
          </cell>
          <cell r="D1895" t="str">
            <v>POSTE C.A.C. 7/300/150/255 P. A.P. Y/O L.A.B.T O MT</v>
          </cell>
        </row>
        <row r="1896">
          <cell r="B1896">
            <v>5311262</v>
          </cell>
          <cell r="C1896" t="str">
            <v>FAD</v>
          </cell>
          <cell r="D1896" t="str">
            <v>POSTE C.A.C. 8 / 100 / 130 / 250 P.A.P. Y/O L.A.B.T.</v>
          </cell>
        </row>
        <row r="1897">
          <cell r="B1897">
            <v>5311264</v>
          </cell>
          <cell r="C1897" t="str">
            <v>SCM</v>
          </cell>
          <cell r="D1897" t="str">
            <v>POSTE C.A.  8.00/200/120/240 P. A.P.Y/O L.A.BT.</v>
          </cell>
        </row>
        <row r="1898">
          <cell r="B1898">
            <v>5311282</v>
          </cell>
          <cell r="C1898" t="str">
            <v>SCM</v>
          </cell>
          <cell r="D1898" t="str">
            <v>POSTE C.A.  8.00/300/150/270 P. A.P.Y/O L.A.BT.</v>
          </cell>
        </row>
        <row r="1899">
          <cell r="B1899">
            <v>5311292</v>
          </cell>
          <cell r="C1899" t="str">
            <v>PAL</v>
          </cell>
          <cell r="D1899" t="str">
            <v>POSTE C.A.  8,7/200/120/250 P. A.P. Y/O L.A.BT.</v>
          </cell>
        </row>
        <row r="1900">
          <cell r="B1900">
            <v>5311292</v>
          </cell>
          <cell r="C1900" t="str">
            <v>PSA</v>
          </cell>
          <cell r="D1900" t="str">
            <v>POSTE C.A.  8,7/200/120/250 P. A.P. Y/O L.A.BT.</v>
          </cell>
        </row>
        <row r="1901">
          <cell r="B1901">
            <v>5311292</v>
          </cell>
          <cell r="C1901" t="str">
            <v>SCM</v>
          </cell>
          <cell r="D1901" t="str">
            <v>POSTE C.A.  8,7/200/120/250 P. A.P. Y/O L.A.BT.</v>
          </cell>
        </row>
        <row r="1902">
          <cell r="B1902">
            <v>5311293</v>
          </cell>
          <cell r="C1902" t="str">
            <v>CMA</v>
          </cell>
          <cell r="D1902" t="str">
            <v>POSTE C.A.  8.7/200/150/280 P. A.P. Y/O L.A.B.T.</v>
          </cell>
        </row>
        <row r="1903">
          <cell r="B1903">
            <v>5311293</v>
          </cell>
          <cell r="C1903" t="str">
            <v>ESC</v>
          </cell>
          <cell r="D1903" t="str">
            <v>POSTE C.A.  8.7/200/150/280 P. A.P. Y/O L.A.B.T.</v>
          </cell>
        </row>
        <row r="1904">
          <cell r="B1904">
            <v>5311293</v>
          </cell>
          <cell r="C1904" t="str">
            <v>IPT</v>
          </cell>
          <cell r="D1904" t="str">
            <v>POSTE C.A.  8.7/200/150/280 P. A.P. Y/O L.A.B.T.</v>
          </cell>
        </row>
        <row r="1905">
          <cell r="B1905">
            <v>5311293</v>
          </cell>
          <cell r="C1905" t="str">
            <v>PAL</v>
          </cell>
          <cell r="D1905" t="str">
            <v>POSTE C.A.  8.7/200/150/280 P. A.P. Y/O L.A.B.T.</v>
          </cell>
        </row>
        <row r="1906">
          <cell r="B1906">
            <v>5311293</v>
          </cell>
          <cell r="C1906" t="str">
            <v>PSA</v>
          </cell>
          <cell r="D1906" t="str">
            <v>POSTE C.A.  8.7/200/150/280 P. A.P. Y/O L.A.B.T.</v>
          </cell>
        </row>
        <row r="1907">
          <cell r="B1907">
            <v>5311293</v>
          </cell>
          <cell r="C1907" t="str">
            <v>SCM</v>
          </cell>
          <cell r="D1907" t="str">
            <v>POSTE C.A.  8.7/200/150/280 P. A.P. Y/O L.A.B.T.</v>
          </cell>
        </row>
        <row r="1908">
          <cell r="B1908">
            <v>5311293</v>
          </cell>
          <cell r="C1908" t="str">
            <v>SMJ</v>
          </cell>
          <cell r="D1908" t="str">
            <v>POSTE C.A.  8.7/200/150/280 P. A.P. Y/O L.A.B.T.</v>
          </cell>
        </row>
        <row r="1909">
          <cell r="B1909">
            <v>5311294</v>
          </cell>
          <cell r="C1909" t="str">
            <v>CMA</v>
          </cell>
          <cell r="D1909" t="str">
            <v>POSTE C.A.  8,7/300/150/280 P. A.P. Y/O L.A.BT.</v>
          </cell>
        </row>
        <row r="1910">
          <cell r="B1910">
            <v>5311294</v>
          </cell>
          <cell r="C1910" t="str">
            <v>ESC</v>
          </cell>
          <cell r="D1910" t="str">
            <v>POSTE C.A.  8,7/300/150/280 P. A.P. Y/O L.A.BT.</v>
          </cell>
        </row>
        <row r="1911">
          <cell r="B1911">
            <v>5311294</v>
          </cell>
          <cell r="C1911" t="str">
            <v>FAD</v>
          </cell>
          <cell r="D1911" t="str">
            <v>POSTE C.A.  8,7/300/150/280 P. A.P. Y/O L.A.BT.</v>
          </cell>
        </row>
        <row r="1912">
          <cell r="B1912">
            <v>5311294</v>
          </cell>
          <cell r="C1912" t="str">
            <v>IPT</v>
          </cell>
          <cell r="D1912" t="str">
            <v>POSTE C.A.  8,7/300/150/280 P. A.P. Y/O L.A.BT.</v>
          </cell>
        </row>
        <row r="1913">
          <cell r="B1913">
            <v>5311294</v>
          </cell>
          <cell r="C1913" t="str">
            <v>PAL</v>
          </cell>
          <cell r="D1913" t="str">
            <v>POSTE C.A.  8,7/300/150/280 P. A.P. Y/O L.A.BT.</v>
          </cell>
        </row>
        <row r="1914">
          <cell r="B1914">
            <v>5311294</v>
          </cell>
          <cell r="C1914" t="str">
            <v>PSA</v>
          </cell>
          <cell r="D1914" t="str">
            <v>POSTE C.A.  8,7/300/150/280 P. A.P. Y/O L.A.BT.</v>
          </cell>
        </row>
        <row r="1915">
          <cell r="B1915">
            <v>5311294</v>
          </cell>
          <cell r="C1915" t="str">
            <v>SCM</v>
          </cell>
          <cell r="D1915" t="str">
            <v>POSTE C.A.  8,7/300/150/280 P. A.P. Y/O L.A.BT.</v>
          </cell>
        </row>
        <row r="1916">
          <cell r="B1916">
            <v>5311294</v>
          </cell>
          <cell r="C1916" t="str">
            <v>SMJ</v>
          </cell>
          <cell r="D1916" t="str">
            <v>POSTE C.A.  8,7/300/150/280 P. A.P. Y/O L.A.BT.</v>
          </cell>
        </row>
        <row r="1917">
          <cell r="B1917">
            <v>5311314</v>
          </cell>
          <cell r="C1917" t="str">
            <v>PAL</v>
          </cell>
          <cell r="D1917" t="str">
            <v>POSTE C.A.C. 9/200/120/255 P. A.P. Y/O L.A.B.T O MT</v>
          </cell>
        </row>
        <row r="1918">
          <cell r="B1918">
            <v>5311314</v>
          </cell>
          <cell r="C1918" t="str">
            <v>SCM</v>
          </cell>
          <cell r="D1918" t="str">
            <v>POSTE C.A.C. 9/200/120/255 P. A.P. Y/O L.A.B.T O MT</v>
          </cell>
        </row>
        <row r="1919">
          <cell r="B1919">
            <v>5311314</v>
          </cell>
          <cell r="C1919" t="str">
            <v>SMJ</v>
          </cell>
          <cell r="D1919" t="str">
            <v>POSTE C.A.C. 9/200/120/255 P. A.P. Y/O L.A.B.T O MT</v>
          </cell>
        </row>
        <row r="1920">
          <cell r="B1920">
            <v>5311332</v>
          </cell>
          <cell r="C1920" t="str">
            <v>PAL</v>
          </cell>
          <cell r="D1920" t="str">
            <v>POSTE C.A.C. 9/300/150/285 P. A.P. Y/O L.A.B.T O MT</v>
          </cell>
        </row>
        <row r="1921">
          <cell r="B1921">
            <v>5311332</v>
          </cell>
          <cell r="C1921" t="str">
            <v>SCM</v>
          </cell>
          <cell r="D1921" t="str">
            <v>POSTE C.A.C. 9/300/150/285 P. A.P. Y/O L.A.B.T O MT</v>
          </cell>
        </row>
        <row r="1922">
          <cell r="B1922">
            <v>5311332</v>
          </cell>
          <cell r="C1922" t="str">
            <v>SMJ</v>
          </cell>
          <cell r="D1922" t="str">
            <v>POSTE C.A.C. 9/300/150/285 P. A.P. Y/O L.A.B.T O MT</v>
          </cell>
        </row>
        <row r="1923">
          <cell r="B1923">
            <v>5311335</v>
          </cell>
          <cell r="C1923" t="str">
            <v>ESC</v>
          </cell>
          <cell r="D1923" t="str">
            <v>POSTE C.A. 9/400/180/315/L.A.10 KV. P/SAM</v>
          </cell>
        </row>
        <row r="1924">
          <cell r="B1924">
            <v>5311335</v>
          </cell>
          <cell r="C1924" t="str">
            <v>PAL</v>
          </cell>
          <cell r="D1924" t="str">
            <v>POSTE C.A. 9/400/180/315/L.A.10 KV. P/SAM</v>
          </cell>
        </row>
        <row r="1925">
          <cell r="B1925">
            <v>5311364</v>
          </cell>
          <cell r="C1925" t="str">
            <v>CMA</v>
          </cell>
          <cell r="D1925" t="str">
            <v>POSTE C.A. 10,0/300/150/300. B.T. Y/O A.P.</v>
          </cell>
        </row>
        <row r="1926">
          <cell r="B1926">
            <v>5311364</v>
          </cell>
          <cell r="C1926" t="str">
            <v>ESC</v>
          </cell>
          <cell r="D1926" t="str">
            <v>POSTE C.A. 10,0/300/150/300. B.T. Y/O A.P.</v>
          </cell>
        </row>
        <row r="1927">
          <cell r="B1927">
            <v>5311364</v>
          </cell>
          <cell r="C1927" t="str">
            <v>IPT</v>
          </cell>
          <cell r="D1927" t="str">
            <v>POSTE C.A. 10,0/300/150/300. B.T. Y/O A.P.</v>
          </cell>
        </row>
        <row r="1928">
          <cell r="B1928">
            <v>5311364</v>
          </cell>
          <cell r="C1928" t="str">
            <v>PAL</v>
          </cell>
          <cell r="D1928" t="str">
            <v>POSTE C.A. 10,0/300/150/300. B.T. Y/O A.P.</v>
          </cell>
        </row>
        <row r="1929">
          <cell r="B1929">
            <v>5311364</v>
          </cell>
          <cell r="C1929" t="str">
            <v>PSA</v>
          </cell>
          <cell r="D1929" t="str">
            <v>POSTE C.A. 10,0/300/150/300. B.T. Y/O A.P.</v>
          </cell>
        </row>
        <row r="1930">
          <cell r="B1930">
            <v>5311364</v>
          </cell>
          <cell r="C1930" t="str">
            <v>SCM</v>
          </cell>
          <cell r="D1930" t="str">
            <v>POSTE C.A. 10,0/300/150/300. B.T. Y/O A.P.</v>
          </cell>
        </row>
        <row r="1931">
          <cell r="B1931">
            <v>5311368</v>
          </cell>
          <cell r="C1931" t="str">
            <v>CMA</v>
          </cell>
          <cell r="D1931" t="str">
            <v>POSTE C.A. 10,0/400/150/300. B.T. Y/O A.P.</v>
          </cell>
        </row>
        <row r="1932">
          <cell r="B1932">
            <v>5311368</v>
          </cell>
          <cell r="C1932" t="str">
            <v>ESC</v>
          </cell>
          <cell r="D1932" t="str">
            <v>POSTE C.A. 10,0/400/150/300. B.T. Y/O A.P.</v>
          </cell>
        </row>
        <row r="1933">
          <cell r="B1933">
            <v>5311368</v>
          </cell>
          <cell r="C1933" t="str">
            <v>IPT</v>
          </cell>
          <cell r="D1933" t="str">
            <v>POSTE C.A. 10,0/400/150/300. B.T. Y/O A.P.</v>
          </cell>
        </row>
        <row r="1934">
          <cell r="B1934">
            <v>5311368</v>
          </cell>
          <cell r="C1934" t="str">
            <v>PAL</v>
          </cell>
          <cell r="D1934" t="str">
            <v>POSTE C.A. 10,0/400/150/300. B.T. Y/O A.P.</v>
          </cell>
        </row>
        <row r="1935">
          <cell r="B1935">
            <v>5311368</v>
          </cell>
          <cell r="C1935" t="str">
            <v>PSA</v>
          </cell>
          <cell r="D1935" t="str">
            <v>POSTE C.A. 10,0/400/150/300. B.T. Y/O A.P.</v>
          </cell>
        </row>
        <row r="1936">
          <cell r="B1936">
            <v>5311368</v>
          </cell>
          <cell r="C1936" t="str">
            <v>SCM</v>
          </cell>
          <cell r="D1936" t="str">
            <v>POSTE C.A. 10,0/400/150/300. B.T. Y/O A.P.</v>
          </cell>
        </row>
        <row r="1937">
          <cell r="B1937">
            <v>5311452</v>
          </cell>
          <cell r="C1937" t="str">
            <v>SMJ</v>
          </cell>
          <cell r="D1937" t="str">
            <v>POSTE C.A.            11,5/200/150/323 L.A. 10 KV.</v>
          </cell>
        </row>
        <row r="1938">
          <cell r="B1938">
            <v>5311454</v>
          </cell>
          <cell r="C1938" t="str">
            <v>SMJ</v>
          </cell>
          <cell r="D1938" t="str">
            <v>POSTE C.A.             11,5/400/180/353 L.A. 10KV.</v>
          </cell>
        </row>
        <row r="1939">
          <cell r="B1939">
            <v>5311462</v>
          </cell>
          <cell r="C1939" t="str">
            <v>CMA</v>
          </cell>
          <cell r="D1939" t="str">
            <v>POSTE C.A. 11.5/200/150/323 L.A. 10-22.9 KV</v>
          </cell>
        </row>
        <row r="1940">
          <cell r="B1940">
            <v>5311462</v>
          </cell>
          <cell r="C1940" t="str">
            <v>ESC</v>
          </cell>
          <cell r="D1940" t="str">
            <v>POSTE C.A. 11.5/200/150/323 L.A. 10-22.9 KV</v>
          </cell>
        </row>
        <row r="1941">
          <cell r="B1941">
            <v>5311462</v>
          </cell>
          <cell r="C1941" t="str">
            <v>FAD</v>
          </cell>
          <cell r="D1941" t="str">
            <v>POSTE C.A. 11.5/200/150/323 L.A. 10-22.9 KV</v>
          </cell>
        </row>
        <row r="1942">
          <cell r="B1942">
            <v>5311462</v>
          </cell>
          <cell r="C1942" t="str">
            <v>IPT</v>
          </cell>
          <cell r="D1942" t="str">
            <v>POSTE C.A. 11.5/200/150/323 L.A. 10-22.9 KV</v>
          </cell>
        </row>
        <row r="1943">
          <cell r="B1943">
            <v>5311462</v>
          </cell>
          <cell r="C1943" t="str">
            <v>PAL</v>
          </cell>
          <cell r="D1943" t="str">
            <v>POSTE C.A. 11.5/200/150/323 L.A. 10-22.9 KV</v>
          </cell>
        </row>
        <row r="1944">
          <cell r="B1944">
            <v>5311462</v>
          </cell>
          <cell r="C1944" t="str">
            <v>PSA</v>
          </cell>
          <cell r="D1944" t="str">
            <v>POSTE C.A. 11.5/200/150/323 L.A. 10-22.9 KV</v>
          </cell>
        </row>
        <row r="1945">
          <cell r="B1945">
            <v>5311462</v>
          </cell>
          <cell r="C1945" t="str">
            <v>SCM</v>
          </cell>
          <cell r="D1945" t="str">
            <v>POSTE C.A. 11.5/200/150/323 L.A. 10-22.9 KV</v>
          </cell>
        </row>
        <row r="1946">
          <cell r="B1946">
            <v>5311462</v>
          </cell>
          <cell r="C1946" t="str">
            <v>SMJ</v>
          </cell>
          <cell r="D1946" t="str">
            <v>POSTE C.A. 11.5/200/150/323 L.A. 10-22.9 KV</v>
          </cell>
        </row>
        <row r="1947">
          <cell r="B1947">
            <v>5311464</v>
          </cell>
          <cell r="C1947" t="str">
            <v>CMA</v>
          </cell>
          <cell r="D1947" t="str">
            <v>POSTE C.A. 11.5/400/180/353 L.A. 10-22.9 KV</v>
          </cell>
        </row>
        <row r="1948">
          <cell r="B1948">
            <v>5311464</v>
          </cell>
          <cell r="C1948" t="str">
            <v>ESC</v>
          </cell>
          <cell r="D1948" t="str">
            <v>POSTE C.A. 11.5/400/180/353 L.A. 10-22.9 KV</v>
          </cell>
        </row>
        <row r="1949">
          <cell r="B1949">
            <v>5311464</v>
          </cell>
          <cell r="C1949" t="str">
            <v>IPT</v>
          </cell>
          <cell r="D1949" t="str">
            <v>POSTE C.A. 11.5/400/180/353 L.A. 10-22.9 KV</v>
          </cell>
        </row>
        <row r="1950">
          <cell r="B1950">
            <v>5311464</v>
          </cell>
          <cell r="C1950" t="str">
            <v>PAL</v>
          </cell>
          <cell r="D1950" t="str">
            <v>POSTE C.A. 11.5/400/180/353 L.A. 10-22.9 KV</v>
          </cell>
        </row>
        <row r="1951">
          <cell r="B1951">
            <v>5311464</v>
          </cell>
          <cell r="C1951" t="str">
            <v>PSA</v>
          </cell>
          <cell r="D1951" t="str">
            <v>POSTE C.A. 11.5/400/180/353 L.A. 10-22.9 KV</v>
          </cell>
        </row>
        <row r="1952">
          <cell r="B1952">
            <v>5311464</v>
          </cell>
          <cell r="C1952" t="str">
            <v>SCM</v>
          </cell>
          <cell r="D1952" t="str">
            <v>POSTE C.A. 11.5/400/180/353 L.A. 10-22.9 KV</v>
          </cell>
        </row>
        <row r="1953">
          <cell r="B1953">
            <v>5311464</v>
          </cell>
          <cell r="C1953" t="str">
            <v>SMJ</v>
          </cell>
          <cell r="D1953" t="str">
            <v>POSTE C.A. 11.5/400/180/353 L.A. 10-22.9 KV</v>
          </cell>
        </row>
        <row r="1954">
          <cell r="B1954">
            <v>5311466</v>
          </cell>
          <cell r="C1954" t="str">
            <v>ESC</v>
          </cell>
          <cell r="D1954" t="str">
            <v>POSTE C.A. 11.5/500/180/353 L.A. 10-22.9 KV</v>
          </cell>
        </row>
        <row r="1955">
          <cell r="B1955">
            <v>5311466</v>
          </cell>
          <cell r="C1955" t="str">
            <v>IPT</v>
          </cell>
          <cell r="D1955" t="str">
            <v>POSTE C.A. 11.5/500/180/353 L.A. 10-22.9 KV</v>
          </cell>
        </row>
        <row r="1956">
          <cell r="B1956">
            <v>5311466</v>
          </cell>
          <cell r="C1956" t="str">
            <v>PAL</v>
          </cell>
          <cell r="D1956" t="str">
            <v>POSTE C.A. 11.5/500/180/353 L.A. 10-22.9 KV</v>
          </cell>
        </row>
        <row r="1957">
          <cell r="B1957">
            <v>5311466</v>
          </cell>
          <cell r="C1957" t="str">
            <v>PSA</v>
          </cell>
          <cell r="D1957" t="str">
            <v>POSTE C.A. 11.5/500/180/353 L.A. 10-22.9 KV</v>
          </cell>
        </row>
        <row r="1958">
          <cell r="B1958">
            <v>5311466</v>
          </cell>
          <cell r="C1958" t="str">
            <v>SCM</v>
          </cell>
          <cell r="D1958" t="str">
            <v>POSTE C.A. 11.5/500/180/353 L.A. 10-22.9 KV</v>
          </cell>
        </row>
        <row r="1959">
          <cell r="B1959">
            <v>5311535</v>
          </cell>
          <cell r="C1959" t="str">
            <v>IPT</v>
          </cell>
          <cell r="D1959" t="str">
            <v>POSTE C.A. 13.00/400/180/375 PARA RED B.T.Y/O M.T.</v>
          </cell>
        </row>
        <row r="1960">
          <cell r="B1960">
            <v>5311544</v>
          </cell>
          <cell r="C1960" t="str">
            <v>CMA</v>
          </cell>
          <cell r="D1960" t="str">
            <v>POSTE C.A.C. 13/300/180/375 P.L.A.B.T O MT</v>
          </cell>
        </row>
        <row r="1961">
          <cell r="B1961">
            <v>5311544</v>
          </cell>
          <cell r="C1961" t="str">
            <v>ESC</v>
          </cell>
          <cell r="D1961" t="str">
            <v>POSTE C.A.C. 13/300/180/375 P.L.A.B.T O MT</v>
          </cell>
        </row>
        <row r="1962">
          <cell r="B1962">
            <v>5311544</v>
          </cell>
          <cell r="C1962" t="str">
            <v>FAD</v>
          </cell>
          <cell r="D1962" t="str">
            <v>POSTE C.A.C. 13/300/180/375 P.L.A.B.T O MT</v>
          </cell>
        </row>
        <row r="1963">
          <cell r="B1963">
            <v>5311544</v>
          </cell>
          <cell r="C1963" t="str">
            <v>IPT</v>
          </cell>
          <cell r="D1963" t="str">
            <v>POSTE C.A.C. 13/300/180/375 P.L.A.B.T O MT</v>
          </cell>
        </row>
        <row r="1964">
          <cell r="B1964">
            <v>5311544</v>
          </cell>
          <cell r="C1964" t="str">
            <v>PAL</v>
          </cell>
          <cell r="D1964" t="str">
            <v>POSTE C.A.C. 13/300/180/375 P.L.A.B.T O MT</v>
          </cell>
        </row>
        <row r="1965">
          <cell r="B1965">
            <v>5311544</v>
          </cell>
          <cell r="C1965" t="str">
            <v>PSA</v>
          </cell>
          <cell r="D1965" t="str">
            <v>POSTE C.A.C. 13/300/180/375 P.L.A.B.T O MT</v>
          </cell>
        </row>
        <row r="1966">
          <cell r="B1966">
            <v>5311544</v>
          </cell>
          <cell r="C1966" t="str">
            <v>SCM</v>
          </cell>
          <cell r="D1966" t="str">
            <v>POSTE C.A.C. 13/300/180/375 P.L.A.B.T O MT</v>
          </cell>
        </row>
        <row r="1967">
          <cell r="B1967">
            <v>5311544</v>
          </cell>
          <cell r="C1967" t="str">
            <v>SMJ</v>
          </cell>
          <cell r="D1967" t="str">
            <v>POSTE C.A.C. 13/300/180/375 P.L.A.B.T O MT</v>
          </cell>
        </row>
        <row r="1968">
          <cell r="B1968">
            <v>5311546</v>
          </cell>
          <cell r="C1968" t="str">
            <v>CMA</v>
          </cell>
          <cell r="D1968" t="str">
            <v>POSTE C.A.C. 13/400/180/375 P.L.A.B.T O MT</v>
          </cell>
        </row>
        <row r="1969">
          <cell r="B1969">
            <v>5311546</v>
          </cell>
          <cell r="C1969" t="str">
            <v>ESC</v>
          </cell>
          <cell r="D1969" t="str">
            <v>POSTE C.A.C. 13/400/180/375 P.L.A.B.T O MT</v>
          </cell>
        </row>
        <row r="1970">
          <cell r="B1970">
            <v>5311546</v>
          </cell>
          <cell r="C1970" t="str">
            <v>PAL</v>
          </cell>
          <cell r="D1970" t="str">
            <v>POSTE C.A.C. 13/400/180/375 P.L.A.B.T O MT</v>
          </cell>
        </row>
        <row r="1971">
          <cell r="B1971">
            <v>5311546</v>
          </cell>
          <cell r="C1971" t="str">
            <v>PSA</v>
          </cell>
          <cell r="D1971" t="str">
            <v>POSTE C.A.C. 13/400/180/375 P.L.A.B.T O MT</v>
          </cell>
        </row>
        <row r="1972">
          <cell r="B1972">
            <v>5311546</v>
          </cell>
          <cell r="C1972" t="str">
            <v>PSS</v>
          </cell>
          <cell r="D1972" t="str">
            <v>POSTE C.A.C. 13/400/180/375 P.L.A.B.T O MT</v>
          </cell>
        </row>
        <row r="1973">
          <cell r="B1973">
            <v>5311546</v>
          </cell>
          <cell r="C1973" t="str">
            <v>SCM</v>
          </cell>
          <cell r="D1973" t="str">
            <v>POSTE C.A.C. 13/400/180/375 P.L.A.B.T O MT</v>
          </cell>
        </row>
        <row r="1974">
          <cell r="B1974">
            <v>5311546</v>
          </cell>
          <cell r="C1974" t="str">
            <v>SMJ</v>
          </cell>
          <cell r="D1974" t="str">
            <v>POSTE C.A.C. 13/400/180/375 P.L.A.B.T O MT</v>
          </cell>
        </row>
        <row r="1975">
          <cell r="B1975">
            <v>5311548</v>
          </cell>
          <cell r="C1975" t="str">
            <v>ESC</v>
          </cell>
          <cell r="D1975" t="str">
            <v>POSTE C.A. 13.00/500/180/375 L.A. 10-22.9 KV</v>
          </cell>
        </row>
        <row r="1976">
          <cell r="B1976">
            <v>5311548</v>
          </cell>
          <cell r="C1976" t="str">
            <v>PAL</v>
          </cell>
          <cell r="D1976" t="str">
            <v>POSTE C.A. 13.00/500/180/375 L.A. 10-22.9 KV</v>
          </cell>
        </row>
        <row r="1977">
          <cell r="B1977">
            <v>5311548</v>
          </cell>
          <cell r="C1977" t="str">
            <v>PSA</v>
          </cell>
          <cell r="D1977" t="str">
            <v>POSTE C.A. 13.00/500/180/375 L.A. 10-22.9 KV</v>
          </cell>
        </row>
        <row r="1978">
          <cell r="B1978">
            <v>5311548</v>
          </cell>
          <cell r="C1978" t="str">
            <v>SCM</v>
          </cell>
          <cell r="D1978" t="str">
            <v>POSTE C.A. 13.00/500/180/375 L.A. 10-22.9 KV</v>
          </cell>
        </row>
        <row r="1979">
          <cell r="B1979">
            <v>5311666</v>
          </cell>
          <cell r="C1979" t="str">
            <v>CMA</v>
          </cell>
          <cell r="D1979" t="str">
            <v>POSTE C.A.C. 15/400/210/435 P.L.A.B.T O MT</v>
          </cell>
        </row>
        <row r="1980">
          <cell r="B1980">
            <v>5311666</v>
          </cell>
          <cell r="C1980" t="str">
            <v>ESC</v>
          </cell>
          <cell r="D1980" t="str">
            <v>POSTE C.A.C. 15/400/210/435 P.L.A.B.T O MT</v>
          </cell>
        </row>
        <row r="1981">
          <cell r="B1981">
            <v>5311666</v>
          </cell>
          <cell r="C1981" t="str">
            <v>FAD</v>
          </cell>
          <cell r="D1981" t="str">
            <v>POSTE C.A.C. 15/400/210/435 P.L.A.B.T O MT</v>
          </cell>
        </row>
        <row r="1982">
          <cell r="B1982">
            <v>5311666</v>
          </cell>
          <cell r="C1982" t="str">
            <v>IPT</v>
          </cell>
          <cell r="D1982" t="str">
            <v>POSTE C.A.C. 15/400/210/435 P.L.A.B.T O MT</v>
          </cell>
        </row>
        <row r="1983">
          <cell r="B1983">
            <v>5311666</v>
          </cell>
          <cell r="C1983" t="str">
            <v>PAL</v>
          </cell>
          <cell r="D1983" t="str">
            <v>POSTE C.A.C. 15/400/210/435 P.L.A.B.T O MT</v>
          </cell>
        </row>
        <row r="1984">
          <cell r="B1984">
            <v>5311666</v>
          </cell>
          <cell r="C1984" t="str">
            <v>PSA</v>
          </cell>
          <cell r="D1984" t="str">
            <v>POSTE C.A.C. 15/400/210/435 P.L.A.B.T O MT</v>
          </cell>
        </row>
        <row r="1985">
          <cell r="B1985">
            <v>5311666</v>
          </cell>
          <cell r="C1985" t="str">
            <v>SCM</v>
          </cell>
          <cell r="D1985" t="str">
            <v>POSTE C.A.C. 15/400/210/435 P.L.A.B.T O MT</v>
          </cell>
        </row>
        <row r="1986">
          <cell r="B1986">
            <v>5312102</v>
          </cell>
          <cell r="C1986" t="str">
            <v>SCM</v>
          </cell>
          <cell r="D1986" t="str">
            <v>POSTE C.A.  5.00/ 70/ 90/165 P. A.P. R.S.</v>
          </cell>
        </row>
        <row r="1987">
          <cell r="B1987">
            <v>5312151</v>
          </cell>
          <cell r="C1987" t="str">
            <v>CMA</v>
          </cell>
          <cell r="D1987" t="str">
            <v>POSTE C.A. 6/200/120/210/ A.P.</v>
          </cell>
        </row>
        <row r="1988">
          <cell r="B1988">
            <v>5312151</v>
          </cell>
          <cell r="C1988" t="str">
            <v>ESC</v>
          </cell>
          <cell r="D1988" t="str">
            <v>POSTE C.A. 6/200/120/210/ A.P.</v>
          </cell>
        </row>
        <row r="1989">
          <cell r="B1989">
            <v>5312151</v>
          </cell>
          <cell r="C1989" t="str">
            <v>FAD</v>
          </cell>
          <cell r="D1989" t="str">
            <v>POSTE C.A. 6/200/120/210/ A.P.</v>
          </cell>
        </row>
        <row r="1990">
          <cell r="B1990">
            <v>5312151</v>
          </cell>
          <cell r="C1990" t="str">
            <v>IPT</v>
          </cell>
          <cell r="D1990" t="str">
            <v>POSTE C.A. 6/200/120/210/ A.P.</v>
          </cell>
        </row>
        <row r="1991">
          <cell r="B1991">
            <v>5312151</v>
          </cell>
          <cell r="C1991" t="str">
            <v>PAL</v>
          </cell>
          <cell r="D1991" t="str">
            <v>POSTE C.A. 6/200/120/210/ A.P.</v>
          </cell>
        </row>
        <row r="1992">
          <cell r="B1992">
            <v>5312151</v>
          </cell>
          <cell r="C1992" t="str">
            <v>PSA</v>
          </cell>
          <cell r="D1992" t="str">
            <v>POSTE C.A. 6/200/120/210/ A.P.</v>
          </cell>
        </row>
        <row r="1993">
          <cell r="B1993">
            <v>5312151</v>
          </cell>
          <cell r="C1993" t="str">
            <v>SCM</v>
          </cell>
          <cell r="D1993" t="str">
            <v>POSTE C.A. 6/200/120/210/ A.P.</v>
          </cell>
        </row>
        <row r="1994">
          <cell r="B1994">
            <v>5312152</v>
          </cell>
          <cell r="C1994" t="str">
            <v>SCM</v>
          </cell>
          <cell r="D1994" t="str">
            <v>POSTE C.A.  6.00/ 70/ 90/180 P. A.P. R.S.</v>
          </cell>
        </row>
        <row r="1995">
          <cell r="B1995">
            <v>5312256</v>
          </cell>
          <cell r="C1995" t="str">
            <v>SCM</v>
          </cell>
          <cell r="D1995" t="str">
            <v>POSTE C.A.  8.00/100/120/240 P. A.P. R.S.</v>
          </cell>
        </row>
        <row r="1996">
          <cell r="B1996">
            <v>5312316</v>
          </cell>
          <cell r="C1996" t="str">
            <v>SCM</v>
          </cell>
          <cell r="D1996" t="str">
            <v>POSTE C.A.  9.00/200/120/255 P. A.P. R.S.</v>
          </cell>
        </row>
        <row r="1997">
          <cell r="B1997">
            <v>5316082</v>
          </cell>
          <cell r="C1997" t="str">
            <v>PAL</v>
          </cell>
          <cell r="D1997" t="str">
            <v>PASTORAL C.A.SIMPLE               PS/0.50/0.25/125</v>
          </cell>
        </row>
        <row r="1998">
          <cell r="B1998">
            <v>5316082</v>
          </cell>
          <cell r="C1998" t="str">
            <v>PSA</v>
          </cell>
          <cell r="D1998" t="str">
            <v>PASTORAL C.A.SIMPLE               PS/0.50/0.25/125</v>
          </cell>
        </row>
        <row r="1999">
          <cell r="B1999">
            <v>5316082</v>
          </cell>
          <cell r="C1999" t="str">
            <v>SCM</v>
          </cell>
          <cell r="D1999" t="str">
            <v>PASTORAL C.A.SIMPLE               PS/0.50/0.25/125</v>
          </cell>
        </row>
        <row r="2000">
          <cell r="B2000">
            <v>5316086</v>
          </cell>
          <cell r="C2000" t="str">
            <v>PAL</v>
          </cell>
          <cell r="D2000" t="str">
            <v>USAR MATRICULA NRO. &lt;5316361&gt; PASTORAL C.A.RECORT.SIMPLE        PS/0.50/0.25/155</v>
          </cell>
        </row>
        <row r="2001">
          <cell r="B2001">
            <v>5316086</v>
          </cell>
          <cell r="C2001" t="str">
            <v>PSA</v>
          </cell>
          <cell r="D2001" t="str">
            <v>USAR MATRICULA NRO. &lt;5316361&gt; PASTORAL C.A.RECORT.SIMPLE        PS/0.50/0.25/155</v>
          </cell>
        </row>
        <row r="2002">
          <cell r="B2002">
            <v>5316086</v>
          </cell>
          <cell r="C2002" t="str">
            <v>SCM</v>
          </cell>
          <cell r="D2002" t="str">
            <v>USAR MATRICULA NRO. &lt;5316361&gt; PASTORAL C.A.RECORT.SIMPLE        PS/0.50/0.25/155</v>
          </cell>
        </row>
        <row r="2003">
          <cell r="B2003">
            <v>5316132</v>
          </cell>
          <cell r="C2003" t="str">
            <v>PAL</v>
          </cell>
          <cell r="D2003" t="str">
            <v>PASTORAL C.A.SIMPLE PS/1.30/0.90/125MMD</v>
          </cell>
        </row>
        <row r="2004">
          <cell r="B2004">
            <v>5316132</v>
          </cell>
          <cell r="C2004" t="str">
            <v>PSA</v>
          </cell>
          <cell r="D2004" t="str">
            <v>PASTORAL C.A.SIMPLE PS/1.30/0.90/125MMD</v>
          </cell>
        </row>
        <row r="2005">
          <cell r="B2005">
            <v>5316132</v>
          </cell>
          <cell r="C2005" t="str">
            <v>SCM</v>
          </cell>
          <cell r="D2005" t="str">
            <v>PASTORAL C.A.SIMPLE PS/1.30/0.90/125MMD</v>
          </cell>
        </row>
        <row r="2006">
          <cell r="B2006">
            <v>5316218</v>
          </cell>
          <cell r="C2006" t="str">
            <v>PAL</v>
          </cell>
          <cell r="D2006" t="str">
            <v>PASTORAL C.A.SIMPLE PS/1.50/1.30/120MMD</v>
          </cell>
        </row>
        <row r="2007">
          <cell r="B2007">
            <v>5316218</v>
          </cell>
          <cell r="C2007" t="str">
            <v>PSA</v>
          </cell>
          <cell r="D2007" t="str">
            <v>PASTORAL C.A.SIMPLE PS/1.50/1.30/120MMD</v>
          </cell>
        </row>
        <row r="2008">
          <cell r="B2008">
            <v>5316218</v>
          </cell>
          <cell r="C2008" t="str">
            <v>SCM</v>
          </cell>
          <cell r="D2008" t="str">
            <v>PASTORAL C.A.SIMPLE PS/1.50/1.30/120MMD</v>
          </cell>
        </row>
        <row r="2009">
          <cell r="B2009">
            <v>5316268</v>
          </cell>
          <cell r="C2009" t="str">
            <v>PAL</v>
          </cell>
          <cell r="D2009" t="str">
            <v>PASTORAL C.A.SIMPLE PS/1.50/1.90/120MMD</v>
          </cell>
        </row>
        <row r="2010">
          <cell r="B2010">
            <v>5316268</v>
          </cell>
          <cell r="C2010" t="str">
            <v>PSA</v>
          </cell>
          <cell r="D2010" t="str">
            <v>PASTORAL C.A.SIMPLE PS/1.50/1.90/120MMD</v>
          </cell>
        </row>
        <row r="2011">
          <cell r="B2011">
            <v>5316268</v>
          </cell>
          <cell r="C2011" t="str">
            <v>SCM</v>
          </cell>
          <cell r="D2011" t="str">
            <v>PASTORAL C.A.SIMPLE PS/1.50/1.90/120MMD</v>
          </cell>
        </row>
        <row r="2012">
          <cell r="B2012">
            <v>5316278</v>
          </cell>
          <cell r="C2012" t="str">
            <v>PAL</v>
          </cell>
          <cell r="D2012" t="str">
            <v>PASTORAL C.A.SIMPLE CON PERILLA   PS/1.30/0.90/155</v>
          </cell>
        </row>
        <row r="2013">
          <cell r="B2013">
            <v>5316278</v>
          </cell>
          <cell r="C2013" t="str">
            <v>PSA</v>
          </cell>
          <cell r="D2013" t="str">
            <v>PASTORAL C.A.SIMPLE CON PERILLA   PS/1.30/0.90/155</v>
          </cell>
        </row>
        <row r="2014">
          <cell r="B2014">
            <v>5316278</v>
          </cell>
          <cell r="C2014" t="str">
            <v>SCM</v>
          </cell>
          <cell r="D2014" t="str">
            <v>PASTORAL C.A.SIMPLE CON PERILLA   PS/1.30/0.90/155</v>
          </cell>
        </row>
        <row r="2015">
          <cell r="B2015">
            <v>5316279</v>
          </cell>
          <cell r="C2015" t="str">
            <v>PAL</v>
          </cell>
          <cell r="D2015" t="str">
            <v>PASTORAL C.A.DOBLE  CON PERILLA   PD/1.30/0.90/155</v>
          </cell>
        </row>
        <row r="2016">
          <cell r="B2016">
            <v>5316279</v>
          </cell>
          <cell r="C2016" t="str">
            <v>PSA</v>
          </cell>
          <cell r="D2016" t="str">
            <v>PASTORAL C.A.DOBLE  CON PERILLA   PD/1.30/0.90/155</v>
          </cell>
        </row>
        <row r="2017">
          <cell r="B2017">
            <v>5316279</v>
          </cell>
          <cell r="C2017" t="str">
            <v>SCM</v>
          </cell>
          <cell r="D2017" t="str">
            <v>PASTORAL C.A.DOBLE  CON PERILLA   PD/1.30/0.90/155</v>
          </cell>
        </row>
        <row r="2018">
          <cell r="B2018">
            <v>5316280</v>
          </cell>
          <cell r="C2018" t="str">
            <v>PAL</v>
          </cell>
          <cell r="D2018" t="str">
            <v>PASTORAL C.A.TRIPLE CON PERILLA   PT/1.30/0.90/155</v>
          </cell>
        </row>
        <row r="2019">
          <cell r="B2019">
            <v>5316280</v>
          </cell>
          <cell r="C2019" t="str">
            <v>PSA</v>
          </cell>
          <cell r="D2019" t="str">
            <v>PASTORAL C.A.TRIPLE CON PERILLA   PT/1.30/0.90/155</v>
          </cell>
        </row>
        <row r="2020">
          <cell r="B2020">
            <v>5316280</v>
          </cell>
          <cell r="C2020" t="str">
            <v>SCM</v>
          </cell>
          <cell r="D2020" t="str">
            <v>PASTORAL C.A.TRIPLE CON PERILLA   PT/1.30/0.90/155</v>
          </cell>
        </row>
        <row r="2021">
          <cell r="B2021">
            <v>5316361</v>
          </cell>
          <cell r="C2021" t="str">
            <v>PAL</v>
          </cell>
          <cell r="D2021" t="str">
            <v>PASTORAL C.A.C. PS/0,50/0,25/155 C.PERILLA</v>
          </cell>
        </row>
        <row r="2022">
          <cell r="B2022">
            <v>5316361</v>
          </cell>
          <cell r="C2022" t="str">
            <v>PSA</v>
          </cell>
          <cell r="D2022" t="str">
            <v>PASTORAL C.A.C. PS/0,50/0,25/155 C.PERILLA</v>
          </cell>
        </row>
        <row r="2023">
          <cell r="B2023">
            <v>5316361</v>
          </cell>
          <cell r="C2023" t="str">
            <v>SCM</v>
          </cell>
          <cell r="D2023" t="str">
            <v>PASTORAL C.A.C. PS/0,50/0,25/155 C.PERILLA</v>
          </cell>
        </row>
        <row r="2024">
          <cell r="B2024">
            <v>5316362</v>
          </cell>
          <cell r="C2024" t="str">
            <v>PAL</v>
          </cell>
          <cell r="D2024" t="str">
            <v>PASTORAL RECORT.DOBLE  C/PERILLA  PD/0.50/0.25/155</v>
          </cell>
        </row>
        <row r="2025">
          <cell r="B2025">
            <v>5316362</v>
          </cell>
          <cell r="C2025" t="str">
            <v>PSA</v>
          </cell>
          <cell r="D2025" t="str">
            <v>PASTORAL RECORT.DOBLE  C/PERILLA  PD/0.50/0.25/155</v>
          </cell>
        </row>
        <row r="2026">
          <cell r="B2026">
            <v>5316362</v>
          </cell>
          <cell r="C2026" t="str">
            <v>SCM</v>
          </cell>
          <cell r="D2026" t="str">
            <v>PASTORAL RECORT.DOBLE  C/PERILLA  PD/0.50/0.25/155</v>
          </cell>
        </row>
        <row r="2027">
          <cell r="B2027">
            <v>5316363</v>
          </cell>
          <cell r="C2027" t="str">
            <v>PAL</v>
          </cell>
          <cell r="D2027" t="str">
            <v>PASTORAL RECORT.TRIPLE C.PERILLA  PT/0.50/0.25/155</v>
          </cell>
        </row>
        <row r="2028">
          <cell r="B2028">
            <v>5316363</v>
          </cell>
          <cell r="C2028" t="str">
            <v>PSA</v>
          </cell>
          <cell r="D2028" t="str">
            <v>PASTORAL RECORT.TRIPLE C.PERILLA  PT/0.50/0.25/155</v>
          </cell>
        </row>
        <row r="2029">
          <cell r="B2029">
            <v>5316363</v>
          </cell>
          <cell r="C2029" t="str">
            <v>SCM</v>
          </cell>
          <cell r="D2029" t="str">
            <v>PASTORAL RECORT.TRIPLE C.PERILLA  PT/0.50/0.25/155</v>
          </cell>
        </row>
        <row r="2030">
          <cell r="B2030">
            <v>5316364</v>
          </cell>
          <cell r="C2030" t="str">
            <v>PAL</v>
          </cell>
          <cell r="D2030" t="str">
            <v>PASTORAL RECORT.CUADRU.C/PERILLA  PC/0.50/0.25/155</v>
          </cell>
        </row>
        <row r="2031">
          <cell r="B2031">
            <v>5316364</v>
          </cell>
          <cell r="C2031" t="str">
            <v>PSA</v>
          </cell>
          <cell r="D2031" t="str">
            <v>PASTORAL RECORT.CUADRU.C/PERILLA  PC/0.50/0.25/155</v>
          </cell>
        </row>
        <row r="2032">
          <cell r="B2032">
            <v>5316364</v>
          </cell>
          <cell r="C2032" t="str">
            <v>SCM</v>
          </cell>
          <cell r="D2032" t="str">
            <v>PASTORAL RECORT.CUADRU.C/PERILLA  PC/0.50/0.25/155</v>
          </cell>
        </row>
        <row r="2033">
          <cell r="B2033">
            <v>5316382</v>
          </cell>
          <cell r="C2033" t="str">
            <v>PAL</v>
          </cell>
          <cell r="D2033" t="str">
            <v>PASTORAL C.A.RECORT.DOBLE         PD/0.50/0.25/125</v>
          </cell>
        </row>
        <row r="2034">
          <cell r="B2034">
            <v>5316382</v>
          </cell>
          <cell r="C2034" t="str">
            <v>PSA</v>
          </cell>
          <cell r="D2034" t="str">
            <v>PASTORAL C.A.RECORT.DOBLE         PD/0.50/0.25/125</v>
          </cell>
        </row>
        <row r="2035">
          <cell r="B2035">
            <v>5316382</v>
          </cell>
          <cell r="C2035" t="str">
            <v>SCM</v>
          </cell>
          <cell r="D2035" t="str">
            <v>PASTORAL C.A.RECORT.DOBLE         PD/0.50/0.25/125</v>
          </cell>
        </row>
        <row r="2036">
          <cell r="B2036">
            <v>5316442</v>
          </cell>
          <cell r="C2036" t="str">
            <v>PAL</v>
          </cell>
          <cell r="D2036" t="str">
            <v>PASTORAL C.A.DOBLE                PD/1.30/0.90/125</v>
          </cell>
        </row>
        <row r="2037">
          <cell r="B2037">
            <v>5316442</v>
          </cell>
          <cell r="C2037" t="str">
            <v>PSA</v>
          </cell>
          <cell r="D2037" t="str">
            <v>PASTORAL C.A.DOBLE                PD/1.30/0.90/125</v>
          </cell>
        </row>
        <row r="2038">
          <cell r="B2038">
            <v>5316442</v>
          </cell>
          <cell r="C2038" t="str">
            <v>SCM</v>
          </cell>
          <cell r="D2038" t="str">
            <v>PASTORAL C.A.DOBLE                PD/1.30/0.90/125</v>
          </cell>
        </row>
        <row r="2039">
          <cell r="B2039">
            <v>5316518</v>
          </cell>
          <cell r="C2039" t="str">
            <v>PAL</v>
          </cell>
          <cell r="D2039" t="str">
            <v>PASTORAL C.A.DOBLE                PD/1.50/1.30/120</v>
          </cell>
        </row>
        <row r="2040">
          <cell r="B2040">
            <v>5316518</v>
          </cell>
          <cell r="C2040" t="str">
            <v>PSA</v>
          </cell>
          <cell r="D2040" t="str">
            <v>PASTORAL C.A.DOBLE                PD/1.50/1.30/120</v>
          </cell>
        </row>
        <row r="2041">
          <cell r="B2041">
            <v>5316518</v>
          </cell>
          <cell r="C2041" t="str">
            <v>SCM</v>
          </cell>
          <cell r="D2041" t="str">
            <v>PASTORAL C.A.DOBLE                PD/1.50/1.30/120</v>
          </cell>
        </row>
        <row r="2042">
          <cell r="B2042">
            <v>5316632</v>
          </cell>
          <cell r="C2042" t="str">
            <v>PAL</v>
          </cell>
          <cell r="D2042" t="str">
            <v>PASTORAL C.A.TRIPLE               PT/0.50/0.25/125</v>
          </cell>
        </row>
        <row r="2043">
          <cell r="B2043">
            <v>5316632</v>
          </cell>
          <cell r="C2043" t="str">
            <v>PSA</v>
          </cell>
          <cell r="D2043" t="str">
            <v>PASTORAL C.A.TRIPLE               PT/0.50/0.25/125</v>
          </cell>
        </row>
        <row r="2044">
          <cell r="B2044">
            <v>5316632</v>
          </cell>
          <cell r="C2044" t="str">
            <v>SCM</v>
          </cell>
          <cell r="D2044" t="str">
            <v>PASTORAL C.A.TRIPLE               PT/0.50/0.25/125</v>
          </cell>
        </row>
        <row r="2045">
          <cell r="B2045">
            <v>5316662</v>
          </cell>
          <cell r="C2045" t="str">
            <v>PAL</v>
          </cell>
          <cell r="D2045" t="str">
            <v>PASTORAL C.A.TRIPLE               PT/1.30/0.90/125</v>
          </cell>
        </row>
        <row r="2046">
          <cell r="B2046">
            <v>5316662</v>
          </cell>
          <cell r="C2046" t="str">
            <v>PSA</v>
          </cell>
          <cell r="D2046" t="str">
            <v>PASTORAL C.A.TRIPLE               PT/1.30/0.90/125</v>
          </cell>
        </row>
        <row r="2047">
          <cell r="B2047">
            <v>5316662</v>
          </cell>
          <cell r="C2047" t="str">
            <v>SCM</v>
          </cell>
          <cell r="D2047" t="str">
            <v>PASTORAL C.A.TRIPLE               PT/1.30/0.90/125</v>
          </cell>
        </row>
        <row r="2048">
          <cell r="B2048">
            <v>5316702</v>
          </cell>
          <cell r="C2048" t="str">
            <v>PAL</v>
          </cell>
          <cell r="D2048" t="str">
            <v>PASTORAL PARABOLICO SIMPLE        PS/1.50/1.90/150</v>
          </cell>
        </row>
        <row r="2049">
          <cell r="B2049">
            <v>5316702</v>
          </cell>
          <cell r="C2049" t="str">
            <v>PSA</v>
          </cell>
          <cell r="D2049" t="str">
            <v>PASTORAL PARABOLICO SIMPLE        PS/1.50/1.90/150</v>
          </cell>
        </row>
        <row r="2050">
          <cell r="B2050">
            <v>5316702</v>
          </cell>
          <cell r="C2050" t="str">
            <v>SCM</v>
          </cell>
          <cell r="D2050" t="str">
            <v>PASTORAL PARABOLICO SIMPLE        PS/1.50/1.90/150</v>
          </cell>
        </row>
        <row r="2051">
          <cell r="B2051">
            <v>5316703</v>
          </cell>
          <cell r="C2051" t="str">
            <v>PAL</v>
          </cell>
          <cell r="D2051" t="str">
            <v>PASTORAL PARABOLICO DOBLE         PD/1.50/1.30/150</v>
          </cell>
        </row>
        <row r="2052">
          <cell r="B2052">
            <v>5316703</v>
          </cell>
          <cell r="C2052" t="str">
            <v>PSA</v>
          </cell>
          <cell r="D2052" t="str">
            <v>PASTORAL PARABOLICO DOBLE         PD/1.50/1.30/150</v>
          </cell>
        </row>
        <row r="2053">
          <cell r="B2053">
            <v>5316703</v>
          </cell>
          <cell r="C2053" t="str">
            <v>SCM</v>
          </cell>
          <cell r="D2053" t="str">
            <v>PASTORAL PARABOLICO DOBLE         PD/1.50/1.30/150</v>
          </cell>
        </row>
        <row r="2054">
          <cell r="B2054">
            <v>5316705</v>
          </cell>
          <cell r="C2054" t="str">
            <v>PAL</v>
          </cell>
          <cell r="D2054" t="str">
            <v>PASTORAL PARABOLICO SIMPLE  PS/1.50/1.30/150</v>
          </cell>
        </row>
        <row r="2055">
          <cell r="B2055">
            <v>5316705</v>
          </cell>
          <cell r="C2055" t="str">
            <v>PSA</v>
          </cell>
          <cell r="D2055" t="str">
            <v>PASTORAL PARABOLICO SIMPLE  PS/1.50/1.30/150</v>
          </cell>
        </row>
        <row r="2056">
          <cell r="B2056">
            <v>5316705</v>
          </cell>
          <cell r="C2056" t="str">
            <v>SCM</v>
          </cell>
          <cell r="D2056" t="str">
            <v>PASTORAL PARABOLICO SIMPLE  PS/1.50/1.30/150</v>
          </cell>
        </row>
        <row r="2057">
          <cell r="B2057">
            <v>5316732</v>
          </cell>
          <cell r="C2057" t="str">
            <v>PAL</v>
          </cell>
          <cell r="D2057" t="str">
            <v>PASTORAL C.A.RECORT.CUADRUPLE     PC/0.50/0.25/125</v>
          </cell>
        </row>
        <row r="2058">
          <cell r="B2058">
            <v>5316732</v>
          </cell>
          <cell r="C2058" t="str">
            <v>PSA</v>
          </cell>
          <cell r="D2058" t="str">
            <v>PASTORAL C.A.RECORT.CUADRUPLE     PC/0.50/0.25/125</v>
          </cell>
        </row>
        <row r="2059">
          <cell r="B2059">
            <v>5316732</v>
          </cell>
          <cell r="C2059" t="str">
            <v>SCM</v>
          </cell>
          <cell r="D2059" t="str">
            <v>PASTORAL C.A.RECORT.CUADRUPLE     PC/0.50/0.25/125</v>
          </cell>
        </row>
        <row r="2060">
          <cell r="B2060">
            <v>5321002</v>
          </cell>
          <cell r="C2060" t="str">
            <v>PAL</v>
          </cell>
          <cell r="D2060" t="str">
            <v>CRUCETA DE CONCRETO ARMADO DE 1200MM.         M.T.</v>
          </cell>
        </row>
        <row r="2061">
          <cell r="B2061">
            <v>5321002</v>
          </cell>
          <cell r="C2061" t="str">
            <v>PSA</v>
          </cell>
          <cell r="D2061" t="str">
            <v>CRUCETA DE CONCRETO ARMADO DE 1200MM.         M.T.</v>
          </cell>
        </row>
        <row r="2062">
          <cell r="B2062">
            <v>5321002</v>
          </cell>
          <cell r="C2062" t="str">
            <v>SCM</v>
          </cell>
          <cell r="D2062" t="str">
            <v>CRUCETA DE CONCRETO ARMADO DE 1200MM.         M.T.</v>
          </cell>
        </row>
        <row r="2063">
          <cell r="B2063">
            <v>5321009</v>
          </cell>
          <cell r="C2063" t="str">
            <v>PAL</v>
          </cell>
          <cell r="D2063" t="str">
            <v>CRUCETA DE CONCRETO ARMADO DE 1900MM.         M.T.</v>
          </cell>
        </row>
        <row r="2064">
          <cell r="B2064">
            <v>5321009</v>
          </cell>
          <cell r="C2064" t="str">
            <v>PSA</v>
          </cell>
          <cell r="D2064" t="str">
            <v>CRUCETA DE CONCRETO ARMADO DE 1900MM.         M.T.</v>
          </cell>
        </row>
        <row r="2065">
          <cell r="B2065">
            <v>5321009</v>
          </cell>
          <cell r="C2065" t="str">
            <v>SCM</v>
          </cell>
          <cell r="D2065" t="str">
            <v>CRUCETA DE CONCRETO ARMADO DE 1900MM.         M.T.</v>
          </cell>
        </row>
        <row r="2066">
          <cell r="B2066">
            <v>5321212</v>
          </cell>
          <cell r="C2066" t="str">
            <v>PAL</v>
          </cell>
          <cell r="D2066" t="str">
            <v>CRUCETA C.A.V. ZA/1,50/0,90/250/145 P.MONTAJE EN POSTE</v>
          </cell>
        </row>
        <row r="2067">
          <cell r="B2067">
            <v>5321212</v>
          </cell>
          <cell r="C2067" t="str">
            <v>PSA</v>
          </cell>
          <cell r="D2067" t="str">
            <v>CRUCETA C.A.V. ZA/1,50/0,90/250/145 P.MONTAJE EN POSTE</v>
          </cell>
        </row>
        <row r="2068">
          <cell r="B2068">
            <v>5321212</v>
          </cell>
          <cell r="C2068" t="str">
            <v>SCM</v>
          </cell>
          <cell r="D2068" t="str">
            <v>CRUCETA C.A.V. ZA/1,50/0,90/250/145 P.MONTAJE EN POSTE</v>
          </cell>
        </row>
        <row r="2069">
          <cell r="B2069">
            <v>5321236</v>
          </cell>
          <cell r="C2069" t="str">
            <v>IPT</v>
          </cell>
          <cell r="D2069" t="str">
            <v>CRUCETA C.A.V. ZA/1,50/0,90/250/205 P.MONTAJE EN POSTE</v>
          </cell>
        </row>
        <row r="2070">
          <cell r="B2070">
            <v>5321236</v>
          </cell>
          <cell r="C2070" t="str">
            <v>PAL</v>
          </cell>
          <cell r="D2070" t="str">
            <v>CRUCETA C.A.V. ZA/1,50/0,90/250/205 P.MONTAJE EN POSTE</v>
          </cell>
        </row>
        <row r="2071">
          <cell r="B2071">
            <v>5321236</v>
          </cell>
          <cell r="C2071" t="str">
            <v>PSA</v>
          </cell>
          <cell r="D2071" t="str">
            <v>CRUCETA C.A.V. ZA/1,50/0,90/250/205 P.MONTAJE EN POSTE</v>
          </cell>
        </row>
        <row r="2072">
          <cell r="B2072">
            <v>5321236</v>
          </cell>
          <cell r="C2072" t="str">
            <v>SCM</v>
          </cell>
          <cell r="D2072" t="str">
            <v>CRUCETA C.A.V. ZA/1,50/0,90/250/205 P.MONTAJE EN POSTE</v>
          </cell>
        </row>
        <row r="2073">
          <cell r="B2073">
            <v>5321248</v>
          </cell>
          <cell r="C2073" t="str">
            <v>IPT</v>
          </cell>
          <cell r="D2073" t="str">
            <v>CRUCETA C.A.V. ZA/1,50/0,90/250/235 P.MONTAJE EN POSTE</v>
          </cell>
        </row>
        <row r="2074">
          <cell r="B2074">
            <v>5321248</v>
          </cell>
          <cell r="C2074" t="str">
            <v>PAL</v>
          </cell>
          <cell r="D2074" t="str">
            <v>CRUCETA C.A.V. ZA/1,50/0,90/250/235 P.MONTAJE EN POSTE</v>
          </cell>
        </row>
        <row r="2075">
          <cell r="B2075">
            <v>5321248</v>
          </cell>
          <cell r="C2075" t="str">
            <v>PSA</v>
          </cell>
          <cell r="D2075" t="str">
            <v>CRUCETA C.A.V. ZA/1,50/0,90/250/235 P.MONTAJE EN POSTE</v>
          </cell>
        </row>
        <row r="2076">
          <cell r="B2076">
            <v>5321248</v>
          </cell>
          <cell r="C2076" t="str">
            <v>SCM</v>
          </cell>
          <cell r="D2076" t="str">
            <v>CRUCETA C.A.V. ZA/1,50/0,90/250/235 P.MONTAJE EN POSTE</v>
          </cell>
        </row>
        <row r="2077">
          <cell r="B2077">
            <v>5321260</v>
          </cell>
          <cell r="C2077" t="str">
            <v>IPT</v>
          </cell>
          <cell r="D2077" t="str">
            <v>CRUCETA C.A.V. ZA/1,50/0,90/250/265 P.MONTAJE EN POSTE</v>
          </cell>
        </row>
        <row r="2078">
          <cell r="B2078">
            <v>5321260</v>
          </cell>
          <cell r="C2078" t="str">
            <v>PAL</v>
          </cell>
          <cell r="D2078" t="str">
            <v>CRUCETA C.A.V. ZA/1,50/0,90/250/265 P.MONTAJE EN POSTE</v>
          </cell>
        </row>
        <row r="2079">
          <cell r="B2079">
            <v>5321260</v>
          </cell>
          <cell r="C2079" t="str">
            <v>PSA</v>
          </cell>
          <cell r="D2079" t="str">
            <v>CRUCETA C.A.V. ZA/1,50/0,90/250/265 P.MONTAJE EN POSTE</v>
          </cell>
        </row>
        <row r="2080">
          <cell r="B2080">
            <v>5321260</v>
          </cell>
          <cell r="C2080" t="str">
            <v>SCM</v>
          </cell>
          <cell r="D2080" t="str">
            <v>CRUCETA C.A.V. ZA/1,50/0,90/250/265 P.MONTAJE EN POSTE</v>
          </cell>
        </row>
        <row r="2081">
          <cell r="B2081">
            <v>5321264</v>
          </cell>
          <cell r="C2081" t="str">
            <v>PAL</v>
          </cell>
          <cell r="D2081" t="str">
            <v>CRUCETA C.A.V. ZA/1,80/1,20/250/175 P.MONTAJE EN POSTE</v>
          </cell>
        </row>
        <row r="2082">
          <cell r="B2082">
            <v>5321264</v>
          </cell>
          <cell r="C2082" t="str">
            <v>PSA</v>
          </cell>
          <cell r="D2082" t="str">
            <v>CRUCETA C.A.V. ZA/1,80/1,20/250/175 P.MONTAJE EN POSTE</v>
          </cell>
        </row>
        <row r="2083">
          <cell r="B2083">
            <v>5321264</v>
          </cell>
          <cell r="C2083" t="str">
            <v>SCM</v>
          </cell>
          <cell r="D2083" t="str">
            <v>CRUCETA C.A.V. ZA/1,80/1,20/250/175 P.MONTAJE EN POSTE</v>
          </cell>
        </row>
        <row r="2084">
          <cell r="B2084">
            <v>5321266</v>
          </cell>
          <cell r="C2084" t="str">
            <v>PAL</v>
          </cell>
          <cell r="D2084" t="str">
            <v>CRUCETA C.A.V. ZA/1,80/1,20/250/205 P.MONTAJE EN POSTE</v>
          </cell>
        </row>
        <row r="2085">
          <cell r="B2085">
            <v>5321266</v>
          </cell>
          <cell r="C2085" t="str">
            <v>PSA</v>
          </cell>
          <cell r="D2085" t="str">
            <v>CRUCETA C.A.V. ZA/1,80/1,20/250/205 P.MONTAJE EN POSTE</v>
          </cell>
        </row>
        <row r="2086">
          <cell r="B2086">
            <v>5321266</v>
          </cell>
          <cell r="C2086" t="str">
            <v>SCM</v>
          </cell>
          <cell r="D2086" t="str">
            <v>CRUCETA C.A.V. ZA/1,80/1,20/250/205 P.MONTAJE EN POSTE</v>
          </cell>
        </row>
        <row r="2087">
          <cell r="B2087">
            <v>5321270</v>
          </cell>
          <cell r="C2087" t="str">
            <v>PAL</v>
          </cell>
          <cell r="D2087" t="str">
            <v>CRUCETA C.A.V. ZA/1,80/1,20/250/265 P.MONTAJE EN POSTE</v>
          </cell>
        </row>
        <row r="2088">
          <cell r="B2088">
            <v>5321270</v>
          </cell>
          <cell r="C2088" t="str">
            <v>PSA</v>
          </cell>
          <cell r="D2088" t="str">
            <v>CRUCETA C.A.V. ZA/1,80/1,20/250/265 P.MONTAJE EN POSTE</v>
          </cell>
        </row>
        <row r="2089">
          <cell r="B2089">
            <v>5321270</v>
          </cell>
          <cell r="C2089" t="str">
            <v>SCM</v>
          </cell>
          <cell r="D2089" t="str">
            <v>CRUCETA C.A.V. ZA/1,80/1,20/250/265 P.MONTAJE EN POSTE</v>
          </cell>
        </row>
        <row r="2090">
          <cell r="B2090">
            <v>5322112</v>
          </cell>
          <cell r="C2090" t="str">
            <v>PAL</v>
          </cell>
          <cell r="D2090" t="str">
            <v>MENSULA C.A.V. 0,60/250/145 P.MONTAJE EN POSTE</v>
          </cell>
        </row>
        <row r="2091">
          <cell r="B2091">
            <v>5322112</v>
          </cell>
          <cell r="C2091" t="str">
            <v>PSA</v>
          </cell>
          <cell r="D2091" t="str">
            <v>MENSULA C.A.V. 0,60/250/145 P.MONTAJE EN POSTE</v>
          </cell>
        </row>
        <row r="2092">
          <cell r="B2092">
            <v>5322112</v>
          </cell>
          <cell r="C2092" t="str">
            <v>SCM</v>
          </cell>
          <cell r="D2092" t="str">
            <v>MENSULA C.A.V. 0,60/250/145 P.MONTAJE EN POSTE</v>
          </cell>
        </row>
        <row r="2093">
          <cell r="B2093">
            <v>5322142</v>
          </cell>
          <cell r="C2093" t="str">
            <v>IPT</v>
          </cell>
          <cell r="D2093" t="str">
            <v>MENSULA C.A.V. 0,60/250/215 P.MONTAJE EN POSTE</v>
          </cell>
        </row>
        <row r="2094">
          <cell r="B2094">
            <v>5322142</v>
          </cell>
          <cell r="C2094" t="str">
            <v>PAL</v>
          </cell>
          <cell r="D2094" t="str">
            <v>MENSULA C.A.V. 0,60/250/215 P.MONTAJE EN POSTE</v>
          </cell>
        </row>
        <row r="2095">
          <cell r="B2095">
            <v>5322142</v>
          </cell>
          <cell r="C2095" t="str">
            <v>PSA</v>
          </cell>
          <cell r="D2095" t="str">
            <v>MENSULA C.A.V. 0,60/250/215 P.MONTAJE EN POSTE</v>
          </cell>
        </row>
        <row r="2096">
          <cell r="B2096">
            <v>5322142</v>
          </cell>
          <cell r="C2096" t="str">
            <v>SCM</v>
          </cell>
          <cell r="D2096" t="str">
            <v>MENSULA C.A.V. 0,60/250/215 P.MONTAJE EN POSTE</v>
          </cell>
        </row>
        <row r="2097">
          <cell r="B2097">
            <v>5322154</v>
          </cell>
          <cell r="C2097" t="str">
            <v>IPT</v>
          </cell>
          <cell r="D2097" t="str">
            <v>MENSULA C.A.V. 0,60/250/245 P.MONTAJE EN POSTE</v>
          </cell>
        </row>
        <row r="2098">
          <cell r="B2098">
            <v>5322154</v>
          </cell>
          <cell r="C2098" t="str">
            <v>PAL</v>
          </cell>
          <cell r="D2098" t="str">
            <v>MENSULA C.A.V. 0,60/250/245 P.MONTAJE EN POSTE</v>
          </cell>
        </row>
        <row r="2099">
          <cell r="B2099">
            <v>5322154</v>
          </cell>
          <cell r="C2099" t="str">
            <v>PSA</v>
          </cell>
          <cell r="D2099" t="str">
            <v>MENSULA C.A.V. 0,60/250/245 P.MONTAJE EN POSTE</v>
          </cell>
        </row>
        <row r="2100">
          <cell r="B2100">
            <v>5322154</v>
          </cell>
          <cell r="C2100" t="str">
            <v>SCM</v>
          </cell>
          <cell r="D2100" t="str">
            <v>MENSULA C.A.V. 0,60/250/245 P.MONTAJE EN POSTE</v>
          </cell>
        </row>
        <row r="2101">
          <cell r="B2101">
            <v>5322166</v>
          </cell>
          <cell r="C2101" t="str">
            <v>PAL</v>
          </cell>
          <cell r="D2101" t="str">
            <v>MENSULA C.A.V. 0,60/250/275 P.MONTAJE EN POSTE</v>
          </cell>
        </row>
        <row r="2102">
          <cell r="B2102">
            <v>5322166</v>
          </cell>
          <cell r="C2102" t="str">
            <v>PSA</v>
          </cell>
          <cell r="D2102" t="str">
            <v>MENSULA C.A.V. 0,60/250/275 P.MONTAJE EN POSTE</v>
          </cell>
        </row>
        <row r="2103">
          <cell r="B2103">
            <v>5322166</v>
          </cell>
          <cell r="C2103" t="str">
            <v>SCM</v>
          </cell>
          <cell r="D2103" t="str">
            <v>MENSULA C.A.V. 0,60/250/275 P.MONTAJE EN POSTE</v>
          </cell>
        </row>
        <row r="2104">
          <cell r="B2104">
            <v>5322200</v>
          </cell>
          <cell r="C2104" t="str">
            <v>PAL</v>
          </cell>
          <cell r="D2104" t="str">
            <v>MENSULA C.A.V. 0,75/250/185 P.MONTAJE EN POSTE</v>
          </cell>
        </row>
        <row r="2105">
          <cell r="B2105">
            <v>5322200</v>
          </cell>
          <cell r="C2105" t="str">
            <v>PSA</v>
          </cell>
          <cell r="D2105" t="str">
            <v>MENSULA C.A.V. 0,75/250/185 P.MONTAJE EN POSTE</v>
          </cell>
        </row>
        <row r="2106">
          <cell r="B2106">
            <v>5322200</v>
          </cell>
          <cell r="C2106" t="str">
            <v>SCM</v>
          </cell>
          <cell r="D2106" t="str">
            <v>MENSULA C.A.V. 0,75/250/185 P.MONTAJE EN POSTE</v>
          </cell>
        </row>
        <row r="2107">
          <cell r="B2107">
            <v>5322202</v>
          </cell>
          <cell r="C2107" t="str">
            <v>PAL</v>
          </cell>
          <cell r="D2107" t="str">
            <v>MENSULA C.A.V. 0,75/250/215 P.MONTAJE EN POSTE</v>
          </cell>
        </row>
        <row r="2108">
          <cell r="B2108">
            <v>5322202</v>
          </cell>
          <cell r="C2108" t="str">
            <v>PSA</v>
          </cell>
          <cell r="D2108" t="str">
            <v>MENSULA C.A.V. 0,75/250/215 P.MONTAJE EN POSTE</v>
          </cell>
        </row>
        <row r="2109">
          <cell r="B2109">
            <v>5322202</v>
          </cell>
          <cell r="C2109" t="str">
            <v>SCM</v>
          </cell>
          <cell r="D2109" t="str">
            <v>MENSULA C.A.V. 0,75/250/215 P.MONTAJE EN POSTE</v>
          </cell>
        </row>
        <row r="2110">
          <cell r="B2110">
            <v>5322204</v>
          </cell>
          <cell r="C2110" t="str">
            <v>PAL</v>
          </cell>
          <cell r="D2110" t="str">
            <v>MENSULA C.A.V. 0,75/250/245 P.MONTAJE EN POSTE</v>
          </cell>
        </row>
        <row r="2111">
          <cell r="B2111">
            <v>5322204</v>
          </cell>
          <cell r="C2111" t="str">
            <v>PSA</v>
          </cell>
          <cell r="D2111" t="str">
            <v>MENSULA C.A.V. 0,75/250/245 P.MONTAJE EN POSTE</v>
          </cell>
        </row>
        <row r="2112">
          <cell r="B2112">
            <v>5322204</v>
          </cell>
          <cell r="C2112" t="str">
            <v>SCM</v>
          </cell>
          <cell r="D2112" t="str">
            <v>MENSULA C.A.V. 0,75/250/245 P.MONTAJE EN POSTE</v>
          </cell>
        </row>
        <row r="2113">
          <cell r="B2113">
            <v>5322206</v>
          </cell>
          <cell r="C2113" t="str">
            <v>PAL</v>
          </cell>
          <cell r="D2113" t="str">
            <v>MENSULA C.A.V. 0,75/250/275 P.MONTAJE EN POSTE</v>
          </cell>
        </row>
        <row r="2114">
          <cell r="B2114">
            <v>5322206</v>
          </cell>
          <cell r="C2114" t="str">
            <v>PSA</v>
          </cell>
          <cell r="D2114" t="str">
            <v>MENSULA C.A.V. 0,75/250/275 P.MONTAJE EN POSTE</v>
          </cell>
        </row>
        <row r="2115">
          <cell r="B2115">
            <v>5322206</v>
          </cell>
          <cell r="C2115" t="str">
            <v>SCM</v>
          </cell>
          <cell r="D2115" t="str">
            <v>MENSULA C.A.V. 0,75/250/275 P.MONTAJE EN POSTE</v>
          </cell>
        </row>
        <row r="2116">
          <cell r="B2116">
            <v>5322630</v>
          </cell>
          <cell r="C2116" t="str">
            <v>IPT</v>
          </cell>
          <cell r="D2116" t="str">
            <v>MENSULA C.A. M/1.00/250 DE 185MMD MONTAJE POSTE</v>
          </cell>
        </row>
        <row r="2117">
          <cell r="B2117">
            <v>5322630</v>
          </cell>
          <cell r="C2117" t="str">
            <v>PAL</v>
          </cell>
          <cell r="D2117" t="str">
            <v>MENSULA C.A. M/1.00/250 DE 185MMD MONTAJE POSTE</v>
          </cell>
        </row>
        <row r="2118">
          <cell r="B2118">
            <v>5322630</v>
          </cell>
          <cell r="C2118" t="str">
            <v>PSA</v>
          </cell>
          <cell r="D2118" t="str">
            <v>MENSULA C.A. M/1.00/250 DE 185MMD MONTAJE POSTE</v>
          </cell>
        </row>
        <row r="2119">
          <cell r="B2119">
            <v>5322630</v>
          </cell>
          <cell r="C2119" t="str">
            <v>SCM</v>
          </cell>
          <cell r="D2119" t="str">
            <v>MENSULA C.A. M/1.00/250 DE 185MMD MONTAJE POSTE</v>
          </cell>
        </row>
        <row r="2120">
          <cell r="B2120">
            <v>5322632</v>
          </cell>
          <cell r="C2120" t="str">
            <v>PAL</v>
          </cell>
          <cell r="D2120" t="str">
            <v>USAR MATRICULA NRO. &lt;5322630&gt; MENSULA C.A.M/1.00/250 185MMD MONT.POSTE 22.9KV</v>
          </cell>
        </row>
        <row r="2121">
          <cell r="B2121">
            <v>5322632</v>
          </cell>
          <cell r="C2121" t="str">
            <v>PSA</v>
          </cell>
          <cell r="D2121" t="str">
            <v>USAR MATRICULA NRO. &lt;5322630&gt; MENSULA C.A.M/1.00/250 185MMD MONT.POSTE 22.9KV</v>
          </cell>
        </row>
        <row r="2122">
          <cell r="B2122">
            <v>5322632</v>
          </cell>
          <cell r="C2122" t="str">
            <v>SCM</v>
          </cell>
          <cell r="D2122" t="str">
            <v>USAR MATRICULA NRO. &lt;5322630&gt; MENSULA C.A.M/1.00/250 185MMD MONT.POSTE 22.9KV</v>
          </cell>
        </row>
        <row r="2123">
          <cell r="B2123">
            <v>5322634</v>
          </cell>
          <cell r="C2123" t="str">
            <v>PAL</v>
          </cell>
          <cell r="D2123" t="str">
            <v>USAR MATRICULA NRO. &lt;5322642&gt; MENSULA C.A. M/1.00/250 215 MMD MONT.POSTE 22.9KV</v>
          </cell>
        </row>
        <row r="2124">
          <cell r="B2124">
            <v>5322634</v>
          </cell>
          <cell r="C2124" t="str">
            <v>PSA</v>
          </cell>
          <cell r="D2124" t="str">
            <v>USAR MATRICULA NRO. &lt;5322642&gt; MENSULA C.A. M/1.00/250 215 MMD MONT.POSTE 22.9KV</v>
          </cell>
        </row>
        <row r="2125">
          <cell r="B2125">
            <v>5322634</v>
          </cell>
          <cell r="C2125" t="str">
            <v>SCM</v>
          </cell>
          <cell r="D2125" t="str">
            <v>USAR MATRICULA NRO. &lt;5322642&gt; MENSULA C.A. M/1.00/250 215 MMD MONT.POSTE 22.9KV</v>
          </cell>
        </row>
        <row r="2126">
          <cell r="B2126">
            <v>5322636</v>
          </cell>
          <cell r="C2126" t="str">
            <v>PAL</v>
          </cell>
          <cell r="D2126" t="str">
            <v>USAR MATRICULA NRO. &lt;5322654&gt; MENSULA C.A. M/1.00/250 245 MMD MONT.POSTE 22.9 KV</v>
          </cell>
        </row>
        <row r="2127">
          <cell r="B2127">
            <v>5322636</v>
          </cell>
          <cell r="C2127" t="str">
            <v>PSA</v>
          </cell>
          <cell r="D2127" t="str">
            <v>USAR MATRICULA NRO. &lt;5322654&gt; MENSULA C.A. M/1.00/250 245 MMD MONT.POSTE 22.9 KV</v>
          </cell>
        </row>
        <row r="2128">
          <cell r="B2128">
            <v>5322636</v>
          </cell>
          <cell r="C2128" t="str">
            <v>SCM</v>
          </cell>
          <cell r="D2128" t="str">
            <v>USAR MATRICULA NRO. &lt;5322654&gt; MENSULA C.A. M/1.00/250 245 MMD MONT.POSTE 22.9 KV</v>
          </cell>
        </row>
        <row r="2129">
          <cell r="B2129">
            <v>5322638</v>
          </cell>
          <cell r="C2129" t="str">
            <v>PAL</v>
          </cell>
          <cell r="D2129" t="str">
            <v>USAR MATRICULA NRO. &lt;5322666&gt; MENSULA C.A. M/1.00/250 275MM D MONT.POSTE 22.9 KV</v>
          </cell>
        </row>
        <row r="2130">
          <cell r="B2130">
            <v>5322638</v>
          </cell>
          <cell r="C2130" t="str">
            <v>PSA</v>
          </cell>
          <cell r="D2130" t="str">
            <v>USAR MATRICULA NRO. &lt;5322666&gt; MENSULA C.A. M/1.00/250 275MM D MONT.POSTE 22.9 KV</v>
          </cell>
        </row>
        <row r="2131">
          <cell r="B2131">
            <v>5322638</v>
          </cell>
          <cell r="C2131" t="str">
            <v>SCM</v>
          </cell>
          <cell r="D2131" t="str">
            <v>USAR MATRICULA NRO. &lt;5322666&gt; MENSULA C.A. M/1.00/250 275MM D MONT.POSTE 22.9 KV</v>
          </cell>
        </row>
        <row r="2132">
          <cell r="B2132">
            <v>5322642</v>
          </cell>
          <cell r="C2132" t="str">
            <v>IPT</v>
          </cell>
          <cell r="D2132" t="str">
            <v>MENSULA C.A.V. 1,00/250/215 P.MONTAJE EN POSTE</v>
          </cell>
        </row>
        <row r="2133">
          <cell r="B2133">
            <v>5322642</v>
          </cell>
          <cell r="C2133" t="str">
            <v>PAL</v>
          </cell>
          <cell r="D2133" t="str">
            <v>MENSULA C.A.V. 1,00/250/215 P.MONTAJE EN POSTE</v>
          </cell>
        </row>
        <row r="2134">
          <cell r="B2134">
            <v>5322642</v>
          </cell>
          <cell r="C2134" t="str">
            <v>PSA</v>
          </cell>
          <cell r="D2134" t="str">
            <v>MENSULA C.A.V. 1,00/250/215 P.MONTAJE EN POSTE</v>
          </cell>
        </row>
        <row r="2135">
          <cell r="B2135">
            <v>5322642</v>
          </cell>
          <cell r="C2135" t="str">
            <v>SCM</v>
          </cell>
          <cell r="D2135" t="str">
            <v>MENSULA C.A.V. 1,00/250/215 P.MONTAJE EN POSTE</v>
          </cell>
        </row>
        <row r="2136">
          <cell r="B2136">
            <v>5322654</v>
          </cell>
          <cell r="C2136" t="str">
            <v>IPT</v>
          </cell>
          <cell r="D2136" t="str">
            <v>MENSULA C.A.V. 1,00/250/245 P.MONTAJE EN POSTE</v>
          </cell>
        </row>
        <row r="2137">
          <cell r="B2137">
            <v>5322654</v>
          </cell>
          <cell r="C2137" t="str">
            <v>PAL</v>
          </cell>
          <cell r="D2137" t="str">
            <v>MENSULA C.A.V. 1,00/250/245 P.MONTAJE EN POSTE</v>
          </cell>
        </row>
        <row r="2138">
          <cell r="B2138">
            <v>5322654</v>
          </cell>
          <cell r="C2138" t="str">
            <v>PSA</v>
          </cell>
          <cell r="D2138" t="str">
            <v>MENSULA C.A.V. 1,00/250/245 P.MONTAJE EN POSTE</v>
          </cell>
        </row>
        <row r="2139">
          <cell r="B2139">
            <v>5322654</v>
          </cell>
          <cell r="C2139" t="str">
            <v>SCM</v>
          </cell>
          <cell r="D2139" t="str">
            <v>MENSULA C.A.V. 1,00/250/245 P.MONTAJE EN POSTE</v>
          </cell>
        </row>
        <row r="2140">
          <cell r="B2140">
            <v>5322666</v>
          </cell>
          <cell r="C2140" t="str">
            <v>IPT</v>
          </cell>
          <cell r="D2140" t="str">
            <v>MENSULA C.A.V. 1,00/250/275 P.MONTAJE EN POSTE</v>
          </cell>
        </row>
        <row r="2141">
          <cell r="B2141">
            <v>5322666</v>
          </cell>
          <cell r="C2141" t="str">
            <v>PAL</v>
          </cell>
          <cell r="D2141" t="str">
            <v>MENSULA C.A.V. 1,00/250/275 P.MONTAJE EN POSTE</v>
          </cell>
        </row>
        <row r="2142">
          <cell r="B2142">
            <v>5322666</v>
          </cell>
          <cell r="C2142" t="str">
            <v>PSA</v>
          </cell>
          <cell r="D2142" t="str">
            <v>MENSULA C.A.V. 1,00/250/275 P.MONTAJE EN POSTE</v>
          </cell>
        </row>
        <row r="2143">
          <cell r="B2143">
            <v>5322666</v>
          </cell>
          <cell r="C2143" t="str">
            <v>SCM</v>
          </cell>
          <cell r="D2143" t="str">
            <v>MENSULA C.A.V. 1,00/250/275 P.MONTAJE EN POSTE</v>
          </cell>
        </row>
        <row r="2144">
          <cell r="B2144">
            <v>5322672</v>
          </cell>
          <cell r="C2144" t="str">
            <v>PAL</v>
          </cell>
          <cell r="D2144" t="str">
            <v>MENSULA C.A.V. 1,00/250/305 P.MONTAJE EN POSTE</v>
          </cell>
        </row>
        <row r="2145">
          <cell r="B2145">
            <v>5322672</v>
          </cell>
          <cell r="C2145" t="str">
            <v>PSA</v>
          </cell>
          <cell r="D2145" t="str">
            <v>MENSULA C.A.V. 1,00/250/305 P.MONTAJE EN POSTE</v>
          </cell>
        </row>
        <row r="2146">
          <cell r="B2146">
            <v>5322672</v>
          </cell>
          <cell r="C2146" t="str">
            <v>SCM</v>
          </cell>
          <cell r="D2146" t="str">
            <v>MENSULA C.A.V. 1,00/250/305 P.MONTAJE EN POSTE</v>
          </cell>
        </row>
        <row r="2147">
          <cell r="B2147">
            <v>5322684</v>
          </cell>
          <cell r="C2147" t="str">
            <v>PAL</v>
          </cell>
          <cell r="D2147" t="str">
            <v>MENSULA C.A.V. 1,00/250/335 P.MONTAJE EN POSTE</v>
          </cell>
        </row>
        <row r="2148">
          <cell r="B2148">
            <v>5322684</v>
          </cell>
          <cell r="C2148" t="str">
            <v>PSA</v>
          </cell>
          <cell r="D2148" t="str">
            <v>MENSULA C.A.V. 1,00/250/335 P.MONTAJE EN POSTE</v>
          </cell>
        </row>
        <row r="2149">
          <cell r="B2149">
            <v>5322684</v>
          </cell>
          <cell r="C2149" t="str">
            <v>SCM</v>
          </cell>
          <cell r="D2149" t="str">
            <v>MENSULA C.A.V. 1,00/250/335 P.MONTAJE EN POSTE</v>
          </cell>
        </row>
        <row r="2150">
          <cell r="B2150">
            <v>5323566</v>
          </cell>
          <cell r="C2150" t="str">
            <v>PAL</v>
          </cell>
          <cell r="D2150" t="str">
            <v>PALOMILLA DOBLE C.A.P. 2200MM / 280MM P.MONTAJE PARA S.A.B.</v>
          </cell>
        </row>
        <row r="2151">
          <cell r="B2151">
            <v>5323566</v>
          </cell>
          <cell r="C2151" t="str">
            <v>PSA</v>
          </cell>
          <cell r="D2151" t="str">
            <v>PALOMILLA DOBLE C.A.P. 2200MM / 280MM P.MONTAJE PARA S.A.B.</v>
          </cell>
        </row>
        <row r="2152">
          <cell r="B2152">
            <v>5323566</v>
          </cell>
          <cell r="C2152" t="str">
            <v>SCM</v>
          </cell>
          <cell r="D2152" t="str">
            <v>PALOMILLA DOBLE C.A.P. 2200MM / 280MM P.MONTAJE PARA S.A.B.</v>
          </cell>
        </row>
        <row r="2153">
          <cell r="B2153">
            <v>5323588</v>
          </cell>
          <cell r="C2153" t="str">
            <v>PAL</v>
          </cell>
          <cell r="D2153" t="str">
            <v>PALOMILLA DOBLE C.A.P. 2300MM / 290MM P.MONTAJE PARA S.A.B.</v>
          </cell>
        </row>
        <row r="2154">
          <cell r="B2154">
            <v>5323588</v>
          </cell>
          <cell r="C2154" t="str">
            <v>PSA</v>
          </cell>
          <cell r="D2154" t="str">
            <v>PALOMILLA DOBLE C.A.P. 2300MM / 290MM P.MONTAJE PARA S.A.B.</v>
          </cell>
        </row>
        <row r="2155">
          <cell r="B2155">
            <v>5323588</v>
          </cell>
          <cell r="C2155" t="str">
            <v>SCM</v>
          </cell>
          <cell r="D2155" t="str">
            <v>PALOMILLA DOBLE C.A.P. 2300MM / 290MM P.MONTAJE PARA S.A.B.</v>
          </cell>
        </row>
        <row r="2156">
          <cell r="B2156">
            <v>5324122</v>
          </cell>
          <cell r="C2156" t="str">
            <v>PAL</v>
          </cell>
          <cell r="D2156" t="str">
            <v>CRUCETA DE C.A.Z/1.20/300-160MMD. MONTAJE A POSTE.</v>
          </cell>
        </row>
        <row r="2157">
          <cell r="B2157">
            <v>5324122</v>
          </cell>
          <cell r="C2157" t="str">
            <v>PSA</v>
          </cell>
          <cell r="D2157" t="str">
            <v>CRUCETA DE C.A.Z/1.20/300-160MMD. MONTAJE A POSTE.</v>
          </cell>
        </row>
        <row r="2158">
          <cell r="B2158">
            <v>5324122</v>
          </cell>
          <cell r="C2158" t="str">
            <v>SCM</v>
          </cell>
          <cell r="D2158" t="str">
            <v>CRUCETA DE C.A.Z/1.20/300-160MMD. MONTAJE A POSTE.</v>
          </cell>
        </row>
        <row r="2159">
          <cell r="B2159">
            <v>5324130</v>
          </cell>
          <cell r="C2159" t="str">
            <v>IPT</v>
          </cell>
          <cell r="D2159" t="str">
            <v>CRUCETA DE C.A.Z/1.20/300-185MMD. MONTAJE A POSTE.</v>
          </cell>
        </row>
        <row r="2160">
          <cell r="B2160">
            <v>5324130</v>
          </cell>
          <cell r="C2160" t="str">
            <v>PAL</v>
          </cell>
          <cell r="D2160" t="str">
            <v>CRUCETA DE C.A.Z/1.20/300-185MMD. MONTAJE A POSTE.</v>
          </cell>
        </row>
        <row r="2161">
          <cell r="B2161">
            <v>5324130</v>
          </cell>
          <cell r="C2161" t="str">
            <v>PSA</v>
          </cell>
          <cell r="D2161" t="str">
            <v>CRUCETA DE C.A.Z/1.20/300-185MMD. MONTAJE A POSTE.</v>
          </cell>
        </row>
        <row r="2162">
          <cell r="B2162">
            <v>5324130</v>
          </cell>
          <cell r="C2162" t="str">
            <v>SCM</v>
          </cell>
          <cell r="D2162" t="str">
            <v>CRUCETA DE C.A.Z/1.20/300-185MMD. MONTAJE A POSTE.</v>
          </cell>
        </row>
        <row r="2163">
          <cell r="B2163">
            <v>5324142</v>
          </cell>
          <cell r="C2163" t="str">
            <v>IPT</v>
          </cell>
          <cell r="D2163" t="str">
            <v>CRUCETA DE C.A.Z/1.20/300-215MMD. MONTAJE A POSTE.</v>
          </cell>
        </row>
        <row r="2164">
          <cell r="B2164">
            <v>5324142</v>
          </cell>
          <cell r="C2164" t="str">
            <v>PAL</v>
          </cell>
          <cell r="D2164" t="str">
            <v>CRUCETA DE C.A.Z/1.20/300-215MMD. MONTAJE A POSTE.</v>
          </cell>
        </row>
        <row r="2165">
          <cell r="B2165">
            <v>5324142</v>
          </cell>
          <cell r="C2165" t="str">
            <v>PSA</v>
          </cell>
          <cell r="D2165" t="str">
            <v>CRUCETA DE C.A.Z/1.20/300-215MMD. MONTAJE A POSTE.</v>
          </cell>
        </row>
        <row r="2166">
          <cell r="B2166">
            <v>5324142</v>
          </cell>
          <cell r="C2166" t="str">
            <v>SCM</v>
          </cell>
          <cell r="D2166" t="str">
            <v>CRUCETA DE C.A.Z/1.20/300-215MMD. MONTAJE A POSTE.</v>
          </cell>
        </row>
        <row r="2167">
          <cell r="B2167">
            <v>5324154</v>
          </cell>
          <cell r="C2167" t="str">
            <v>IPT</v>
          </cell>
          <cell r="D2167" t="str">
            <v>CRUCETA DE C.A.Z/1.20/300-245MMD. MONTAJE A POSTE.</v>
          </cell>
        </row>
        <row r="2168">
          <cell r="B2168">
            <v>5324154</v>
          </cell>
          <cell r="C2168" t="str">
            <v>PAL</v>
          </cell>
          <cell r="D2168" t="str">
            <v>CRUCETA DE C.A.Z/1.20/300-245MMD. MONTAJE A POSTE.</v>
          </cell>
        </row>
        <row r="2169">
          <cell r="B2169">
            <v>5324154</v>
          </cell>
          <cell r="C2169" t="str">
            <v>PSA</v>
          </cell>
          <cell r="D2169" t="str">
            <v>CRUCETA DE C.A.Z/1.20/300-245MMD. MONTAJE A POSTE.</v>
          </cell>
        </row>
        <row r="2170">
          <cell r="B2170">
            <v>5324154</v>
          </cell>
          <cell r="C2170" t="str">
            <v>SCM</v>
          </cell>
          <cell r="D2170" t="str">
            <v>CRUCETA DE C.A.Z/1.20/300-245MMD. MONTAJE A POSTE.</v>
          </cell>
        </row>
        <row r="2171">
          <cell r="B2171">
            <v>5324240</v>
          </cell>
          <cell r="C2171" t="str">
            <v>PAL</v>
          </cell>
          <cell r="D2171" t="str">
            <v>CRUCETAS C.A. Z/1.50/400 185MMD MONT.POSTE 22.9 KV</v>
          </cell>
        </row>
        <row r="2172">
          <cell r="B2172">
            <v>5324240</v>
          </cell>
          <cell r="C2172" t="str">
            <v>PSA</v>
          </cell>
          <cell r="D2172" t="str">
            <v>CRUCETAS C.A. Z/1.50/400 185MMD MONT.POSTE 22.9 KV</v>
          </cell>
        </row>
        <row r="2173">
          <cell r="B2173">
            <v>5324240</v>
          </cell>
          <cell r="C2173" t="str">
            <v>SCM</v>
          </cell>
          <cell r="D2173" t="str">
            <v>CRUCETAS C.A. Z/1.50/400 185MMD MONT.POSTE 22.9 KV</v>
          </cell>
        </row>
        <row r="2174">
          <cell r="B2174">
            <v>5324244</v>
          </cell>
          <cell r="C2174" t="str">
            <v>PAL</v>
          </cell>
          <cell r="D2174" t="str">
            <v>CRUCETAS C.A. Z/1.50/400-215MMD MONT.POSTE 22.9 KV</v>
          </cell>
        </row>
        <row r="2175">
          <cell r="B2175">
            <v>5324244</v>
          </cell>
          <cell r="C2175" t="str">
            <v>PSA</v>
          </cell>
          <cell r="D2175" t="str">
            <v>CRUCETAS C.A. Z/1.50/400-215MMD MONT.POSTE 22.9 KV</v>
          </cell>
        </row>
        <row r="2176">
          <cell r="B2176">
            <v>5324244</v>
          </cell>
          <cell r="C2176" t="str">
            <v>SCM</v>
          </cell>
          <cell r="D2176" t="str">
            <v>CRUCETAS C.A. Z/1.50/400-215MMD MONT.POSTE 22.9 KV</v>
          </cell>
        </row>
        <row r="2177">
          <cell r="B2177">
            <v>5324248</v>
          </cell>
          <cell r="C2177" t="str">
            <v>PAL</v>
          </cell>
          <cell r="D2177" t="str">
            <v>CRUCETAS C.A. Z/1.5/400-245MMD MONT.POSTE 22.9 KV</v>
          </cell>
        </row>
        <row r="2178">
          <cell r="B2178">
            <v>5324248</v>
          </cell>
          <cell r="C2178" t="str">
            <v>PSA</v>
          </cell>
          <cell r="D2178" t="str">
            <v>CRUCETAS C.A. Z/1.5/400-245MMD MONT.POSTE 22.9 KV</v>
          </cell>
        </row>
        <row r="2179">
          <cell r="B2179">
            <v>5324248</v>
          </cell>
          <cell r="C2179" t="str">
            <v>SCM</v>
          </cell>
          <cell r="D2179" t="str">
            <v>CRUCETAS C.A. Z/1.5/400-245MMD MONT.POSTE 22.9 KV</v>
          </cell>
        </row>
        <row r="2180">
          <cell r="B2180">
            <v>5324256</v>
          </cell>
          <cell r="C2180" t="str">
            <v>PAL</v>
          </cell>
          <cell r="D2180" t="str">
            <v>CRUCETAS C.A. Z/1,5/400 275 MMD MONT.POSTE 22.9 KV</v>
          </cell>
        </row>
        <row r="2181">
          <cell r="B2181">
            <v>5324256</v>
          </cell>
          <cell r="C2181" t="str">
            <v>PSA</v>
          </cell>
          <cell r="D2181" t="str">
            <v>CRUCETAS C.A. Z/1,5/400 275 MMD MONT.POSTE 22.9 KV</v>
          </cell>
        </row>
        <row r="2182">
          <cell r="B2182">
            <v>5324256</v>
          </cell>
          <cell r="C2182" t="str">
            <v>SCM</v>
          </cell>
          <cell r="D2182" t="str">
            <v>CRUCETAS C.A. Z/1,5/400 275 MMD MONT.POSTE 22.9 KV</v>
          </cell>
        </row>
        <row r="2183">
          <cell r="B2183">
            <v>5324430</v>
          </cell>
          <cell r="C2183" t="str">
            <v>IPT</v>
          </cell>
          <cell r="D2183" t="str">
            <v>CRUCETA DE C.A.Z/2.0/500 -185MMD. MONTAJE A POSTE.</v>
          </cell>
        </row>
        <row r="2184">
          <cell r="B2184">
            <v>5324430</v>
          </cell>
          <cell r="C2184" t="str">
            <v>PAL</v>
          </cell>
          <cell r="D2184" t="str">
            <v>CRUCETA DE C.A.Z/2.0/500 -185MMD. MONTAJE A POSTE.</v>
          </cell>
        </row>
        <row r="2185">
          <cell r="B2185">
            <v>5324430</v>
          </cell>
          <cell r="C2185" t="str">
            <v>PSA</v>
          </cell>
          <cell r="D2185" t="str">
            <v>CRUCETA DE C.A.Z/2.0/500 -185MMD. MONTAJE A POSTE.</v>
          </cell>
        </row>
        <row r="2186">
          <cell r="B2186">
            <v>5324430</v>
          </cell>
          <cell r="C2186" t="str">
            <v>SCM</v>
          </cell>
          <cell r="D2186" t="str">
            <v>CRUCETA DE C.A.Z/2.0/500 -185MMD. MONTAJE A POSTE.</v>
          </cell>
        </row>
        <row r="2187">
          <cell r="B2187">
            <v>5324442</v>
          </cell>
          <cell r="C2187" t="str">
            <v>IPT</v>
          </cell>
          <cell r="D2187" t="str">
            <v>CRUCETA DE C.A.Z/2.0/500 -215MMD. MONTAJE A POSTE.</v>
          </cell>
        </row>
        <row r="2188">
          <cell r="B2188">
            <v>5324442</v>
          </cell>
          <cell r="C2188" t="str">
            <v>PAL</v>
          </cell>
          <cell r="D2188" t="str">
            <v>CRUCETA DE C.A.Z/2.0/500 -215MMD. MONTAJE A POSTE.</v>
          </cell>
        </row>
        <row r="2189">
          <cell r="B2189">
            <v>5324442</v>
          </cell>
          <cell r="C2189" t="str">
            <v>PSA</v>
          </cell>
          <cell r="D2189" t="str">
            <v>CRUCETA DE C.A.Z/2.0/500 -215MMD. MONTAJE A POSTE.</v>
          </cell>
        </row>
        <row r="2190">
          <cell r="B2190">
            <v>5324442</v>
          </cell>
          <cell r="C2190" t="str">
            <v>SCM</v>
          </cell>
          <cell r="D2190" t="str">
            <v>CRUCETA DE C.A.Z/2.0/500 -215MMD. MONTAJE A POSTE.</v>
          </cell>
        </row>
        <row r="2191">
          <cell r="B2191">
            <v>5324454</v>
          </cell>
          <cell r="C2191" t="str">
            <v>IPT</v>
          </cell>
          <cell r="D2191" t="str">
            <v>CRUCETA DE C.A.Z/2.0/500 -245MMD. MONTAJE A POSTE.</v>
          </cell>
        </row>
        <row r="2192">
          <cell r="B2192">
            <v>5324454</v>
          </cell>
          <cell r="C2192" t="str">
            <v>PAL</v>
          </cell>
          <cell r="D2192" t="str">
            <v>CRUCETA DE C.A.Z/2.0/500 -245MMD. MONTAJE A POSTE.</v>
          </cell>
        </row>
        <row r="2193">
          <cell r="B2193">
            <v>5324454</v>
          </cell>
          <cell r="C2193" t="str">
            <v>PSA</v>
          </cell>
          <cell r="D2193" t="str">
            <v>CRUCETA DE C.A.Z/2.0/500 -245MMD. MONTAJE A POSTE.</v>
          </cell>
        </row>
        <row r="2194">
          <cell r="B2194">
            <v>5324454</v>
          </cell>
          <cell r="C2194" t="str">
            <v>SCM</v>
          </cell>
          <cell r="D2194" t="str">
            <v>CRUCETA DE C.A.Z/2.0/500 -245MMD. MONTAJE A POSTE.</v>
          </cell>
        </row>
        <row r="2195">
          <cell r="B2195">
            <v>5324466</v>
          </cell>
          <cell r="C2195" t="str">
            <v>PAL</v>
          </cell>
          <cell r="D2195" t="str">
            <v>CRUCETA DE C.A.Z/2.0/500 -275MMD. MONTAJE A POSTE.</v>
          </cell>
        </row>
        <row r="2196">
          <cell r="B2196">
            <v>5324466</v>
          </cell>
          <cell r="C2196" t="str">
            <v>PSA</v>
          </cell>
          <cell r="D2196" t="str">
            <v>CRUCETA DE C.A.Z/2.0/500 -275MMD. MONTAJE A POSTE.</v>
          </cell>
        </row>
        <row r="2197">
          <cell r="B2197">
            <v>5324466</v>
          </cell>
          <cell r="C2197" t="str">
            <v>SCM</v>
          </cell>
          <cell r="D2197" t="str">
            <v>CRUCETA DE C.A.Z/2.0/500 -275MMD. MONTAJE A POSTE.</v>
          </cell>
        </row>
        <row r="2198">
          <cell r="B2198">
            <v>5324472</v>
          </cell>
          <cell r="C2198" t="str">
            <v>PAL</v>
          </cell>
          <cell r="D2198" t="str">
            <v>CRUCETA DE C.A.Z/2.0/500 -305MMD. MONTAJE A POSTE.</v>
          </cell>
        </row>
        <row r="2199">
          <cell r="B2199">
            <v>5324472</v>
          </cell>
          <cell r="C2199" t="str">
            <v>PSA</v>
          </cell>
          <cell r="D2199" t="str">
            <v>CRUCETA DE C.A.Z/2.0/500 -305MMD. MONTAJE A POSTE.</v>
          </cell>
        </row>
        <row r="2200">
          <cell r="B2200">
            <v>5324472</v>
          </cell>
          <cell r="C2200" t="str">
            <v>SCM</v>
          </cell>
          <cell r="D2200" t="str">
            <v>CRUCETA DE C.A.Z/2.0/500 -305MMD. MONTAJE A POSTE.</v>
          </cell>
        </row>
        <row r="2201">
          <cell r="B2201">
            <v>5324484</v>
          </cell>
          <cell r="C2201" t="str">
            <v>PAL</v>
          </cell>
          <cell r="D2201" t="str">
            <v>CRUCETA DE C.A.Z/2.0/500 -335MMD. MONTAJE A POSTE.</v>
          </cell>
        </row>
        <row r="2202">
          <cell r="B2202">
            <v>5324484</v>
          </cell>
          <cell r="C2202" t="str">
            <v>PSA</v>
          </cell>
          <cell r="D2202" t="str">
            <v>CRUCETA DE C.A.Z/2.0/500 -335MMD. MONTAJE A POSTE.</v>
          </cell>
        </row>
        <row r="2203">
          <cell r="B2203">
            <v>5324484</v>
          </cell>
          <cell r="C2203" t="str">
            <v>SCM</v>
          </cell>
          <cell r="D2203" t="str">
            <v>CRUCETA DE C.A.Z/2.0/500 -335MMD. MONTAJE A POSTE.</v>
          </cell>
        </row>
        <row r="2204">
          <cell r="B2204">
            <v>5324630</v>
          </cell>
          <cell r="C2204" t="str">
            <v>PAL</v>
          </cell>
          <cell r="D2204" t="str">
            <v>CRUCETAS C.A. Z/2,4/600-185MMD MONT.POSTE22.9 KV.</v>
          </cell>
        </row>
        <row r="2205">
          <cell r="B2205">
            <v>5324630</v>
          </cell>
          <cell r="C2205" t="str">
            <v>PSA</v>
          </cell>
          <cell r="D2205" t="str">
            <v>CRUCETAS C.A. Z/2,4/600-185MMD MONT.POSTE22.9 KV.</v>
          </cell>
        </row>
        <row r="2206">
          <cell r="B2206">
            <v>5324630</v>
          </cell>
          <cell r="C2206" t="str">
            <v>SCM</v>
          </cell>
          <cell r="D2206" t="str">
            <v>CRUCETAS C.A. Z/2,4/600-185MMD MONT.POSTE22.9 KV.</v>
          </cell>
        </row>
        <row r="2207">
          <cell r="B2207">
            <v>5324642</v>
          </cell>
          <cell r="C2207" t="str">
            <v>PAL</v>
          </cell>
          <cell r="D2207" t="str">
            <v>CRUCETA DE C.A.Z/2.4/600 -215MMD. MONTAJE A POSTE.</v>
          </cell>
        </row>
        <row r="2208">
          <cell r="B2208">
            <v>5324642</v>
          </cell>
          <cell r="C2208" t="str">
            <v>PSA</v>
          </cell>
          <cell r="D2208" t="str">
            <v>CRUCETA DE C.A.Z/2.4/600 -215MMD. MONTAJE A POSTE.</v>
          </cell>
        </row>
        <row r="2209">
          <cell r="B2209">
            <v>5324642</v>
          </cell>
          <cell r="C2209" t="str">
            <v>SCM</v>
          </cell>
          <cell r="D2209" t="str">
            <v>CRUCETA DE C.A.Z/2.4/600 -215MMD. MONTAJE A POSTE.</v>
          </cell>
        </row>
        <row r="2210">
          <cell r="B2210">
            <v>5324644</v>
          </cell>
          <cell r="C2210" t="str">
            <v>PAL</v>
          </cell>
          <cell r="D2210" t="str">
            <v>CRUCETAS C.A Z/2,4/600-215MMD MONT.POSTE 22.9 KV.</v>
          </cell>
        </row>
        <row r="2211">
          <cell r="B2211">
            <v>5324644</v>
          </cell>
          <cell r="C2211" t="str">
            <v>PSA</v>
          </cell>
          <cell r="D2211" t="str">
            <v>CRUCETAS C.A Z/2,4/600-215MMD MONT.POSTE 22.9 KV.</v>
          </cell>
        </row>
        <row r="2212">
          <cell r="B2212">
            <v>5324644</v>
          </cell>
          <cell r="C2212" t="str">
            <v>SCM</v>
          </cell>
          <cell r="D2212" t="str">
            <v>CRUCETAS C.A Z/2,4/600-215MMD MONT.POSTE 22.9 KV.</v>
          </cell>
        </row>
        <row r="2213">
          <cell r="B2213">
            <v>5324654</v>
          </cell>
          <cell r="C2213" t="str">
            <v>PAL</v>
          </cell>
          <cell r="D2213" t="str">
            <v>CRUCETA DE C.A.Z/2.4/600 -245MMD. MONTAJE A POSTE.</v>
          </cell>
        </row>
        <row r="2214">
          <cell r="B2214">
            <v>5324654</v>
          </cell>
          <cell r="C2214" t="str">
            <v>PSA</v>
          </cell>
          <cell r="D2214" t="str">
            <v>CRUCETA DE C.A.Z/2.4/600 -245MMD. MONTAJE A POSTE.</v>
          </cell>
        </row>
        <row r="2215">
          <cell r="B2215">
            <v>5324654</v>
          </cell>
          <cell r="C2215" t="str">
            <v>SCM</v>
          </cell>
          <cell r="D2215" t="str">
            <v>CRUCETA DE C.A.Z/2.4/600 -245MMD. MONTAJE A POSTE.</v>
          </cell>
        </row>
        <row r="2216">
          <cell r="B2216">
            <v>5324656</v>
          </cell>
          <cell r="C2216" t="str">
            <v>PAL</v>
          </cell>
          <cell r="D2216" t="str">
            <v>CRUCETAS C.A.Z/2,4/600-245MMD MONT. POSTE 22.9 KV.</v>
          </cell>
        </row>
        <row r="2217">
          <cell r="B2217">
            <v>5324656</v>
          </cell>
          <cell r="C2217" t="str">
            <v>PSA</v>
          </cell>
          <cell r="D2217" t="str">
            <v>CRUCETAS C.A.Z/2,4/600-245MMD MONT. POSTE 22.9 KV.</v>
          </cell>
        </row>
        <row r="2218">
          <cell r="B2218">
            <v>5324656</v>
          </cell>
          <cell r="C2218" t="str">
            <v>SCM</v>
          </cell>
          <cell r="D2218" t="str">
            <v>CRUCETAS C.A.Z/2,4/600-245MMD MONT. POSTE 22.9 KV.</v>
          </cell>
        </row>
        <row r="2219">
          <cell r="B2219">
            <v>5324666</v>
          </cell>
          <cell r="C2219" t="str">
            <v>PAL</v>
          </cell>
          <cell r="D2219" t="str">
            <v>CRUCETA DE C.A.Z/2.4/600 -275MMD. MONTAJE A POSTE.</v>
          </cell>
        </row>
        <row r="2220">
          <cell r="B2220">
            <v>5324666</v>
          </cell>
          <cell r="C2220" t="str">
            <v>PSA</v>
          </cell>
          <cell r="D2220" t="str">
            <v>CRUCETA DE C.A.Z/2.4/600 -275MMD. MONTAJE A POSTE.</v>
          </cell>
        </row>
        <row r="2221">
          <cell r="B2221">
            <v>5324666</v>
          </cell>
          <cell r="C2221" t="str">
            <v>SCM</v>
          </cell>
          <cell r="D2221" t="str">
            <v>CRUCETA DE C.A.Z/2.4/600 -275MMD. MONTAJE A POSTE.</v>
          </cell>
        </row>
        <row r="2222">
          <cell r="B2222">
            <v>5324668</v>
          </cell>
          <cell r="C2222" t="str">
            <v>PAL</v>
          </cell>
          <cell r="D2222" t="str">
            <v>CRUCETAS DE C.A. Z/2,4/600-275MMD MON.POSTE 22.9KV</v>
          </cell>
        </row>
        <row r="2223">
          <cell r="B2223">
            <v>5324668</v>
          </cell>
          <cell r="C2223" t="str">
            <v>PSA</v>
          </cell>
          <cell r="D2223" t="str">
            <v>CRUCETAS DE C.A. Z/2,4/600-275MMD MON.POSTE 22.9KV</v>
          </cell>
        </row>
        <row r="2224">
          <cell r="B2224">
            <v>5324668</v>
          </cell>
          <cell r="C2224" t="str">
            <v>SCM</v>
          </cell>
          <cell r="D2224" t="str">
            <v>CRUCETAS DE C.A. Z/2,4/600-275MMD MON.POSTE 22.9KV</v>
          </cell>
        </row>
        <row r="2225">
          <cell r="B2225">
            <v>5324672</v>
          </cell>
          <cell r="C2225" t="str">
            <v>PAL</v>
          </cell>
          <cell r="D2225" t="str">
            <v>CRUCETA DE C.A.Z/2.4/600 -305MMD. MONTAJE A POSTE.</v>
          </cell>
        </row>
        <row r="2226">
          <cell r="B2226">
            <v>5324672</v>
          </cell>
          <cell r="C2226" t="str">
            <v>PSA</v>
          </cell>
          <cell r="D2226" t="str">
            <v>CRUCETA DE C.A.Z/2.4/600 -305MMD. MONTAJE A POSTE.</v>
          </cell>
        </row>
        <row r="2227">
          <cell r="B2227">
            <v>5324672</v>
          </cell>
          <cell r="C2227" t="str">
            <v>SCM</v>
          </cell>
          <cell r="D2227" t="str">
            <v>CRUCETA DE C.A.Z/2.4/600 -305MMD. MONTAJE A POSTE.</v>
          </cell>
        </row>
        <row r="2228">
          <cell r="B2228">
            <v>5324686</v>
          </cell>
          <cell r="C2228" t="str">
            <v>PAL</v>
          </cell>
          <cell r="D2228" t="str">
            <v>CRUCETA C.A. Z/2.00/500-275MMD. 20KV.</v>
          </cell>
        </row>
        <row r="2229">
          <cell r="B2229">
            <v>5324686</v>
          </cell>
          <cell r="C2229" t="str">
            <v>PSA</v>
          </cell>
          <cell r="D2229" t="str">
            <v>CRUCETA C.A. Z/2.00/500-275MMD. 20KV.</v>
          </cell>
        </row>
        <row r="2230">
          <cell r="B2230">
            <v>5324686</v>
          </cell>
          <cell r="C2230" t="str">
            <v>SCM</v>
          </cell>
          <cell r="D2230" t="str">
            <v>CRUCETA C.A. Z/2.00/500-275MMD. 20KV.</v>
          </cell>
        </row>
        <row r="2231">
          <cell r="B2231">
            <v>5326210</v>
          </cell>
          <cell r="C2231" t="str">
            <v>PAL</v>
          </cell>
          <cell r="D2231" t="str">
            <v>PLATAFORMA SOPORTE C.A.V. 1100MM / 750KG / 320MM P.TRANSFORMADOR</v>
          </cell>
        </row>
        <row r="2232">
          <cell r="B2232">
            <v>5326210</v>
          </cell>
          <cell r="C2232" t="str">
            <v>PSA</v>
          </cell>
          <cell r="D2232" t="str">
            <v>PLATAFORMA SOPORTE C.A.V. 1100MM / 750KG / 320MM P.TRANSFORMADOR</v>
          </cell>
        </row>
        <row r="2233">
          <cell r="B2233">
            <v>5326210</v>
          </cell>
          <cell r="C2233" t="str">
            <v>SCM</v>
          </cell>
          <cell r="D2233" t="str">
            <v>PLATAFORMA SOPORTE C.A.V. 1100MM / 750KG / 320MM P.TRANSFORMADOR</v>
          </cell>
        </row>
        <row r="2234">
          <cell r="B2234">
            <v>5326314</v>
          </cell>
          <cell r="C2234" t="str">
            <v>PAL</v>
          </cell>
          <cell r="D2234" t="str">
            <v>PLATAFORMA SOPORTE C.A.V. 1150MM / 1300KG / 350MM P.TRANSFORMADOR</v>
          </cell>
        </row>
        <row r="2235">
          <cell r="B2235">
            <v>5326314</v>
          </cell>
          <cell r="C2235" t="str">
            <v>PSA</v>
          </cell>
          <cell r="D2235" t="str">
            <v>PLATAFORMA SOPORTE C.A.V. 1150MM / 1300KG / 350MM P.TRANSFORMADOR</v>
          </cell>
        </row>
        <row r="2236">
          <cell r="B2236">
            <v>5326314</v>
          </cell>
          <cell r="C2236" t="str">
            <v>SCM</v>
          </cell>
          <cell r="D2236" t="str">
            <v>PLATAFORMA SOPORTE C.A.V. 1150MM / 1300KG / 350MM P.TRANSFORMADOR</v>
          </cell>
        </row>
        <row r="2237">
          <cell r="B2237">
            <v>5329212</v>
          </cell>
          <cell r="C2237" t="str">
            <v>FAD</v>
          </cell>
          <cell r="D2237" t="str">
            <v>DUCTO UNIPOLAR C.A. 156 X 76 X 3000MM P.SUBIDA CABLES EN POSTE</v>
          </cell>
        </row>
        <row r="2238">
          <cell r="B2238">
            <v>5329301</v>
          </cell>
          <cell r="C2238" t="str">
            <v>IPT</v>
          </cell>
          <cell r="D2238" t="str">
            <v>ZAPATA DE CONCRETO DE 400 MMD. P. VIENTO</v>
          </cell>
        </row>
        <row r="2239">
          <cell r="B2239">
            <v>5329301</v>
          </cell>
          <cell r="C2239" t="str">
            <v>PAL</v>
          </cell>
          <cell r="D2239" t="str">
            <v>ZAPATA DE CONCRETO DE 400 MMD. P. VIENTO</v>
          </cell>
        </row>
        <row r="2240">
          <cell r="B2240">
            <v>5329301</v>
          </cell>
          <cell r="C2240" t="str">
            <v>PSA</v>
          </cell>
          <cell r="D2240" t="str">
            <v>ZAPATA DE CONCRETO DE 400 MMD. P. VIENTO</v>
          </cell>
        </row>
        <row r="2241">
          <cell r="B2241">
            <v>5329301</v>
          </cell>
          <cell r="C2241" t="str">
            <v>SCM</v>
          </cell>
          <cell r="D2241" t="str">
            <v>ZAPATA DE CONCRETO DE 400 MMD. P. VIENTO</v>
          </cell>
        </row>
        <row r="2242">
          <cell r="B2242">
            <v>5329320</v>
          </cell>
          <cell r="C2242" t="str">
            <v>PAL</v>
          </cell>
          <cell r="D2242" t="str">
            <v>ZAPATA CONCR.ARMADO 700X700MM.TP.CRUZ P.ANCL.VIENT</v>
          </cell>
        </row>
        <row r="2243">
          <cell r="B2243">
            <v>5329320</v>
          </cell>
          <cell r="C2243" t="str">
            <v>PSA</v>
          </cell>
          <cell r="D2243" t="str">
            <v>ZAPATA CONCR.ARMADO 700X700MM.TP.CRUZ P.ANCL.VIENT</v>
          </cell>
        </row>
        <row r="2244">
          <cell r="B2244">
            <v>5329320</v>
          </cell>
          <cell r="C2244" t="str">
            <v>SCM</v>
          </cell>
          <cell r="D2244" t="str">
            <v>ZAPATA CONCR.ARMADO 700X700MM.TP.CRUZ P.ANCL.VIENT</v>
          </cell>
        </row>
        <row r="2245">
          <cell r="B2245">
            <v>5329416</v>
          </cell>
          <cell r="C2245" t="str">
            <v>ESC</v>
          </cell>
          <cell r="D2245" t="str">
            <v>BLOQUE DE C.A. DE 1.60M. P. PROTEC. CONTRA IMPACTO A ESTRUCTURAS. M.T.</v>
          </cell>
        </row>
        <row r="2246">
          <cell r="B2246">
            <v>5329416</v>
          </cell>
          <cell r="C2246" t="str">
            <v>FAD</v>
          </cell>
          <cell r="D2246" t="str">
            <v>BLOQUE DE C.A. DE 1.60M. P. PROTEC. CONTRA IMPACTO A ESTRUCTURAS. M.T.</v>
          </cell>
        </row>
        <row r="2247">
          <cell r="B2247">
            <v>5329416</v>
          </cell>
          <cell r="C2247" t="str">
            <v>PSA</v>
          </cell>
          <cell r="D2247" t="str">
            <v>BLOQUE DE C.A. DE 1.60M. P. PROTEC. CONTRA IMPACTO A ESTRUCTURAS. M.T.</v>
          </cell>
        </row>
        <row r="2248">
          <cell r="B2248">
            <v>5329416</v>
          </cell>
          <cell r="C2248" t="str">
            <v>SCM</v>
          </cell>
          <cell r="D2248" t="str">
            <v>BLOQUE DE C.A. DE 1.60M. P. PROTEC. CONTRA IMPACTO A ESTRUCTURAS. M.T.</v>
          </cell>
        </row>
        <row r="2249">
          <cell r="B2249">
            <v>5329418</v>
          </cell>
          <cell r="C2249" t="str">
            <v>ESC</v>
          </cell>
          <cell r="D2249" t="str">
            <v>BLOQUE DE C.A. DE 2.10M. P. PROTEC. CONTRA IMPACTO A ESTRUCTURAS M.T.</v>
          </cell>
        </row>
        <row r="2250">
          <cell r="B2250">
            <v>5329418</v>
          </cell>
          <cell r="C2250" t="str">
            <v>FAD</v>
          </cell>
          <cell r="D2250" t="str">
            <v>BLOQUE DE C.A. DE 2.10M. P. PROTEC. CONTRA IMPACTO A ESTRUCTURAS M.T.</v>
          </cell>
        </row>
        <row r="2251">
          <cell r="B2251">
            <v>5329418</v>
          </cell>
          <cell r="C2251" t="str">
            <v>PSA</v>
          </cell>
          <cell r="D2251" t="str">
            <v>BLOQUE DE C.A. DE 2.10M. P. PROTEC. CONTRA IMPACTO A ESTRUCTURAS M.T.</v>
          </cell>
        </row>
        <row r="2252">
          <cell r="B2252">
            <v>5329512</v>
          </cell>
          <cell r="C2252" t="str">
            <v>FAD</v>
          </cell>
          <cell r="D2252" t="str">
            <v>BASE DE CONCRETO ARMADO SIN BUZON P.TABLERO D.S. Y A.P. TAMANO 3 DE 1050 X 1230 X 560MM 185 KG/CM2</v>
          </cell>
        </row>
        <row r="2253">
          <cell r="B2253">
            <v>5329512</v>
          </cell>
          <cell r="C2253" t="str">
            <v>PAL</v>
          </cell>
          <cell r="D2253" t="str">
            <v>BASE DE CONCRETO ARMADO SIN BUZON P.TABLERO D.S. Y A.P. TAMANO 3 DE 1050 X 1230 X 560MM 185 KG/CM2</v>
          </cell>
        </row>
        <row r="2254">
          <cell r="B2254">
            <v>5329512</v>
          </cell>
          <cell r="C2254" t="str">
            <v>PSA</v>
          </cell>
          <cell r="D2254" t="str">
            <v>BASE DE CONCRETO ARMADO SIN BUZON P.TABLERO D.S. Y A.P. TAMANO 3 DE 1050 X 1230 X 560MM 185 KG/CM2</v>
          </cell>
        </row>
        <row r="2255">
          <cell r="B2255">
            <v>5329512</v>
          </cell>
          <cell r="C2255" t="str">
            <v>SCM</v>
          </cell>
          <cell r="D2255" t="str">
            <v>BASE DE CONCRETO ARMADO SIN BUZON P.TABLERO D.S. Y A.P. TAMANO 3 DE 1050 X 1230 X 560MM 185 KG/CM2</v>
          </cell>
        </row>
        <row r="2256">
          <cell r="B2256">
            <v>5329514</v>
          </cell>
          <cell r="C2256" t="str">
            <v>FAD</v>
          </cell>
          <cell r="D2256" t="str">
            <v>BASE DE CONCRETO ARMADO SIN BUZON P.TABLERO D.S. Y A.P. TAMANO 4 DE 1380 X 1230 X 560MM 185 KG/CM2</v>
          </cell>
        </row>
        <row r="2257">
          <cell r="B2257">
            <v>5329514</v>
          </cell>
          <cell r="C2257" t="str">
            <v>PAL</v>
          </cell>
          <cell r="D2257" t="str">
            <v>BASE DE CONCRETO ARMADO SIN BUZON P.TABLERO D.S. Y A.P. TAMANO 4 DE 1380 X 1230 X 560MM 185 KG/CM2</v>
          </cell>
        </row>
        <row r="2258">
          <cell r="B2258">
            <v>5329514</v>
          </cell>
          <cell r="C2258" t="str">
            <v>PSA</v>
          </cell>
          <cell r="D2258" t="str">
            <v>BASE DE CONCRETO ARMADO SIN BUZON P.TABLERO D.S. Y A.P. TAMANO 4 DE 1380 X 1230 X 560MM 185 KG/CM2</v>
          </cell>
        </row>
        <row r="2259">
          <cell r="B2259">
            <v>5329514</v>
          </cell>
          <cell r="C2259" t="str">
            <v>PSS</v>
          </cell>
          <cell r="D2259" t="str">
            <v>BASE DE CONCRETO ARMADO SIN BUZON P.TABLERO D.S. Y A.P. TAMANO 4 DE 1380 X 1230 X 560MM 185 KG/CM2</v>
          </cell>
        </row>
        <row r="2260">
          <cell r="B2260">
            <v>5329514</v>
          </cell>
          <cell r="C2260" t="str">
            <v>SCM</v>
          </cell>
          <cell r="D2260" t="str">
            <v>BASE DE CONCRETO ARMADO SIN BUZON P.TABLERO D.S. Y A.P. TAMANO 4 DE 1380 X 1230 X 560MM 185 KG/CM2</v>
          </cell>
        </row>
        <row r="2261">
          <cell r="B2261">
            <v>5329605</v>
          </cell>
          <cell r="C2261" t="str">
            <v>FAD</v>
          </cell>
          <cell r="D2261" t="str">
            <v>MURETE CONCRETO ARMADO P.CAJAS TIPO "L" 300X270X1800MM</v>
          </cell>
        </row>
        <row r="2262">
          <cell r="B2262">
            <v>5329605</v>
          </cell>
          <cell r="C2262" t="str">
            <v>SCM</v>
          </cell>
          <cell r="D2262" t="str">
            <v>MURETE CONCRETO ARMADO P.CAJAS TIPO "L" 300X270X1800MM</v>
          </cell>
        </row>
        <row r="2263">
          <cell r="B2263">
            <v>5329608</v>
          </cell>
          <cell r="C2263" t="str">
            <v>FAD</v>
          </cell>
          <cell r="D2263" t="str">
            <v>MURETE CONCRETO ARMADO 3 CUERPOS P/CAJA "L". FC 210KG/CM2</v>
          </cell>
        </row>
        <row r="2264">
          <cell r="B2264">
            <v>5329608</v>
          </cell>
          <cell r="C2264" t="str">
            <v>PSS</v>
          </cell>
          <cell r="D2264" t="str">
            <v>MURETE CONCRETO ARMADO 3 CUERPOS P/CAJA "L". FC 210KG/CM2</v>
          </cell>
        </row>
        <row r="2265">
          <cell r="B2265">
            <v>5329608</v>
          </cell>
          <cell r="C2265" t="str">
            <v>SCM</v>
          </cell>
          <cell r="D2265" t="str">
            <v>MURETE CONCRETO ARMADO 3 CUERPOS P/CAJA "L". FC 210KG/CM2</v>
          </cell>
        </row>
        <row r="2266">
          <cell r="B2266">
            <v>5329609</v>
          </cell>
          <cell r="C2266" t="str">
            <v>IPT</v>
          </cell>
          <cell r="D2266" t="str">
            <v>MURETE DE CONCRETO ARMADO VIBRADO P.CAJA LR 350 KG/CM2 C.3 CUERPOS</v>
          </cell>
        </row>
        <row r="2267">
          <cell r="B2267">
            <v>5329609</v>
          </cell>
          <cell r="C2267" t="str">
            <v>SCM</v>
          </cell>
          <cell r="D2267" t="str">
            <v>MURETE DE CONCRETO ARMADO VIBRADO P.CAJA LR 350 KG/CM2 C.3 CUERPOS</v>
          </cell>
        </row>
        <row r="2268">
          <cell r="B2268">
            <v>5329610</v>
          </cell>
          <cell r="C2268" t="str">
            <v>PSS</v>
          </cell>
          <cell r="D2268" t="str">
            <v>MURETE DE CONCRETO ARMADO ALIGERADO P.CAJA LRM 210 KG/CM2 1,67M X 210MM X 300MM C.2 CUERPOS</v>
          </cell>
        </row>
        <row r="2269">
          <cell r="B2269">
            <v>5329610</v>
          </cell>
          <cell r="C2269" t="str">
            <v>SCM</v>
          </cell>
          <cell r="D2269" t="str">
            <v>MURETE DE CONCRETO ARMADO ALIGERADO P.CAJA LRM 210 KG/CM2 1,67M X 210MM X 300MM C.2 CUERPOS</v>
          </cell>
        </row>
        <row r="2270">
          <cell r="B2270">
            <v>5329611</v>
          </cell>
          <cell r="C2270" t="str">
            <v>FAD</v>
          </cell>
          <cell r="D2270" t="str">
            <v>MURETE CONCRETO ARMADO P. CAJAS TIPO "LT" 360X295X1800MM</v>
          </cell>
        </row>
        <row r="2271">
          <cell r="B2271">
            <v>5329611</v>
          </cell>
          <cell r="C2271" t="str">
            <v>SCM</v>
          </cell>
          <cell r="D2271" t="str">
            <v>MURETE CONCRETO ARMADO P. CAJAS TIPO "LT" 360X295X1800MM</v>
          </cell>
        </row>
        <row r="2272">
          <cell r="B2272">
            <v>5329613</v>
          </cell>
          <cell r="C2272" t="str">
            <v>FAD</v>
          </cell>
          <cell r="D2272" t="str">
            <v>MURETE CONCRETO ARMADO 3 CUERPOS P/CAJA "LT". FC 210KG/CM2</v>
          </cell>
        </row>
        <row r="2273">
          <cell r="B2273">
            <v>5329613</v>
          </cell>
          <cell r="C2273" t="str">
            <v>PSS</v>
          </cell>
          <cell r="D2273" t="str">
            <v>MURETE CONCRETO ARMADO 3 CUERPOS P/CAJA "LT". FC 210KG/CM2</v>
          </cell>
        </row>
        <row r="2274">
          <cell r="B2274">
            <v>5329613</v>
          </cell>
          <cell r="C2274" t="str">
            <v>SCM</v>
          </cell>
          <cell r="D2274" t="str">
            <v>MURETE CONCRETO ARMADO 3 CUERPOS P/CAJA "LT". FC 210KG/CM2</v>
          </cell>
        </row>
        <row r="2275">
          <cell r="B2275">
            <v>5329615</v>
          </cell>
          <cell r="C2275" t="str">
            <v>IPT</v>
          </cell>
          <cell r="D2275" t="str">
            <v>MURETE DE CONCRETO ARMADO VIBRADO P.CAJA LTR 350 KG/CM2 C.3 CUERPOS</v>
          </cell>
        </row>
        <row r="2276">
          <cell r="B2276">
            <v>5329615</v>
          </cell>
          <cell r="C2276" t="str">
            <v>SCM</v>
          </cell>
          <cell r="D2276" t="str">
            <v>MURETE DE CONCRETO ARMADO VIBRADO P.CAJA LTR 350 KG/CM2 C.3 CUERPOS</v>
          </cell>
        </row>
        <row r="2277">
          <cell r="B2277">
            <v>5329810</v>
          </cell>
          <cell r="C2277" t="str">
            <v>PAL</v>
          </cell>
          <cell r="D2277" t="str">
            <v>BOVEDA CONCRETO C.TAPA P.ELECTRODO DE PUESTA A TIERRA</v>
          </cell>
        </row>
        <row r="2278">
          <cell r="B2278">
            <v>5329810</v>
          </cell>
          <cell r="C2278" t="str">
            <v>PSA</v>
          </cell>
          <cell r="D2278" t="str">
            <v>BOVEDA CONCRETO C.TAPA P.ELECTRODO DE PUESTA A TIERRA</v>
          </cell>
        </row>
        <row r="2279">
          <cell r="B2279">
            <v>5329810</v>
          </cell>
          <cell r="C2279" t="str">
            <v>SCM</v>
          </cell>
          <cell r="D2279" t="str">
            <v>BOVEDA CONCRETO C.TAPA P.ELECTRODO DE PUESTA A TIERRA</v>
          </cell>
        </row>
        <row r="2280">
          <cell r="B2280">
            <v>5331596</v>
          </cell>
          <cell r="C2280" t="str">
            <v>EQU</v>
          </cell>
          <cell r="D2280" t="str">
            <v>POSTE DE POLIESTER REFORZADO EN FIBRA DE VIDRIO 7,5 / 150 / 150 / 270 P.A.P. Y/O L.A.B.T. O M</v>
          </cell>
        </row>
        <row r="2281">
          <cell r="B2281">
            <v>5331596</v>
          </cell>
          <cell r="C2281" t="str">
            <v>FCP</v>
          </cell>
          <cell r="D2281" t="str">
            <v>POSTE DE POLIESTER REFORZADO EN FIBRA DE VIDRIO 7,5 / 150 / 150 / 270 P.A.P. Y/O L.A.B.T. O M</v>
          </cell>
        </row>
        <row r="2282">
          <cell r="B2282">
            <v>5331596</v>
          </cell>
          <cell r="C2282" t="str">
            <v>FTR</v>
          </cell>
          <cell r="D2282" t="str">
            <v>POSTE DE POLIESTER REFORZADO EN FIBRA DE VIDRIO 7,5 / 150 / 150 / 270 P.A.P. Y/O L.A.B.T. O M</v>
          </cell>
        </row>
        <row r="2283">
          <cell r="B2283">
            <v>5331600</v>
          </cell>
          <cell r="C2283" t="str">
            <v>EQU</v>
          </cell>
          <cell r="D2283" t="str">
            <v>POSTE DE POLIESTER REFORZADO EN FIBRA DE VIDRIO 8,7 / 200 / 150 / 300 F.S. 2 P.A.P. Y/O L.A.B.T. O M</v>
          </cell>
        </row>
        <row r="2284">
          <cell r="B2284">
            <v>5331600</v>
          </cell>
          <cell r="C2284" t="str">
            <v>FCP</v>
          </cell>
          <cell r="D2284" t="str">
            <v>POSTE DE POLIESTER REFORZADO EN FIBRA DE VIDRIO 8,7 / 200 / 150 / 300 F.S. 2 P.A.P. Y/O L.A.B.T. O M</v>
          </cell>
        </row>
        <row r="2285">
          <cell r="B2285">
            <v>5331600</v>
          </cell>
          <cell r="C2285" t="str">
            <v>FTR</v>
          </cell>
          <cell r="D2285" t="str">
            <v>POSTE DE POLIESTER REFORZADO EN FIBRA DE VIDRIO 8,7 / 200 / 150 / 300 F.S. 2 P.A.P. Y/O L.A.B.T. O M</v>
          </cell>
        </row>
        <row r="2286">
          <cell r="B2286">
            <v>5334004</v>
          </cell>
          <cell r="C2286" t="str">
            <v>MAP</v>
          </cell>
          <cell r="D2286" t="str">
            <v>CRUCETA DE MADERA DE 2400MM.                  M.T.</v>
          </cell>
        </row>
        <row r="2287">
          <cell r="B2287">
            <v>5334004</v>
          </cell>
          <cell r="C2287" t="str">
            <v>MVL</v>
          </cell>
          <cell r="D2287" t="str">
            <v>CRUCETA DE MADERA DE 2400MM.                  M.T.</v>
          </cell>
        </row>
        <row r="2288">
          <cell r="B2288">
            <v>5334010</v>
          </cell>
          <cell r="C2288" t="str">
            <v>MAP</v>
          </cell>
          <cell r="D2288" t="str">
            <v>CRUCETA DE MADERA 3" X 4" X 3 PIES CON TRATAMIENTO CCB</v>
          </cell>
        </row>
        <row r="2289">
          <cell r="B2289">
            <v>5334010</v>
          </cell>
          <cell r="C2289" t="str">
            <v>MVL</v>
          </cell>
          <cell r="D2289" t="str">
            <v>CRUCETA DE MADERA 3" X 4" X 3 PIES CON TRATAMIENTO CCB</v>
          </cell>
        </row>
        <row r="2290">
          <cell r="B2290">
            <v>5334010</v>
          </cell>
          <cell r="C2290" t="str">
            <v>PYE</v>
          </cell>
          <cell r="D2290" t="str">
            <v>CRUCETA DE MADERA 3" X 4" X 3 PIES CON TRATAMIENTO CCB</v>
          </cell>
        </row>
        <row r="2291">
          <cell r="B2291">
            <v>5334104</v>
          </cell>
          <cell r="C2291" t="str">
            <v>MAP</v>
          </cell>
          <cell r="D2291" t="str">
            <v>CRUCETA SIMETRICA DE MADERA DE 4" X 4" X 1,3 PIES CON TRATAMIENTO CCB</v>
          </cell>
        </row>
        <row r="2292">
          <cell r="B2292">
            <v>5334104</v>
          </cell>
          <cell r="C2292" t="str">
            <v>MVL</v>
          </cell>
          <cell r="D2292" t="str">
            <v>CRUCETA SIMETRICA DE MADERA DE 4" X 4" X 1,3 PIES CON TRATAMIENTO CCB</v>
          </cell>
        </row>
        <row r="2293">
          <cell r="B2293">
            <v>5334104</v>
          </cell>
          <cell r="C2293" t="str">
            <v>MVL</v>
          </cell>
          <cell r="D2293" t="str">
            <v>CRUCETA SIMETRICA DE MADERA DE 4" X 4" X 1,3 PIES CON TRATAMIENTO CCB</v>
          </cell>
        </row>
        <row r="2294">
          <cell r="B2294">
            <v>5334104</v>
          </cell>
          <cell r="C2294" t="str">
            <v>MVL</v>
          </cell>
          <cell r="D2294" t="str">
            <v>CRUCETA SIMETRICA DE MADERA DE 4" X 4" X 1,3 PIES CON TRATAMIENTO CCB</v>
          </cell>
        </row>
        <row r="2295">
          <cell r="B2295">
            <v>5334118</v>
          </cell>
          <cell r="C2295" t="str">
            <v>MAP</v>
          </cell>
          <cell r="D2295" t="str">
            <v>CRUCETA DE MADERA 4" X 5" X 4,5 PIES CON TRATAMIENTO CCB</v>
          </cell>
        </row>
        <row r="2296">
          <cell r="B2296">
            <v>5334118</v>
          </cell>
          <cell r="C2296" t="str">
            <v>MVL</v>
          </cell>
          <cell r="D2296" t="str">
            <v>CRUCETA DE MADERA 4" X 5" X 4,5 PIES CON TRATAMIENTO CCB</v>
          </cell>
        </row>
        <row r="2297">
          <cell r="B2297">
            <v>5334122</v>
          </cell>
          <cell r="C2297" t="str">
            <v>MAP</v>
          </cell>
          <cell r="D2297" t="str">
            <v>CRUCETA ASIMETRICA DE MADERA DE 4" X 5" X 5 PIES CON TRATAMIENTO CCB</v>
          </cell>
        </row>
        <row r="2298">
          <cell r="B2298">
            <v>5334122</v>
          </cell>
          <cell r="C2298" t="str">
            <v>MVL</v>
          </cell>
          <cell r="D2298" t="str">
            <v>CRUCETA ASIMETRICA DE MADERA DE 4" X 5" X 5 PIES CON TRATAMIENTO CCB</v>
          </cell>
        </row>
        <row r="2299">
          <cell r="B2299">
            <v>5334122</v>
          </cell>
          <cell r="C2299" t="str">
            <v>MVL</v>
          </cell>
          <cell r="D2299" t="str">
            <v>CRUCETA ASIMETRICA DE MADERA DE 4" X 5" X 5 PIES CON TRATAMIENTO CCB</v>
          </cell>
        </row>
        <row r="2300">
          <cell r="B2300">
            <v>5334122</v>
          </cell>
          <cell r="C2300" t="str">
            <v>MVL</v>
          </cell>
          <cell r="D2300" t="str">
            <v>CRUCETA ASIMETRICA DE MADERA DE 4" X 5" X 5 PIES CON TRATAMIENTO CCB</v>
          </cell>
        </row>
        <row r="2301">
          <cell r="B2301">
            <v>5334234</v>
          </cell>
          <cell r="C2301" t="str">
            <v>MAP</v>
          </cell>
          <cell r="D2301" t="str">
            <v>CRUCETA SIMETRICA DE MADERA DE 4" X 5" X 7 PIES CON TRATAMIENTO CCB</v>
          </cell>
        </row>
        <row r="2302">
          <cell r="B2302">
            <v>5334234</v>
          </cell>
          <cell r="C2302" t="str">
            <v>MVL</v>
          </cell>
          <cell r="D2302" t="str">
            <v>CRUCETA SIMETRICA DE MADERA DE 4" X 5" X 7 PIES CON TRATAMIENTO CCB</v>
          </cell>
        </row>
        <row r="2303">
          <cell r="B2303">
            <v>5334234</v>
          </cell>
          <cell r="C2303" t="str">
            <v>MVL</v>
          </cell>
          <cell r="D2303" t="str">
            <v>CRUCETA SIMETRICA DE MADERA DE 4" X 5" X 7 PIES CON TRATAMIENTO CCB</v>
          </cell>
        </row>
        <row r="2304">
          <cell r="B2304">
            <v>5334234</v>
          </cell>
          <cell r="C2304" t="str">
            <v>MVL</v>
          </cell>
          <cell r="D2304" t="str">
            <v>CRUCETA SIMETRICA DE MADERA DE 4" X 5" X 7 PIES CON TRATAMIENTO CCB</v>
          </cell>
        </row>
        <row r="2305">
          <cell r="B2305">
            <v>5334235</v>
          </cell>
          <cell r="C2305" t="str">
            <v>MAP</v>
          </cell>
          <cell r="D2305" t="str">
            <v>CRUCETA DE MADERA DE 4" X 5" X 6 PIES CON TRATAMIENTO CCB</v>
          </cell>
        </row>
        <row r="2306">
          <cell r="B2306">
            <v>5334235</v>
          </cell>
          <cell r="C2306" t="str">
            <v>MVL</v>
          </cell>
          <cell r="D2306" t="str">
            <v>CRUCETA DE MADERA DE 4" X 5" X 6 PIES CON TRATAMIENTO CCB</v>
          </cell>
        </row>
        <row r="2307">
          <cell r="B2307">
            <v>5334240</v>
          </cell>
          <cell r="C2307" t="str">
            <v>MAP</v>
          </cell>
          <cell r="D2307" t="str">
            <v>CRUCETA DE MADERA 4" X 5" X 8 PIES CON TRATAMIENTO CCB</v>
          </cell>
        </row>
        <row r="2308">
          <cell r="B2308">
            <v>5334240</v>
          </cell>
          <cell r="C2308" t="str">
            <v>MVL</v>
          </cell>
          <cell r="D2308" t="str">
            <v>CRUCETA DE MADERA 4" X 5" X 8 PIES CON TRATAMIENTO CCB</v>
          </cell>
        </row>
        <row r="2309">
          <cell r="B2309">
            <v>5334246</v>
          </cell>
          <cell r="C2309" t="str">
            <v>MAP</v>
          </cell>
          <cell r="D2309" t="str">
            <v>CRUCETA DE MADERA 4" X 5" X 9 PIES CON TRATAMIENTO CCB</v>
          </cell>
        </row>
        <row r="2310">
          <cell r="B2310">
            <v>5334246</v>
          </cell>
          <cell r="C2310" t="str">
            <v>MVL</v>
          </cell>
          <cell r="D2310" t="str">
            <v>CRUCETA DE MADERA 4" X 5" X 9 PIES CON TRATAMIENTO CCB</v>
          </cell>
        </row>
        <row r="2311">
          <cell r="B2311">
            <v>5334246</v>
          </cell>
          <cell r="C2311" t="str">
            <v>PYE</v>
          </cell>
          <cell r="D2311" t="str">
            <v>CRUCETA DE MADERA 4" X 5" X 9 PIES CON TRATAMIENTO CCB</v>
          </cell>
        </row>
        <row r="2312">
          <cell r="B2312">
            <v>5334247</v>
          </cell>
          <cell r="C2312" t="str">
            <v>MAP</v>
          </cell>
          <cell r="D2312" t="str">
            <v>CRUC.DE MADERA 4"X5"X9PIES CREOS. VERT.DOBLE TERNA</v>
          </cell>
        </row>
        <row r="2313">
          <cell r="B2313">
            <v>5334247</v>
          </cell>
          <cell r="C2313" t="str">
            <v>MVL</v>
          </cell>
          <cell r="D2313" t="str">
            <v>CRUC.DE MADERA 4"X5"X9PIES CREOS. VERT.DOBLE TERNA</v>
          </cell>
        </row>
        <row r="2314">
          <cell r="B2314">
            <v>5334292</v>
          </cell>
          <cell r="C2314" t="str">
            <v>MAP</v>
          </cell>
          <cell r="D2314" t="str">
            <v>CRUCETA ASIMETRICA DE MADERA DE 4" X 5" X 5,58 PIES CON TRATAMIENTO CCB</v>
          </cell>
        </row>
        <row r="2315">
          <cell r="B2315">
            <v>5334292</v>
          </cell>
          <cell r="C2315" t="str">
            <v>MVL</v>
          </cell>
          <cell r="D2315" t="str">
            <v>CRUCETA ASIMETRICA DE MADERA DE 4" X 5" X 5,58 PIES CON TRATAMIENTO CCB</v>
          </cell>
        </row>
        <row r="2316">
          <cell r="B2316">
            <v>5334292</v>
          </cell>
          <cell r="C2316" t="str">
            <v>MVL</v>
          </cell>
          <cell r="D2316" t="str">
            <v>CRUCETA ASIMETRICA DE MADERA DE 4" X 5" X 5,58 PIES CON TRATAMIENTO CCB</v>
          </cell>
        </row>
        <row r="2317">
          <cell r="B2317">
            <v>5334292</v>
          </cell>
          <cell r="C2317" t="str">
            <v>MVL</v>
          </cell>
          <cell r="D2317" t="str">
            <v>CRUCETA ASIMETRICA DE MADERA DE 4" X 5" X 5,58 PIES CON TRATAMIENTO CCB</v>
          </cell>
        </row>
        <row r="2318">
          <cell r="B2318">
            <v>5334516</v>
          </cell>
          <cell r="C2318" t="str">
            <v>MAP</v>
          </cell>
          <cell r="D2318" t="str">
            <v>CRUCETA MADERA SIMPL.SOP.FUS.SECC,TERM.10KV.</v>
          </cell>
        </row>
        <row r="2319">
          <cell r="B2319">
            <v>5334516</v>
          </cell>
          <cell r="C2319" t="str">
            <v>MVL</v>
          </cell>
          <cell r="D2319" t="str">
            <v>CRUCETA MADERA SIMPL.SOP.FUS.SECC,TERM.10KV.</v>
          </cell>
        </row>
        <row r="2320">
          <cell r="B2320">
            <v>5334520</v>
          </cell>
          <cell r="C2320" t="str">
            <v>MAP</v>
          </cell>
          <cell r="D2320" t="str">
            <v>CRUCETA MADERA DOBLE P.SOP.FUS.SECC.AISL.PIN 10KV.</v>
          </cell>
        </row>
        <row r="2321">
          <cell r="B2321">
            <v>5334520</v>
          </cell>
          <cell r="C2321" t="str">
            <v>MVL</v>
          </cell>
          <cell r="D2321" t="str">
            <v>CRUCETA MADERA DOBLE P.SOP.FUS.SECC.AISL.PIN 10KV.</v>
          </cell>
        </row>
        <row r="2322">
          <cell r="B2322">
            <v>5334530</v>
          </cell>
          <cell r="C2322" t="str">
            <v>MAP</v>
          </cell>
          <cell r="D2322" t="str">
            <v>MENSULA DE MADERA 4 5/8"X3 5/8"X7PIES</v>
          </cell>
        </row>
        <row r="2323">
          <cell r="B2323">
            <v>5334530</v>
          </cell>
          <cell r="C2323" t="str">
            <v>MVL</v>
          </cell>
          <cell r="D2323" t="str">
            <v>MENSULA DE MADERA 4 5/8"X3 5/8"X7PIES</v>
          </cell>
        </row>
        <row r="2324">
          <cell r="B2324">
            <v>5334532</v>
          </cell>
          <cell r="C2324" t="str">
            <v>MAP</v>
          </cell>
          <cell r="D2324" t="str">
            <v>MENSULA DE MADERA 4 5/8"X3 5/8"X6PIES</v>
          </cell>
        </row>
        <row r="2325">
          <cell r="B2325">
            <v>5334532</v>
          </cell>
          <cell r="C2325" t="str">
            <v>MVL</v>
          </cell>
          <cell r="D2325" t="str">
            <v>MENSULA DE MADERA 4 5/8"X3 5/8"X6PIES</v>
          </cell>
        </row>
        <row r="2326">
          <cell r="B2326">
            <v>5334540</v>
          </cell>
          <cell r="C2326" t="str">
            <v>CHA</v>
          </cell>
          <cell r="D2326" t="str">
            <v>ANGULO AC.GALV.SAE1020 3/16" X1.1/2" X 1.1/2" L.AEREA</v>
          </cell>
        </row>
        <row r="2327">
          <cell r="B2327">
            <v>5334540</v>
          </cell>
          <cell r="C2327" t="str">
            <v>ELD</v>
          </cell>
          <cell r="D2327" t="str">
            <v>ANGULO AC.GALV.SAE1020 3/16" X1.1/2" X 1.1/2" L.AEREA</v>
          </cell>
        </row>
        <row r="2328">
          <cell r="B2328">
            <v>5334540</v>
          </cell>
          <cell r="C2328" t="str">
            <v>PIC</v>
          </cell>
          <cell r="D2328" t="str">
            <v>ANGULO AC.GALV.SAE1020 3/16" X1.1/2" X 1.1/2" L.AEREA</v>
          </cell>
        </row>
        <row r="2329">
          <cell r="B2329">
            <v>5334540</v>
          </cell>
          <cell r="C2329" t="str">
            <v>TAS</v>
          </cell>
          <cell r="D2329" t="str">
            <v>ANGULO AC.GALV.SAE1020 3/16" X1.1/2" X 1.1/2" L.AEREA</v>
          </cell>
        </row>
        <row r="2330">
          <cell r="B2330">
            <v>5335110</v>
          </cell>
          <cell r="C2330" t="str">
            <v>MAP</v>
          </cell>
          <cell r="D2330" t="str">
            <v>MENSULA DE MADERA DE 4" X 5" X 4 PIES CON TRATAMIENTO CCB</v>
          </cell>
        </row>
        <row r="2331">
          <cell r="B2331">
            <v>5335110</v>
          </cell>
          <cell r="C2331" t="str">
            <v>MVL</v>
          </cell>
          <cell r="D2331" t="str">
            <v>MENSULA DE MADERA DE 4" X 5" X 4 PIES CON TRATAMIENTO CCB</v>
          </cell>
        </row>
        <row r="2332">
          <cell r="B2332">
            <v>5335110</v>
          </cell>
          <cell r="C2332" t="str">
            <v>MVL</v>
          </cell>
          <cell r="D2332" t="str">
            <v>MENSULA DE MADERA DE 4" X 5" X 4 PIES CON TRATAMIENTO CCB</v>
          </cell>
        </row>
        <row r="2333">
          <cell r="B2333">
            <v>5335110</v>
          </cell>
          <cell r="C2333" t="str">
            <v>MVL</v>
          </cell>
          <cell r="D2333" t="str">
            <v>MENSULA DE MADERA DE 4" X 5" X 4 PIES CON TRATAMIENTO CCB</v>
          </cell>
        </row>
        <row r="2334">
          <cell r="B2334">
            <v>5335111</v>
          </cell>
          <cell r="C2334" t="str">
            <v>MAP</v>
          </cell>
          <cell r="D2334" t="str">
            <v>MENSULA DE MADERA DE 4" X 5" X 6 PIES CON TRATAMIENTO CCB</v>
          </cell>
        </row>
        <row r="2335">
          <cell r="B2335">
            <v>5335111</v>
          </cell>
          <cell r="C2335" t="str">
            <v>MVL</v>
          </cell>
          <cell r="D2335" t="str">
            <v>MENSULA DE MADERA DE 4" X 5" X 6 PIES CON TRATAMIENTO CCB</v>
          </cell>
        </row>
        <row r="2336">
          <cell r="B2336">
            <v>5335111</v>
          </cell>
          <cell r="C2336" t="str">
            <v>MVL</v>
          </cell>
          <cell r="D2336" t="str">
            <v>MENSULA DE MADERA DE 4" X 5" X 6 PIES CON TRATAMIENTO CCB</v>
          </cell>
        </row>
        <row r="2337">
          <cell r="B2337">
            <v>5335111</v>
          </cell>
          <cell r="C2337" t="str">
            <v>MVL</v>
          </cell>
          <cell r="D2337" t="str">
            <v>MENSULA DE MADERA DE 4" X 5" X 6 PIES CON TRATAMIENTO CCB</v>
          </cell>
        </row>
        <row r="2338">
          <cell r="B2338">
            <v>5335113</v>
          </cell>
          <cell r="C2338" t="str">
            <v>MAP</v>
          </cell>
          <cell r="D2338" t="str">
            <v>MENSULA DE MADERA DE 4" X 5" X 7 PIES CON TRATAMIENTO CCB</v>
          </cell>
        </row>
        <row r="2339">
          <cell r="B2339">
            <v>5335113</v>
          </cell>
          <cell r="C2339" t="str">
            <v>MVL</v>
          </cell>
          <cell r="D2339" t="str">
            <v>MENSULA DE MADERA DE 4" X 5" X 7 PIES CON TRATAMIENTO CCB</v>
          </cell>
        </row>
        <row r="2340">
          <cell r="B2340">
            <v>5335113</v>
          </cell>
          <cell r="C2340" t="str">
            <v>MVL</v>
          </cell>
          <cell r="D2340" t="str">
            <v>MENSULA DE MADERA DE 4" X 5" X 7 PIES CON TRATAMIENTO CCB</v>
          </cell>
        </row>
        <row r="2341">
          <cell r="B2341">
            <v>5335113</v>
          </cell>
          <cell r="C2341" t="str">
            <v>MVL</v>
          </cell>
          <cell r="D2341" t="str">
            <v>MENSULA DE MADERA DE 4" X 5" X 7 PIES CON TRATAMIENTO CCB</v>
          </cell>
        </row>
        <row r="2342">
          <cell r="B2342">
            <v>5337120</v>
          </cell>
          <cell r="C2342" t="str">
            <v>ELD</v>
          </cell>
          <cell r="D2342" t="str">
            <v>DIAGONAL ACERO GALV. 45MM X 45MM X 1,07M X 4MM</v>
          </cell>
        </row>
        <row r="2343">
          <cell r="B2343">
            <v>5337120</v>
          </cell>
          <cell r="C2343" t="str">
            <v>JSY</v>
          </cell>
          <cell r="D2343" t="str">
            <v>DIAGONAL ACERO GALV. 45MM X 45MM X 1,07M X 4MM</v>
          </cell>
        </row>
        <row r="2344">
          <cell r="B2344">
            <v>5337120</v>
          </cell>
          <cell r="C2344" t="str">
            <v>MEG</v>
          </cell>
          <cell r="D2344" t="str">
            <v>DIAGONAL ACERO GALV. 45MM X 45MM X 1,07M X 4MM</v>
          </cell>
        </row>
        <row r="2345">
          <cell r="B2345">
            <v>5337124</v>
          </cell>
          <cell r="C2345" t="str">
            <v>ELD</v>
          </cell>
          <cell r="D2345" t="str">
            <v>DIAGONAL ACERO GALV. 45MM X 45MM X 1,00M X 4MM</v>
          </cell>
        </row>
        <row r="2346">
          <cell r="B2346">
            <v>5337124</v>
          </cell>
          <cell r="C2346" t="str">
            <v>TAS</v>
          </cell>
          <cell r="D2346" t="str">
            <v>DIAGONAL ACERO GALV. 45MM X 45MM X 1,00M X 4MM</v>
          </cell>
        </row>
        <row r="2347">
          <cell r="B2347">
            <v>5337127</v>
          </cell>
          <cell r="C2347" t="str">
            <v>ELD</v>
          </cell>
          <cell r="D2347" t="str">
            <v>DIAGONAL ACERO GALV. 45MM X 45MM X 1,48M X 4MM</v>
          </cell>
        </row>
        <row r="2348">
          <cell r="B2348">
            <v>5337127</v>
          </cell>
          <cell r="C2348" t="str">
            <v>JSY</v>
          </cell>
          <cell r="D2348" t="str">
            <v>DIAGONAL ACERO GALV. 45MM X 45MM X 1,48M X 4MM</v>
          </cell>
        </row>
        <row r="2349">
          <cell r="B2349">
            <v>5337127</v>
          </cell>
          <cell r="C2349" t="str">
            <v>MEG</v>
          </cell>
          <cell r="D2349" t="str">
            <v>DIAGONAL ACERO GALV. 45MM X 45MM X 1,48M X 4MM</v>
          </cell>
        </row>
        <row r="2350">
          <cell r="B2350">
            <v>5341118</v>
          </cell>
          <cell r="C2350" t="str">
            <v>FBL</v>
          </cell>
          <cell r="D2350" t="str">
            <v>POSTE DE ACERO 6,4M X 76MM X 3,6MM C.BRIDA Y ACCESORIOS P.ENCOFRADO RECUBIERTO PRFV</v>
          </cell>
        </row>
        <row r="2351">
          <cell r="B2351">
            <v>5341118</v>
          </cell>
          <cell r="C2351" t="str">
            <v>FBP</v>
          </cell>
          <cell r="D2351" t="str">
            <v>POSTE DE ACERO 6,4M X 76MM X 3,6MM C.BRIDA Y ACCESORIOS P.ENCOFRADO RECUBIERTO PRFV</v>
          </cell>
        </row>
        <row r="2352">
          <cell r="B2352">
            <v>5341119</v>
          </cell>
          <cell r="C2352" t="str">
            <v>FBL</v>
          </cell>
          <cell r="D2352" t="str">
            <v>POSTE DE ACERO 6,4M X 76MM X 3,6MM C.BRIDA Y AGUJEROS RECUBIERTO C.FIBRA Y POLIESTER</v>
          </cell>
        </row>
        <row r="2353">
          <cell r="B2353">
            <v>5341119</v>
          </cell>
          <cell r="C2353" t="str">
            <v>FBP</v>
          </cell>
          <cell r="D2353" t="str">
            <v>POSTE DE ACERO 6,4M X 76MM X 3,6MM C.BRIDA Y AGUJEROS RECUBIERTO C.FIBRA Y POLIESTER</v>
          </cell>
        </row>
        <row r="2354">
          <cell r="B2354">
            <v>5341122</v>
          </cell>
          <cell r="C2354" t="str">
            <v>FBL</v>
          </cell>
          <cell r="D2354" t="str">
            <v>POSTE DE ACERO 6,4M X 76MM X 3,6MM C.AGUJEROS SIN BRIDA RECUBIERTO C.FIBRA Y POLIESTER</v>
          </cell>
        </row>
        <row r="2355">
          <cell r="B2355">
            <v>5341122</v>
          </cell>
          <cell r="C2355" t="str">
            <v>FBP</v>
          </cell>
          <cell r="D2355" t="str">
            <v>POSTE DE ACERO 6,4M X 76MM X 3,6MM C.AGUJEROS SIN BRIDA RECUBIERTO C.FIBRA Y POLIESTER</v>
          </cell>
        </row>
        <row r="2356">
          <cell r="B2356">
            <v>5341130</v>
          </cell>
          <cell r="C2356" t="str">
            <v>FBL</v>
          </cell>
          <cell r="D2356" t="str">
            <v>POSTE DE ACERO 6,4M X 76MM X 3,6MM SIN BRIDA RECUBIERTO C.FIBRA Y POLIESTER</v>
          </cell>
        </row>
        <row r="2357">
          <cell r="B2357">
            <v>5341130</v>
          </cell>
          <cell r="C2357" t="str">
            <v>FBP</v>
          </cell>
          <cell r="D2357" t="str">
            <v>POSTE DE ACERO 6,4M X 76MM X 3,6MM SIN BRIDA RECUBIERTO C.FIBRA Y POLIESTER</v>
          </cell>
        </row>
        <row r="2358">
          <cell r="B2358">
            <v>5341130</v>
          </cell>
          <cell r="C2358" t="str">
            <v>MEG</v>
          </cell>
          <cell r="D2358" t="str">
            <v>POSTE DE ACERO 6,4M X 76MM X 3,6MM SIN BRIDA RECUBIERTO C.FIBRA Y POLIESTER</v>
          </cell>
        </row>
        <row r="2359">
          <cell r="B2359">
            <v>5341130</v>
          </cell>
          <cell r="C2359" t="str">
            <v>TMI</v>
          </cell>
          <cell r="D2359" t="str">
            <v>POSTE DE ACERO 6,4M X 76MM X 3,6MM SIN BRIDA RECUBIERTO C.FIBRA Y POLIESTER</v>
          </cell>
        </row>
        <row r="2360">
          <cell r="B2360">
            <v>5341132</v>
          </cell>
          <cell r="C2360" t="str">
            <v>MEG</v>
          </cell>
          <cell r="D2360" t="str">
            <v>POSTE ACOMETIDA DOMICILIAR. 3.90 MT.C/CAJA ACE.GAL</v>
          </cell>
        </row>
        <row r="2361">
          <cell r="B2361">
            <v>5341132</v>
          </cell>
          <cell r="C2361" t="str">
            <v>TMI</v>
          </cell>
          <cell r="D2361" t="str">
            <v>POSTE ACOMETIDA DOMICILIAR. 3.90 MT.C/CAJA ACE.GAL</v>
          </cell>
        </row>
        <row r="2362">
          <cell r="B2362">
            <v>5343630</v>
          </cell>
          <cell r="C2362" t="str">
            <v>TMI</v>
          </cell>
          <cell r="D2362" t="str">
            <v>POSTE DE AC. (TRONCOCONICO)  24 METROS C/ACCESORIOS</v>
          </cell>
        </row>
        <row r="2363">
          <cell r="B2363">
            <v>5343630</v>
          </cell>
          <cell r="C2363" t="str">
            <v>TMX</v>
          </cell>
          <cell r="D2363" t="str">
            <v>POSTE DE AC. (TRONCOCONICO)  24 METROS C/ACCESORIOS</v>
          </cell>
        </row>
        <row r="2364">
          <cell r="B2364">
            <v>5343632</v>
          </cell>
          <cell r="C2364" t="str">
            <v>TMI</v>
          </cell>
          <cell r="D2364" t="str">
            <v>CANASTILLA FIJA PROVIS.(ACC.POSTE TRONCO CONICO)</v>
          </cell>
        </row>
        <row r="2365">
          <cell r="B2365">
            <v>5343632</v>
          </cell>
          <cell r="C2365" t="str">
            <v>TMX</v>
          </cell>
          <cell r="D2365" t="str">
            <v>CANASTILLA FIJA PROVIS.(ACC.POSTE TRONCO CONICO)</v>
          </cell>
        </row>
        <row r="2366">
          <cell r="B2366">
            <v>5347002</v>
          </cell>
          <cell r="C2366" t="str">
            <v>APW</v>
          </cell>
          <cell r="D2366" t="str">
            <v>PASTORAL AC.SAE 1009 - SAE 1010 GALV.SIMPLE 0,55/2,17/1,5"D. C/ANILLO</v>
          </cell>
        </row>
        <row r="2367">
          <cell r="B2367">
            <v>5347005</v>
          </cell>
          <cell r="C2367" t="str">
            <v>APW</v>
          </cell>
          <cell r="D2367" t="str">
            <v>PASTORAL AC.GALV. SIMPLE P.S/1.0/3.0/1.5"D. C/ANILLO SCH40</v>
          </cell>
        </row>
        <row r="2368">
          <cell r="B2368">
            <v>5347006</v>
          </cell>
          <cell r="C2368" t="str">
            <v>TNC</v>
          </cell>
          <cell r="D2368" t="str">
            <v>PASTORAL AC.GALV. SIMPLE PS 0,55/2,67/1,5" C/ANILLO</v>
          </cell>
        </row>
        <row r="2369">
          <cell r="B2369">
            <v>5347007</v>
          </cell>
          <cell r="C2369" t="str">
            <v>APW</v>
          </cell>
          <cell r="D2369" t="str">
            <v>PASTORAL.AC.GALV.SIMPLE PS/1.0/4.0/1.5"D. C/ANILLO SCH40</v>
          </cell>
        </row>
        <row r="2370">
          <cell r="B2370">
            <v>5347008</v>
          </cell>
          <cell r="C2370" t="str">
            <v>TNC</v>
          </cell>
          <cell r="D2370" t="str">
            <v>PASTORAL AC.GALV.SIMPLE PS/1.5/4.0/1.5"D. C/ANILLO SCH40</v>
          </cell>
        </row>
        <row r="2371">
          <cell r="B2371">
            <v>5347015</v>
          </cell>
          <cell r="C2371" t="str">
            <v>APW</v>
          </cell>
          <cell r="D2371" t="str">
            <v>PASTORAL DE ACERO GALV. PS / 0,275 / 1,17 / 1 1/2" ANG. 0 GRADOS</v>
          </cell>
        </row>
        <row r="2372">
          <cell r="B2372">
            <v>5347016</v>
          </cell>
          <cell r="C2372" t="str">
            <v>TNC</v>
          </cell>
          <cell r="D2372" t="str">
            <v>PASTORAL DE ACERO GALV. PS / 0,275 / 2,17 / 1 1/2" ANG. 0 GRADOS</v>
          </cell>
        </row>
        <row r="2373">
          <cell r="B2373">
            <v>5347022</v>
          </cell>
          <cell r="C2373" t="str">
            <v>APW</v>
          </cell>
          <cell r="D2373" t="str">
            <v>PASTORAL AC.GALV.SIMPLE PS/1.5/1.9/1.5"D.  C/ANILLO SCH40</v>
          </cell>
        </row>
        <row r="2374">
          <cell r="B2374">
            <v>5347040</v>
          </cell>
          <cell r="C2374" t="str">
            <v>MIM</v>
          </cell>
          <cell r="D2374" t="str">
            <v>PASTORAL SIMPLE DE ACERO GALV. PS / 0,275M / 1,07M / 1 1/2" / 0 GRADOS</v>
          </cell>
        </row>
        <row r="2375">
          <cell r="B2375">
            <v>5347041</v>
          </cell>
          <cell r="C2375" t="str">
            <v>APW</v>
          </cell>
          <cell r="D2375" t="str">
            <v>PASTORAL SIMPLE DE ACERO GALV. PS / 0,275M / 2,07M / 1 1/2" / 0 GRADOS</v>
          </cell>
        </row>
        <row r="2376">
          <cell r="B2376">
            <v>5347048</v>
          </cell>
          <cell r="C2376" t="str">
            <v>TNC</v>
          </cell>
          <cell r="D2376" t="str">
            <v>PASTORAL AC.GALV.SIMPLE PS/3.2/3.4/1.5"D. C/ANILLO SCH40</v>
          </cell>
        </row>
        <row r="2377">
          <cell r="B2377">
            <v>5347052</v>
          </cell>
          <cell r="C2377" t="str">
            <v>APW</v>
          </cell>
          <cell r="D2377" t="str">
            <v>PASTORAL DE ACERO GALV. PS / 3,20 / 4,4 / 2" ANG. 15 GRADOS</v>
          </cell>
        </row>
        <row r="2378">
          <cell r="B2378">
            <v>5347056</v>
          </cell>
          <cell r="C2378" t="str">
            <v>MIM</v>
          </cell>
          <cell r="D2378" t="str">
            <v>PASTORAL AC.GALV.SIMPLE PS/3.4/2.3/2"D. C/ANILLO SCH40</v>
          </cell>
        </row>
        <row r="2379">
          <cell r="B2379">
            <v>5347060</v>
          </cell>
          <cell r="C2379" t="str">
            <v>APW</v>
          </cell>
          <cell r="D2379" t="str">
            <v>PASTORAL AC. GALV. SIMPLE PS/3.8/3.55/2" DIA. S/ANILLO SCH 40 - ESPECIAL</v>
          </cell>
        </row>
        <row r="2380">
          <cell r="B2380">
            <v>5347062</v>
          </cell>
          <cell r="C2380" t="str">
            <v>MIM</v>
          </cell>
          <cell r="D2380" t="str">
            <v>PASTORAL AC.SAE 1009 - SAE 1010 GALV.SIMPLE 1,0/2,5/1,5"D. C/ANILLO</v>
          </cell>
        </row>
        <row r="2381">
          <cell r="B2381">
            <v>5347080</v>
          </cell>
          <cell r="C2381" t="str">
            <v>APW</v>
          </cell>
          <cell r="D2381" t="str">
            <v>PASTORAL.AC.GALV.SIMPLE PS/1.0/4.5/1.5"D. C/ANILLO SCH40</v>
          </cell>
        </row>
        <row r="2382">
          <cell r="B2382">
            <v>5347082</v>
          </cell>
          <cell r="C2382" t="str">
            <v>TNC</v>
          </cell>
          <cell r="D2382" t="str">
            <v>PASTORAL.AC.GALV.SIMPLE PS/1.0/3.5/1.5"D. C/ANILLO SCH40</v>
          </cell>
        </row>
        <row r="2383">
          <cell r="B2383">
            <v>5347088</v>
          </cell>
          <cell r="C2383" t="str">
            <v>APW</v>
          </cell>
          <cell r="D2383" t="str">
            <v>PASTORAL AO. GO. SIMPLE PS/1.5M./2.5M./1.5"DIAMETRO SCHEDULE 40  C/ANILLO</v>
          </cell>
        </row>
        <row r="2384">
          <cell r="B2384">
            <v>5347090</v>
          </cell>
          <cell r="C2384" t="str">
            <v>TNC</v>
          </cell>
          <cell r="D2384" t="str">
            <v>PASTORAL AC.GALV.SIMPLE PS/1.5/3.0/1.5"D. C/ANILLO SCH40</v>
          </cell>
        </row>
        <row r="2385">
          <cell r="B2385">
            <v>5347092</v>
          </cell>
          <cell r="C2385" t="str">
            <v>APW</v>
          </cell>
          <cell r="D2385" t="str">
            <v>PASTORAL AC.GALV.SIMPLE PS/1.5/3.5/1.5"D. C/ANILLO SCH40</v>
          </cell>
        </row>
        <row r="2386">
          <cell r="B2386">
            <v>5347094</v>
          </cell>
          <cell r="C2386" t="str">
            <v>TNC</v>
          </cell>
          <cell r="D2386" t="str">
            <v>PASTORAL.AC.GALV.SIMPLE PS/1.5/4.5/1.5"D. C/ANILLO SCH40</v>
          </cell>
        </row>
        <row r="2387">
          <cell r="B2387">
            <v>5347206</v>
          </cell>
          <cell r="C2387" t="str">
            <v>APW</v>
          </cell>
          <cell r="D2387" t="str">
            <v>PASTORAL AC GO. SIMPLE PS/0,55/1,17/1.5"D  SCH40</v>
          </cell>
        </row>
        <row r="2388">
          <cell r="B2388">
            <v>5347208</v>
          </cell>
          <cell r="C2388" t="str">
            <v>TNC</v>
          </cell>
          <cell r="D2388" t="str">
            <v>PASTORAL AC.GALV. SIMPLE PS 0,55/3,17/1,5" C/ANILLO</v>
          </cell>
        </row>
        <row r="2389">
          <cell r="B2389">
            <v>5347210</v>
          </cell>
          <cell r="C2389" t="str">
            <v>MIM</v>
          </cell>
          <cell r="D2389" t="str">
            <v>PASTORAL AC.GALV. SIMPLE PS 0,55/3,67/1,5" C/ANILLO</v>
          </cell>
        </row>
        <row r="2390">
          <cell r="B2390">
            <v>5347212</v>
          </cell>
          <cell r="C2390" t="str">
            <v>APW</v>
          </cell>
          <cell r="D2390" t="str">
            <v>PASTORAL AC.GAL.SIMPLE PS/1,89/1,74/1.5"D. SCH 40</v>
          </cell>
        </row>
        <row r="2391">
          <cell r="B2391">
            <v>5347217</v>
          </cell>
          <cell r="C2391" t="str">
            <v>APW</v>
          </cell>
          <cell r="D2391" t="str">
            <v>PASTORAL AC.SAE 1009 - SAE 1010 GALV.SIMPLE 1,89/2,74/1,5"D. C/ANILLO</v>
          </cell>
        </row>
        <row r="2392">
          <cell r="B2392">
            <v>5359772</v>
          </cell>
          <cell r="C2392" t="str">
            <v>ELD</v>
          </cell>
          <cell r="D2392" t="str">
            <v>ARANDELA CUADR.CURV.AC.GALV. 75X75X4,5MM. 22MMD.</v>
          </cell>
        </row>
        <row r="2393">
          <cell r="B2393">
            <v>5411010</v>
          </cell>
          <cell r="C2393" t="str">
            <v>AMP</v>
          </cell>
          <cell r="D2393" t="str">
            <v>CONECTOR DERIV.TP.CUÑA MINIW. AA 16/CU 1.5-6 MM2.</v>
          </cell>
        </row>
        <row r="2394">
          <cell r="B2394">
            <v>5411010</v>
          </cell>
          <cell r="C2394" t="str">
            <v>AMP</v>
          </cell>
          <cell r="D2394" t="str">
            <v>CONECTOR DERIV.TP.CUÑA MINIW. AA 16/CU 1.5-6 MM2.</v>
          </cell>
        </row>
        <row r="2395">
          <cell r="B2395">
            <v>5411010</v>
          </cell>
          <cell r="C2395" t="str">
            <v>BUR</v>
          </cell>
          <cell r="D2395" t="str">
            <v>CONECTOR DERIV.TP.CUÑA MINIW. AA 16/CU 1.5-6 MM2.</v>
          </cell>
        </row>
        <row r="2396">
          <cell r="B2396">
            <v>5411011</v>
          </cell>
          <cell r="C2396" t="str">
            <v>AMP</v>
          </cell>
          <cell r="D2396" t="str">
            <v>CONECTOR DERIV.TP.CUÑA MINIW. AA 16/CU 10 MM2.</v>
          </cell>
        </row>
        <row r="2397">
          <cell r="B2397">
            <v>5411011</v>
          </cell>
          <cell r="C2397" t="str">
            <v>AMP</v>
          </cell>
          <cell r="D2397" t="str">
            <v>CONECTOR DERIV.TP.CUÑA MINIW. AA 16/CU 10 MM2.</v>
          </cell>
        </row>
        <row r="2398">
          <cell r="B2398">
            <v>5411011</v>
          </cell>
          <cell r="C2398" t="str">
            <v>BUR</v>
          </cell>
          <cell r="D2398" t="str">
            <v>CONECTOR DERIV.TP.CUÑA MINIW. AA 16/CU 10 MM2.</v>
          </cell>
        </row>
        <row r="2399">
          <cell r="B2399">
            <v>5411012</v>
          </cell>
          <cell r="C2399" t="str">
            <v>AMP</v>
          </cell>
          <cell r="D2399" t="str">
            <v>CONECTOR DERIV.TP.CUÑA MINIW. AA 25/CU 10 MM2.</v>
          </cell>
        </row>
        <row r="2400">
          <cell r="B2400">
            <v>5411012</v>
          </cell>
          <cell r="C2400" t="str">
            <v>AMP</v>
          </cell>
          <cell r="D2400" t="str">
            <v>CONECTOR DERIV.TP.CUÑA MINIW. AA 25/CU 10 MM2.</v>
          </cell>
        </row>
        <row r="2401">
          <cell r="B2401">
            <v>5411013</v>
          </cell>
          <cell r="C2401" t="str">
            <v>AMP</v>
          </cell>
          <cell r="D2401" t="str">
            <v>CONECTOR DERV.TP.CUÑA MINIW AA 25/CU 1.5-6 MM2</v>
          </cell>
        </row>
        <row r="2402">
          <cell r="B2402">
            <v>5411013</v>
          </cell>
          <cell r="C2402" t="str">
            <v>AMP</v>
          </cell>
          <cell r="D2402" t="str">
            <v>CONECTOR DERV.TP.CUÑA MINIW AA 25/CU 1.5-6 MM2</v>
          </cell>
        </row>
        <row r="2403">
          <cell r="B2403">
            <v>5411014</v>
          </cell>
          <cell r="C2403" t="str">
            <v>AMP</v>
          </cell>
          <cell r="D2403" t="str">
            <v>CONECTOR DERIV.TP.CUÑA MINIW. AA 35/CU 10 MM2.</v>
          </cell>
        </row>
        <row r="2404">
          <cell r="B2404">
            <v>5411014</v>
          </cell>
          <cell r="C2404" t="str">
            <v>AMP</v>
          </cell>
          <cell r="D2404" t="str">
            <v>CONECTOR DERIV.TP.CUÑA MINIW. AA 35/CU 10 MM2.</v>
          </cell>
        </row>
        <row r="2405">
          <cell r="B2405">
            <v>5411014</v>
          </cell>
          <cell r="C2405" t="str">
            <v>BUR</v>
          </cell>
          <cell r="D2405" t="str">
            <v>CONECTOR DERIV.TP.CUÑA MINIW. AA 35/CU 10 MM2.</v>
          </cell>
        </row>
        <row r="2406">
          <cell r="B2406">
            <v>5411015</v>
          </cell>
          <cell r="C2406" t="str">
            <v>AMP</v>
          </cell>
          <cell r="D2406" t="str">
            <v>CONECTOR DERIV.TP.CUÑA MINIW. AA 35/CU 1.5-6 MMM2.</v>
          </cell>
        </row>
        <row r="2407">
          <cell r="B2407">
            <v>5411015</v>
          </cell>
          <cell r="C2407" t="str">
            <v>AMP</v>
          </cell>
          <cell r="D2407" t="str">
            <v>CONECTOR DERIV.TP.CUÑA MINIW. AA 35/CU 1.5-6 MMM2.</v>
          </cell>
        </row>
        <row r="2408">
          <cell r="B2408">
            <v>5411015</v>
          </cell>
          <cell r="C2408" t="str">
            <v>BUR</v>
          </cell>
          <cell r="D2408" t="str">
            <v>CONECTOR DERIV.TP.CUÑA MINIW. AA 35/CU 1.5-6 MMM2.</v>
          </cell>
        </row>
        <row r="2409">
          <cell r="B2409">
            <v>5411016</v>
          </cell>
          <cell r="C2409" t="str">
            <v>AMP</v>
          </cell>
          <cell r="D2409" t="str">
            <v>CONECTOR DERIV.TP.CUÑA MINIW. AA 50/CU 10 MM2.</v>
          </cell>
        </row>
        <row r="2410">
          <cell r="B2410">
            <v>5411016</v>
          </cell>
          <cell r="C2410" t="str">
            <v>AMP</v>
          </cell>
          <cell r="D2410" t="str">
            <v>CONECTOR DERIV.TP.CUÑA MINIW. AA 50/CU 10 MM2.</v>
          </cell>
        </row>
        <row r="2411">
          <cell r="B2411">
            <v>5411017</v>
          </cell>
          <cell r="C2411" t="str">
            <v>AMP</v>
          </cell>
          <cell r="D2411" t="str">
            <v>CONECTOR DERIV.TP.CUÑA MINIW. AA 50/CU 1.5-6 MM2.</v>
          </cell>
        </row>
        <row r="2412">
          <cell r="B2412">
            <v>5411017</v>
          </cell>
          <cell r="C2412" t="str">
            <v>AMP</v>
          </cell>
          <cell r="D2412" t="str">
            <v>CONECTOR DERIV.TP.CUÑA MINIW. AA 50/CU 1.5-6 MM2.</v>
          </cell>
        </row>
        <row r="2413">
          <cell r="B2413">
            <v>5411018</v>
          </cell>
          <cell r="C2413" t="str">
            <v>AMP</v>
          </cell>
          <cell r="D2413" t="str">
            <v>CONECTOR DERIV.TP.CUÑA MINIW. AA 70/CU 10 MM2.</v>
          </cell>
        </row>
        <row r="2414">
          <cell r="B2414">
            <v>5411018</v>
          </cell>
          <cell r="C2414" t="str">
            <v>AMP</v>
          </cell>
          <cell r="D2414" t="str">
            <v>CONECTOR DERIV.TP.CUÑA MINIW. AA 70/CU 10 MM2.</v>
          </cell>
        </row>
        <row r="2415">
          <cell r="B2415">
            <v>5411018</v>
          </cell>
          <cell r="C2415" t="str">
            <v>BUR</v>
          </cell>
          <cell r="D2415" t="str">
            <v>CONECTOR DERIV.TP.CUÑA MINIW. AA 70/CU 10 MM2.</v>
          </cell>
        </row>
        <row r="2416">
          <cell r="B2416">
            <v>5411019</v>
          </cell>
          <cell r="C2416" t="str">
            <v>AMP</v>
          </cell>
          <cell r="D2416" t="str">
            <v>CONECTOR DERIV.TP.CUÑA MINIW. AA 70/CU 1.5-6 MM2.</v>
          </cell>
        </row>
        <row r="2417">
          <cell r="B2417">
            <v>5411019</v>
          </cell>
          <cell r="C2417" t="str">
            <v>AMP</v>
          </cell>
          <cell r="D2417" t="str">
            <v>CONECTOR DERIV.TP.CUÑA MINIW. AA 70/CU 1.5-6 MM2.</v>
          </cell>
        </row>
        <row r="2418">
          <cell r="B2418">
            <v>5411019</v>
          </cell>
          <cell r="C2418" t="str">
            <v>BUR</v>
          </cell>
          <cell r="D2418" t="str">
            <v>CONECTOR DERIV.TP.CUÑA MINIW. AA 70/CU 1.5-6 MM2.</v>
          </cell>
        </row>
        <row r="2419">
          <cell r="B2419">
            <v>5411020</v>
          </cell>
          <cell r="C2419" t="str">
            <v>AMP</v>
          </cell>
          <cell r="D2419" t="str">
            <v>CONECTOR DERIV.TP.CUÑA MINIW. AA 25/CU 16 MM2.</v>
          </cell>
        </row>
        <row r="2420">
          <cell r="B2420">
            <v>5411022</v>
          </cell>
          <cell r="C2420" t="str">
            <v>AMP</v>
          </cell>
          <cell r="D2420" t="str">
            <v>CONECTOR DERIV.TP.CUÑA MINIW. AA 35/CU 16 MM2.</v>
          </cell>
        </row>
        <row r="2421">
          <cell r="B2421">
            <v>5411022</v>
          </cell>
          <cell r="C2421" t="str">
            <v>BUR</v>
          </cell>
          <cell r="D2421" t="str">
            <v>CONECTOR DERIV.TP.CUÑA MINIW. AA 35/CU 16 MM2.</v>
          </cell>
        </row>
        <row r="2422">
          <cell r="B2422">
            <v>5411024</v>
          </cell>
          <cell r="C2422" t="str">
            <v>AMP</v>
          </cell>
          <cell r="D2422" t="str">
            <v>CONECTOR DERIV.TP.CUÑA MINIW. AA 50-70/CU 16 MM2.</v>
          </cell>
        </row>
        <row r="2423">
          <cell r="B2423">
            <v>5411024</v>
          </cell>
          <cell r="C2423" t="str">
            <v>BUR</v>
          </cell>
          <cell r="D2423" t="str">
            <v>CONECTOR DERIV.TP.CUÑA MINIW. AA 50-70/CU 16 MM2.</v>
          </cell>
        </row>
        <row r="2424">
          <cell r="B2424">
            <v>5411026</v>
          </cell>
          <cell r="C2424" t="str">
            <v>AMP</v>
          </cell>
          <cell r="D2424" t="str">
            <v>CONEC.CUÑA.TP.MINIW.CU.25/25MMM2</v>
          </cell>
        </row>
        <row r="2425">
          <cell r="B2425">
            <v>5411028</v>
          </cell>
          <cell r="C2425" t="str">
            <v>AMP</v>
          </cell>
          <cell r="D2425" t="str">
            <v>CONECTOR DERIV.TP.CUÑA MINIW. AA 35/CU 25 MM2.</v>
          </cell>
        </row>
        <row r="2426">
          <cell r="B2426">
            <v>5411030</v>
          </cell>
          <cell r="C2426" t="str">
            <v>AMP</v>
          </cell>
          <cell r="D2426" t="str">
            <v>CONECTOR DERIV.TP.CUÑA MINIW. AA 50-70/CU 25 MM2.</v>
          </cell>
        </row>
        <row r="2427">
          <cell r="B2427">
            <v>5411032</v>
          </cell>
          <cell r="C2427" t="str">
            <v>AMP</v>
          </cell>
          <cell r="D2427" t="str">
            <v>CONECTOR DERIV.TP.CUÑA MINIW. AA 16/CU 16 MM2.</v>
          </cell>
        </row>
        <row r="2428">
          <cell r="B2428">
            <v>5411032</v>
          </cell>
          <cell r="C2428" t="str">
            <v>BUR</v>
          </cell>
          <cell r="D2428" t="str">
            <v>CONECTOR DERIV.TP.CUÑA MINIW. AA 16/CU 16 MM2.</v>
          </cell>
        </row>
        <row r="2429">
          <cell r="B2429">
            <v>5411034</v>
          </cell>
          <cell r="C2429" t="str">
            <v>AMP</v>
          </cell>
          <cell r="D2429" t="str">
            <v>CONECTOR DERIV.TP.CUÑA MINIW. AA 35/CU 35 MM2.</v>
          </cell>
        </row>
        <row r="2430">
          <cell r="B2430">
            <v>5411034</v>
          </cell>
          <cell r="C2430" t="str">
            <v>BUR</v>
          </cell>
          <cell r="D2430" t="str">
            <v>CONECTOR DERIV.TP.CUÑA MINIW. AA 35/CU 35 MM2.</v>
          </cell>
        </row>
        <row r="2431">
          <cell r="B2431">
            <v>5411036</v>
          </cell>
          <cell r="C2431" t="str">
            <v>AMP</v>
          </cell>
          <cell r="D2431" t="str">
            <v>CONECTOR DERIV.TP.CUÑA MINIW. AA 50-70/CU 35-50 MM2.</v>
          </cell>
        </row>
        <row r="2432">
          <cell r="B2432">
            <v>5411036</v>
          </cell>
          <cell r="C2432" t="str">
            <v>BUR</v>
          </cell>
          <cell r="D2432" t="str">
            <v>CONECTOR DERIV.TP.CUÑA MINIW. AA 50-70/CU 35-50 MM2.</v>
          </cell>
        </row>
        <row r="2433">
          <cell r="B2433">
            <v>5411040</v>
          </cell>
          <cell r="C2433" t="str">
            <v>AMP</v>
          </cell>
          <cell r="D2433" t="str">
            <v>CONECTOR DERIV.TP.CUÑA MINIW. AA 70/CU 70 MM2.</v>
          </cell>
        </row>
        <row r="2434">
          <cell r="B2434">
            <v>5411040</v>
          </cell>
          <cell r="C2434" t="str">
            <v>BUR</v>
          </cell>
          <cell r="D2434" t="str">
            <v>CONECTOR DERIV.TP.CUÑA MINIW. AA 70/CU 70 MM2.</v>
          </cell>
        </row>
        <row r="2435">
          <cell r="B2435">
            <v>5411042</v>
          </cell>
          <cell r="C2435" t="str">
            <v>AMP</v>
          </cell>
          <cell r="D2435" t="str">
            <v>CONEC. CUÑA. TP. MINIW. CU. 120/1.5-6MM2</v>
          </cell>
        </row>
        <row r="2436">
          <cell r="B2436">
            <v>5411043</v>
          </cell>
          <cell r="C2436" t="str">
            <v>AMP</v>
          </cell>
          <cell r="D2436" t="str">
            <v>CONEC. CUÑA TP. MINIW. CU. 120/10MM2</v>
          </cell>
        </row>
        <row r="2437">
          <cell r="B2437">
            <v>5411046</v>
          </cell>
          <cell r="C2437" t="str">
            <v>AMP</v>
          </cell>
          <cell r="D2437" t="str">
            <v>CONEC. CUÑA TP. MINIW. CU. 120/35MM2</v>
          </cell>
        </row>
        <row r="2438">
          <cell r="B2438">
            <v>5411047</v>
          </cell>
          <cell r="C2438" t="str">
            <v>AMP</v>
          </cell>
          <cell r="D2438" t="str">
            <v>CONEC. CUÑA TP. MINIW. CU. 120/50MM2</v>
          </cell>
        </row>
        <row r="2439">
          <cell r="B2439">
            <v>5411050</v>
          </cell>
          <cell r="C2439" t="str">
            <v>AMP</v>
          </cell>
          <cell r="D2439" t="str">
            <v>CONEC.CUÑA.TP.UDC.REF.CU.25-35/16-25MM2.</v>
          </cell>
        </row>
        <row r="2440">
          <cell r="B2440">
            <v>5411052</v>
          </cell>
          <cell r="C2440" t="str">
            <v>AMP</v>
          </cell>
          <cell r="D2440" t="str">
            <v>CONEC.CUÑA.TP.UDC.REF.CU.16/16MM2   25/10MM2</v>
          </cell>
        </row>
        <row r="2441">
          <cell r="B2441">
            <v>5411052</v>
          </cell>
          <cell r="C2441" t="str">
            <v>BUR</v>
          </cell>
          <cell r="D2441" t="str">
            <v>CONEC.CUÑA.TP.UDC.REF.CU.16/16MM2   25/10MM2</v>
          </cell>
        </row>
        <row r="2442">
          <cell r="B2442">
            <v>5411054</v>
          </cell>
          <cell r="C2442" t="str">
            <v>AMP</v>
          </cell>
          <cell r="D2442" t="str">
            <v>CONEC.CUÑA.TP.UDC.REF.CU.16/6-10MM2   25/1.5-6MM2</v>
          </cell>
        </row>
        <row r="2443">
          <cell r="B2443">
            <v>5411054</v>
          </cell>
          <cell r="C2443" t="str">
            <v>BUR</v>
          </cell>
          <cell r="D2443" t="str">
            <v>CONEC.CUÑA.TP.UDC.REF.CU.16/6-10MM2   25/1.5-6MM2</v>
          </cell>
        </row>
        <row r="2444">
          <cell r="B2444">
            <v>5411056</v>
          </cell>
          <cell r="C2444" t="str">
            <v>AMP</v>
          </cell>
          <cell r="D2444" t="str">
            <v>CONEC.CUÑA.TP.UDC.REF.CU.10/6-10MM2   16/1.5-4MM2</v>
          </cell>
        </row>
        <row r="2445">
          <cell r="B2445">
            <v>5411058</v>
          </cell>
          <cell r="C2445" t="str">
            <v>AMP</v>
          </cell>
          <cell r="D2445" t="str">
            <v>CONECTOR DE DERIVACION DE COBRE ESTANADO TP.CUNA P.CONDUCTOR DE COBRE 6 - 10 / 1,5 - 4MM2</v>
          </cell>
        </row>
        <row r="2446">
          <cell r="B2446">
            <v>5411058</v>
          </cell>
          <cell r="C2446" t="str">
            <v>BUR</v>
          </cell>
          <cell r="D2446" t="str">
            <v>CONECTOR DE DERIVACION DE COBRE ESTANADO TP.CUNA P.CONDUCTOR DE COBRE 6 - 10 / 1,5 - 4MM2</v>
          </cell>
        </row>
        <row r="2447">
          <cell r="B2447">
            <v>5411062</v>
          </cell>
          <cell r="C2447" t="str">
            <v>AMP</v>
          </cell>
          <cell r="D2447" t="str">
            <v>CONEC.CUÑA.TP.UDC.REF.CU.35/35MM2   50/16-35MM2   70/25MM2</v>
          </cell>
        </row>
        <row r="2448">
          <cell r="B2448">
            <v>5411064</v>
          </cell>
          <cell r="C2448" t="str">
            <v>AMP</v>
          </cell>
          <cell r="D2448" t="str">
            <v>CONEC.CUÑA.TP.UDC.REF.CU.35/4-10MM2   50/6MM2</v>
          </cell>
        </row>
        <row r="2449">
          <cell r="B2449">
            <v>5411064</v>
          </cell>
          <cell r="C2449" t="str">
            <v>BUR</v>
          </cell>
          <cell r="D2449" t="str">
            <v>CONEC.CUÑA.TP.UDC.REF.CU.35/4-10MM2   50/6MM2</v>
          </cell>
        </row>
        <row r="2450">
          <cell r="B2450">
            <v>5411132</v>
          </cell>
          <cell r="C2450" t="str">
            <v>BUR</v>
          </cell>
          <cell r="D2450" t="str">
            <v>CONECTOR DE DERIVACION A COMPRESION TIPO G P.CONDUCTOR DE COBRE 16-35 / 16-35MM2 P.RED AEREA</v>
          </cell>
        </row>
        <row r="2451">
          <cell r="B2451">
            <v>5411142</v>
          </cell>
          <cell r="C2451" t="str">
            <v>BUR</v>
          </cell>
          <cell r="D2451" t="str">
            <v>CONECTOR DE DERIVACION A COMPRESION TIPO G P.CONDUCTOR DE COBRE 70 / 70MM2 P.RED AEREA</v>
          </cell>
        </row>
        <row r="2452">
          <cell r="B2452">
            <v>5411162</v>
          </cell>
          <cell r="C2452" t="str">
            <v>BUR</v>
          </cell>
          <cell r="D2452" t="str">
            <v>CONECTOR BIMETALICO DE DERIVACION A COMPRESION TIPO H P.CONDUCTOR 16-35/16-35MM2 P.RED AEREA.</v>
          </cell>
        </row>
        <row r="2453">
          <cell r="B2453">
            <v>5411164</v>
          </cell>
          <cell r="C2453" t="str">
            <v>BUR</v>
          </cell>
          <cell r="D2453" t="str">
            <v>CONECTOR BIMETALICO DE DERIVACION A COMPRESION TIPO H P.CONDUCTOR 35-50 / 16-35MM2 P.RED AEREA</v>
          </cell>
        </row>
        <row r="2454">
          <cell r="B2454">
            <v>5411166</v>
          </cell>
          <cell r="C2454" t="str">
            <v>BUR</v>
          </cell>
          <cell r="D2454" t="str">
            <v>CONECTOR BIMETALICO DE DERIVACION A COMPRESION TIPO H P.CONDUCTOR 70 / 16-35MM2 P.RED AEREA</v>
          </cell>
        </row>
        <row r="2455">
          <cell r="B2455">
            <v>5411168</v>
          </cell>
          <cell r="C2455" t="str">
            <v>BUR</v>
          </cell>
          <cell r="D2455" t="str">
            <v>CONECTOR BIMETALICO DE DERIVACION A COMPRESION TIPO H P.CONDUCTOR 70 / 50-70MM2 P.RED AEREA</v>
          </cell>
        </row>
        <row r="2456">
          <cell r="B2456">
            <v>5411172</v>
          </cell>
          <cell r="C2456" t="str">
            <v>BUR</v>
          </cell>
          <cell r="D2456" t="str">
            <v>CONECTOR BIMETALICO DE DERIVACION A COMPRESION TIPO H P.CONDUCTOR 120-185/16-70MM2 P.RED AEREA</v>
          </cell>
        </row>
        <row r="2457">
          <cell r="B2457">
            <v>5411174</v>
          </cell>
          <cell r="C2457" t="str">
            <v>BUR</v>
          </cell>
          <cell r="D2457" t="str">
            <v>CONECTOR BIMETALICO DE DERIVACION A COMPRESION TIPO H P.CONDUCTOR 120-240 / 120-240MM2 P.RED AEREA</v>
          </cell>
        </row>
        <row r="2458">
          <cell r="B2458">
            <v>5411176</v>
          </cell>
          <cell r="C2458" t="str">
            <v>BUR</v>
          </cell>
          <cell r="D2458" t="str">
            <v>CONECTOR BIMETALICO DE DERIVACION A COMPRESION TIPO H P.CONDUCTOR 120-185 / 120-185MM2 P.RED AEREA</v>
          </cell>
        </row>
        <row r="2459">
          <cell r="B2459">
            <v>5411301</v>
          </cell>
          <cell r="C2459" t="str">
            <v>AMP</v>
          </cell>
          <cell r="D2459" t="str">
            <v>USAR MATRICULA NRO. &lt;5411034&gt; CONECTOR DERIV.TP.CUNA AA. 35MM2/AA. 35MM2.</v>
          </cell>
        </row>
        <row r="2460">
          <cell r="B2460">
            <v>5411305</v>
          </cell>
          <cell r="C2460" t="str">
            <v>AMP</v>
          </cell>
          <cell r="D2460" t="str">
            <v>CONECTOR DERIV. CUÑA TP. AMPACT AA 120MM2/CU-AA 35MM2</v>
          </cell>
        </row>
        <row r="2461">
          <cell r="B2461">
            <v>5411312</v>
          </cell>
          <cell r="C2461" t="str">
            <v>AMP</v>
          </cell>
          <cell r="D2461" t="str">
            <v>CONECTOR DE DERIV.TP.CU¤A AA. 70MM2/CU. 1,5MMM2.</v>
          </cell>
        </row>
        <row r="2462">
          <cell r="B2462">
            <v>5411314</v>
          </cell>
          <cell r="C2462" t="str">
            <v>AMP</v>
          </cell>
          <cell r="D2462" t="str">
            <v>CONECTOR DERIV.TP.CU¤A AA. 35MM2/CU. 1,5MM2.</v>
          </cell>
        </row>
        <row r="2463">
          <cell r="B2463">
            <v>5411327</v>
          </cell>
          <cell r="C2463" t="str">
            <v>AMP</v>
          </cell>
          <cell r="D2463" t="str">
            <v>CONECT. DERIV.TP.CUÑA  AA.50MM2/CU. 10MM2</v>
          </cell>
        </row>
        <row r="2464">
          <cell r="B2464">
            <v>5411328</v>
          </cell>
          <cell r="C2464" t="str">
            <v>AMP</v>
          </cell>
          <cell r="D2464" t="str">
            <v>CONECT.DERIV.TP.CUÑA  AA.70-50MM2/AL.35-50MM2</v>
          </cell>
        </row>
        <row r="2465">
          <cell r="B2465">
            <v>5411347</v>
          </cell>
          <cell r="C2465" t="str">
            <v>AMP</v>
          </cell>
          <cell r="D2465" t="str">
            <v>CONECT.DERIV.TP.CUÑA  AA.16MM2/CU.10MM2</v>
          </cell>
        </row>
        <row r="2466">
          <cell r="B2466">
            <v>5411351</v>
          </cell>
          <cell r="C2466" t="str">
            <v>AMP</v>
          </cell>
          <cell r="D2466" t="str">
            <v>CONECT.DERIV.TP.CUÑA  AA.16-35MM2/AL.10-25MM2</v>
          </cell>
        </row>
        <row r="2467">
          <cell r="B2467">
            <v>5411356</v>
          </cell>
          <cell r="C2467" t="str">
            <v>AMP</v>
          </cell>
          <cell r="D2467" t="str">
            <v>CONECTOR CUÑA TP. AMPACT AL 120MM2/AL 120MM2</v>
          </cell>
        </row>
        <row r="2468">
          <cell r="B2468">
            <v>5411360</v>
          </cell>
          <cell r="C2468" t="str">
            <v>AMP</v>
          </cell>
          <cell r="D2468" t="str">
            <v>CONEC. CUÑA TP. MINIW. CU. 95/1.5-6MM2</v>
          </cell>
        </row>
        <row r="2469">
          <cell r="B2469">
            <v>5411361</v>
          </cell>
          <cell r="C2469" t="str">
            <v>AMP</v>
          </cell>
          <cell r="D2469" t="str">
            <v>CONEC. CUÑA TP. MINW. CU. 95/10MM2</v>
          </cell>
        </row>
        <row r="2470">
          <cell r="B2470">
            <v>5411362</v>
          </cell>
          <cell r="C2470" t="str">
            <v>AMP</v>
          </cell>
          <cell r="D2470" t="str">
            <v>CONEC. CUÑA TP. MINIW.CU. 95/16MM2</v>
          </cell>
        </row>
        <row r="2471">
          <cell r="B2471">
            <v>5411364</v>
          </cell>
          <cell r="C2471" t="str">
            <v>AMP</v>
          </cell>
          <cell r="D2471" t="str">
            <v>CONEC. CUÑA TP. MINIW. CU. 95/25MM2</v>
          </cell>
        </row>
        <row r="2472">
          <cell r="B2472">
            <v>5411366</v>
          </cell>
          <cell r="C2472" t="str">
            <v>AMP</v>
          </cell>
          <cell r="D2472" t="str">
            <v>CONEC. CUÑA TP. MINIW. CU. 95/35MM2</v>
          </cell>
        </row>
        <row r="2473">
          <cell r="B2473">
            <v>5411367</v>
          </cell>
          <cell r="C2473" t="str">
            <v>AMP</v>
          </cell>
          <cell r="D2473" t="str">
            <v>CONEC. CUÑA TP. MINIW. CU. 95/50MM2</v>
          </cell>
        </row>
        <row r="2474">
          <cell r="B2474">
            <v>5411368</v>
          </cell>
          <cell r="C2474" t="str">
            <v>AMP</v>
          </cell>
          <cell r="D2474" t="str">
            <v>CONEC. CUÑA TP. MINIW. CU. 95/70MM2</v>
          </cell>
        </row>
        <row r="2475">
          <cell r="B2475">
            <v>5411420</v>
          </cell>
          <cell r="C2475" t="str">
            <v>BUR</v>
          </cell>
          <cell r="D2475" t="str">
            <v>CONECTOR BIMET.DERIV.A TORN.P.AA.70-120/CU16-70MM2</v>
          </cell>
        </row>
        <row r="2476">
          <cell r="B2476">
            <v>5411450</v>
          </cell>
          <cell r="C2476" t="str">
            <v>BUR</v>
          </cell>
          <cell r="D2476" t="str">
            <v>CONECTOR BIF.DERIV.A TORNILLO P. CU.16-70/16-70MM2</v>
          </cell>
        </row>
        <row r="2477">
          <cell r="B2477">
            <v>5411514</v>
          </cell>
          <cell r="C2477" t="str">
            <v>AMP</v>
          </cell>
          <cell r="D2477" t="str">
            <v>CONECTOR BIMET.FORRADO TP.PERFORACION / PIERCING P.COND.CU - AL 10 - 35 / 1,5 - 6MM2 FASE AISL.</v>
          </cell>
        </row>
        <row r="2478">
          <cell r="B2478">
            <v>5411514</v>
          </cell>
          <cell r="C2478" t="str">
            <v>BRO</v>
          </cell>
          <cell r="D2478" t="str">
            <v>CONECTOR BIMET.FORRADO TP.PERFORACION / PIERCING P.COND.CU - AL 10 - 35 / 1,5 - 6MM2 FASE AISL.</v>
          </cell>
        </row>
        <row r="2479">
          <cell r="B2479">
            <v>5411514</v>
          </cell>
          <cell r="C2479" t="str">
            <v>BUR</v>
          </cell>
          <cell r="D2479" t="str">
            <v>CONECTOR BIMET.FORRADO TP.PERFORACION / PIERCING P.COND.CU - AL 10 - 35 / 1,5 - 6MM2 FASE AISL.</v>
          </cell>
        </row>
        <row r="2480">
          <cell r="B2480">
            <v>5411514</v>
          </cell>
          <cell r="C2480" t="str">
            <v>SIM</v>
          </cell>
          <cell r="D2480" t="str">
            <v>CONECTOR BIMET.FORRADO TP.PERFORACION / PIERCING P.COND.CU - AL 10 - 35 / 1,5 - 6MM2 FASE AISL.</v>
          </cell>
        </row>
        <row r="2481">
          <cell r="B2481">
            <v>5411518</v>
          </cell>
          <cell r="C2481" t="str">
            <v>AMP</v>
          </cell>
          <cell r="D2481" t="str">
            <v>CONECTOR BIMET.FORRADO TP.PERFORACION / PIERCING P.COND.CU - AL 70 / 1,5 - 6MM2 FASE AISL.</v>
          </cell>
        </row>
        <row r="2482">
          <cell r="B2482">
            <v>5411518</v>
          </cell>
          <cell r="C2482" t="str">
            <v>BRO</v>
          </cell>
          <cell r="D2482" t="str">
            <v>CONECTOR BIMET.FORRADO TP.PERFORACION / PIERCING P.COND.CU - AL 70 / 1,5 - 6MM2 FASE AISL.</v>
          </cell>
        </row>
        <row r="2483">
          <cell r="B2483">
            <v>5411518</v>
          </cell>
          <cell r="C2483" t="str">
            <v>BUR</v>
          </cell>
          <cell r="D2483" t="str">
            <v>CONECTOR BIMET.FORRADO TP.PERFORACION / PIERCING P.COND.CU - AL 70 / 1,5 - 6MM2 FASE AISL.</v>
          </cell>
        </row>
        <row r="2484">
          <cell r="B2484">
            <v>5411518</v>
          </cell>
          <cell r="C2484" t="str">
            <v>SIM</v>
          </cell>
          <cell r="D2484" t="str">
            <v>CONECTOR BIMET.FORRADO TP.PERFORACION / PIERCING P.COND.CU - AL 70 / 1,5 - 6MM2 FASE AISL.</v>
          </cell>
        </row>
        <row r="2485">
          <cell r="B2485">
            <v>5411524</v>
          </cell>
          <cell r="C2485" t="str">
            <v>AMP</v>
          </cell>
          <cell r="D2485" t="str">
            <v>CONECTOR BIMET.FORRADO TP.PERFORACION / PIERCING P.COND.CU - AL 25 - 70 / 10 - 35MM2 FASE AISL.</v>
          </cell>
        </row>
        <row r="2486">
          <cell r="B2486">
            <v>5411524</v>
          </cell>
          <cell r="C2486" t="str">
            <v>BRO</v>
          </cell>
          <cell r="D2486" t="str">
            <v>CONECTOR BIMET.FORRADO TP.PERFORACION / PIERCING P.COND.CU - AL 25 - 70 / 10 - 35MM2 FASE AISL.</v>
          </cell>
        </row>
        <row r="2487">
          <cell r="B2487">
            <v>5411524</v>
          </cell>
          <cell r="C2487" t="str">
            <v>SIM</v>
          </cell>
          <cell r="D2487" t="str">
            <v>CONECTOR BIMET.FORRADO TP.PERFORACION / PIERCING P.COND.CU - AL 25 - 70 / 10 - 35MM2 FASE AISL.</v>
          </cell>
        </row>
        <row r="2488">
          <cell r="B2488">
            <v>5411528</v>
          </cell>
          <cell r="C2488" t="str">
            <v>AMP</v>
          </cell>
          <cell r="D2488" t="str">
            <v>CONECTOR BIMET.FORRADO TP.PERFORACION / PIERCING P.COND.CU - AL 16 / 10MM2 FASE AISL.</v>
          </cell>
        </row>
        <row r="2489">
          <cell r="B2489">
            <v>5411528</v>
          </cell>
          <cell r="C2489" t="str">
            <v>BRO</v>
          </cell>
          <cell r="D2489" t="str">
            <v>CONECTOR BIMET.FORRADO TP.PERFORACION / PIERCING P.COND.CU - AL 16 / 10MM2 FASE AISL.</v>
          </cell>
        </row>
        <row r="2490">
          <cell r="B2490">
            <v>5411528</v>
          </cell>
          <cell r="C2490" t="str">
            <v>BUR</v>
          </cell>
          <cell r="D2490" t="str">
            <v>CONECTOR BIMET.FORRADO TP.PERFORACION / PIERCING P.COND.CU - AL 16 / 10MM2 FASE AISL.</v>
          </cell>
        </row>
        <row r="2491">
          <cell r="B2491">
            <v>5411528</v>
          </cell>
          <cell r="C2491" t="str">
            <v>SIM</v>
          </cell>
          <cell r="D2491" t="str">
            <v>CONECTOR BIMET.FORRADO TP.PERFORACION / PIERCING P.COND.CU - AL 16 / 10MM2 FASE AISL.</v>
          </cell>
        </row>
        <row r="2492">
          <cell r="B2492">
            <v>5412108</v>
          </cell>
          <cell r="C2492" t="str">
            <v>BUR</v>
          </cell>
          <cell r="D2492" t="str">
            <v>UNION TUBULAR A COMPRESION P.CABLES AA 35MM2 MT.</v>
          </cell>
        </row>
        <row r="2493">
          <cell r="B2493">
            <v>5412110</v>
          </cell>
          <cell r="C2493" t="str">
            <v>BUR</v>
          </cell>
          <cell r="D2493" t="str">
            <v>UNION TUBULAR A COMPRESION P.CABLES AA 70MM2 MT.</v>
          </cell>
        </row>
        <row r="2494">
          <cell r="B2494">
            <v>5412110</v>
          </cell>
          <cell r="C2494" t="str">
            <v>TAL</v>
          </cell>
          <cell r="D2494" t="str">
            <v>UNION TUBULAR A COMPRESION P.CABLES AA 70MM2 MT.</v>
          </cell>
        </row>
        <row r="2495">
          <cell r="B2495">
            <v>5412140</v>
          </cell>
          <cell r="C2495" t="str">
            <v>BUR</v>
          </cell>
          <cell r="D2495" t="str">
            <v>UNION TUBULAR A COMPRESION P.CABLES AA 120MM2 MT.</v>
          </cell>
        </row>
        <row r="2496">
          <cell r="B2496">
            <v>5412140</v>
          </cell>
          <cell r="C2496" t="str">
            <v>TAL</v>
          </cell>
          <cell r="D2496" t="str">
            <v>UNION TUBULAR A COMPRESION P.CABLES AA 120MM2 MT.</v>
          </cell>
        </row>
        <row r="2497">
          <cell r="B2497">
            <v>5412141</v>
          </cell>
          <cell r="C2497" t="str">
            <v>BUR</v>
          </cell>
          <cell r="D2497" t="str">
            <v>UNION TUBULAR A COMPRESION P.CABLES AA 185MM2 MT.</v>
          </cell>
        </row>
        <row r="2498">
          <cell r="B2498">
            <v>5412191</v>
          </cell>
          <cell r="C2498" t="str">
            <v>BUR</v>
          </cell>
          <cell r="D2498" t="str">
            <v>UNION TUBULAR A COMPRES.P.CU.42MM2.</v>
          </cell>
        </row>
        <row r="2499">
          <cell r="B2499">
            <v>5412191</v>
          </cell>
          <cell r="C2499" t="str">
            <v>TAL</v>
          </cell>
          <cell r="D2499" t="str">
            <v>UNION TUBULAR A COMPRES.P.CU.42MM2.</v>
          </cell>
        </row>
        <row r="2500">
          <cell r="B2500">
            <v>5412304</v>
          </cell>
          <cell r="C2500" t="str">
            <v>BUR</v>
          </cell>
          <cell r="D2500" t="str">
            <v>UNION TUBULAR COMPRESION CU.P.CU.16MM2.</v>
          </cell>
        </row>
        <row r="2501">
          <cell r="B2501">
            <v>5412304</v>
          </cell>
          <cell r="C2501" t="str">
            <v>TAL</v>
          </cell>
          <cell r="D2501" t="str">
            <v>UNION TUBULAR COMPRESION CU.P.CU.16MM2.</v>
          </cell>
        </row>
        <row r="2502">
          <cell r="B2502">
            <v>5412314</v>
          </cell>
          <cell r="C2502" t="str">
            <v>BUR</v>
          </cell>
          <cell r="D2502" t="str">
            <v>UNION TUBULAR  COMPRES. CU.P.CU. 21MM2.</v>
          </cell>
        </row>
        <row r="2503">
          <cell r="B2503">
            <v>5412314</v>
          </cell>
          <cell r="C2503" t="str">
            <v>TAL</v>
          </cell>
          <cell r="D2503" t="str">
            <v>UNION TUBULAR  COMPRES. CU.P.CU. 21MM2.</v>
          </cell>
        </row>
        <row r="2504">
          <cell r="B2504">
            <v>5412320</v>
          </cell>
          <cell r="C2504" t="str">
            <v>BUR</v>
          </cell>
          <cell r="D2504" t="str">
            <v>UNION TUBULAR COMPRESION CU.P.CU.35MM2.</v>
          </cell>
        </row>
        <row r="2505">
          <cell r="B2505">
            <v>5412320</v>
          </cell>
          <cell r="C2505" t="str">
            <v>TAL</v>
          </cell>
          <cell r="D2505" t="str">
            <v>UNION TUBULAR COMPRESION CU.P.CU.35MM2.</v>
          </cell>
        </row>
        <row r="2506">
          <cell r="B2506">
            <v>5412332</v>
          </cell>
          <cell r="C2506" t="str">
            <v>BUR</v>
          </cell>
          <cell r="D2506" t="str">
            <v>UNION TUBULAR COMPRESION CU.P.CU.42 MM2.</v>
          </cell>
        </row>
        <row r="2507">
          <cell r="B2507">
            <v>5412332</v>
          </cell>
          <cell r="C2507" t="str">
            <v>TAL</v>
          </cell>
          <cell r="D2507" t="str">
            <v>UNION TUBULAR COMPRESION CU.P.CU.42 MM2.</v>
          </cell>
        </row>
        <row r="2508">
          <cell r="B2508">
            <v>5412342</v>
          </cell>
          <cell r="C2508" t="str">
            <v>BUR</v>
          </cell>
          <cell r="D2508" t="str">
            <v>UNION TUBULAR COMPRESION CU.P.CU.70MM2.</v>
          </cell>
        </row>
        <row r="2509">
          <cell r="B2509">
            <v>5412342</v>
          </cell>
          <cell r="C2509" t="str">
            <v>TAL</v>
          </cell>
          <cell r="D2509" t="str">
            <v>UNION TUBULAR COMPRESION CU.P.CU.70MM2.</v>
          </cell>
        </row>
        <row r="2510">
          <cell r="B2510">
            <v>5412362</v>
          </cell>
          <cell r="C2510" t="str">
            <v>BUR</v>
          </cell>
          <cell r="D2510" t="str">
            <v>UNION TUBULAR COMPRESION CU.P.CU.180MM2.</v>
          </cell>
        </row>
        <row r="2511">
          <cell r="B2511">
            <v>5412362</v>
          </cell>
          <cell r="C2511" t="str">
            <v>TAL</v>
          </cell>
          <cell r="D2511" t="str">
            <v>UNION TUBULAR COMPRESION CU.P.CU.180MM2.</v>
          </cell>
        </row>
        <row r="2512">
          <cell r="B2512">
            <v>5412530</v>
          </cell>
          <cell r="C2512" t="str">
            <v>FAR</v>
          </cell>
          <cell r="D2512" t="str">
            <v>UNION P.EMPALME AUTOMATICO P.CONDUCTOR CU 16MM2</v>
          </cell>
        </row>
        <row r="2513">
          <cell r="B2513">
            <v>5412530</v>
          </cell>
          <cell r="C2513" t="str">
            <v>FAR</v>
          </cell>
          <cell r="D2513" t="str">
            <v>UNION P.EMPALME AUTOMATICO P.CONDUCTOR CU 16MM2</v>
          </cell>
        </row>
        <row r="2514">
          <cell r="B2514">
            <v>5412530</v>
          </cell>
          <cell r="C2514" t="str">
            <v>MAC</v>
          </cell>
          <cell r="D2514" t="str">
            <v>UNION P.EMPALME AUTOMATICO P.CONDUCTOR CU 16MM2</v>
          </cell>
        </row>
        <row r="2515">
          <cell r="B2515">
            <v>5412534</v>
          </cell>
          <cell r="C2515" t="str">
            <v>FAR</v>
          </cell>
          <cell r="D2515" t="str">
            <v>UNION P.EMPALME AUTOMATICO P.CONDUCTOR CU 35MM2</v>
          </cell>
        </row>
        <row r="2516">
          <cell r="B2516">
            <v>5412534</v>
          </cell>
          <cell r="C2516" t="str">
            <v>FAR</v>
          </cell>
          <cell r="D2516" t="str">
            <v>UNION P.EMPALME AUTOMATICO P.CONDUCTOR CU 35MM2</v>
          </cell>
        </row>
        <row r="2517">
          <cell r="B2517">
            <v>5412534</v>
          </cell>
          <cell r="C2517" t="str">
            <v>MAC</v>
          </cell>
          <cell r="D2517" t="str">
            <v>UNION P.EMPALME AUTOMATICO P.CONDUCTOR CU 35MM2</v>
          </cell>
        </row>
        <row r="2518">
          <cell r="B2518">
            <v>5412536</v>
          </cell>
          <cell r="C2518" t="str">
            <v>FAR</v>
          </cell>
          <cell r="D2518" t="str">
            <v>UNION P.EMPALME AUTOMATICO P.CONDUCTOR CU 70MM2</v>
          </cell>
        </row>
        <row r="2519">
          <cell r="B2519">
            <v>5412536</v>
          </cell>
          <cell r="C2519" t="str">
            <v>FAR</v>
          </cell>
          <cell r="D2519" t="str">
            <v>UNION P.EMPALME AUTOMATICO P.CONDUCTOR CU 70MM2</v>
          </cell>
        </row>
        <row r="2520">
          <cell r="B2520">
            <v>5412536</v>
          </cell>
          <cell r="C2520" t="str">
            <v>MAC</v>
          </cell>
          <cell r="D2520" t="str">
            <v>UNION P.EMPALME AUTOMATICO P.CONDUCTOR CU 70MM2</v>
          </cell>
        </row>
        <row r="2521">
          <cell r="B2521">
            <v>5412539</v>
          </cell>
          <cell r="C2521" t="str">
            <v>FAR</v>
          </cell>
          <cell r="D2521" t="str">
            <v>UNION P.EMPALME AUTOMATICO P.CONDUCTOR AAAC 70MM2</v>
          </cell>
        </row>
        <row r="2522">
          <cell r="B2522">
            <v>5412539</v>
          </cell>
          <cell r="C2522" t="str">
            <v>FAR</v>
          </cell>
          <cell r="D2522" t="str">
            <v>UNION P.EMPALME AUTOMATICO P.CONDUCTOR AAAC 70MM2</v>
          </cell>
        </row>
        <row r="2523">
          <cell r="B2523">
            <v>5412539</v>
          </cell>
          <cell r="C2523" t="str">
            <v>MAC</v>
          </cell>
          <cell r="D2523" t="str">
            <v>UNION P.EMPALME AUTOMATICO P.CONDUCTOR AAAC 70MM2</v>
          </cell>
        </row>
        <row r="2524">
          <cell r="B2524">
            <v>5412540</v>
          </cell>
          <cell r="C2524" t="str">
            <v>FAR</v>
          </cell>
          <cell r="D2524" t="str">
            <v>UNION P.EMPALME AUTOMATICO P.CONDUCTOR AAAC 120MM2</v>
          </cell>
        </row>
        <row r="2525">
          <cell r="B2525">
            <v>5412540</v>
          </cell>
          <cell r="C2525" t="str">
            <v>FAR</v>
          </cell>
          <cell r="D2525" t="str">
            <v>UNION P.EMPALME AUTOMATICO P.CONDUCTOR AAAC 120MM2</v>
          </cell>
        </row>
        <row r="2526">
          <cell r="B2526">
            <v>5412540</v>
          </cell>
          <cell r="C2526" t="str">
            <v>MAC</v>
          </cell>
          <cell r="D2526" t="str">
            <v>UNION P.EMPALME AUTOMATICO P.CONDUCTOR AAAC 120MM2</v>
          </cell>
        </row>
        <row r="2527">
          <cell r="B2527">
            <v>5412543</v>
          </cell>
          <cell r="C2527" t="str">
            <v>FAR</v>
          </cell>
          <cell r="D2527" t="str">
            <v>UNION P.EMPALME AUTOMATICO P.CONDUCTOR AAAC 185MM2</v>
          </cell>
        </row>
        <row r="2528">
          <cell r="B2528">
            <v>5412543</v>
          </cell>
          <cell r="C2528" t="str">
            <v>FAR</v>
          </cell>
          <cell r="D2528" t="str">
            <v>UNION P.EMPALME AUTOMATICO P.CONDUCTOR AAAC 185MM2</v>
          </cell>
        </row>
        <row r="2529">
          <cell r="B2529">
            <v>5412545</v>
          </cell>
          <cell r="C2529" t="str">
            <v>FAR</v>
          </cell>
          <cell r="D2529" t="str">
            <v>UNION P.EMPALME AUTOMATICO P.CONDUCTOR AAAC 35MM2</v>
          </cell>
        </row>
        <row r="2530">
          <cell r="B2530">
            <v>5412545</v>
          </cell>
          <cell r="C2530" t="str">
            <v>FAR</v>
          </cell>
          <cell r="D2530" t="str">
            <v>UNION P.EMPALME AUTOMATICO P.CONDUCTOR AAAC 35MM2</v>
          </cell>
        </row>
        <row r="2531">
          <cell r="B2531">
            <v>5412545</v>
          </cell>
          <cell r="C2531" t="str">
            <v>MAC</v>
          </cell>
          <cell r="D2531" t="str">
            <v>UNION P.EMPALME AUTOMATICO P.CONDUCTOR AAAC 35MM2</v>
          </cell>
        </row>
        <row r="2532">
          <cell r="B2532">
            <v>5413681</v>
          </cell>
          <cell r="C2532" t="str">
            <v>CMD</v>
          </cell>
          <cell r="D2532" t="str">
            <v>GRAP.(EMPAL.)DOBL.VIA AA./BR.ANTICOR.491MM2 ALDREY</v>
          </cell>
        </row>
        <row r="2533">
          <cell r="B2533">
            <v>5414220</v>
          </cell>
          <cell r="C2533" t="str">
            <v>BUR</v>
          </cell>
          <cell r="D2533" t="str">
            <v>MANGUITO DE REPARACION DE ALEACION ALUMINIO P.CONDUCTOR AAAC 120MM2</v>
          </cell>
        </row>
        <row r="2534">
          <cell r="B2534">
            <v>5414720</v>
          </cell>
          <cell r="C2534" t="str">
            <v>BUR</v>
          </cell>
          <cell r="D2534" t="str">
            <v>MANGUITO DE REPARACION DE COBRE P.CONDUCTOR CU 70MM2</v>
          </cell>
        </row>
        <row r="2535">
          <cell r="B2535">
            <v>5414720</v>
          </cell>
          <cell r="C2535" t="str">
            <v>TAL</v>
          </cell>
          <cell r="D2535" t="str">
            <v>MANGUITO DE REPARACION DE COBRE P.CONDUCTOR CU 70MM2</v>
          </cell>
        </row>
        <row r="2536">
          <cell r="B2536">
            <v>5414750</v>
          </cell>
          <cell r="C2536" t="str">
            <v>RAY</v>
          </cell>
          <cell r="D2536" t="str">
            <v>CUBIERTA AISLANTE PROTECCION P.CONDUCTOR AEREO DESNUDO 35 - 185MM2 CL.25KV</v>
          </cell>
        </row>
        <row r="2537">
          <cell r="B2537">
            <v>5414762</v>
          </cell>
          <cell r="C2537" t="str">
            <v>RAY</v>
          </cell>
          <cell r="D2537" t="str">
            <v>CUBIERTA AISLANTE DE PROTECCION P.CONDUCTOR AEREO DESNUDO 4 - 25MM DIAM. CL.15KV</v>
          </cell>
        </row>
        <row r="2538">
          <cell r="B2538">
            <v>5411885</v>
          </cell>
          <cell r="C2538" t="str">
            <v>GGG</v>
          </cell>
          <cell r="D2538" t="str">
            <v>CONECTOR DE DOBLE PERNO DE AJUSTE RANGO 35-70 MM2, DISTANCIA ENTRE EJES DE PERNOS 44,45MM (1 3/4")</v>
          </cell>
        </row>
        <row r="2539">
          <cell r="B2539">
            <v>5419109</v>
          </cell>
          <cell r="C2539" t="str">
            <v>AMP</v>
          </cell>
          <cell r="D2539" t="str">
            <v>AMARRE SIMPLE DE ALUMINIO 4 AWG 1000MM LONG. P.AISLADOR PIN C.CONDUCTOR ALUMINIO HASTA 70MM2 EN M.T.</v>
          </cell>
        </row>
        <row r="2540">
          <cell r="B2540">
            <v>5419109</v>
          </cell>
          <cell r="C2540" t="str">
            <v>ELD</v>
          </cell>
          <cell r="D2540" t="str">
            <v>AMARRE SIMPLE DE ALUMINIO 4 AWG 1000MM LONG. P.AISLADOR PIN C.CONDUCTOR ALUMINIO HASTA 70MM2 EN M.T.</v>
          </cell>
        </row>
        <row r="2541">
          <cell r="B2541">
            <v>5419109</v>
          </cell>
          <cell r="C2541" t="str">
            <v>PFJ</v>
          </cell>
          <cell r="D2541" t="str">
            <v>AMARRE SIMPLE DE ALUMINIO 4 AWG 1000MM LONG. P.AISLADOR PIN C.CONDUCTOR ALUMINIO HASTA 70MM2 EN M.T.</v>
          </cell>
        </row>
        <row r="2542">
          <cell r="B2542">
            <v>5419110</v>
          </cell>
          <cell r="C2542" t="str">
            <v>AMP</v>
          </cell>
          <cell r="D2542" t="str">
            <v>AMARRE SIMPLE DE ALUMINIO 4 AWG 1000MM LONG. P.AISLADOR PIN C.CONDUCTOR ALUMINIO HASTA 70MM2 EN B.T.</v>
          </cell>
        </row>
        <row r="2543">
          <cell r="B2543">
            <v>5419110</v>
          </cell>
          <cell r="C2543" t="str">
            <v>ELD</v>
          </cell>
          <cell r="D2543" t="str">
            <v>AMARRE SIMPLE DE ALUMINIO 4 AWG 1000MM LONG. P.AISLADOR PIN C.CONDUCTOR ALUMINIO HASTA 70MM2 EN B.T.</v>
          </cell>
        </row>
        <row r="2544">
          <cell r="B2544">
            <v>5419110</v>
          </cell>
          <cell r="C2544" t="str">
            <v>PFJ</v>
          </cell>
          <cell r="D2544" t="str">
            <v>AMARRE SIMPLE DE ALUMINIO 4 AWG 1000MM LONG. P.AISLADOR PIN C.CONDUCTOR ALUMINIO HASTA 70MM2 EN B.T.</v>
          </cell>
        </row>
        <row r="2545">
          <cell r="B2545">
            <v>5419116</v>
          </cell>
          <cell r="C2545" t="str">
            <v>AMP</v>
          </cell>
          <cell r="D2545" t="str">
            <v>AMARRE DOBLE DE ALUMINIO 4 AWG 1800MM LONG. P.AISLADOR PIN C.CONDUCTOR ALUMINIO MAYOR A 70MM2 EN M.T</v>
          </cell>
        </row>
        <row r="2546">
          <cell r="B2546">
            <v>5419116</v>
          </cell>
          <cell r="C2546" t="str">
            <v>CMD</v>
          </cell>
          <cell r="D2546" t="str">
            <v>AMARRE DOBLE DE ALUMINIO 4 AWG 1800MM LONG. P.AISLADOR PIN C.CONDUCTOR ALUMINIO MAYOR A 70MM2 EN M.T</v>
          </cell>
        </row>
        <row r="2547">
          <cell r="B2547">
            <v>5419116</v>
          </cell>
          <cell r="C2547" t="str">
            <v>ELD</v>
          </cell>
          <cell r="D2547" t="str">
            <v>AMARRE DOBLE DE ALUMINIO 4 AWG 1800MM LONG. P.AISLADOR PIN C.CONDUCTOR ALUMINIO MAYOR A 70MM2 EN M.T</v>
          </cell>
        </row>
        <row r="2548">
          <cell r="B2548">
            <v>5419116</v>
          </cell>
          <cell r="C2548" t="str">
            <v>PFJ</v>
          </cell>
          <cell r="D2548" t="str">
            <v>AMARRE DOBLE DE ALUMINIO 4 AWG 1800MM LONG. P.AISLADOR PIN C.CONDUCTOR ALUMINIO MAYOR A 70MM2 EN M.T</v>
          </cell>
        </row>
        <row r="2549">
          <cell r="B2549">
            <v>5419120</v>
          </cell>
          <cell r="C2549" t="str">
            <v>DUL</v>
          </cell>
          <cell r="D2549" t="str">
            <v>AMARRE PREFORMADO P.SUJECION CABLE DE VIENTO DE ACERO GALV. 5/16" DIAM. CLASE C</v>
          </cell>
        </row>
        <row r="2550">
          <cell r="B2550">
            <v>5419120</v>
          </cell>
          <cell r="C2550" t="str">
            <v>PLP</v>
          </cell>
          <cell r="D2550" t="str">
            <v>AMARRE PREFORMADO P.SUJECION CABLE DE VIENTO DE ACERO GALV. 5/16" DIAM. CLASE C</v>
          </cell>
        </row>
        <row r="2551">
          <cell r="B2551">
            <v>5419220</v>
          </cell>
          <cell r="C2551" t="str">
            <v>DUL</v>
          </cell>
          <cell r="D2551" t="str">
            <v>AMARRE PREFORMADO TP.ALUMOWELD P.SUJECION AISLADOR TP.PIN CL.55,5 C.CONDUCTOR AAAC 70MM2</v>
          </cell>
        </row>
        <row r="2552">
          <cell r="B2552">
            <v>5419220</v>
          </cell>
          <cell r="C2552" t="str">
            <v>JPL</v>
          </cell>
          <cell r="D2552" t="str">
            <v>AMARRE PREFORMADO TP.ALUMOWELD P.SUJECION AISLADOR TP.PIN CL.55,5 C.CONDUCTOR AAAC 70MM2</v>
          </cell>
        </row>
        <row r="2553">
          <cell r="B2553">
            <v>5419220</v>
          </cell>
          <cell r="C2553" t="str">
            <v>PLP</v>
          </cell>
          <cell r="D2553" t="str">
            <v>AMARRE PREFORMADO TP.ALUMOWELD P.SUJECION AISLADOR TP.PIN CL.55,5 C.CONDUCTOR AAAC 70MM2</v>
          </cell>
        </row>
        <row r="2554">
          <cell r="B2554">
            <v>5419244</v>
          </cell>
          <cell r="C2554" t="str">
            <v>DUL</v>
          </cell>
          <cell r="D2554" t="str">
            <v>AMARRE PREFORMADO TP.ALUMOWELD P.SUJECION AISLADOR TP.PIN CL.56,2 C.CONDUCTOR AAAC 70MM2</v>
          </cell>
        </row>
        <row r="2555">
          <cell r="B2555">
            <v>5419244</v>
          </cell>
          <cell r="C2555" t="str">
            <v>JPL</v>
          </cell>
          <cell r="D2555" t="str">
            <v>AMARRE PREFORMADO TP.ALUMOWELD P.SUJECION AISLADOR TP.PIN CL.56,2 C.CONDUCTOR AAAC 70MM2</v>
          </cell>
        </row>
        <row r="2556">
          <cell r="B2556">
            <v>5419244</v>
          </cell>
          <cell r="C2556" t="str">
            <v>PLP</v>
          </cell>
          <cell r="D2556" t="str">
            <v>AMARRE PREFORMADO TP.ALUMOWELD P.SUJECION AISLADOR TP.PIN CL.56,2 C.CONDUCTOR AAAC 70MM2</v>
          </cell>
        </row>
        <row r="2557">
          <cell r="B2557">
            <v>5419410</v>
          </cell>
          <cell r="C2557" t="str">
            <v>DUL</v>
          </cell>
          <cell r="D2557" t="str">
            <v>AMARRE PREFORMADO TP.COPPERWELD P.SUJECION AISLADOR TP.PIN CL.55,5 C.CONDUCTOR CU 16MM2</v>
          </cell>
        </row>
        <row r="2558">
          <cell r="B2558">
            <v>5419410</v>
          </cell>
          <cell r="C2558" t="str">
            <v>JPL</v>
          </cell>
          <cell r="D2558" t="str">
            <v>AMARRE PREFORMADO TP.COPPERWELD P.SUJECION AISLADOR TP.PIN CL.55,5 C.CONDUCTOR CU 16MM2</v>
          </cell>
        </row>
        <row r="2559">
          <cell r="B2559">
            <v>5419428</v>
          </cell>
          <cell r="C2559" t="str">
            <v>DUL</v>
          </cell>
          <cell r="D2559" t="str">
            <v>AMARRE PREFORMADO TP.COPPERWELD P.SUJECION AISLADOR TP.PIN CL.55,5 C.CONDUCTOR CU 35MM2</v>
          </cell>
        </row>
        <row r="2560">
          <cell r="B2560">
            <v>5419428</v>
          </cell>
          <cell r="C2560" t="str">
            <v>JPL</v>
          </cell>
          <cell r="D2560" t="str">
            <v>AMARRE PREFORMADO TP.COPPERWELD P.SUJECION AISLADOR TP.PIN CL.55,5 C.CONDUCTOR CU 35MM2</v>
          </cell>
        </row>
        <row r="2561">
          <cell r="B2561">
            <v>5419450</v>
          </cell>
          <cell r="C2561" t="str">
            <v>DUL</v>
          </cell>
          <cell r="D2561" t="str">
            <v>AMARRE PREFORMADO TP.COPPERWELD P.SUJECION AISLADOR TP.PIN CL.56,2 C.CONDUCTOR CU 16MM2</v>
          </cell>
        </row>
        <row r="2562">
          <cell r="B2562">
            <v>5419450</v>
          </cell>
          <cell r="C2562" t="str">
            <v>JPL</v>
          </cell>
          <cell r="D2562" t="str">
            <v>AMARRE PREFORMADO TP.COPPERWELD P.SUJECION AISLADOR TP.PIN CL.56,2 C.CONDUCTOR CU 16MM2</v>
          </cell>
        </row>
        <row r="2563">
          <cell r="B2563">
            <v>5419478</v>
          </cell>
          <cell r="C2563" t="str">
            <v>DUL</v>
          </cell>
          <cell r="D2563" t="str">
            <v>AMARRE PREFORMADO TP.COPPERWELD P.SUJECION AISLADOR TP.PIN CL.56,2 C.CONDUCTOR CU 35MM2</v>
          </cell>
        </row>
        <row r="2564">
          <cell r="B2564">
            <v>5419478</v>
          </cell>
          <cell r="C2564" t="str">
            <v>JPL</v>
          </cell>
          <cell r="D2564" t="str">
            <v>AMARRE PREFORMADO TP.COPPERWELD P.SUJECION AISLADOR TP.PIN CL.56,2 C.CONDUCTOR CU 35MM2</v>
          </cell>
        </row>
        <row r="2565">
          <cell r="B2565">
            <v>5419822</v>
          </cell>
          <cell r="C2565" t="str">
            <v>DUL</v>
          </cell>
          <cell r="D2565" t="str">
            <v>VARILLA DE ARMAR PREFORMADO DE ALEACION DE ALUMINIO P.CONDUCTOR AAAC 120MM2</v>
          </cell>
        </row>
        <row r="2566">
          <cell r="B2566">
            <v>5419822</v>
          </cell>
          <cell r="C2566" t="str">
            <v>JPL</v>
          </cell>
          <cell r="D2566" t="str">
            <v>VARILLA DE ARMAR PREFORMADO DE ALEACION DE ALUMINIO P.CONDUCTOR AAAC 120MM2</v>
          </cell>
        </row>
        <row r="2567">
          <cell r="B2567">
            <v>5419822</v>
          </cell>
          <cell r="C2567" t="str">
            <v>PLP</v>
          </cell>
          <cell r="D2567" t="str">
            <v>VARILLA DE ARMAR PREFORMADO DE ALEACION DE ALUMINIO P.CONDUCTOR AAAC 120MM2</v>
          </cell>
        </row>
        <row r="2568">
          <cell r="B2568">
            <v>5419826</v>
          </cell>
          <cell r="C2568" t="str">
            <v>DUL</v>
          </cell>
          <cell r="D2568" t="str">
            <v>VARILLA DE ARMAR PREFORMADO DE ALEACION DE ALUMINIO P.CONDUCTOR AAAC 185MM2</v>
          </cell>
        </row>
        <row r="2569">
          <cell r="B2569">
            <v>5419826</v>
          </cell>
          <cell r="C2569" t="str">
            <v>PLP</v>
          </cell>
          <cell r="D2569" t="str">
            <v>VARILLA DE ARMAR PREFORMADO DE ALEACION DE ALUMINIO P.CONDUCTOR AAAC 185MM2</v>
          </cell>
        </row>
        <row r="2570">
          <cell r="B2570">
            <v>5421218</v>
          </cell>
          <cell r="C2570" t="str">
            <v>DUR</v>
          </cell>
          <cell r="D2570" t="str">
            <v>GRAPA SUSPENS. DE ALEAC.AL.P.COND. 70 MM2.</v>
          </cell>
        </row>
        <row r="2571">
          <cell r="B2571">
            <v>5421218</v>
          </cell>
          <cell r="C2571" t="str">
            <v>FOR</v>
          </cell>
          <cell r="D2571" t="str">
            <v>GRAPA SUSPENS. DE ALEAC.AL.P.COND. 70 MM2.</v>
          </cell>
        </row>
        <row r="2572">
          <cell r="B2572">
            <v>5421226</v>
          </cell>
          <cell r="C2572" t="str">
            <v>AND</v>
          </cell>
          <cell r="D2572" t="str">
            <v>GRAPA SUSPENS.DE ALEAC.AL.P.COND.120MM2.C/VAR.ARMADO</v>
          </cell>
        </row>
        <row r="2573">
          <cell r="B2573">
            <v>5421226</v>
          </cell>
          <cell r="C2573" t="str">
            <v>ARR</v>
          </cell>
          <cell r="D2573" t="str">
            <v>GRAPA SUSPENS.DE ALEAC.AL.P.COND.120MM2.C/VAR.ARMADO</v>
          </cell>
        </row>
        <row r="2574">
          <cell r="B2574">
            <v>5421226</v>
          </cell>
          <cell r="C2574" t="str">
            <v>BET</v>
          </cell>
          <cell r="D2574" t="str">
            <v>GRAPA SUSPENS.DE ALEAC.AL.P.COND.120MM2.C/VAR.ARMADO</v>
          </cell>
        </row>
        <row r="2575">
          <cell r="B2575">
            <v>5421226</v>
          </cell>
          <cell r="C2575" t="str">
            <v>DUR</v>
          </cell>
          <cell r="D2575" t="str">
            <v>GRAPA SUSPENS.DE ALEAC.AL.P.COND.120MM2.C/VAR.ARMADO</v>
          </cell>
        </row>
        <row r="2576">
          <cell r="B2576">
            <v>5421226</v>
          </cell>
          <cell r="C2576" t="str">
            <v>FOR</v>
          </cell>
          <cell r="D2576" t="str">
            <v>GRAPA SUSPENS.DE ALEAC.AL.P.COND.120MM2.C/VAR.ARMADO</v>
          </cell>
        </row>
        <row r="2577">
          <cell r="B2577">
            <v>5421226</v>
          </cell>
          <cell r="C2577" t="str">
            <v>NGK</v>
          </cell>
          <cell r="D2577" t="str">
            <v>GRAPA SUSPENS.DE ALEAC.AL.P.COND.120MM2.C/VAR.ARMADO</v>
          </cell>
        </row>
        <row r="2578">
          <cell r="B2578">
            <v>5421236</v>
          </cell>
          <cell r="C2578" t="str">
            <v>ARR</v>
          </cell>
          <cell r="D2578" t="str">
            <v>GRAPA SUSPENS. DE ALEAC.AL.P.COND.185MM2. C/VAR. ARMADO</v>
          </cell>
        </row>
        <row r="2579">
          <cell r="B2579">
            <v>5421236</v>
          </cell>
          <cell r="C2579" t="str">
            <v>DUR</v>
          </cell>
          <cell r="D2579" t="str">
            <v>GRAPA SUSPENS. DE ALEAC.AL.P.COND.185MM2. C/VAR. ARMADO</v>
          </cell>
        </row>
        <row r="2580">
          <cell r="B2580">
            <v>5421236</v>
          </cell>
          <cell r="C2580" t="str">
            <v>ELC</v>
          </cell>
          <cell r="D2580" t="str">
            <v>GRAPA SUSPENS. DE ALEAC.AL.P.COND.185MM2. C/VAR. ARMADO</v>
          </cell>
        </row>
        <row r="2581">
          <cell r="B2581">
            <v>5421236</v>
          </cell>
          <cell r="C2581" t="str">
            <v>FOR</v>
          </cell>
          <cell r="D2581" t="str">
            <v>GRAPA SUSPENS. DE ALEAC.AL.P.COND.185MM2. C/VAR. ARMADO</v>
          </cell>
        </row>
        <row r="2582">
          <cell r="B2582">
            <v>5421242</v>
          </cell>
          <cell r="C2582" t="str">
            <v>NGK</v>
          </cell>
          <cell r="D2582" t="str">
            <v>GRAPA SUSPENS.HO.G.P.AA.120MM2.C/VARILLA ARMADO.</v>
          </cell>
        </row>
        <row r="2583">
          <cell r="B2583">
            <v>5421242</v>
          </cell>
          <cell r="C2583" t="str">
            <v>OBC</v>
          </cell>
          <cell r="D2583" t="str">
            <v>GRAPA SUSPENS.HO.G.P.AA.120MM2.C/VARILLA ARMADO.</v>
          </cell>
        </row>
        <row r="2584">
          <cell r="B2584">
            <v>5421412</v>
          </cell>
          <cell r="C2584" t="str">
            <v>AND</v>
          </cell>
          <cell r="D2584" t="str">
            <v>GRAPA SUSPENSION BRONCE P.COND.CU.16/70MM2.</v>
          </cell>
        </row>
        <row r="2585">
          <cell r="B2585">
            <v>5421420</v>
          </cell>
          <cell r="C2585" t="str">
            <v>ELC</v>
          </cell>
          <cell r="D2585" t="str">
            <v>GRAPA SUSPENSION HO.GALV.P.CONDUC.CU.16/70MM2.</v>
          </cell>
        </row>
        <row r="2586">
          <cell r="B2586">
            <v>5421420</v>
          </cell>
          <cell r="C2586" t="str">
            <v>NGK</v>
          </cell>
          <cell r="D2586" t="str">
            <v>GRAPA SUSPENSION HO.GALV.P.CONDUC.CU.16/70MM2.</v>
          </cell>
        </row>
        <row r="2587">
          <cell r="B2587">
            <v>5421420</v>
          </cell>
          <cell r="C2587" t="str">
            <v>OBC</v>
          </cell>
          <cell r="D2587" t="str">
            <v>GRAPA SUSPENSION HO.GALV.P.CONDUC.CU.16/70MM2.</v>
          </cell>
        </row>
        <row r="2588">
          <cell r="B2588">
            <v>5422120</v>
          </cell>
          <cell r="C2588" t="str">
            <v>AND</v>
          </cell>
          <cell r="D2588" t="str">
            <v>GRAPA DE ANGULO ALEAC.AL.P.COND.AA. 35-70-120 MM2.</v>
          </cell>
        </row>
        <row r="2589">
          <cell r="B2589">
            <v>5422120</v>
          </cell>
          <cell r="C2589" t="str">
            <v>ARR</v>
          </cell>
          <cell r="D2589" t="str">
            <v>GRAPA DE ANGULO ALEAC.AL.P.COND.AA. 35-70-120 MM2.</v>
          </cell>
        </row>
        <row r="2590">
          <cell r="B2590">
            <v>5422120</v>
          </cell>
          <cell r="C2590" t="str">
            <v>BET</v>
          </cell>
          <cell r="D2590" t="str">
            <v>GRAPA DE ANGULO ALEAC.AL.P.COND.AA. 35-70-120 MM2.</v>
          </cell>
        </row>
        <row r="2591">
          <cell r="B2591">
            <v>5422120</v>
          </cell>
          <cell r="C2591" t="str">
            <v>ELC</v>
          </cell>
          <cell r="D2591" t="str">
            <v>GRAPA DE ANGULO ALEAC.AL.P.COND.AA. 35-70-120 MM2.</v>
          </cell>
        </row>
        <row r="2592">
          <cell r="B2592">
            <v>5422120</v>
          </cell>
          <cell r="C2592" t="str">
            <v>NGK</v>
          </cell>
          <cell r="D2592" t="str">
            <v>GRAPA DE ANGULO ALEAC.AL.P.COND.AA. 35-70-120 MM2.</v>
          </cell>
        </row>
        <row r="2593">
          <cell r="B2593">
            <v>5422354</v>
          </cell>
          <cell r="C2593" t="str">
            <v>AND</v>
          </cell>
          <cell r="D2593" t="str">
            <v>GRAPA DE ANGULO HO.G.P..COND.CU. 16-70 MM2.</v>
          </cell>
        </row>
        <row r="2594">
          <cell r="B2594">
            <v>5422354</v>
          </cell>
          <cell r="C2594" t="str">
            <v>NGK</v>
          </cell>
          <cell r="D2594" t="str">
            <v>GRAPA DE ANGULO HO.G.P..COND.CU. 16-70 MM2.</v>
          </cell>
        </row>
        <row r="2595">
          <cell r="B2595">
            <v>5422364</v>
          </cell>
          <cell r="C2595" t="str">
            <v>CMD</v>
          </cell>
          <cell r="D2595" t="str">
            <v>GRAPA DE UNA VIA CON 2 PERNOS GALV.CALIENTE</v>
          </cell>
        </row>
        <row r="2596">
          <cell r="B2596">
            <v>5422364</v>
          </cell>
          <cell r="C2596" t="str">
            <v>ELC</v>
          </cell>
          <cell r="D2596" t="str">
            <v>GRAPA DE UNA VIA CON 2 PERNOS GALV.CALIENTE</v>
          </cell>
        </row>
        <row r="2597">
          <cell r="B2597">
            <v>5422364</v>
          </cell>
          <cell r="C2597" t="str">
            <v>ELD</v>
          </cell>
          <cell r="D2597" t="str">
            <v>GRAPA DE UNA VIA CON 2 PERNOS GALV.CALIENTE</v>
          </cell>
        </row>
        <row r="2598">
          <cell r="B2598">
            <v>5422364</v>
          </cell>
          <cell r="C2598" t="str">
            <v>MDP</v>
          </cell>
          <cell r="D2598" t="str">
            <v>GRAPA DE UNA VIA CON 2 PERNOS GALV.CALIENTE</v>
          </cell>
        </row>
        <row r="2599">
          <cell r="B2599">
            <v>5422364</v>
          </cell>
          <cell r="C2599" t="str">
            <v>PFJ</v>
          </cell>
          <cell r="D2599" t="str">
            <v>GRAPA DE UNA VIA CON 2 PERNOS GALV.CALIENTE</v>
          </cell>
        </row>
        <row r="2600">
          <cell r="B2600">
            <v>5422364</v>
          </cell>
          <cell r="C2600" t="str">
            <v>PIC</v>
          </cell>
          <cell r="D2600" t="str">
            <v>GRAPA DE UNA VIA CON 2 PERNOS GALV.CALIENTE</v>
          </cell>
        </row>
        <row r="2601">
          <cell r="B2601">
            <v>5422366</v>
          </cell>
          <cell r="C2601" t="str">
            <v>CMD</v>
          </cell>
          <cell r="D2601" t="str">
            <v>GRAPA DE DOS VIAS CON 2 PERNOS GALV.CALIENTE</v>
          </cell>
        </row>
        <row r="2602">
          <cell r="B2602">
            <v>5422366</v>
          </cell>
          <cell r="C2602" t="str">
            <v>ELC</v>
          </cell>
          <cell r="D2602" t="str">
            <v>GRAPA DE DOS VIAS CON 2 PERNOS GALV.CALIENTE</v>
          </cell>
        </row>
        <row r="2603">
          <cell r="B2603">
            <v>5422366</v>
          </cell>
          <cell r="C2603" t="str">
            <v>ELD</v>
          </cell>
          <cell r="D2603" t="str">
            <v>GRAPA DE DOS VIAS CON 2 PERNOS GALV.CALIENTE</v>
          </cell>
        </row>
        <row r="2604">
          <cell r="B2604">
            <v>5422366</v>
          </cell>
          <cell r="C2604" t="str">
            <v>MDP</v>
          </cell>
          <cell r="D2604" t="str">
            <v>GRAPA DE DOS VIAS CON 2 PERNOS GALV.CALIENTE</v>
          </cell>
        </row>
        <row r="2605">
          <cell r="B2605">
            <v>5422366</v>
          </cell>
          <cell r="C2605" t="str">
            <v>PFJ</v>
          </cell>
          <cell r="D2605" t="str">
            <v>GRAPA DE DOS VIAS CON 2 PERNOS GALV.CALIENTE</v>
          </cell>
        </row>
        <row r="2606">
          <cell r="B2606">
            <v>5422366</v>
          </cell>
          <cell r="C2606" t="str">
            <v>PIC</v>
          </cell>
          <cell r="D2606" t="str">
            <v>GRAPA DE DOS VIAS CON 2 PERNOS GALV.CALIENTE</v>
          </cell>
        </row>
        <row r="2607">
          <cell r="B2607">
            <v>5423232</v>
          </cell>
          <cell r="C2607" t="str">
            <v>AND</v>
          </cell>
          <cell r="D2607" t="str">
            <v>GRAPA DE ANCLAJE TP.PISTOLA DE ALEACION DE ALUMINIO P.CONDUCTOR AAAC 70MM2</v>
          </cell>
        </row>
        <row r="2608">
          <cell r="B2608">
            <v>5423232</v>
          </cell>
          <cell r="C2608" t="str">
            <v>ARR</v>
          </cell>
          <cell r="D2608" t="str">
            <v>GRAPA DE ANCLAJE TP.PISTOLA DE ALEACION DE ALUMINIO P.CONDUCTOR AAAC 70MM2</v>
          </cell>
        </row>
        <row r="2609">
          <cell r="B2609">
            <v>5423232</v>
          </cell>
          <cell r="C2609" t="str">
            <v>BET</v>
          </cell>
          <cell r="D2609" t="str">
            <v>GRAPA DE ANCLAJE TP.PISTOLA DE ALEACION DE ALUMINIO P.CONDUCTOR AAAC 70MM2</v>
          </cell>
        </row>
        <row r="2610">
          <cell r="B2610">
            <v>5423232</v>
          </cell>
          <cell r="C2610" t="str">
            <v>DUR</v>
          </cell>
          <cell r="D2610" t="str">
            <v>GRAPA DE ANCLAJE TP.PISTOLA DE ALEACION DE ALUMINIO P.CONDUCTOR AAAC 70MM2</v>
          </cell>
        </row>
        <row r="2611">
          <cell r="B2611">
            <v>5423232</v>
          </cell>
          <cell r="C2611" t="str">
            <v>ELC</v>
          </cell>
          <cell r="D2611" t="str">
            <v>GRAPA DE ANCLAJE TP.PISTOLA DE ALEACION DE ALUMINIO P.CONDUCTOR AAAC 70MM2</v>
          </cell>
        </row>
        <row r="2612">
          <cell r="B2612">
            <v>5423232</v>
          </cell>
          <cell r="C2612" t="str">
            <v>FOR</v>
          </cell>
          <cell r="D2612" t="str">
            <v>GRAPA DE ANCLAJE TP.PISTOLA DE ALEACION DE ALUMINIO P.CONDUCTOR AAAC 70MM2</v>
          </cell>
        </row>
        <row r="2613">
          <cell r="B2613">
            <v>5423232</v>
          </cell>
          <cell r="C2613" t="str">
            <v>MTI</v>
          </cell>
          <cell r="D2613" t="str">
            <v>GRAPA DE ANCLAJE TP.PISTOLA DE ALEACION DE ALUMINIO P.CONDUCTOR AAAC 70MM2</v>
          </cell>
        </row>
        <row r="2614">
          <cell r="B2614">
            <v>5423254</v>
          </cell>
          <cell r="C2614" t="str">
            <v>AND</v>
          </cell>
          <cell r="D2614" t="str">
            <v>GRAPA DE ANCLAJE TP.PISTOLA DE ALEACION DE ALUMINIO P.CONDUCTOR AAAC 120MM2</v>
          </cell>
        </row>
        <row r="2615">
          <cell r="B2615">
            <v>5423254</v>
          </cell>
          <cell r="C2615" t="str">
            <v>ARR</v>
          </cell>
          <cell r="D2615" t="str">
            <v>GRAPA DE ANCLAJE TP.PISTOLA DE ALEACION DE ALUMINIO P.CONDUCTOR AAAC 120MM2</v>
          </cell>
        </row>
        <row r="2616">
          <cell r="B2616">
            <v>5423254</v>
          </cell>
          <cell r="C2616" t="str">
            <v>BET</v>
          </cell>
          <cell r="D2616" t="str">
            <v>GRAPA DE ANCLAJE TP.PISTOLA DE ALEACION DE ALUMINIO P.CONDUCTOR AAAC 120MM2</v>
          </cell>
        </row>
        <row r="2617">
          <cell r="B2617">
            <v>5423254</v>
          </cell>
          <cell r="C2617" t="str">
            <v>DUR</v>
          </cell>
          <cell r="D2617" t="str">
            <v>GRAPA DE ANCLAJE TP.PISTOLA DE ALEACION DE ALUMINIO P.CONDUCTOR AAAC 120MM2</v>
          </cell>
        </row>
        <row r="2618">
          <cell r="B2618">
            <v>5423254</v>
          </cell>
          <cell r="C2618" t="str">
            <v>ELC</v>
          </cell>
          <cell r="D2618" t="str">
            <v>GRAPA DE ANCLAJE TP.PISTOLA DE ALEACION DE ALUMINIO P.CONDUCTOR AAAC 120MM2</v>
          </cell>
        </row>
        <row r="2619">
          <cell r="B2619">
            <v>5423254</v>
          </cell>
          <cell r="C2619" t="str">
            <v>FOR</v>
          </cell>
          <cell r="D2619" t="str">
            <v>GRAPA DE ANCLAJE TP.PISTOLA DE ALEACION DE ALUMINIO P.CONDUCTOR AAAC 120MM2</v>
          </cell>
        </row>
        <row r="2620">
          <cell r="B2620">
            <v>5423254</v>
          </cell>
          <cell r="C2620" t="str">
            <v>MTI</v>
          </cell>
          <cell r="D2620" t="str">
            <v>GRAPA DE ANCLAJE TP.PISTOLA DE ALEACION DE ALUMINIO P.CONDUCTOR AAAC 120MM2</v>
          </cell>
        </row>
        <row r="2621">
          <cell r="B2621">
            <v>5423260</v>
          </cell>
          <cell r="C2621" t="str">
            <v>AND</v>
          </cell>
          <cell r="D2621" t="str">
            <v>GRAPA DE ANCLAJE TP.PISTOLA DE ALEACION DE ALUMINIO P.CONDUCTOR AAAC 185MM2</v>
          </cell>
        </row>
        <row r="2622">
          <cell r="B2622">
            <v>5423260</v>
          </cell>
          <cell r="C2622" t="str">
            <v>ARR</v>
          </cell>
          <cell r="D2622" t="str">
            <v>GRAPA DE ANCLAJE TP.PISTOLA DE ALEACION DE ALUMINIO P.CONDUCTOR AAAC 185MM2</v>
          </cell>
        </row>
        <row r="2623">
          <cell r="B2623">
            <v>5423260</v>
          </cell>
          <cell r="C2623" t="str">
            <v>BET</v>
          </cell>
          <cell r="D2623" t="str">
            <v>GRAPA DE ANCLAJE TP.PISTOLA DE ALEACION DE ALUMINIO P.CONDUCTOR AAAC 185MM2</v>
          </cell>
        </row>
        <row r="2624">
          <cell r="B2624">
            <v>5423260</v>
          </cell>
          <cell r="C2624" t="str">
            <v>DUR</v>
          </cell>
          <cell r="D2624" t="str">
            <v>GRAPA DE ANCLAJE TP.PISTOLA DE ALEACION DE ALUMINIO P.CONDUCTOR AAAC 185MM2</v>
          </cell>
        </row>
        <row r="2625">
          <cell r="B2625">
            <v>5423260</v>
          </cell>
          <cell r="C2625" t="str">
            <v>ELC</v>
          </cell>
          <cell r="D2625" t="str">
            <v>GRAPA DE ANCLAJE TP.PISTOLA DE ALEACION DE ALUMINIO P.CONDUCTOR AAAC 185MM2</v>
          </cell>
        </row>
        <row r="2626">
          <cell r="B2626">
            <v>5423260</v>
          </cell>
          <cell r="C2626" t="str">
            <v>FOR</v>
          </cell>
          <cell r="D2626" t="str">
            <v>GRAPA DE ANCLAJE TP.PISTOLA DE ALEACION DE ALUMINIO P.CONDUCTOR AAAC 185MM2</v>
          </cell>
        </row>
        <row r="2627">
          <cell r="B2627">
            <v>5423438</v>
          </cell>
          <cell r="C2627" t="str">
            <v>AND</v>
          </cell>
          <cell r="D2627" t="str">
            <v>GRAPA DE ANCLAJE TP.PISTOLA DE ACERO GALV. P.CONDUCTOR CU 16 - 70MM2</v>
          </cell>
        </row>
        <row r="2628">
          <cell r="B2628">
            <v>5423438</v>
          </cell>
          <cell r="C2628" t="str">
            <v>ARR</v>
          </cell>
          <cell r="D2628" t="str">
            <v>GRAPA DE ANCLAJE TP.PISTOLA DE ACERO GALV. P.CONDUCTOR CU 16 - 70MM2</v>
          </cell>
        </row>
        <row r="2629">
          <cell r="B2629">
            <v>5423438</v>
          </cell>
          <cell r="C2629" t="str">
            <v>ELM</v>
          </cell>
          <cell r="D2629" t="str">
            <v>GRAPA DE ANCLAJE TP.PISTOLA DE ACERO GALV. P.CONDUCTOR CU 16 - 70MM2</v>
          </cell>
        </row>
        <row r="2630">
          <cell r="B2630">
            <v>5423438</v>
          </cell>
          <cell r="C2630" t="str">
            <v>NGK</v>
          </cell>
          <cell r="D2630" t="str">
            <v>GRAPA DE ANCLAJE TP.PISTOLA DE ACERO GALV. P.CONDUCTOR CU 16 - 70MM2</v>
          </cell>
        </row>
        <row r="2631">
          <cell r="B2631">
            <v>5424416</v>
          </cell>
          <cell r="C2631" t="str">
            <v>AND</v>
          </cell>
          <cell r="D2631" t="str">
            <v>GRAPA ANCL.TP.PUÑO HO.GALV.P.CU.16/35MM2</v>
          </cell>
        </row>
        <row r="2632">
          <cell r="B2632">
            <v>5424416</v>
          </cell>
          <cell r="C2632" t="str">
            <v>NGK</v>
          </cell>
          <cell r="D2632" t="str">
            <v>GRAPA ANCL.TP.PUÑO HO.GALV.P.CU.16/35MM2</v>
          </cell>
        </row>
        <row r="2633">
          <cell r="B2633">
            <v>5424416</v>
          </cell>
          <cell r="C2633" t="str">
            <v>OBC</v>
          </cell>
          <cell r="D2633" t="str">
            <v>GRAPA ANCL.TP.PUÑO HO.GALV.P.CU.16/35MM2</v>
          </cell>
        </row>
        <row r="2634">
          <cell r="B2634">
            <v>5441220</v>
          </cell>
          <cell r="C2634" t="str">
            <v>ELC</v>
          </cell>
          <cell r="D2634" t="str">
            <v>GRILLETE DE ACERO GALV. 5/8" 82KN C.PIN Y PASADOR DE SEGURIDAD</v>
          </cell>
        </row>
        <row r="2635">
          <cell r="B2635">
            <v>5441220</v>
          </cell>
          <cell r="C2635" t="str">
            <v>ELD</v>
          </cell>
          <cell r="D2635" t="str">
            <v>GRILLETE DE ACERO GALV. 5/8" 82KN C.PIN Y PASADOR DE SEGURIDAD</v>
          </cell>
        </row>
        <row r="2636">
          <cell r="B2636">
            <v>5441220</v>
          </cell>
          <cell r="C2636" t="str">
            <v>JSY</v>
          </cell>
          <cell r="D2636" t="str">
            <v>GRILLETE DE ACERO GALV. 5/8" 82KN C.PIN Y PASADOR DE SEGURIDAD</v>
          </cell>
        </row>
        <row r="2637">
          <cell r="B2637">
            <v>5441220</v>
          </cell>
          <cell r="C2637" t="str">
            <v>NGK</v>
          </cell>
          <cell r="D2637" t="str">
            <v>GRILLETE DE ACERO GALV. 5/8" 82KN C.PIN Y PASADOR DE SEGURIDAD</v>
          </cell>
        </row>
        <row r="2638">
          <cell r="B2638">
            <v>5441232</v>
          </cell>
          <cell r="C2638" t="str">
            <v>FOR</v>
          </cell>
          <cell r="D2638" t="str">
            <v>ESLABON BOLA F-1353 NTERMEDIO DE ACERO</v>
          </cell>
        </row>
        <row r="2639">
          <cell r="B2639">
            <v>5441508</v>
          </cell>
          <cell r="C2639" t="str">
            <v>ELC</v>
          </cell>
          <cell r="D2639" t="str">
            <v>ESLABON BOLA DE ACERO GALV. 16MM DIAM. X 35 X 70MM DISTANCIA 105MM P.CADENA DE AISLADORES</v>
          </cell>
        </row>
        <row r="2640">
          <cell r="B2640">
            <v>5441620</v>
          </cell>
          <cell r="C2640" t="str">
            <v>ELD</v>
          </cell>
          <cell r="D2640" t="str">
            <v>ESLABON DOBLE TP.8 GIRATORIO DE ACERO GALV. P.FIJAR CONDUCTORES A AISLADORES EN LINEAS AREAS M.T.</v>
          </cell>
        </row>
        <row r="2641">
          <cell r="B2641">
            <v>5441620</v>
          </cell>
          <cell r="C2641" t="str">
            <v>PFJ</v>
          </cell>
          <cell r="D2641" t="str">
            <v>ESLABON DOBLE TP.8 GIRATORIO DE ACERO GALV. P.FIJAR CONDUCTORES A AISLADORES EN LINEAS AREAS M.T.</v>
          </cell>
        </row>
        <row r="2642">
          <cell r="B2642">
            <v>5441620</v>
          </cell>
          <cell r="C2642" t="str">
            <v>PIC</v>
          </cell>
          <cell r="D2642" t="str">
            <v>ESLABON DOBLE TP.8 GIRATORIO DE ACERO GALV. P.FIJAR CONDUCTORES A AISLADORES EN LINEAS AREAS M.T.</v>
          </cell>
        </row>
        <row r="2643">
          <cell r="B2643">
            <v>5442216</v>
          </cell>
          <cell r="C2643" t="str">
            <v>ARR</v>
          </cell>
          <cell r="D2643" t="str">
            <v>HORQUILLA-BOLA PARALELA AC.HO.70KN.ESFUERZO MINMO.</v>
          </cell>
        </row>
        <row r="2644">
          <cell r="B2644">
            <v>5442216</v>
          </cell>
          <cell r="C2644" t="str">
            <v>ELC</v>
          </cell>
          <cell r="D2644" t="str">
            <v>HORQUILLA-BOLA PARALELA AC.HO.70KN.ESFUERZO MINMO.</v>
          </cell>
        </row>
        <row r="2645">
          <cell r="B2645">
            <v>5442216</v>
          </cell>
          <cell r="C2645" t="str">
            <v>FOR</v>
          </cell>
          <cell r="D2645" t="str">
            <v>HORQUILLA-BOLA PARALELA AC.HO.70KN.ESFUERZO MINMO.</v>
          </cell>
        </row>
        <row r="2646">
          <cell r="B2646">
            <v>5442216</v>
          </cell>
          <cell r="C2646" t="str">
            <v>JSY</v>
          </cell>
          <cell r="D2646" t="str">
            <v>HORQUILLA-BOLA PARALELA AC.HO.70KN.ESFUERZO MINMO.</v>
          </cell>
        </row>
        <row r="2647">
          <cell r="B2647">
            <v>5442216</v>
          </cell>
          <cell r="C2647" t="str">
            <v>NGK</v>
          </cell>
          <cell r="D2647" t="str">
            <v>HORQUILLA-BOLA PARALELA AC.HO.70KN.ESFUERZO MINMO.</v>
          </cell>
        </row>
        <row r="2648">
          <cell r="B2648">
            <v>5442216</v>
          </cell>
          <cell r="C2648" t="str">
            <v>OBC</v>
          </cell>
          <cell r="D2648" t="str">
            <v>HORQUILLA-BOLA PARALELA AC.HO.70KN.ESFUERZO MINMO.</v>
          </cell>
        </row>
        <row r="2649">
          <cell r="B2649">
            <v>5443210</v>
          </cell>
          <cell r="C2649" t="str">
            <v>JSY</v>
          </cell>
          <cell r="D2649" t="str">
            <v>ROTULA HORQUILLA PARALEL.HO.G.PIN16MMD.ESF.MIN70KN</v>
          </cell>
        </row>
        <row r="2650">
          <cell r="B2650">
            <v>5443210</v>
          </cell>
          <cell r="C2650" t="str">
            <v>NGK</v>
          </cell>
          <cell r="D2650" t="str">
            <v>ROTULA HORQUILLA PARALEL.HO.G.PIN16MMD.ESF.MIN70KN</v>
          </cell>
        </row>
        <row r="2651">
          <cell r="B2651">
            <v>5443234</v>
          </cell>
          <cell r="C2651" t="str">
            <v>AND</v>
          </cell>
          <cell r="D2651" t="str">
            <v>ROTULA HORQUILLA PARALELA ACERO GALV.P.AA.120MM2.</v>
          </cell>
        </row>
        <row r="2652">
          <cell r="B2652">
            <v>5443420</v>
          </cell>
          <cell r="C2652" t="str">
            <v>ARR</v>
          </cell>
          <cell r="D2652" t="str">
            <v>ROTULA - OJAL CORTA DE H° G.C./ AGUJ. 17.5 MMD.ESF.MIN.70 KN- F-1305</v>
          </cell>
        </row>
        <row r="2653">
          <cell r="B2653">
            <v>5443420</v>
          </cell>
          <cell r="C2653" t="str">
            <v>ELC</v>
          </cell>
          <cell r="D2653" t="str">
            <v>ROTULA - OJAL CORTA DE H° G.C./ AGUJ. 17.5 MMD.ESF.MIN.70 KN- F-1305</v>
          </cell>
        </row>
        <row r="2654">
          <cell r="B2654">
            <v>5443420</v>
          </cell>
          <cell r="C2654" t="str">
            <v>FOR</v>
          </cell>
          <cell r="D2654" t="str">
            <v>ROTULA - OJAL CORTA DE H° G.C./ AGUJ. 17.5 MMD.ESF.MIN.70 KN- F-1305</v>
          </cell>
        </row>
        <row r="2655">
          <cell r="B2655">
            <v>5443420</v>
          </cell>
          <cell r="C2655" t="str">
            <v>JSY</v>
          </cell>
          <cell r="D2655" t="str">
            <v>ROTULA - OJAL CORTA DE H° G.C./ AGUJ. 17.5 MMD.ESF.MIN.70 KN- F-1305</v>
          </cell>
        </row>
        <row r="2656">
          <cell r="B2656">
            <v>5443420</v>
          </cell>
          <cell r="C2656" t="str">
            <v>NGK</v>
          </cell>
          <cell r="D2656" t="str">
            <v>ROTULA - OJAL CORTA DE H° G.C./ AGUJ. 17.5 MMD.ESF.MIN.70 KN- F-1305</v>
          </cell>
        </row>
        <row r="2657">
          <cell r="B2657">
            <v>5443610</v>
          </cell>
          <cell r="C2657" t="str">
            <v>ARR</v>
          </cell>
          <cell r="D2657" t="str">
            <v>ROTULA OJAL LARGA HO.G.C/AGUJ.17.5MMD.ESF.MIN.70KN</v>
          </cell>
        </row>
        <row r="2658">
          <cell r="B2658">
            <v>5443610</v>
          </cell>
          <cell r="C2658" t="str">
            <v>ELC</v>
          </cell>
          <cell r="D2658" t="str">
            <v>ROTULA OJAL LARGA HO.G.C/AGUJ.17.5MMD.ESF.MIN.70KN</v>
          </cell>
        </row>
        <row r="2659">
          <cell r="B2659">
            <v>5443610</v>
          </cell>
          <cell r="C2659" t="str">
            <v>FOR</v>
          </cell>
          <cell r="D2659" t="str">
            <v>ROTULA OJAL LARGA HO.G.C/AGUJ.17.5MMD.ESF.MIN.70KN</v>
          </cell>
        </row>
        <row r="2660">
          <cell r="B2660">
            <v>5443610</v>
          </cell>
          <cell r="C2660" t="str">
            <v>JSY</v>
          </cell>
          <cell r="D2660" t="str">
            <v>ROTULA OJAL LARGA HO.G.C/AGUJ.17.5MMD.ESF.MIN.70KN</v>
          </cell>
        </row>
        <row r="2661">
          <cell r="B2661">
            <v>5443610</v>
          </cell>
          <cell r="C2661" t="str">
            <v>NGK</v>
          </cell>
          <cell r="D2661" t="str">
            <v>ROTULA OJAL LARGA HO.G.C/AGUJ.17.5MMD.ESF.MIN.70KN</v>
          </cell>
        </row>
        <row r="2662">
          <cell r="B2662">
            <v>5445410</v>
          </cell>
          <cell r="C2662" t="str">
            <v>NGK</v>
          </cell>
          <cell r="D2662" t="str">
            <v>EXTENSION AC.GALV. 17.5MMDX160MML 10KV.</v>
          </cell>
        </row>
        <row r="2663">
          <cell r="B2663">
            <v>5461237</v>
          </cell>
          <cell r="C2663" t="str">
            <v>ELD</v>
          </cell>
          <cell r="D2663" t="str">
            <v>ARANDELA CUADRADA PLANA DE ACERO GALV. 75 X 4,5MM C.AGUJERO 21MM DIAM</v>
          </cell>
        </row>
        <row r="2664">
          <cell r="B2664">
            <v>5461238</v>
          </cell>
          <cell r="C2664" t="str">
            <v>CMD</v>
          </cell>
          <cell r="D2664" t="str">
            <v>ARANDELA CUADRADA PLANA DE ACERO GALV. 55 X 4,5MM C.AGUJERO 17,5MM DIAM</v>
          </cell>
        </row>
        <row r="2665">
          <cell r="B2665">
            <v>5461238</v>
          </cell>
          <cell r="C2665" t="str">
            <v>ELD</v>
          </cell>
          <cell r="D2665" t="str">
            <v>ARANDELA CUADRADA PLANA DE ACERO GALV. 55 X 4,5MM C.AGUJERO 17,5MM DIAM</v>
          </cell>
        </row>
        <row r="2666">
          <cell r="B2666">
            <v>5461238</v>
          </cell>
          <cell r="C2666" t="str">
            <v>PFJ</v>
          </cell>
          <cell r="D2666" t="str">
            <v>ARANDELA CUADRADA PLANA DE ACERO GALV. 55 X 4,5MM C.AGUJERO 17,5MM DIAM</v>
          </cell>
        </row>
        <row r="2667">
          <cell r="B2667">
            <v>5461238</v>
          </cell>
          <cell r="C2667" t="str">
            <v>PIC</v>
          </cell>
          <cell r="D2667" t="str">
            <v>ARANDELA CUADRADA PLANA DE ACERO GALV. 55 X 4,5MM C.AGUJERO 17,5MM DIAM</v>
          </cell>
        </row>
        <row r="2668">
          <cell r="B2668">
            <v>5461334</v>
          </cell>
          <cell r="C2668" t="str">
            <v>CIN</v>
          </cell>
          <cell r="D2668" t="str">
            <v>ARANDELA CUADRADA PLANA DE BRONCE 75 X 75 X 13MM C.AGUJERO 21MM DIAM</v>
          </cell>
        </row>
        <row r="2669">
          <cell r="B2669">
            <v>5461334</v>
          </cell>
          <cell r="C2669" t="str">
            <v>CMD</v>
          </cell>
          <cell r="D2669" t="str">
            <v>ARANDELA CUADRADA PLANA DE BRONCE 75 X 75 X 13MM C.AGUJERO 21MM DIAM</v>
          </cell>
        </row>
        <row r="2670">
          <cell r="B2670">
            <v>5461334</v>
          </cell>
          <cell r="C2670" t="str">
            <v>CPW</v>
          </cell>
          <cell r="D2670" t="str">
            <v>ARANDELA CUADRADA PLANA DE BRONCE 75 X 75 X 13MM C.AGUJERO 21MM DIAM</v>
          </cell>
        </row>
        <row r="2671">
          <cell r="B2671">
            <v>5461334</v>
          </cell>
          <cell r="C2671" t="str">
            <v>ELD</v>
          </cell>
          <cell r="D2671" t="str">
            <v>ARANDELA CUADRADA PLANA DE BRONCE 75 X 75 X 13MM C.AGUJERO 21MM DIAM</v>
          </cell>
        </row>
        <row r="2672">
          <cell r="B2672">
            <v>5461334</v>
          </cell>
          <cell r="C2672" t="str">
            <v>JSY</v>
          </cell>
          <cell r="D2672" t="str">
            <v>ARANDELA CUADRADA PLANA DE BRONCE 75 X 75 X 13MM C.AGUJERO 21MM DIAM</v>
          </cell>
        </row>
        <row r="2673">
          <cell r="B2673">
            <v>5461504</v>
          </cell>
          <cell r="C2673" t="str">
            <v>ELD</v>
          </cell>
          <cell r="D2673" t="str">
            <v>ARANDELA CUADRADA CURVA DE ACERO GALV. 40 X 40 X 5MM C.AGUJERO 14MM DIAM</v>
          </cell>
        </row>
        <row r="2674">
          <cell r="B2674">
            <v>5461504</v>
          </cell>
          <cell r="C2674" t="str">
            <v>PFJ</v>
          </cell>
          <cell r="D2674" t="str">
            <v>ARANDELA CUADRADA CURVA DE ACERO GALV. 40 X 40 X 5MM C.AGUJERO 14MM DIAM</v>
          </cell>
        </row>
        <row r="2675">
          <cell r="B2675">
            <v>5461504</v>
          </cell>
          <cell r="C2675" t="str">
            <v>PIC</v>
          </cell>
          <cell r="D2675" t="str">
            <v>ARANDELA CUADRADA CURVA DE ACERO GALV. 40 X 40 X 5MM C.AGUJERO 14MM DIAM</v>
          </cell>
        </row>
        <row r="2676">
          <cell r="B2676">
            <v>5461510</v>
          </cell>
          <cell r="C2676" t="str">
            <v>CMD</v>
          </cell>
          <cell r="D2676" t="str">
            <v>ARANDELA CUADRADA CURVA DE ACERO GALV. 55 X 5MM C.AGUJERO 17,5MM DIAM</v>
          </cell>
        </row>
        <row r="2677">
          <cell r="B2677">
            <v>5461510</v>
          </cell>
          <cell r="C2677" t="str">
            <v>ELD</v>
          </cell>
          <cell r="D2677" t="str">
            <v>ARANDELA CUADRADA CURVA DE ACERO GALV. 55 X 5MM C.AGUJERO 17,5MM DIAM</v>
          </cell>
        </row>
        <row r="2678">
          <cell r="B2678">
            <v>5461510</v>
          </cell>
          <cell r="C2678" t="str">
            <v>PFJ</v>
          </cell>
          <cell r="D2678" t="str">
            <v>ARANDELA CUADRADA CURVA DE ACERO GALV. 55 X 5MM C.AGUJERO 17,5MM DIAM</v>
          </cell>
        </row>
        <row r="2679">
          <cell r="B2679">
            <v>5461510</v>
          </cell>
          <cell r="C2679" t="str">
            <v>PFJ</v>
          </cell>
          <cell r="D2679" t="str">
            <v>ARANDELA CUADRADA CURVA DE ACERO GALV. 55 X 5MM C.AGUJERO 17,5MM DIAM</v>
          </cell>
        </row>
        <row r="2680">
          <cell r="B2680">
            <v>5461510</v>
          </cell>
          <cell r="C2680" t="str">
            <v>PIC</v>
          </cell>
          <cell r="D2680" t="str">
            <v>ARANDELA CUADRADA CURVA DE ACERO GALV. 55 X 5MM C.AGUJERO 17,5MM DIAM</v>
          </cell>
        </row>
        <row r="2681">
          <cell r="B2681">
            <v>5461536</v>
          </cell>
          <cell r="C2681" t="str">
            <v>CMD</v>
          </cell>
          <cell r="D2681" t="str">
            <v>ARANDELA CUADRADA CURVA DE ACERO GALV. 3" X 3" X 3/16" C.AGUJERO 11/16" DIAM</v>
          </cell>
        </row>
        <row r="2682">
          <cell r="B2682">
            <v>5461536</v>
          </cell>
          <cell r="C2682" t="str">
            <v>ELD</v>
          </cell>
          <cell r="D2682" t="str">
            <v>ARANDELA CUADRADA CURVA DE ACERO GALV. 3" X 3" X 3/16" C.AGUJERO 11/16" DIAM</v>
          </cell>
        </row>
        <row r="2683">
          <cell r="B2683">
            <v>5461536</v>
          </cell>
          <cell r="C2683" t="str">
            <v>PFJ</v>
          </cell>
          <cell r="D2683" t="str">
            <v>ARANDELA CUADRADA CURVA DE ACERO GALV. 3" X 3" X 3/16" C.AGUJERO 11/16" DIAM</v>
          </cell>
        </row>
        <row r="2684">
          <cell r="B2684">
            <v>5461536</v>
          </cell>
          <cell r="C2684" t="str">
            <v>PIC</v>
          </cell>
          <cell r="D2684" t="str">
            <v>ARANDELA CUADRADA CURVA DE ACERO GALV. 3" X 3" X 3/16" C.AGUJERO 11/16" DIAM</v>
          </cell>
        </row>
        <row r="2685">
          <cell r="B2685">
            <v>5462140</v>
          </cell>
          <cell r="C2685" t="str">
            <v>CMD</v>
          </cell>
          <cell r="D2685" t="str">
            <v>SOPORTE PASANTE ACERO GALV. 350MM LONG. 1 3/8" DIAM. P.AISLADORES TP.PIN C.ACCESORIOS</v>
          </cell>
        </row>
        <row r="2686">
          <cell r="B2686">
            <v>5462140</v>
          </cell>
          <cell r="C2686" t="str">
            <v>ELD</v>
          </cell>
          <cell r="D2686" t="str">
            <v>SOPORTE PASANTE ACERO GALV. 350MM LONG. 1 3/8" DIAM. P.AISLADORES TP.PIN C.ACCESORIOS</v>
          </cell>
        </row>
        <row r="2687">
          <cell r="B2687">
            <v>5462140</v>
          </cell>
          <cell r="C2687" t="str">
            <v>KSH</v>
          </cell>
          <cell r="D2687" t="str">
            <v>SOPORTE PASANTE ACERO GALV. 350MM LONG. 1 3/8" DIAM. P.AISLADORES TP.PIN C.ACCESORIOS</v>
          </cell>
        </row>
        <row r="2688">
          <cell r="B2688">
            <v>5462145</v>
          </cell>
          <cell r="C2688" t="str">
            <v>ELD</v>
          </cell>
          <cell r="D2688" t="str">
            <v>SOPORTE PASANTE ACERO GALV. 201MM LONG. 22MM / 3/4" DIAM. P.AISLADORES TP.PIN C.ACCESORIOS</v>
          </cell>
        </row>
        <row r="2689">
          <cell r="B2689">
            <v>5462240</v>
          </cell>
          <cell r="C2689" t="str">
            <v>CHN</v>
          </cell>
          <cell r="D2689" t="str">
            <v>SOPORTE LATERAL AC.GALV.34,9MMD.P.AISL.56.2  10KV.</v>
          </cell>
        </row>
        <row r="2690">
          <cell r="B2690">
            <v>5462240</v>
          </cell>
          <cell r="C2690" t="str">
            <v>JSY</v>
          </cell>
          <cell r="D2690" t="str">
            <v>SOPORTE LATERAL AC.GALV.34,9MMD.P.AISL.56.2  10KV.</v>
          </cell>
        </row>
        <row r="2691">
          <cell r="B2691">
            <v>5462245</v>
          </cell>
          <cell r="C2691" t="str">
            <v>COR</v>
          </cell>
          <cell r="D2691" t="str">
            <v>SOPORTE LATERAL PARA AISLADOR  HIBRIDO PIN 10KV.</v>
          </cell>
        </row>
        <row r="2692">
          <cell r="B2692">
            <v>5462245</v>
          </cell>
          <cell r="C2692" t="str">
            <v>ELD</v>
          </cell>
          <cell r="D2692" t="str">
            <v>SOPORTE LATERAL PARA AISLADOR  HIBRIDO PIN 10KV.</v>
          </cell>
        </row>
        <row r="2693">
          <cell r="B2693">
            <v>5462246</v>
          </cell>
          <cell r="C2693" t="str">
            <v>COR</v>
          </cell>
          <cell r="D2693" t="str">
            <v>SOPORTE LATERAL DE ACERO GALV. P.AISLADOR TP.PIN HIBRIDO O POLIMERICO 22,9KV</v>
          </cell>
        </row>
        <row r="2694">
          <cell r="B2694">
            <v>5462246</v>
          </cell>
          <cell r="C2694" t="str">
            <v>ELD</v>
          </cell>
          <cell r="D2694" t="str">
            <v>SOPORTE LATERAL DE ACERO GALV. P.AISLADOR TP.PIN HIBRIDO O POLIMERICO 22,9KV</v>
          </cell>
        </row>
        <row r="2695">
          <cell r="B2695">
            <v>5463110</v>
          </cell>
          <cell r="C2695" t="str">
            <v>ABH</v>
          </cell>
          <cell r="D2695" t="str">
            <v>VARILLA ROSCADA AC.GALV. 16MMD. X 250MML. L.AEREAS</v>
          </cell>
        </row>
        <row r="2696">
          <cell r="B2696">
            <v>5463110</v>
          </cell>
          <cell r="C2696" t="str">
            <v>CMD</v>
          </cell>
          <cell r="D2696" t="str">
            <v>VARILLA ROSCADA AC.GALV. 16MMD. X 250MML. L.AEREAS</v>
          </cell>
        </row>
        <row r="2697">
          <cell r="B2697">
            <v>5463110</v>
          </cell>
          <cell r="C2697" t="str">
            <v>ELD</v>
          </cell>
          <cell r="D2697" t="str">
            <v>VARILLA ROSCADA AC.GALV. 16MMD. X 250MML. L.AEREAS</v>
          </cell>
        </row>
        <row r="2698">
          <cell r="B2698">
            <v>5463110</v>
          </cell>
          <cell r="C2698" t="str">
            <v>JSY</v>
          </cell>
          <cell r="D2698" t="str">
            <v>VARILLA ROSCADA AC.GALV. 16MMD. X 250MML. L.AEREAS</v>
          </cell>
        </row>
        <row r="2699">
          <cell r="B2699">
            <v>5463110</v>
          </cell>
          <cell r="C2699" t="str">
            <v>MDP</v>
          </cell>
          <cell r="D2699" t="str">
            <v>VARILLA ROSCADA AC.GALV. 16MMD. X 250MML. L.AEREAS</v>
          </cell>
        </row>
        <row r="2700">
          <cell r="B2700">
            <v>5463112</v>
          </cell>
          <cell r="C2700" t="str">
            <v>ABH</v>
          </cell>
          <cell r="D2700" t="str">
            <v>VARILLA ROSCADA AC.GALV. 16MMD. X 300MML. L.AEREAS</v>
          </cell>
        </row>
        <row r="2701">
          <cell r="B2701">
            <v>5463112</v>
          </cell>
          <cell r="C2701" t="str">
            <v>CMD</v>
          </cell>
          <cell r="D2701" t="str">
            <v>VARILLA ROSCADA AC.GALV. 16MMD. X 300MML. L.AEREAS</v>
          </cell>
        </row>
        <row r="2702">
          <cell r="B2702">
            <v>5463112</v>
          </cell>
          <cell r="C2702" t="str">
            <v>ELD</v>
          </cell>
          <cell r="D2702" t="str">
            <v>VARILLA ROSCADA AC.GALV. 16MMD. X 300MML. L.AEREAS</v>
          </cell>
        </row>
        <row r="2703">
          <cell r="B2703">
            <v>5463112</v>
          </cell>
          <cell r="C2703" t="str">
            <v>JSY</v>
          </cell>
          <cell r="D2703" t="str">
            <v>VARILLA ROSCADA AC.GALV. 16MMD. X 300MML. L.AEREAS</v>
          </cell>
        </row>
        <row r="2704">
          <cell r="B2704">
            <v>5463112</v>
          </cell>
          <cell r="C2704" t="str">
            <v>MDP</v>
          </cell>
          <cell r="D2704" t="str">
            <v>VARILLA ROSCADA AC.GALV. 16MMD. X 300MML. L.AEREAS</v>
          </cell>
        </row>
        <row r="2705">
          <cell r="B2705">
            <v>5463114</v>
          </cell>
          <cell r="C2705" t="str">
            <v>ABH</v>
          </cell>
          <cell r="D2705" t="str">
            <v>VARILLA ROSCADA AC.GALV. 16MMD. X 350MML. L.AEREAS</v>
          </cell>
        </row>
        <row r="2706">
          <cell r="B2706">
            <v>5463114</v>
          </cell>
          <cell r="C2706" t="str">
            <v>CMD</v>
          </cell>
          <cell r="D2706" t="str">
            <v>VARILLA ROSCADA AC.GALV. 16MMD. X 350MML. L.AEREAS</v>
          </cell>
        </row>
        <row r="2707">
          <cell r="B2707">
            <v>5463114</v>
          </cell>
          <cell r="C2707" t="str">
            <v>ELD</v>
          </cell>
          <cell r="D2707" t="str">
            <v>VARILLA ROSCADA AC.GALV. 16MMD. X 350MML. L.AEREAS</v>
          </cell>
        </row>
        <row r="2708">
          <cell r="B2708">
            <v>5463114</v>
          </cell>
          <cell r="C2708" t="str">
            <v>JSY</v>
          </cell>
          <cell r="D2708" t="str">
            <v>VARILLA ROSCADA AC.GALV. 16MMD. X 350MML. L.AEREAS</v>
          </cell>
        </row>
        <row r="2709">
          <cell r="B2709">
            <v>5463114</v>
          </cell>
          <cell r="C2709" t="str">
            <v>MDP</v>
          </cell>
          <cell r="D2709" t="str">
            <v>VARILLA ROSCADA AC.GALV. 16MMD. X 350MML. L.AEREAS</v>
          </cell>
        </row>
        <row r="2710">
          <cell r="B2710">
            <v>5463116</v>
          </cell>
          <cell r="C2710" t="str">
            <v>ABH</v>
          </cell>
          <cell r="D2710" t="str">
            <v>VARILLA ROSCADA AC.GALV. 16MMD. X 400MML. L.AEREAS</v>
          </cell>
        </row>
        <row r="2711">
          <cell r="B2711">
            <v>5463116</v>
          </cell>
          <cell r="C2711" t="str">
            <v>CMD</v>
          </cell>
          <cell r="D2711" t="str">
            <v>VARILLA ROSCADA AC.GALV. 16MMD. X 400MML. L.AEREAS</v>
          </cell>
        </row>
        <row r="2712">
          <cell r="B2712">
            <v>5463116</v>
          </cell>
          <cell r="C2712" t="str">
            <v>ELD</v>
          </cell>
          <cell r="D2712" t="str">
            <v>VARILLA ROSCADA AC.GALV. 16MMD. X 400MML. L.AEREAS</v>
          </cell>
        </row>
        <row r="2713">
          <cell r="B2713">
            <v>5463116</v>
          </cell>
          <cell r="C2713" t="str">
            <v>JSY</v>
          </cell>
          <cell r="D2713" t="str">
            <v>VARILLA ROSCADA AC.GALV. 16MMD. X 400MML. L.AEREAS</v>
          </cell>
        </row>
        <row r="2714">
          <cell r="B2714">
            <v>5463116</v>
          </cell>
          <cell r="C2714" t="str">
            <v>MDP</v>
          </cell>
          <cell r="D2714" t="str">
            <v>VARILLA ROSCADA AC.GALV. 16MMD. X 400MML. L.AEREAS</v>
          </cell>
        </row>
        <row r="2715">
          <cell r="B2715">
            <v>5463118</v>
          </cell>
          <cell r="C2715" t="str">
            <v>ABH</v>
          </cell>
          <cell r="D2715" t="str">
            <v>VARILLA ROSCADA AC.GALV. 16MMD. X 450MML. L.AEREAS</v>
          </cell>
        </row>
        <row r="2716">
          <cell r="B2716">
            <v>5463118</v>
          </cell>
          <cell r="C2716" t="str">
            <v>CMD</v>
          </cell>
          <cell r="D2716" t="str">
            <v>VARILLA ROSCADA AC.GALV. 16MMD. X 450MML. L.AEREAS</v>
          </cell>
        </row>
        <row r="2717">
          <cell r="B2717">
            <v>5463118</v>
          </cell>
          <cell r="C2717" t="str">
            <v>ELD</v>
          </cell>
          <cell r="D2717" t="str">
            <v>VARILLA ROSCADA AC.GALV. 16MMD. X 450MML. L.AEREAS</v>
          </cell>
        </row>
        <row r="2718">
          <cell r="B2718">
            <v>5463118</v>
          </cell>
          <cell r="C2718" t="str">
            <v>JSY</v>
          </cell>
          <cell r="D2718" t="str">
            <v>VARILLA ROSCADA AC.GALV. 16MMD. X 450MML. L.AEREAS</v>
          </cell>
        </row>
        <row r="2719">
          <cell r="B2719">
            <v>5463118</v>
          </cell>
          <cell r="C2719" t="str">
            <v>MDP</v>
          </cell>
          <cell r="D2719" t="str">
            <v>VARILLA ROSCADA AC.GALV. 16MMD. X 450MML. L.AEREAS</v>
          </cell>
        </row>
        <row r="2720">
          <cell r="B2720">
            <v>5463120</v>
          </cell>
          <cell r="C2720" t="str">
            <v>ABH</v>
          </cell>
          <cell r="D2720" t="str">
            <v>VARILLA ROSCADA AC. GALV. 16MMD. X 500MML. AEREAS</v>
          </cell>
        </row>
        <row r="2721">
          <cell r="B2721">
            <v>5463120</v>
          </cell>
          <cell r="C2721" t="str">
            <v>CMD</v>
          </cell>
          <cell r="D2721" t="str">
            <v>VARILLA ROSCADA AC. GALV. 16MMD. X 500MML. AEREAS</v>
          </cell>
        </row>
        <row r="2722">
          <cell r="B2722">
            <v>5463120</v>
          </cell>
          <cell r="C2722" t="str">
            <v>ELD</v>
          </cell>
          <cell r="D2722" t="str">
            <v>VARILLA ROSCADA AC. GALV. 16MMD. X 500MML. AEREAS</v>
          </cell>
        </row>
        <row r="2723">
          <cell r="B2723">
            <v>5463120</v>
          </cell>
          <cell r="C2723" t="str">
            <v>JSY</v>
          </cell>
          <cell r="D2723" t="str">
            <v>VARILLA ROSCADA AC. GALV. 16MMD. X 500MML. AEREAS</v>
          </cell>
        </row>
        <row r="2724">
          <cell r="B2724">
            <v>5463120</v>
          </cell>
          <cell r="C2724" t="str">
            <v>MDP</v>
          </cell>
          <cell r="D2724" t="str">
            <v>VARILLA ROSCADA AC. GALV. 16MMD. X 500MML. AEREAS</v>
          </cell>
        </row>
        <row r="2725">
          <cell r="B2725">
            <v>5463122</v>
          </cell>
          <cell r="C2725" t="str">
            <v>ABH</v>
          </cell>
          <cell r="D2725" t="str">
            <v>VARILLA ROSCADA AC.GALV. 16MMD. X 550MML. L.AEREAS</v>
          </cell>
        </row>
        <row r="2726">
          <cell r="B2726">
            <v>5463122</v>
          </cell>
          <cell r="C2726" t="str">
            <v>CMD</v>
          </cell>
          <cell r="D2726" t="str">
            <v>VARILLA ROSCADA AC.GALV. 16MMD. X 550MML. L.AEREAS</v>
          </cell>
        </row>
        <row r="2727">
          <cell r="B2727">
            <v>5463122</v>
          </cell>
          <cell r="C2727" t="str">
            <v>ELD</v>
          </cell>
          <cell r="D2727" t="str">
            <v>VARILLA ROSCADA AC.GALV. 16MMD. X 550MML. L.AEREAS</v>
          </cell>
        </row>
        <row r="2728">
          <cell r="B2728">
            <v>5463122</v>
          </cell>
          <cell r="C2728" t="str">
            <v>JSY</v>
          </cell>
          <cell r="D2728" t="str">
            <v>VARILLA ROSCADA AC.GALV. 16MMD. X 550MML. L.AEREAS</v>
          </cell>
        </row>
        <row r="2729">
          <cell r="B2729">
            <v>5463122</v>
          </cell>
          <cell r="C2729" t="str">
            <v>MDP</v>
          </cell>
          <cell r="D2729" t="str">
            <v>VARILLA ROSCADA AC.GALV. 16MMD. X 550MML. L.AEREAS</v>
          </cell>
        </row>
        <row r="2730">
          <cell r="B2730">
            <v>5463124</v>
          </cell>
          <cell r="C2730" t="str">
            <v>ABH</v>
          </cell>
          <cell r="D2730" t="str">
            <v>VARILLA ROSCADA AC.GALV. 16MMD. X 600MML. L.AEREAS</v>
          </cell>
        </row>
        <row r="2731">
          <cell r="B2731">
            <v>5463124</v>
          </cell>
          <cell r="C2731" t="str">
            <v>CMD</v>
          </cell>
          <cell r="D2731" t="str">
            <v>VARILLA ROSCADA AC.GALV. 16MMD. X 600MML. L.AEREAS</v>
          </cell>
        </row>
        <row r="2732">
          <cell r="B2732">
            <v>5463124</v>
          </cell>
          <cell r="C2732" t="str">
            <v>ELD</v>
          </cell>
          <cell r="D2732" t="str">
            <v>VARILLA ROSCADA AC.GALV. 16MMD. X 600MML. L.AEREAS</v>
          </cell>
        </row>
        <row r="2733">
          <cell r="B2733">
            <v>5463124</v>
          </cell>
          <cell r="C2733" t="str">
            <v>JSY</v>
          </cell>
          <cell r="D2733" t="str">
            <v>VARILLA ROSCADA AC.GALV. 16MMD. X 600MML. L.AEREAS</v>
          </cell>
        </row>
        <row r="2734">
          <cell r="B2734">
            <v>5463124</v>
          </cell>
          <cell r="C2734" t="str">
            <v>MDP</v>
          </cell>
          <cell r="D2734" t="str">
            <v>VARILLA ROSCADA AC.GALV. 16MMD. X 600MML. L.AEREAS</v>
          </cell>
        </row>
        <row r="2735">
          <cell r="B2735">
            <v>5463128</v>
          </cell>
          <cell r="C2735" t="str">
            <v>ABH</v>
          </cell>
          <cell r="D2735" t="str">
            <v>VARILLA ROSCADA AC.GALV. 16MMD. X 700MML. L.AEREAS</v>
          </cell>
        </row>
        <row r="2736">
          <cell r="B2736">
            <v>5463128</v>
          </cell>
          <cell r="C2736" t="str">
            <v>CMD</v>
          </cell>
          <cell r="D2736" t="str">
            <v>VARILLA ROSCADA AC.GALV. 16MMD. X 700MML. L.AEREAS</v>
          </cell>
        </row>
        <row r="2737">
          <cell r="B2737">
            <v>5463128</v>
          </cell>
          <cell r="C2737" t="str">
            <v>ELD</v>
          </cell>
          <cell r="D2737" t="str">
            <v>VARILLA ROSCADA AC.GALV. 16MMD. X 700MML. L.AEREAS</v>
          </cell>
        </row>
        <row r="2738">
          <cell r="B2738">
            <v>5463128</v>
          </cell>
          <cell r="C2738" t="str">
            <v>JSY</v>
          </cell>
          <cell r="D2738" t="str">
            <v>VARILLA ROSCADA AC.GALV. 16MMD. X 700MML. L.AEREAS</v>
          </cell>
        </row>
        <row r="2739">
          <cell r="B2739">
            <v>5463128</v>
          </cell>
          <cell r="C2739" t="str">
            <v>MDP</v>
          </cell>
          <cell r="D2739" t="str">
            <v>VARILLA ROSCADA AC.GALV. 16MMD. X 700MML. L.AEREAS</v>
          </cell>
        </row>
        <row r="2740">
          <cell r="B2740">
            <v>5463130</v>
          </cell>
          <cell r="C2740" t="str">
            <v>CMD</v>
          </cell>
          <cell r="D2740" t="str">
            <v>VARILLA ROSCADA AC.GALV.DE 5/8PULG.D.X760MML.P.L.A</v>
          </cell>
        </row>
        <row r="2741">
          <cell r="B2741">
            <v>5463130</v>
          </cell>
          <cell r="C2741" t="str">
            <v>ELC</v>
          </cell>
          <cell r="D2741" t="str">
            <v>VARILLA ROSCADA AC.GALV.DE 5/8PULG.D.X760MML.P.L.A</v>
          </cell>
        </row>
        <row r="2742">
          <cell r="B2742">
            <v>5463168</v>
          </cell>
          <cell r="C2742" t="str">
            <v>CMD</v>
          </cell>
          <cell r="D2742" t="str">
            <v>VARILLA ROSCADA AC.GALV.DE 3/4PULG.D.X660MML.P.L.A</v>
          </cell>
        </row>
        <row r="2743">
          <cell r="B2743">
            <v>5463168</v>
          </cell>
          <cell r="C2743" t="str">
            <v>ELC</v>
          </cell>
          <cell r="D2743" t="str">
            <v>VARILLA ROSCADA AC.GALV.DE 3/4PULG.D.X660MML.P.L.A</v>
          </cell>
        </row>
        <row r="2744">
          <cell r="B2744">
            <v>5463212</v>
          </cell>
          <cell r="C2744" t="str">
            <v>CMD</v>
          </cell>
          <cell r="D2744" t="str">
            <v>VARILLA ROSCADA DE BRONCE 5/8PULG.D.X300MML.P.L.A.</v>
          </cell>
        </row>
        <row r="2745">
          <cell r="B2745">
            <v>5463214</v>
          </cell>
          <cell r="C2745" t="str">
            <v>CMD</v>
          </cell>
          <cell r="D2745" t="str">
            <v>VARILLA ROSCADA DE BRONCE 5/8PULG.D.X350MML.P.L.A.</v>
          </cell>
        </row>
        <row r="2746">
          <cell r="B2746">
            <v>5463216</v>
          </cell>
          <cell r="C2746" t="str">
            <v>CMD</v>
          </cell>
          <cell r="D2746" t="str">
            <v>VARILLA ROSCADA DE BRONCE 5/8PULG.D.X400MML.P.L.A.</v>
          </cell>
        </row>
        <row r="2747">
          <cell r="B2747">
            <v>5463620</v>
          </cell>
          <cell r="C2747" t="str">
            <v>CMD</v>
          </cell>
          <cell r="D2747" t="str">
            <v>OJAL ROSCADO AC.GALV.,DE 5/8PULG.D. X80MML. P.L.A.</v>
          </cell>
        </row>
        <row r="2748">
          <cell r="B2748">
            <v>5463620</v>
          </cell>
          <cell r="C2748" t="str">
            <v>ELD</v>
          </cell>
          <cell r="D2748" t="str">
            <v>OJAL ROSCADO AC.GALV.,DE 5/8PULG.D. X80MML. P.L.A.</v>
          </cell>
        </row>
        <row r="2749">
          <cell r="B2749">
            <v>5463620</v>
          </cell>
          <cell r="C2749" t="str">
            <v>FOR</v>
          </cell>
          <cell r="D2749" t="str">
            <v>OJAL ROSCADO AC.GALV.,DE 5/8PULG.D. X80MML. P.L.A.</v>
          </cell>
        </row>
        <row r="2750">
          <cell r="B2750">
            <v>5463620</v>
          </cell>
          <cell r="C2750" t="str">
            <v>JSY</v>
          </cell>
          <cell r="D2750" t="str">
            <v>OJAL ROSCADO AC.GALV.,DE 5/8PULG.D. X80MML. P.L.A.</v>
          </cell>
        </row>
        <row r="2751">
          <cell r="B2751">
            <v>5463624</v>
          </cell>
          <cell r="C2751" t="str">
            <v>CMD</v>
          </cell>
          <cell r="D2751" t="str">
            <v>OJAL ROSCADO AC.GALV.16MMD. P.VIENTOS L.A.     B.T</v>
          </cell>
        </row>
        <row r="2752">
          <cell r="B2752">
            <v>5463624</v>
          </cell>
          <cell r="C2752" t="str">
            <v>ELD</v>
          </cell>
          <cell r="D2752" t="str">
            <v>OJAL ROSCADO AC.GALV.16MMD. P.VIENTOS L.A.     B.T</v>
          </cell>
        </row>
        <row r="2753">
          <cell r="B2753">
            <v>5463642</v>
          </cell>
          <cell r="C2753" t="str">
            <v>CMD</v>
          </cell>
          <cell r="D2753" t="str">
            <v>OJAL ROSCADO AC.GALV.,DE 3/4PULG.D. X86MML. P.L.A.</v>
          </cell>
        </row>
        <row r="2754">
          <cell r="B2754">
            <v>5463642</v>
          </cell>
          <cell r="C2754" t="str">
            <v>COO</v>
          </cell>
          <cell r="D2754" t="str">
            <v>OJAL ROSCADO AC.GALV.,DE 3/4PULG.D. X86MML. P.L.A.</v>
          </cell>
        </row>
        <row r="2755">
          <cell r="B2755">
            <v>5463642</v>
          </cell>
          <cell r="C2755" t="str">
            <v>ELD</v>
          </cell>
          <cell r="D2755" t="str">
            <v>OJAL ROSCADO AC.GALV.,DE 3/4PULG.D. X86MML. P.L.A.</v>
          </cell>
        </row>
        <row r="2756">
          <cell r="B2756">
            <v>5463710</v>
          </cell>
          <cell r="C2756" t="str">
            <v>ELD</v>
          </cell>
          <cell r="D2756" t="str">
            <v>OJAL ROSCADO 1 VIA , AC.GALV.DE  3/4PULG.D. P.L.A.</v>
          </cell>
        </row>
        <row r="2757">
          <cell r="B2757">
            <v>5463710</v>
          </cell>
          <cell r="C2757" t="str">
            <v>JSY</v>
          </cell>
          <cell r="D2757" t="str">
            <v>OJAL ROSCADO 1 VIA , AC.GALV.DE  3/4PULG.D. P.L.A.</v>
          </cell>
        </row>
        <row r="2758">
          <cell r="B2758">
            <v>5463714</v>
          </cell>
          <cell r="C2758" t="str">
            <v>JSY</v>
          </cell>
          <cell r="D2758" t="str">
            <v>OJAL S/ROSC.,AC.GALV.3/4PULG.D.X100MML.JOSLYN 1127</v>
          </cell>
        </row>
        <row r="2759">
          <cell r="B2759">
            <v>5464101</v>
          </cell>
          <cell r="C2759" t="str">
            <v>ELD</v>
          </cell>
          <cell r="D2759" t="str">
            <v>ESLABON ANGULAR DE ACERO GALV. 17,50MM P.ENLACE EN ESTRUCTURAS DE REDES AEREAS</v>
          </cell>
        </row>
        <row r="2760">
          <cell r="B2760">
            <v>5464101</v>
          </cell>
          <cell r="C2760" t="str">
            <v>PBL</v>
          </cell>
          <cell r="D2760" t="str">
            <v>ESLABON ANGULAR DE ACERO GALV. 17,50MM P.ENLACE EN ESTRUCTURAS DE REDES AEREAS</v>
          </cell>
        </row>
        <row r="2761">
          <cell r="B2761">
            <v>5464101</v>
          </cell>
          <cell r="C2761" t="str">
            <v>PFJ</v>
          </cell>
          <cell r="D2761" t="str">
            <v>ESLABON ANGULAR DE ACERO GALV. 17,50MM P.ENLACE EN ESTRUCTURAS DE REDES AEREAS</v>
          </cell>
        </row>
        <row r="2762">
          <cell r="B2762">
            <v>5464101</v>
          </cell>
          <cell r="C2762" t="str">
            <v>PIC</v>
          </cell>
          <cell r="D2762" t="str">
            <v>ESLABON ANGULAR DE ACERO GALV. 17,50MM P.ENLACE EN ESTRUCTURAS DE REDES AEREAS</v>
          </cell>
        </row>
        <row r="2763">
          <cell r="B2763">
            <v>5464103</v>
          </cell>
          <cell r="C2763" t="str">
            <v>CMD</v>
          </cell>
          <cell r="D2763" t="str">
            <v>ESLABON ANGULAR DE ACERO GALV. 22MM RADIO 6800KG P.ENLACE EN ESTRUCTURAS DE REDES AEREAS</v>
          </cell>
        </row>
        <row r="2764">
          <cell r="B2764">
            <v>5464103</v>
          </cell>
          <cell r="C2764" t="str">
            <v>ELC</v>
          </cell>
          <cell r="D2764" t="str">
            <v>ESLABON ANGULAR DE ACERO GALV. 22MM RADIO 6800KG P.ENLACE EN ESTRUCTURAS DE REDES AEREAS</v>
          </cell>
        </row>
        <row r="2765">
          <cell r="B2765">
            <v>5464103</v>
          </cell>
          <cell r="C2765" t="str">
            <v>ELD</v>
          </cell>
          <cell r="D2765" t="str">
            <v>ESLABON ANGULAR DE ACERO GALV. 22MM RADIO 6800KG P.ENLACE EN ESTRUCTURAS DE REDES AEREAS</v>
          </cell>
        </row>
        <row r="2766">
          <cell r="B2766">
            <v>5464206</v>
          </cell>
          <cell r="C2766" t="str">
            <v>CMD</v>
          </cell>
          <cell r="D2766" t="str">
            <v>PERNO CON OJAL DE ACERO GALV. 5/8" X 6", ROSCA 4" C.ACCESORIOS</v>
          </cell>
        </row>
        <row r="2767">
          <cell r="B2767">
            <v>5464206</v>
          </cell>
          <cell r="C2767" t="str">
            <v>ELC</v>
          </cell>
          <cell r="D2767" t="str">
            <v>PERNO CON OJAL DE ACERO GALV. 5/8" X 6", ROSCA 4" C.ACCESORIOS</v>
          </cell>
        </row>
        <row r="2768">
          <cell r="B2768">
            <v>5464206</v>
          </cell>
          <cell r="C2768" t="str">
            <v>ELD</v>
          </cell>
          <cell r="D2768" t="str">
            <v>PERNO CON OJAL DE ACERO GALV. 5/8" X 6", ROSCA 4" C.ACCESORIOS</v>
          </cell>
        </row>
        <row r="2769">
          <cell r="B2769">
            <v>5464206</v>
          </cell>
          <cell r="C2769" t="str">
            <v>JSY</v>
          </cell>
          <cell r="D2769" t="str">
            <v>PERNO CON OJAL DE ACERO GALV. 5/8" X 6", ROSCA 4" C.ACCESORIOS</v>
          </cell>
        </row>
        <row r="2770">
          <cell r="B2770">
            <v>5464206</v>
          </cell>
          <cell r="C2770" t="str">
            <v>MDP</v>
          </cell>
          <cell r="D2770" t="str">
            <v>PERNO CON OJAL DE ACERO GALV. 5/8" X 6", ROSCA 4" C.ACCESORIOS</v>
          </cell>
        </row>
        <row r="2771">
          <cell r="B2771">
            <v>5464206</v>
          </cell>
          <cell r="C2771" t="str">
            <v>PFJ</v>
          </cell>
          <cell r="D2771" t="str">
            <v>PERNO CON OJAL DE ACERO GALV. 5/8" X 6", ROSCA 4" C.ACCESORIOS</v>
          </cell>
        </row>
        <row r="2772">
          <cell r="B2772">
            <v>5464206</v>
          </cell>
          <cell r="C2772" t="str">
            <v>PIC</v>
          </cell>
          <cell r="D2772" t="str">
            <v>PERNO CON OJAL DE ACERO GALV. 5/8" X 6", ROSCA 4" C.ACCESORIOS</v>
          </cell>
        </row>
        <row r="2773">
          <cell r="B2773">
            <v>5464210</v>
          </cell>
          <cell r="C2773" t="str">
            <v>CMD</v>
          </cell>
          <cell r="D2773" t="str">
            <v>PERNO CON OJAL DE ACERO GALV. 5/8" X 10", ROSCA 6" C.ACCESORIOS</v>
          </cell>
        </row>
        <row r="2774">
          <cell r="B2774">
            <v>5464210</v>
          </cell>
          <cell r="C2774" t="str">
            <v>ELC</v>
          </cell>
          <cell r="D2774" t="str">
            <v>PERNO CON OJAL DE ACERO GALV. 5/8" X 10", ROSCA 6" C.ACCESORIOS</v>
          </cell>
        </row>
        <row r="2775">
          <cell r="B2775">
            <v>5464210</v>
          </cell>
          <cell r="C2775" t="str">
            <v>ELD</v>
          </cell>
          <cell r="D2775" t="str">
            <v>PERNO CON OJAL DE ACERO GALV. 5/8" X 10", ROSCA 6" C.ACCESORIOS</v>
          </cell>
        </row>
        <row r="2776">
          <cell r="B2776">
            <v>5464210</v>
          </cell>
          <cell r="C2776" t="str">
            <v>JSY</v>
          </cell>
          <cell r="D2776" t="str">
            <v>PERNO CON OJAL DE ACERO GALV. 5/8" X 10", ROSCA 6" C.ACCESORIOS</v>
          </cell>
        </row>
        <row r="2777">
          <cell r="B2777">
            <v>5464210</v>
          </cell>
          <cell r="C2777" t="str">
            <v>MDP</v>
          </cell>
          <cell r="D2777" t="str">
            <v>PERNO CON OJAL DE ACERO GALV. 5/8" X 10", ROSCA 6" C.ACCESORIOS</v>
          </cell>
        </row>
        <row r="2778">
          <cell r="B2778">
            <v>5464210</v>
          </cell>
          <cell r="C2778" t="str">
            <v>PFJ</v>
          </cell>
          <cell r="D2778" t="str">
            <v>PERNO CON OJAL DE ACERO GALV. 5/8" X 10", ROSCA 6" C.ACCESORIOS</v>
          </cell>
        </row>
        <row r="2779">
          <cell r="B2779">
            <v>5464210</v>
          </cell>
          <cell r="C2779" t="str">
            <v>PIC</v>
          </cell>
          <cell r="D2779" t="str">
            <v>PERNO CON OJAL DE ACERO GALV. 5/8" X 10", ROSCA 6" C.ACCESORIOS</v>
          </cell>
        </row>
        <row r="2780">
          <cell r="B2780">
            <v>5464214</v>
          </cell>
          <cell r="C2780" t="str">
            <v>CMD</v>
          </cell>
          <cell r="D2780" t="str">
            <v>PERNO CON OJAL DE ACERO GALV. 5/8" X 14", ROSCA 10" C.ACCESORIOS</v>
          </cell>
        </row>
        <row r="2781">
          <cell r="B2781">
            <v>5464214</v>
          </cell>
          <cell r="C2781" t="str">
            <v>ELC</v>
          </cell>
          <cell r="D2781" t="str">
            <v>PERNO CON OJAL DE ACERO GALV. 5/8" X 14", ROSCA 10" C.ACCESORIOS</v>
          </cell>
        </row>
        <row r="2782">
          <cell r="B2782">
            <v>5464214</v>
          </cell>
          <cell r="C2782" t="str">
            <v>ELD</v>
          </cell>
          <cell r="D2782" t="str">
            <v>PERNO CON OJAL DE ACERO GALV. 5/8" X 14", ROSCA 10" C.ACCESORIOS</v>
          </cell>
        </row>
        <row r="2783">
          <cell r="B2783">
            <v>5464214</v>
          </cell>
          <cell r="C2783" t="str">
            <v>MDP</v>
          </cell>
          <cell r="D2783" t="str">
            <v>PERNO CON OJAL DE ACERO GALV. 5/8" X 14", ROSCA 10" C.ACCESORIOS</v>
          </cell>
        </row>
        <row r="2784">
          <cell r="B2784">
            <v>5464214</v>
          </cell>
          <cell r="C2784" t="str">
            <v>PFJ</v>
          </cell>
          <cell r="D2784" t="str">
            <v>PERNO CON OJAL DE ACERO GALV. 5/8" X 14", ROSCA 10" C.ACCESORIOS</v>
          </cell>
        </row>
        <row r="2785">
          <cell r="B2785">
            <v>5464214</v>
          </cell>
          <cell r="C2785" t="str">
            <v>PIC</v>
          </cell>
          <cell r="D2785" t="str">
            <v>PERNO CON OJAL DE ACERO GALV. 5/8" X 14", ROSCA 10" C.ACCESORIOS</v>
          </cell>
        </row>
        <row r="2786">
          <cell r="B2786">
            <v>5464216</v>
          </cell>
          <cell r="C2786" t="str">
            <v>CMD</v>
          </cell>
          <cell r="D2786" t="str">
            <v>PERNO C/OJAL AC.GALV.16MMDX400MM(16PULG)L.C/TUERCA</v>
          </cell>
        </row>
        <row r="2787">
          <cell r="B2787">
            <v>5464216</v>
          </cell>
          <cell r="C2787" t="str">
            <v>ELD</v>
          </cell>
          <cell r="D2787" t="str">
            <v>PERNO C/OJAL AC.GALV.16MMDX400MM(16PULG)L.C/TUERCA</v>
          </cell>
        </row>
        <row r="2788">
          <cell r="B2788">
            <v>5464246</v>
          </cell>
          <cell r="C2788" t="str">
            <v>CMD</v>
          </cell>
          <cell r="D2788" t="str">
            <v>PERNO C/OJAL AC.GALV.19MMDX150MM( 6PULG)L.C/TUERCA</v>
          </cell>
        </row>
        <row r="2789">
          <cell r="B2789">
            <v>5464246</v>
          </cell>
          <cell r="C2789" t="str">
            <v>ELD</v>
          </cell>
          <cell r="D2789" t="str">
            <v>PERNO C/OJAL AC.GALV.19MMDX150MM( 6PULG)L.C/TUERCA</v>
          </cell>
        </row>
        <row r="2790">
          <cell r="B2790">
            <v>5464356</v>
          </cell>
          <cell r="C2790" t="str">
            <v>CMD</v>
          </cell>
          <cell r="D2790" t="str">
            <v>PERNO C/OJAL AC.GALV.16MMDX300MM(12PULG)L.C/TUERCA</v>
          </cell>
        </row>
        <row r="2791">
          <cell r="B2791">
            <v>5464356</v>
          </cell>
          <cell r="C2791" t="str">
            <v>ELD</v>
          </cell>
          <cell r="D2791" t="str">
            <v>PERNO C/OJAL AC.GALV.16MMDX300MM(12PULG)L.C/TUERCA</v>
          </cell>
        </row>
        <row r="2792">
          <cell r="B2792">
            <v>5464410</v>
          </cell>
          <cell r="C2792" t="str">
            <v>CMD</v>
          </cell>
          <cell r="D2792" t="str">
            <v>PERNO ANGULAR DE ACERO GALV. 5/8" X 10" ROSCA 6" C.TUERCA</v>
          </cell>
        </row>
        <row r="2793">
          <cell r="B2793">
            <v>5464410</v>
          </cell>
          <cell r="C2793" t="str">
            <v>ELD</v>
          </cell>
          <cell r="D2793" t="str">
            <v>PERNO ANGULAR DE ACERO GALV. 5/8" X 10" ROSCA 6" C.TUERCA</v>
          </cell>
        </row>
        <row r="2794">
          <cell r="B2794">
            <v>5464410</v>
          </cell>
          <cell r="C2794" t="str">
            <v>JSY</v>
          </cell>
          <cell r="D2794" t="str">
            <v>PERNO ANGULAR DE ACERO GALV. 5/8" X 10" ROSCA 6" C.TUERCA</v>
          </cell>
        </row>
        <row r="2795">
          <cell r="B2795">
            <v>5464410</v>
          </cell>
          <cell r="C2795" t="str">
            <v>MDP</v>
          </cell>
          <cell r="D2795" t="str">
            <v>PERNO ANGULAR DE ACERO GALV. 5/8" X 10" ROSCA 6" C.TUERCA</v>
          </cell>
        </row>
        <row r="2796">
          <cell r="B2796">
            <v>5464410</v>
          </cell>
          <cell r="C2796" t="str">
            <v>NGK</v>
          </cell>
          <cell r="D2796" t="str">
            <v>PERNO ANGULAR DE ACERO GALV. 5/8" X 10" ROSCA 6" C.TUERCA</v>
          </cell>
        </row>
        <row r="2797">
          <cell r="B2797">
            <v>5464410</v>
          </cell>
          <cell r="C2797" t="str">
            <v>PFJ</v>
          </cell>
          <cell r="D2797" t="str">
            <v>PERNO ANGULAR DE ACERO GALV. 5/8" X 10" ROSCA 6" C.TUERCA</v>
          </cell>
        </row>
        <row r="2798">
          <cell r="B2798">
            <v>5464412</v>
          </cell>
          <cell r="C2798" t="str">
            <v>CMD</v>
          </cell>
          <cell r="D2798" t="str">
            <v>PERNO ANGULAR DE ACERO GALV. 5/8" X 12" ROSCA 6" C.TUERCA</v>
          </cell>
        </row>
        <row r="2799">
          <cell r="B2799">
            <v>5464412</v>
          </cell>
          <cell r="C2799" t="str">
            <v>ELD</v>
          </cell>
          <cell r="D2799" t="str">
            <v>PERNO ANGULAR DE ACERO GALV. 5/8" X 12" ROSCA 6" C.TUERCA</v>
          </cell>
        </row>
        <row r="2800">
          <cell r="B2800">
            <v>5464412</v>
          </cell>
          <cell r="C2800" t="str">
            <v>JSY</v>
          </cell>
          <cell r="D2800" t="str">
            <v>PERNO ANGULAR DE ACERO GALV. 5/8" X 12" ROSCA 6" C.TUERCA</v>
          </cell>
        </row>
        <row r="2801">
          <cell r="B2801">
            <v>5464412</v>
          </cell>
          <cell r="C2801" t="str">
            <v>MDP</v>
          </cell>
          <cell r="D2801" t="str">
            <v>PERNO ANGULAR DE ACERO GALV. 5/8" X 12" ROSCA 6" C.TUERCA</v>
          </cell>
        </row>
        <row r="2802">
          <cell r="B2802">
            <v>5464412</v>
          </cell>
          <cell r="C2802" t="str">
            <v>NGK</v>
          </cell>
          <cell r="D2802" t="str">
            <v>PERNO ANGULAR DE ACERO GALV. 5/8" X 12" ROSCA 6" C.TUERCA</v>
          </cell>
        </row>
        <row r="2803">
          <cell r="B2803">
            <v>5464412</v>
          </cell>
          <cell r="C2803" t="str">
            <v>PFJ</v>
          </cell>
          <cell r="D2803" t="str">
            <v>PERNO ANGULAR DE ACERO GALV. 5/8" X 12" ROSCA 6" C.TUERCA</v>
          </cell>
        </row>
        <row r="2804">
          <cell r="B2804">
            <v>5464414</v>
          </cell>
          <cell r="C2804" t="str">
            <v>CMD</v>
          </cell>
          <cell r="D2804" t="str">
            <v>PERNO ANGULAR DE ACERO GALV. 5/8" X 14" ROSCA 7" C.TUERCA</v>
          </cell>
        </row>
        <row r="2805">
          <cell r="B2805">
            <v>5464414</v>
          </cell>
          <cell r="C2805" t="str">
            <v>ELD</v>
          </cell>
          <cell r="D2805" t="str">
            <v>PERNO ANGULAR DE ACERO GALV. 5/8" X 14" ROSCA 7" C.TUERCA</v>
          </cell>
        </row>
        <row r="2806">
          <cell r="B2806">
            <v>5464414</v>
          </cell>
          <cell r="C2806" t="str">
            <v>JSY</v>
          </cell>
          <cell r="D2806" t="str">
            <v>PERNO ANGULAR DE ACERO GALV. 5/8" X 14" ROSCA 7" C.TUERCA</v>
          </cell>
        </row>
        <row r="2807">
          <cell r="B2807">
            <v>5464414</v>
          </cell>
          <cell r="C2807" t="str">
            <v>MDP</v>
          </cell>
          <cell r="D2807" t="str">
            <v>PERNO ANGULAR DE ACERO GALV. 5/8" X 14" ROSCA 7" C.TUERCA</v>
          </cell>
        </row>
        <row r="2808">
          <cell r="B2808">
            <v>5464414</v>
          </cell>
          <cell r="C2808" t="str">
            <v>NGK</v>
          </cell>
          <cell r="D2808" t="str">
            <v>PERNO ANGULAR DE ACERO GALV. 5/8" X 14" ROSCA 7" C.TUERCA</v>
          </cell>
        </row>
        <row r="2809">
          <cell r="B2809">
            <v>5464414</v>
          </cell>
          <cell r="C2809" t="str">
            <v>PFJ</v>
          </cell>
          <cell r="D2809" t="str">
            <v>PERNO ANGULAR DE ACERO GALV. 5/8" X 14" ROSCA 7" C.TUERCA</v>
          </cell>
        </row>
        <row r="2810">
          <cell r="B2810">
            <v>5464416</v>
          </cell>
          <cell r="C2810" t="str">
            <v>CMD</v>
          </cell>
          <cell r="D2810" t="str">
            <v>PERNO ANGULAR DE ACERO GALV. 5/8" X 16" ROSCA 8" C.TUERCA</v>
          </cell>
        </row>
        <row r="2811">
          <cell r="B2811">
            <v>5464416</v>
          </cell>
          <cell r="C2811" t="str">
            <v>ELD</v>
          </cell>
          <cell r="D2811" t="str">
            <v>PERNO ANGULAR DE ACERO GALV. 5/8" X 16" ROSCA 8" C.TUERCA</v>
          </cell>
        </row>
        <row r="2812">
          <cell r="B2812">
            <v>5464416</v>
          </cell>
          <cell r="C2812" t="str">
            <v>MDP</v>
          </cell>
          <cell r="D2812" t="str">
            <v>PERNO ANGULAR DE ACERO GALV. 5/8" X 16" ROSCA 8" C.TUERCA</v>
          </cell>
        </row>
        <row r="2813">
          <cell r="B2813">
            <v>5464416</v>
          </cell>
          <cell r="C2813" t="str">
            <v>PFJ</v>
          </cell>
          <cell r="D2813" t="str">
            <v>PERNO ANGULAR DE ACERO GALV. 5/8" X 16" ROSCA 8" C.TUERCA</v>
          </cell>
        </row>
        <row r="2814">
          <cell r="B2814">
            <v>5464418</v>
          </cell>
          <cell r="C2814" t="str">
            <v>CMD</v>
          </cell>
          <cell r="D2814" t="str">
            <v>PERNO ANGULAR DE ACERO GALV. 5/8" X 18" ROSCA 9" C.TUERCA</v>
          </cell>
        </row>
        <row r="2815">
          <cell r="B2815">
            <v>5464418</v>
          </cell>
          <cell r="C2815" t="str">
            <v>ELD</v>
          </cell>
          <cell r="D2815" t="str">
            <v>PERNO ANGULAR DE ACERO GALV. 5/8" X 18" ROSCA 9" C.TUERCA</v>
          </cell>
        </row>
        <row r="2816">
          <cell r="B2816">
            <v>5464418</v>
          </cell>
          <cell r="C2816" t="str">
            <v>MDP</v>
          </cell>
          <cell r="D2816" t="str">
            <v>PERNO ANGULAR DE ACERO GALV. 5/8" X 18" ROSCA 9" C.TUERCA</v>
          </cell>
        </row>
        <row r="2817">
          <cell r="B2817">
            <v>5464418</v>
          </cell>
          <cell r="C2817" t="str">
            <v>PFJ</v>
          </cell>
          <cell r="D2817" t="str">
            <v>PERNO ANGULAR DE ACERO GALV. 5/8" X 18" ROSCA 9" C.TUERCA</v>
          </cell>
        </row>
        <row r="2818">
          <cell r="B2818">
            <v>5464501</v>
          </cell>
          <cell r="C2818" t="str">
            <v>CMD</v>
          </cell>
          <cell r="D2818" t="str">
            <v>SOPORTE FIN DE LINEA LIVIANO AC.GALV.     SAE 1020</v>
          </cell>
        </row>
        <row r="2819">
          <cell r="B2819">
            <v>5464501</v>
          </cell>
          <cell r="C2819" t="str">
            <v>ELD</v>
          </cell>
          <cell r="D2819" t="str">
            <v>SOPORTE FIN DE LINEA LIVIANO AC.GALV.     SAE 1020</v>
          </cell>
        </row>
        <row r="2820">
          <cell r="B2820">
            <v>5464501</v>
          </cell>
          <cell r="C2820" t="str">
            <v>PFJ</v>
          </cell>
          <cell r="D2820" t="str">
            <v>SOPORTE FIN DE LINEA LIVIANO AC.GALV.     SAE 1020</v>
          </cell>
        </row>
        <row r="2821">
          <cell r="B2821">
            <v>5464502</v>
          </cell>
          <cell r="C2821" t="str">
            <v>ELD</v>
          </cell>
          <cell r="D2821" t="str">
            <v>SOPORTE FIN DE LINEA PESADO AC.GALV.      SAE 1020</v>
          </cell>
        </row>
        <row r="2822">
          <cell r="B2822">
            <v>5466320</v>
          </cell>
          <cell r="C2822" t="str">
            <v>CMD</v>
          </cell>
          <cell r="D2822" t="str">
            <v>PLACA DE ACERO GALV. 3 7/8" X 5" X 1/4" C.AGUJERO 13/16" DIAM.P.REFUERZO DE CRUCETA DE MADERA</v>
          </cell>
        </row>
        <row r="2823">
          <cell r="B2823">
            <v>5466320</v>
          </cell>
          <cell r="C2823" t="str">
            <v>ELD</v>
          </cell>
          <cell r="D2823" t="str">
            <v>PLACA DE ACERO GALV. 3 7/8" X 5" X 1/4" C.AGUJERO 13/16" DIAM.P.REFUERZO DE CRUCETA DE MADERA</v>
          </cell>
        </row>
        <row r="2824">
          <cell r="B2824">
            <v>5466606</v>
          </cell>
          <cell r="C2824" t="str">
            <v>CMD</v>
          </cell>
          <cell r="D2824" t="str">
            <v>PLANCHA DE COBRE P.LINEA A TIERRA C.AGUJERO 20MM DIAM.</v>
          </cell>
        </row>
        <row r="2825">
          <cell r="B2825">
            <v>5466606</v>
          </cell>
          <cell r="C2825" t="str">
            <v>ELC</v>
          </cell>
          <cell r="D2825" t="str">
            <v>PLANCHA DE COBRE P.LINEA A TIERRA C.AGUJERO 20MM DIAM.</v>
          </cell>
        </row>
        <row r="2826">
          <cell r="B2826">
            <v>5466606</v>
          </cell>
          <cell r="C2826" t="str">
            <v>ELD</v>
          </cell>
          <cell r="D2826" t="str">
            <v>PLANCHA DE COBRE P.LINEA A TIERRA C.AGUJERO 20MM DIAM.</v>
          </cell>
        </row>
        <row r="2827">
          <cell r="B2827">
            <v>5466606</v>
          </cell>
          <cell r="C2827" t="str">
            <v>MTC</v>
          </cell>
          <cell r="D2827" t="str">
            <v>PLANCHA DE COBRE P.LINEA A TIERRA C.AGUJERO 20MM DIAM.</v>
          </cell>
        </row>
        <row r="2828">
          <cell r="B2828">
            <v>5466606</v>
          </cell>
          <cell r="C2828" t="str">
            <v>PFJ</v>
          </cell>
          <cell r="D2828" t="str">
            <v>PLANCHA DE COBRE P.LINEA A TIERRA C.AGUJERO 20MM DIAM.</v>
          </cell>
        </row>
        <row r="2829">
          <cell r="B2829">
            <v>5466606</v>
          </cell>
          <cell r="C2829" t="str">
            <v>PIC</v>
          </cell>
          <cell r="D2829" t="str">
            <v>PLANCHA DE COBRE P.LINEA A TIERRA C.AGUJERO 20MM DIAM.</v>
          </cell>
        </row>
        <row r="2830">
          <cell r="B2830">
            <v>5467007</v>
          </cell>
          <cell r="C2830" t="str">
            <v>CBC</v>
          </cell>
          <cell r="D2830" t="str">
            <v>PERNO DE ACERO GALVANIZADO 1/2"D. X 7"    P.VIENTO</v>
          </cell>
        </row>
        <row r="2831">
          <cell r="B2831">
            <v>5467007</v>
          </cell>
          <cell r="C2831" t="str">
            <v>CMD</v>
          </cell>
          <cell r="D2831" t="str">
            <v>PERNO DE ACERO GALVANIZADO 1/2"D. X 7"    P.VIENTO</v>
          </cell>
        </row>
        <row r="2832">
          <cell r="B2832">
            <v>5467007</v>
          </cell>
          <cell r="C2832" t="str">
            <v>ELD</v>
          </cell>
          <cell r="D2832" t="str">
            <v>PERNO DE ACERO GALVANIZADO 1/2"D. X 7"    P.VIENTO</v>
          </cell>
        </row>
        <row r="2833">
          <cell r="B2833">
            <v>5467007</v>
          </cell>
          <cell r="C2833" t="str">
            <v>ELR</v>
          </cell>
          <cell r="D2833" t="str">
            <v>PERNO DE ACERO GALVANIZADO 1/2"D. X 7"    P.VIENTO</v>
          </cell>
        </row>
        <row r="2834">
          <cell r="B2834">
            <v>5467007</v>
          </cell>
          <cell r="C2834" t="str">
            <v>MDP</v>
          </cell>
          <cell r="D2834" t="str">
            <v>PERNO DE ACERO GALVANIZADO 1/2"D. X 7"    P.VIENTO</v>
          </cell>
        </row>
        <row r="2835">
          <cell r="B2835">
            <v>5467007</v>
          </cell>
          <cell r="C2835" t="str">
            <v>SEI</v>
          </cell>
          <cell r="D2835" t="str">
            <v>PERNO DE ACERO GALVANIZADO 1/2"D. X 7"    P.VIENTO</v>
          </cell>
        </row>
        <row r="2836">
          <cell r="B2836">
            <v>5467008</v>
          </cell>
          <cell r="C2836" t="str">
            <v>CBC</v>
          </cell>
          <cell r="D2836" t="str">
            <v>PERNO DE ACERO GALVANIZADO 1/2"D. X 8"    P.VIENTO</v>
          </cell>
        </row>
        <row r="2837">
          <cell r="B2837">
            <v>5467008</v>
          </cell>
          <cell r="C2837" t="str">
            <v>CMD</v>
          </cell>
          <cell r="D2837" t="str">
            <v>PERNO DE ACERO GALVANIZADO 1/2"D. X 8"    P.VIENTO</v>
          </cell>
        </row>
        <row r="2838">
          <cell r="B2838">
            <v>5467008</v>
          </cell>
          <cell r="C2838" t="str">
            <v>ELD</v>
          </cell>
          <cell r="D2838" t="str">
            <v>PERNO DE ACERO GALVANIZADO 1/2"D. X 8"    P.VIENTO</v>
          </cell>
        </row>
        <row r="2839">
          <cell r="B2839">
            <v>5467008</v>
          </cell>
          <cell r="C2839" t="str">
            <v>ELR</v>
          </cell>
          <cell r="D2839" t="str">
            <v>PERNO DE ACERO GALVANIZADO 1/2"D. X 8"    P.VIENTO</v>
          </cell>
        </row>
        <row r="2840">
          <cell r="B2840">
            <v>5467008</v>
          </cell>
          <cell r="C2840" t="str">
            <v>MDP</v>
          </cell>
          <cell r="D2840" t="str">
            <v>PERNO DE ACERO GALVANIZADO 1/2"D. X 8"    P.VIENTO</v>
          </cell>
        </row>
        <row r="2841">
          <cell r="B2841">
            <v>5467008</v>
          </cell>
          <cell r="C2841" t="str">
            <v>SEI</v>
          </cell>
          <cell r="D2841" t="str">
            <v>PERNO DE ACERO GALVANIZADO 1/2"D. X 8"    P.VIENTO</v>
          </cell>
        </row>
        <row r="2842">
          <cell r="B2842">
            <v>5467009</v>
          </cell>
          <cell r="C2842" t="str">
            <v>CBC</v>
          </cell>
          <cell r="D2842" t="str">
            <v>PERNO DE ACERO GALVANIZADO 1/2"D. X 9"    P.VIENTO</v>
          </cell>
        </row>
        <row r="2843">
          <cell r="B2843">
            <v>5467009</v>
          </cell>
          <cell r="C2843" t="str">
            <v>CMD</v>
          </cell>
          <cell r="D2843" t="str">
            <v>PERNO DE ACERO GALVANIZADO 1/2"D. X 9"    P.VIENTO</v>
          </cell>
        </row>
        <row r="2844">
          <cell r="B2844">
            <v>5467009</v>
          </cell>
          <cell r="C2844" t="str">
            <v>ELD</v>
          </cell>
          <cell r="D2844" t="str">
            <v>PERNO DE ACERO GALVANIZADO 1/2"D. X 9"    P.VIENTO</v>
          </cell>
        </row>
        <row r="2845">
          <cell r="B2845">
            <v>5467009</v>
          </cell>
          <cell r="C2845" t="str">
            <v>ELR</v>
          </cell>
          <cell r="D2845" t="str">
            <v>PERNO DE ACERO GALVANIZADO 1/2"D. X 9"    P.VIENTO</v>
          </cell>
        </row>
        <row r="2846">
          <cell r="B2846">
            <v>5467009</v>
          </cell>
          <cell r="C2846" t="str">
            <v>MDP</v>
          </cell>
          <cell r="D2846" t="str">
            <v>PERNO DE ACERO GALVANIZADO 1/2"D. X 9"    P.VIENTO</v>
          </cell>
        </row>
        <row r="2847">
          <cell r="B2847">
            <v>5467009</v>
          </cell>
          <cell r="C2847" t="str">
            <v>SEI</v>
          </cell>
          <cell r="D2847" t="str">
            <v>PERNO DE ACERO GALVANIZADO 1/2"D. X 9"    P.VIENTO</v>
          </cell>
        </row>
        <row r="2848">
          <cell r="B2848">
            <v>5467010</v>
          </cell>
          <cell r="C2848" t="str">
            <v>CBC</v>
          </cell>
          <cell r="D2848" t="str">
            <v>PERNO DE ACERO GALVANIZADO 1/2"D. X 10"   P.VIENTO</v>
          </cell>
        </row>
        <row r="2849">
          <cell r="B2849">
            <v>5467010</v>
          </cell>
          <cell r="C2849" t="str">
            <v>CMD</v>
          </cell>
          <cell r="D2849" t="str">
            <v>PERNO DE ACERO GALVANIZADO 1/2"D. X 10"   P.VIENTO</v>
          </cell>
        </row>
        <row r="2850">
          <cell r="B2850">
            <v>5467010</v>
          </cell>
          <cell r="C2850" t="str">
            <v>ELD</v>
          </cell>
          <cell r="D2850" t="str">
            <v>PERNO DE ACERO GALVANIZADO 1/2"D. X 10"   P.VIENTO</v>
          </cell>
        </row>
        <row r="2851">
          <cell r="B2851">
            <v>5467010</v>
          </cell>
          <cell r="C2851" t="str">
            <v>ELR</v>
          </cell>
          <cell r="D2851" t="str">
            <v>PERNO DE ACERO GALVANIZADO 1/2"D. X 10"   P.VIENTO</v>
          </cell>
        </row>
        <row r="2852">
          <cell r="B2852">
            <v>5467010</v>
          </cell>
          <cell r="C2852" t="str">
            <v>MDP</v>
          </cell>
          <cell r="D2852" t="str">
            <v>PERNO DE ACERO GALVANIZADO 1/2"D. X 10"   P.VIENTO</v>
          </cell>
        </row>
        <row r="2853">
          <cell r="B2853">
            <v>5467010</v>
          </cell>
          <cell r="C2853" t="str">
            <v>SEI</v>
          </cell>
          <cell r="D2853" t="str">
            <v>PERNO DE ACERO GALVANIZADO 1/2"D. X 10"   P.VIENTO</v>
          </cell>
        </row>
        <row r="2854">
          <cell r="B2854">
            <v>5467011</v>
          </cell>
          <cell r="C2854" t="str">
            <v>CBC</v>
          </cell>
          <cell r="D2854" t="str">
            <v>PERNO DE ACERO GALVANIZADO 1/2"D. X 11"   P.VIENTO</v>
          </cell>
        </row>
        <row r="2855">
          <cell r="B2855">
            <v>5467011</v>
          </cell>
          <cell r="C2855" t="str">
            <v>CMD</v>
          </cell>
          <cell r="D2855" t="str">
            <v>PERNO DE ACERO GALVANIZADO 1/2"D. X 11"   P.VIENTO</v>
          </cell>
        </row>
        <row r="2856">
          <cell r="B2856">
            <v>5467011</v>
          </cell>
          <cell r="C2856" t="str">
            <v>ELD</v>
          </cell>
          <cell r="D2856" t="str">
            <v>PERNO DE ACERO GALVANIZADO 1/2"D. X 11"   P.VIENTO</v>
          </cell>
        </row>
        <row r="2857">
          <cell r="B2857">
            <v>5467011</v>
          </cell>
          <cell r="C2857" t="str">
            <v>ELR</v>
          </cell>
          <cell r="D2857" t="str">
            <v>PERNO DE ACERO GALVANIZADO 1/2"D. X 11"   P.VIENTO</v>
          </cell>
        </row>
        <row r="2858">
          <cell r="B2858">
            <v>5467011</v>
          </cell>
          <cell r="C2858" t="str">
            <v>MDP</v>
          </cell>
          <cell r="D2858" t="str">
            <v>PERNO DE ACERO GALVANIZADO 1/2"D. X 11"   P.VIENTO</v>
          </cell>
        </row>
        <row r="2859">
          <cell r="B2859">
            <v>5467011</v>
          </cell>
          <cell r="C2859" t="str">
            <v>SEI</v>
          </cell>
          <cell r="D2859" t="str">
            <v>PERNO DE ACERO GALVANIZADO 1/2"D. X 11"   P.VIENTO</v>
          </cell>
        </row>
        <row r="2860">
          <cell r="B2860">
            <v>5467012</v>
          </cell>
          <cell r="C2860" t="str">
            <v>CBC</v>
          </cell>
          <cell r="D2860" t="str">
            <v>PERNO DE ACERO GALVANIZADO 1/2"D. X 12"   P.VIENTO</v>
          </cell>
        </row>
        <row r="2861">
          <cell r="B2861">
            <v>5467012</v>
          </cell>
          <cell r="C2861" t="str">
            <v>CMD</v>
          </cell>
          <cell r="D2861" t="str">
            <v>PERNO DE ACERO GALVANIZADO 1/2"D. X 12"   P.VIENTO</v>
          </cell>
        </row>
        <row r="2862">
          <cell r="B2862">
            <v>5467012</v>
          </cell>
          <cell r="C2862" t="str">
            <v>ELD</v>
          </cell>
          <cell r="D2862" t="str">
            <v>PERNO DE ACERO GALVANIZADO 1/2"D. X 12"   P.VIENTO</v>
          </cell>
        </row>
        <row r="2863">
          <cell r="B2863">
            <v>5467012</v>
          </cell>
          <cell r="C2863" t="str">
            <v>ELR</v>
          </cell>
          <cell r="D2863" t="str">
            <v>PERNO DE ACERO GALVANIZADO 1/2"D. X 12"   P.VIENTO</v>
          </cell>
        </row>
        <row r="2864">
          <cell r="B2864">
            <v>5467012</v>
          </cell>
          <cell r="C2864" t="str">
            <v>MDP</v>
          </cell>
          <cell r="D2864" t="str">
            <v>PERNO DE ACERO GALVANIZADO 1/2"D. X 12"   P.VIENTO</v>
          </cell>
        </row>
        <row r="2865">
          <cell r="B2865">
            <v>5467012</v>
          </cell>
          <cell r="C2865" t="str">
            <v>SEI</v>
          </cell>
          <cell r="D2865" t="str">
            <v>PERNO DE ACERO GALVANIZADO 1/2"D. X 12"   P.VIENTO</v>
          </cell>
        </row>
        <row r="2866">
          <cell r="B2866">
            <v>5467059</v>
          </cell>
          <cell r="C2866" t="str">
            <v>CBC</v>
          </cell>
          <cell r="D2866" t="str">
            <v>PERNO DE ACERO GALVANIZADO 5/8"D. X 9"    P.VIENTO</v>
          </cell>
        </row>
        <row r="2867">
          <cell r="B2867">
            <v>5467059</v>
          </cell>
          <cell r="C2867" t="str">
            <v>CMD</v>
          </cell>
          <cell r="D2867" t="str">
            <v>PERNO DE ACERO GALVANIZADO 5/8"D. X 9"    P.VIENTO</v>
          </cell>
        </row>
        <row r="2868">
          <cell r="B2868">
            <v>5467059</v>
          </cell>
          <cell r="C2868" t="str">
            <v>ELD</v>
          </cell>
          <cell r="D2868" t="str">
            <v>PERNO DE ACERO GALVANIZADO 5/8"D. X 9"    P.VIENTO</v>
          </cell>
        </row>
        <row r="2869">
          <cell r="B2869">
            <v>5467059</v>
          </cell>
          <cell r="C2869" t="str">
            <v>ELR</v>
          </cell>
          <cell r="D2869" t="str">
            <v>PERNO DE ACERO GALVANIZADO 5/8"D. X 9"    P.VIENTO</v>
          </cell>
        </row>
        <row r="2870">
          <cell r="B2870">
            <v>5467059</v>
          </cell>
          <cell r="C2870" t="str">
            <v>MDP</v>
          </cell>
          <cell r="D2870" t="str">
            <v>PERNO DE ACERO GALVANIZADO 5/8"D. X 9"    P.VIENTO</v>
          </cell>
        </row>
        <row r="2871">
          <cell r="B2871">
            <v>5467059</v>
          </cell>
          <cell r="C2871" t="str">
            <v>SEI</v>
          </cell>
          <cell r="D2871" t="str">
            <v>PERNO DE ACERO GALVANIZADO 5/8"D. X 9"    P.VIENTO</v>
          </cell>
        </row>
        <row r="2872">
          <cell r="B2872">
            <v>5467060</v>
          </cell>
          <cell r="C2872" t="str">
            <v>CBC</v>
          </cell>
          <cell r="D2872" t="str">
            <v>PERNO ACERO GALV. DE CABEZA HEXAGONAL 5/8" X 10", GRADO 5</v>
          </cell>
        </row>
        <row r="2873">
          <cell r="B2873">
            <v>5467060</v>
          </cell>
          <cell r="C2873" t="str">
            <v>CMD</v>
          </cell>
          <cell r="D2873" t="str">
            <v>PERNO ACERO GALV. DE CABEZA HEXAGONAL 5/8" X 10", GRADO 5</v>
          </cell>
        </row>
        <row r="2874">
          <cell r="B2874">
            <v>5467060</v>
          </cell>
          <cell r="C2874" t="str">
            <v>ELD</v>
          </cell>
          <cell r="D2874" t="str">
            <v>PERNO ACERO GALV. DE CABEZA HEXAGONAL 5/8" X 10", GRADO 5</v>
          </cell>
        </row>
        <row r="2875">
          <cell r="B2875">
            <v>5467060</v>
          </cell>
          <cell r="C2875" t="str">
            <v>ELR</v>
          </cell>
          <cell r="D2875" t="str">
            <v>PERNO ACERO GALV. DE CABEZA HEXAGONAL 5/8" X 10", GRADO 5</v>
          </cell>
        </row>
        <row r="2876">
          <cell r="B2876">
            <v>5467060</v>
          </cell>
          <cell r="C2876" t="str">
            <v>MDP</v>
          </cell>
          <cell r="D2876" t="str">
            <v>PERNO ACERO GALV. DE CABEZA HEXAGONAL 5/8" X 10", GRADO 5</v>
          </cell>
        </row>
        <row r="2877">
          <cell r="B2877">
            <v>5467060</v>
          </cell>
          <cell r="C2877" t="str">
            <v>SEI</v>
          </cell>
          <cell r="D2877" t="str">
            <v>PERNO ACERO GALV. DE CABEZA HEXAGONAL 5/8" X 10", GRADO 5</v>
          </cell>
        </row>
        <row r="2878">
          <cell r="B2878">
            <v>5467061</v>
          </cell>
          <cell r="C2878" t="str">
            <v>CBC</v>
          </cell>
          <cell r="D2878" t="str">
            <v>PERNO DE ACERO GALVANIZADO 5/8"D. X11"    P.VIENTO</v>
          </cell>
        </row>
        <row r="2879">
          <cell r="B2879">
            <v>5467061</v>
          </cell>
          <cell r="C2879" t="str">
            <v>CMD</v>
          </cell>
          <cell r="D2879" t="str">
            <v>PERNO DE ACERO GALVANIZADO 5/8"D. X11"    P.VIENTO</v>
          </cell>
        </row>
        <row r="2880">
          <cell r="B2880">
            <v>5467061</v>
          </cell>
          <cell r="C2880" t="str">
            <v>ELD</v>
          </cell>
          <cell r="D2880" t="str">
            <v>PERNO DE ACERO GALVANIZADO 5/8"D. X11"    P.VIENTO</v>
          </cell>
        </row>
        <row r="2881">
          <cell r="B2881">
            <v>5467061</v>
          </cell>
          <cell r="C2881" t="str">
            <v>ELR</v>
          </cell>
          <cell r="D2881" t="str">
            <v>PERNO DE ACERO GALVANIZADO 5/8"D. X11"    P.VIENTO</v>
          </cell>
        </row>
        <row r="2882">
          <cell r="B2882">
            <v>5467061</v>
          </cell>
          <cell r="C2882" t="str">
            <v>MDP</v>
          </cell>
          <cell r="D2882" t="str">
            <v>PERNO DE ACERO GALVANIZADO 5/8"D. X11"    P.VIENTO</v>
          </cell>
        </row>
        <row r="2883">
          <cell r="B2883">
            <v>5467061</v>
          </cell>
          <cell r="C2883" t="str">
            <v>SEI</v>
          </cell>
          <cell r="D2883" t="str">
            <v>PERNO DE ACERO GALVANIZADO 5/8"D. X11"    P.VIENTO</v>
          </cell>
        </row>
        <row r="2884">
          <cell r="B2884">
            <v>5467062</v>
          </cell>
          <cell r="C2884" t="str">
            <v>CBC</v>
          </cell>
          <cell r="D2884" t="str">
            <v>PERNO ACERO GALV. DE CABEZA HEXAGONAL 5/8" X 12", GRADO 5</v>
          </cell>
        </row>
        <row r="2885">
          <cell r="B2885">
            <v>5467062</v>
          </cell>
          <cell r="C2885" t="str">
            <v>CMD</v>
          </cell>
          <cell r="D2885" t="str">
            <v>PERNO ACERO GALV. DE CABEZA HEXAGONAL 5/8" X 12", GRADO 5</v>
          </cell>
        </row>
        <row r="2886">
          <cell r="B2886">
            <v>5467062</v>
          </cell>
          <cell r="C2886" t="str">
            <v>ELD</v>
          </cell>
          <cell r="D2886" t="str">
            <v>PERNO ACERO GALV. DE CABEZA HEXAGONAL 5/8" X 12", GRADO 5</v>
          </cell>
        </row>
        <row r="2887">
          <cell r="B2887">
            <v>5467062</v>
          </cell>
          <cell r="C2887" t="str">
            <v>ELR</v>
          </cell>
          <cell r="D2887" t="str">
            <v>PERNO ACERO GALV. DE CABEZA HEXAGONAL 5/8" X 12", GRADO 5</v>
          </cell>
        </row>
        <row r="2888">
          <cell r="B2888">
            <v>5467062</v>
          </cell>
          <cell r="C2888" t="str">
            <v>MDP</v>
          </cell>
          <cell r="D2888" t="str">
            <v>PERNO ACERO GALV. DE CABEZA HEXAGONAL 5/8" X 12", GRADO 5</v>
          </cell>
        </row>
        <row r="2889">
          <cell r="B2889">
            <v>5467062</v>
          </cell>
          <cell r="C2889" t="str">
            <v>SEI</v>
          </cell>
          <cell r="D2889" t="str">
            <v>PERNO ACERO GALV. DE CABEZA HEXAGONAL 5/8" X 12", GRADO 5</v>
          </cell>
        </row>
        <row r="2890">
          <cell r="B2890">
            <v>5467063</v>
          </cell>
          <cell r="C2890" t="str">
            <v>CBC</v>
          </cell>
          <cell r="D2890" t="str">
            <v>PERNO DE ACERO GALVANIZADO 5/8" X 14" PARA VIENTO</v>
          </cell>
        </row>
        <row r="2891">
          <cell r="B2891">
            <v>5467063</v>
          </cell>
          <cell r="C2891" t="str">
            <v>ELR</v>
          </cell>
          <cell r="D2891" t="str">
            <v>PERNO DE ACERO GALVANIZADO 5/8" X 14" PARA VIENTO</v>
          </cell>
        </row>
        <row r="2892">
          <cell r="B2892">
            <v>5467063</v>
          </cell>
          <cell r="C2892" t="str">
            <v>SEI</v>
          </cell>
          <cell r="D2892" t="str">
            <v>PERNO DE ACERO GALVANIZADO 5/8" X 14" PARA VIENTO</v>
          </cell>
        </row>
        <row r="2893">
          <cell r="B2893">
            <v>5467101</v>
          </cell>
          <cell r="C2893" t="str">
            <v>CMD</v>
          </cell>
          <cell r="D2893" t="str">
            <v>BARRA C.OJO (VARILLA DOBLADA SOLDADA) DE ANCLAJE DE ACERO GALV. 5/8" X 2400MM C.ACCESORIOS P.VIENTO</v>
          </cell>
        </row>
        <row r="2894">
          <cell r="B2894">
            <v>5467101</v>
          </cell>
          <cell r="C2894" t="str">
            <v>ELD</v>
          </cell>
          <cell r="D2894" t="str">
            <v>BARRA C.OJO (VARILLA DOBLADA SOLDADA) DE ANCLAJE DE ACERO GALV. 5/8" X 2400MM C.ACCESORIOS P.VIENTO</v>
          </cell>
        </row>
        <row r="2895">
          <cell r="B2895">
            <v>5467101</v>
          </cell>
          <cell r="C2895" t="str">
            <v>FAS</v>
          </cell>
          <cell r="D2895" t="str">
            <v>BARRA C.OJO (VARILLA DOBLADA SOLDADA) DE ANCLAJE DE ACERO GALV. 5/8" X 2400MM C.ACCESORIOS P.VIENTO</v>
          </cell>
        </row>
        <row r="2896">
          <cell r="B2896">
            <v>5467107</v>
          </cell>
          <cell r="C2896" t="str">
            <v>CMD</v>
          </cell>
          <cell r="D2896" t="str">
            <v>BARRA C.OJO (VARILLA ELECTROFORJADA) DE ANCLAJE DE ACERO GALV. 5/8" X 2400MM C.ACCESORIOS P.VIENTO</v>
          </cell>
        </row>
        <row r="2897">
          <cell r="B2897">
            <v>5467107</v>
          </cell>
          <cell r="C2897" t="str">
            <v>ELD</v>
          </cell>
          <cell r="D2897" t="str">
            <v>BARRA C.OJO (VARILLA ELECTROFORJADA) DE ANCLAJE DE ACERO GALV. 5/8" X 2400MM C.ACCESORIOS P.VIENTO</v>
          </cell>
        </row>
        <row r="2898">
          <cell r="B2898">
            <v>5467210</v>
          </cell>
          <cell r="C2898" t="str">
            <v>CPW</v>
          </cell>
          <cell r="D2898" t="str">
            <v>TUERCA CIEGA DE BRONCE,DE 19MMD.P.VAR.ROSC.ANCLAJE</v>
          </cell>
        </row>
        <row r="2899">
          <cell r="B2899">
            <v>5467210</v>
          </cell>
          <cell r="C2899" t="str">
            <v>JSY</v>
          </cell>
          <cell r="D2899" t="str">
            <v>TUERCA CIEGA DE BRONCE,DE 19MMD.P.VAR.ROSC.ANCLAJE</v>
          </cell>
        </row>
        <row r="2900">
          <cell r="B2900">
            <v>5467210</v>
          </cell>
          <cell r="C2900" t="str">
            <v>SCS</v>
          </cell>
          <cell r="D2900" t="str">
            <v>TUERCA CIEGA DE BRONCE,DE 19MMD.P.VAR.ROSC.ANCLAJE</v>
          </cell>
        </row>
        <row r="2901">
          <cell r="B2901">
            <v>5467410</v>
          </cell>
          <cell r="C2901" t="str">
            <v>ELD</v>
          </cell>
          <cell r="D2901" t="str">
            <v>PORTALINEA AC.GALV.VERT.BIF.P.AISL. 10-35MM2 TP.CARRETE</v>
          </cell>
        </row>
        <row r="2902">
          <cell r="B2902">
            <v>5467430</v>
          </cell>
          <cell r="C2902" t="str">
            <v>APW</v>
          </cell>
          <cell r="D2902" t="str">
            <v>PORTALINEA AC.GALV.VERT.TRIF.P.AISL.TP.CARRETE B.T</v>
          </cell>
        </row>
        <row r="2903">
          <cell r="B2903">
            <v>5467430</v>
          </cell>
          <cell r="C2903" t="str">
            <v>ELD</v>
          </cell>
          <cell r="D2903" t="str">
            <v>PORTALINEA AC.GALV.VERT.TRIF.P.AISL.TP.CARRETE B.T</v>
          </cell>
        </row>
        <row r="2904">
          <cell r="B2904">
            <v>5467462</v>
          </cell>
          <cell r="C2904" t="str">
            <v>ELD</v>
          </cell>
          <cell r="D2904" t="str">
            <v>PORTALINEA AC.GALV.HORIZ.DOBL. P.AISL.CARRETE B.T.</v>
          </cell>
        </row>
        <row r="2905">
          <cell r="B2905">
            <v>5467622</v>
          </cell>
          <cell r="C2905" t="str">
            <v>CMD</v>
          </cell>
          <cell r="D2905" t="str">
            <v>CANALETA PROTECTORA DE ACERO GALV. 2M LONG.P.PROTEGER TUBO 2" O 3" DIAM. EN SUBIDA O BAJADA DE CABLE</v>
          </cell>
        </row>
        <row r="2906">
          <cell r="B2906">
            <v>5467622</v>
          </cell>
          <cell r="C2906" t="str">
            <v>ELD</v>
          </cell>
          <cell r="D2906" t="str">
            <v>CANALETA PROTECTORA DE ACERO GALV. 2M LONG.P.PROTEGER TUBO 2" O 3" DIAM. EN SUBIDA O BAJADA DE CABLE</v>
          </cell>
        </row>
        <row r="2907">
          <cell r="B2907">
            <v>5467622</v>
          </cell>
          <cell r="C2907" t="str">
            <v>FAS</v>
          </cell>
          <cell r="D2907" t="str">
            <v>CANALETA PROTECTORA DE ACERO GALV. 2M LONG.P.PROTEGER TUBO 2" O 3" DIAM. EN SUBIDA O BAJADA DE CABLE</v>
          </cell>
        </row>
        <row r="2908">
          <cell r="B2908">
            <v>5467622</v>
          </cell>
          <cell r="C2908" t="str">
            <v>PIC</v>
          </cell>
          <cell r="D2908" t="str">
            <v>CANALETA PROTECTORA DE ACERO GALV. 2M LONG.P.PROTEGER TUBO 2" O 3" DIAM. EN SUBIDA O BAJADA DE CABLE</v>
          </cell>
        </row>
        <row r="2909">
          <cell r="B2909">
            <v>5467624</v>
          </cell>
          <cell r="C2909" t="str">
            <v>CMD</v>
          </cell>
          <cell r="D2909" t="str">
            <v>CANALETA PROTECTORA ACERO GALV. 2200MM P.PROTEGER CABLE P.VIENTO</v>
          </cell>
        </row>
        <row r="2910">
          <cell r="B2910">
            <v>5467624</v>
          </cell>
          <cell r="C2910" t="str">
            <v>ELD</v>
          </cell>
          <cell r="D2910" t="str">
            <v>CANALETA PROTECTORA ACERO GALV. 2200MM P.PROTEGER CABLE P.VIENTO</v>
          </cell>
        </row>
        <row r="2911">
          <cell r="B2911">
            <v>5467624</v>
          </cell>
          <cell r="C2911" t="str">
            <v>FAS</v>
          </cell>
          <cell r="D2911" t="str">
            <v>CANALETA PROTECTORA ACERO GALV. 2200MM P.PROTEGER CABLE P.VIENTO</v>
          </cell>
        </row>
        <row r="2912">
          <cell r="B2912">
            <v>5467624</v>
          </cell>
          <cell r="C2912" t="str">
            <v>PIC</v>
          </cell>
          <cell r="D2912" t="str">
            <v>CANALETA PROTECTORA ACERO GALV. 2200MM P.PROTEGER CABLE P.VIENTO</v>
          </cell>
        </row>
        <row r="2913">
          <cell r="B2913">
            <v>5467804</v>
          </cell>
          <cell r="C2913" t="str">
            <v>CMD</v>
          </cell>
          <cell r="D2913" t="str">
            <v>BRAZO DE APOYO TP.VIOLIN DE ACERO GALV. 2" X 875MM C.ACCESORIOS</v>
          </cell>
        </row>
        <row r="2914">
          <cell r="B2914">
            <v>5467804</v>
          </cell>
          <cell r="C2914" t="str">
            <v>ELD</v>
          </cell>
          <cell r="D2914" t="str">
            <v>BRAZO DE APOYO TP.VIOLIN DE ACERO GALV. 2" X 875MM C.ACCESORIOS</v>
          </cell>
        </row>
        <row r="2915">
          <cell r="B2915">
            <v>5467804</v>
          </cell>
          <cell r="C2915" t="str">
            <v>PIC</v>
          </cell>
          <cell r="D2915" t="str">
            <v>BRAZO DE APOYO TP.VIOLIN DE ACERO GALV. 2" X 875MM C.ACCESORIOS</v>
          </cell>
        </row>
        <row r="2916">
          <cell r="B2916">
            <v>5484220</v>
          </cell>
          <cell r="C2916" t="str">
            <v>CMD</v>
          </cell>
          <cell r="D2916" t="str">
            <v>TEMPLADOR P.ACOMETIDA DOMICILIARIA EN L.A.DE B.T.</v>
          </cell>
        </row>
        <row r="2917">
          <cell r="B2917">
            <v>5484220</v>
          </cell>
          <cell r="C2917" t="str">
            <v>ELD</v>
          </cell>
          <cell r="D2917" t="str">
            <v>TEMPLADOR P.ACOMETIDA DOMICILIARIA EN L.A.DE B.T.</v>
          </cell>
        </row>
        <row r="2918">
          <cell r="B2918">
            <v>5484220</v>
          </cell>
          <cell r="C2918" t="str">
            <v>FAS</v>
          </cell>
          <cell r="D2918" t="str">
            <v>TEMPLADOR P.ACOMETIDA DOMICILIARIA EN L.A.DE B.T.</v>
          </cell>
        </row>
        <row r="2919">
          <cell r="B2919">
            <v>5484222</v>
          </cell>
          <cell r="C2919" t="str">
            <v>CMD</v>
          </cell>
          <cell r="D2919" t="str">
            <v>TEMPLADOR P. ACOMETIDA DOMICILIARIA L.A./B.T. TRIP</v>
          </cell>
        </row>
        <row r="2920">
          <cell r="B2920">
            <v>5484222</v>
          </cell>
          <cell r="C2920" t="str">
            <v>ELD</v>
          </cell>
          <cell r="D2920" t="str">
            <v>TEMPLADOR P. ACOMETIDA DOMICILIARIA L.A./B.T. TRIP</v>
          </cell>
        </row>
        <row r="2921">
          <cell r="B2921">
            <v>5484222</v>
          </cell>
          <cell r="C2921" t="str">
            <v>FAS</v>
          </cell>
          <cell r="D2921" t="str">
            <v>TEMPLADOR P. ACOMETIDA DOMICILIARIA L.A./B.T. TRIP</v>
          </cell>
        </row>
        <row r="2922">
          <cell r="B2922">
            <v>5491250</v>
          </cell>
          <cell r="C2922" t="str">
            <v>AMP</v>
          </cell>
          <cell r="D2922" t="str">
            <v>PRENSA POR IMPACTO P.CONECTOR DERIV.TP.CU¤A</v>
          </cell>
        </row>
        <row r="2923">
          <cell r="B2923">
            <v>5492862</v>
          </cell>
          <cell r="C2923" t="str">
            <v>MAP</v>
          </cell>
          <cell r="D2923" t="str">
            <v>PRENSA DE MADERA P.CABLES COMUNIC. 500MM2.</v>
          </cell>
        </row>
        <row r="2924">
          <cell r="B2924">
            <v>5492862</v>
          </cell>
          <cell r="C2924" t="str">
            <v>MVL</v>
          </cell>
          <cell r="D2924" t="str">
            <v>PRENSA DE MADERA P.CABLES COMUNIC. 500MM2.</v>
          </cell>
        </row>
        <row r="2925">
          <cell r="B2925">
            <v>5544622</v>
          </cell>
          <cell r="C2925" t="str">
            <v>PHI</v>
          </cell>
          <cell r="D2925" t="str">
            <v>LAMPARA TUBULAR DE VAPOR DE SODIO DE ALTA PRESION 70W 220V C.CASUILLO E 27, FLUJO MEJORADO</v>
          </cell>
        </row>
        <row r="2926">
          <cell r="B2926">
            <v>5544638</v>
          </cell>
          <cell r="C2926" t="str">
            <v>GEL</v>
          </cell>
          <cell r="D2926" t="str">
            <v>LAMPARA TUBULAR DE VAPOR DE SODIO DE ALTA PRESION 150W 220V C.CASUILLO E 40, FLUJO MEJORADO</v>
          </cell>
        </row>
        <row r="2927">
          <cell r="B2927">
            <v>5544657</v>
          </cell>
          <cell r="C2927" t="str">
            <v>OSR</v>
          </cell>
          <cell r="D2927" t="str">
            <v>LAMPARA TUBULAR DE VAPOR DE SODIO DE ALTA PRESION 250W 220V C.CASUILLO E 40, FLUJO MEJORADO</v>
          </cell>
        </row>
        <row r="2928">
          <cell r="B2928">
            <v>5544667</v>
          </cell>
          <cell r="C2928" t="str">
            <v>PHI</v>
          </cell>
          <cell r="D2928" t="str">
            <v>LAMPARA TUBULAR DE VAPOR DE SODIO DE ALTA PRESION 400W 220V C.CASUILLO E 40, FLUJO MEJORADO</v>
          </cell>
        </row>
        <row r="2929">
          <cell r="B2929">
            <v>5564229</v>
          </cell>
          <cell r="C2929" t="str">
            <v>PHI</v>
          </cell>
          <cell r="D2929" t="str">
            <v>LUMINARIA PARA LAMPARA DE NA 70W EQUIPADA</v>
          </cell>
        </row>
        <row r="2930">
          <cell r="B2930">
            <v>5564234</v>
          </cell>
          <cell r="C2930" t="str">
            <v>JOS</v>
          </cell>
          <cell r="D2930" t="str">
            <v>LUMIN. II  CORTO HAZ SEMIREC.NA.70W.C/E</v>
          </cell>
        </row>
        <row r="2931">
          <cell r="B2931">
            <v>5564234</v>
          </cell>
          <cell r="C2931" t="str">
            <v>SCR</v>
          </cell>
          <cell r="D2931" t="str">
            <v>LUMIN. II  CORTO HAZ SEMIREC.NA.70W.C/E</v>
          </cell>
        </row>
        <row r="2932">
          <cell r="B2932">
            <v>5564240</v>
          </cell>
          <cell r="C2932" t="str">
            <v>PHI</v>
          </cell>
          <cell r="D2932" t="str">
            <v>LUMIN. II CORTO HAZ SEMIREC.NA.150W.C/E</v>
          </cell>
        </row>
        <row r="2933">
          <cell r="B2933">
            <v>5564240</v>
          </cell>
          <cell r="C2933" t="str">
            <v>SCR</v>
          </cell>
          <cell r="D2933" t="str">
            <v>LUMIN. II CORTO HAZ SEMIREC.NA.150W.C/E</v>
          </cell>
        </row>
        <row r="2934">
          <cell r="B2934">
            <v>5564243</v>
          </cell>
          <cell r="C2934" t="str">
            <v>JOS</v>
          </cell>
          <cell r="D2934" t="str">
            <v>LUMIN.II CORT/MED.HAZ SEMIREC.NA.150W.E.INTEG.C/E</v>
          </cell>
        </row>
        <row r="2935">
          <cell r="B2935">
            <v>5564243</v>
          </cell>
          <cell r="C2935" t="str">
            <v>PHI</v>
          </cell>
          <cell r="D2935" t="str">
            <v>LUMIN.II CORT/MED.HAZ SEMIREC.NA.150W.E.INTEG.C/E</v>
          </cell>
        </row>
        <row r="2936">
          <cell r="B2936">
            <v>5564400</v>
          </cell>
          <cell r="C2936" t="str">
            <v>JOS</v>
          </cell>
          <cell r="D2936" t="str">
            <v>LUMINARIA TIPO II MEDIANO HAZ SEMIRECORTADO NA 70W EQUIPADA</v>
          </cell>
        </row>
        <row r="2937">
          <cell r="B2937">
            <v>5564426</v>
          </cell>
          <cell r="C2937" t="str">
            <v>STD</v>
          </cell>
          <cell r="D2937" t="str">
            <v>LUMINARIA TIPO II MEDIANO HAZ SEMIRECORTADO NA 150W EQUIPADA C.DIFUSOR DE VIDRIO</v>
          </cell>
        </row>
        <row r="2938">
          <cell r="B2938">
            <v>5564458</v>
          </cell>
          <cell r="C2938" t="str">
            <v>CLS</v>
          </cell>
          <cell r="D2938" t="str">
            <v>LUMINARIA TIPO II MEDIANO HAZ SEMIRECORTADO NA 250W EQUIPADA</v>
          </cell>
        </row>
        <row r="2939">
          <cell r="B2939">
            <v>5564464</v>
          </cell>
          <cell r="C2939" t="str">
            <v>SCR</v>
          </cell>
          <cell r="D2939" t="str">
            <v>LUMINARIA TIPO III MEDIANO HAZ RECORTADO NA 400W EQUIPADA</v>
          </cell>
        </row>
        <row r="2940">
          <cell r="B2940">
            <v>5568130</v>
          </cell>
          <cell r="C2940" t="str">
            <v>JOS</v>
          </cell>
          <cell r="D2940" t="str">
            <v>FAROLA AL. P. LAMP. NA.70W, E-27. EQUIPADA</v>
          </cell>
        </row>
        <row r="2941">
          <cell r="B2941">
            <v>5568130</v>
          </cell>
          <cell r="C2941" t="str">
            <v>PHI</v>
          </cell>
          <cell r="D2941" t="str">
            <v>FAROLA AL. P. LAMP. NA.70W, E-27. EQUIPADA</v>
          </cell>
        </row>
        <row r="2942">
          <cell r="B2942">
            <v>5568133</v>
          </cell>
          <cell r="C2942" t="str">
            <v>JOS</v>
          </cell>
          <cell r="D2942" t="str">
            <v>FAROLA AL.HAZ N/RECORT.P.LAMP.HG.E-27,125W.C/EQUI.</v>
          </cell>
        </row>
        <row r="2943">
          <cell r="B2943">
            <v>5568133</v>
          </cell>
          <cell r="C2943" t="str">
            <v>PHI</v>
          </cell>
          <cell r="D2943" t="str">
            <v>FAROLA AL.HAZ N/RECORT.P.LAMP.HG.E-27,125W.C/EQUI.</v>
          </cell>
        </row>
        <row r="2944">
          <cell r="B2944">
            <v>5568134</v>
          </cell>
          <cell r="C2944" t="str">
            <v>JOS</v>
          </cell>
          <cell r="D2944" t="str">
            <v>FAROLA AL.HAZ NO RECORTADO HG. 125W.      S/EQUIPO</v>
          </cell>
        </row>
        <row r="2945">
          <cell r="B2945">
            <v>5568134</v>
          </cell>
          <cell r="C2945" t="str">
            <v>PHI</v>
          </cell>
          <cell r="D2945" t="str">
            <v>FAROLA AL.HAZ NO RECORTADO HG. 125W.      S/EQUIPO</v>
          </cell>
        </row>
        <row r="2946">
          <cell r="B2946">
            <v>5582434</v>
          </cell>
          <cell r="C2946" t="str">
            <v>ALP</v>
          </cell>
          <cell r="D2946" t="str">
            <v>REACTOR TP.2 P.LAMP.VAP.MERCURIO A.PRES.220V.125W.</v>
          </cell>
        </row>
        <row r="2947">
          <cell r="B2947">
            <v>5582434</v>
          </cell>
          <cell r="C2947" t="str">
            <v>ELT</v>
          </cell>
          <cell r="D2947" t="str">
            <v>REACTOR TP.2 P.LAMP.VAP.MERCURIO A.PRES.220V.125W.</v>
          </cell>
        </row>
        <row r="2948">
          <cell r="B2948">
            <v>5582434</v>
          </cell>
          <cell r="C2948" t="str">
            <v>M&amp;C</v>
          </cell>
          <cell r="D2948" t="str">
            <v>REACTOR TP.2 P.LAMP.VAP.MERCURIO A.PRES.220V.125W.</v>
          </cell>
        </row>
        <row r="2949">
          <cell r="B2949">
            <v>5582434</v>
          </cell>
          <cell r="C2949" t="str">
            <v>PHI</v>
          </cell>
          <cell r="D2949" t="str">
            <v>REACTOR TP.2 P.LAMP.VAP.MERCURIO A.PRES.220V.125W.</v>
          </cell>
        </row>
        <row r="2950">
          <cell r="B2950">
            <v>5582434</v>
          </cell>
          <cell r="C2950" t="str">
            <v>PHI</v>
          </cell>
          <cell r="D2950" t="str">
            <v>REACTOR TP.2 P.LAMP.VAP.MERCURIO A.PRES.220V.125W.</v>
          </cell>
        </row>
        <row r="2951">
          <cell r="B2951">
            <v>5582456</v>
          </cell>
          <cell r="C2951" t="str">
            <v>ALP</v>
          </cell>
          <cell r="D2951" t="str">
            <v>REACTOR TP.2 P.LAMP.VAP.MERCURIO A.PRES.220V.250W.</v>
          </cell>
        </row>
        <row r="2952">
          <cell r="B2952">
            <v>5582456</v>
          </cell>
          <cell r="C2952" t="str">
            <v>ELT</v>
          </cell>
          <cell r="D2952" t="str">
            <v>REACTOR TP.2 P.LAMP.VAP.MERCURIO A.PRES.220V.250W.</v>
          </cell>
        </row>
        <row r="2953">
          <cell r="B2953">
            <v>5582456</v>
          </cell>
          <cell r="C2953" t="str">
            <v>PHI</v>
          </cell>
          <cell r="D2953" t="str">
            <v>REACTOR TP.2 P.LAMP.VAP.MERCURIO A.PRES.220V.250W.</v>
          </cell>
        </row>
        <row r="2954">
          <cell r="B2954">
            <v>5582456</v>
          </cell>
          <cell r="C2954" t="str">
            <v>PHI</v>
          </cell>
          <cell r="D2954" t="str">
            <v>REACTOR TP.2 P.LAMP.VAP.MERCURIO A.PRES.220V.250W.</v>
          </cell>
        </row>
        <row r="2955">
          <cell r="B2955">
            <v>5582466</v>
          </cell>
          <cell r="C2955" t="str">
            <v>ALP</v>
          </cell>
          <cell r="D2955" t="str">
            <v>REACTOR TP.2 P.LAMP.VAP.MERCURIO A.PRES.220V.400W.</v>
          </cell>
        </row>
        <row r="2956">
          <cell r="B2956">
            <v>5582466</v>
          </cell>
          <cell r="C2956" t="str">
            <v>ELT</v>
          </cell>
          <cell r="D2956" t="str">
            <v>REACTOR TP.2 P.LAMP.VAP.MERCURIO A.PRES.220V.400W.</v>
          </cell>
        </row>
        <row r="2957">
          <cell r="B2957">
            <v>5582466</v>
          </cell>
          <cell r="C2957" t="str">
            <v>M&amp;C</v>
          </cell>
          <cell r="D2957" t="str">
            <v>REACTOR TP.2 P.LAMP.VAP.MERCURIO A.PRES.220V.400W.</v>
          </cell>
        </row>
        <row r="2958">
          <cell r="B2958">
            <v>5582466</v>
          </cell>
          <cell r="C2958" t="str">
            <v>PHI</v>
          </cell>
          <cell r="D2958" t="str">
            <v>REACTOR TP.2 P.LAMP.VAP.MERCURIO A.PRES.220V.400W.</v>
          </cell>
        </row>
        <row r="2959">
          <cell r="B2959">
            <v>5582632</v>
          </cell>
          <cell r="C2959" t="str">
            <v>ALP</v>
          </cell>
          <cell r="D2959" t="str">
            <v>REACTOR TP.1 P.LAMP.VAP.SODIO ALTA PRES.220V. 70W.</v>
          </cell>
        </row>
        <row r="2960">
          <cell r="B2960">
            <v>5582632</v>
          </cell>
          <cell r="C2960" t="str">
            <v>ALP</v>
          </cell>
          <cell r="D2960" t="str">
            <v>REACTOR TP.1 P.LAMP.VAP.SODIO ALTA PRES.220V. 70W.</v>
          </cell>
        </row>
        <row r="2961">
          <cell r="B2961">
            <v>5582632</v>
          </cell>
          <cell r="C2961" t="str">
            <v>ECN</v>
          </cell>
          <cell r="D2961" t="str">
            <v>REACTOR TP.1 P.LAMP.VAP.SODIO ALTA PRES.220V. 70W.</v>
          </cell>
        </row>
        <row r="2962">
          <cell r="B2962">
            <v>5582632</v>
          </cell>
          <cell r="C2962" t="str">
            <v>ELT</v>
          </cell>
          <cell r="D2962" t="str">
            <v>REACTOR TP.1 P.LAMP.VAP.SODIO ALTA PRES.220V. 70W.</v>
          </cell>
        </row>
        <row r="2963">
          <cell r="B2963">
            <v>5582632</v>
          </cell>
          <cell r="C2963" t="str">
            <v>INA</v>
          </cell>
          <cell r="D2963" t="str">
            <v>REACTOR TP.1 P.LAMP.VAP.SODIO ALTA PRES.220V. 70W.</v>
          </cell>
        </row>
        <row r="2964">
          <cell r="B2964">
            <v>5582632</v>
          </cell>
          <cell r="C2964" t="str">
            <v>INC</v>
          </cell>
          <cell r="D2964" t="str">
            <v>REACTOR TP.1 P.LAMP.VAP.SODIO ALTA PRES.220V. 70W.</v>
          </cell>
        </row>
        <row r="2965">
          <cell r="B2965">
            <v>5582632</v>
          </cell>
          <cell r="C2965" t="str">
            <v>PHI</v>
          </cell>
          <cell r="D2965" t="str">
            <v>REACTOR TP.1 P.LAMP.VAP.SODIO ALTA PRES.220V. 70W.</v>
          </cell>
        </row>
        <row r="2966">
          <cell r="B2966">
            <v>5582632</v>
          </cell>
          <cell r="C2966" t="str">
            <v>PHI</v>
          </cell>
          <cell r="D2966" t="str">
            <v>REACTOR TP.1 P.LAMP.VAP.SODIO ALTA PRES.220V. 70W.</v>
          </cell>
        </row>
        <row r="2967">
          <cell r="B2967">
            <v>5582632</v>
          </cell>
          <cell r="C2967" t="str">
            <v>PHI</v>
          </cell>
          <cell r="D2967" t="str">
            <v>REACTOR TP.1 P.LAMP.VAP.SODIO ALTA PRES.220V. 70W.</v>
          </cell>
        </row>
        <row r="2968">
          <cell r="B2968">
            <v>5582632</v>
          </cell>
          <cell r="C2968" t="str">
            <v>PHI</v>
          </cell>
          <cell r="D2968" t="str">
            <v>REACTOR TP.1 P.LAMP.VAP.SODIO ALTA PRES.220V. 70W.</v>
          </cell>
        </row>
        <row r="2969">
          <cell r="B2969">
            <v>5582632</v>
          </cell>
          <cell r="C2969" t="str">
            <v>RGX</v>
          </cell>
          <cell r="D2969" t="str">
            <v>REACTOR TP.1 P.LAMP.VAP.SODIO ALTA PRES.220V. 70W.</v>
          </cell>
        </row>
        <row r="2970">
          <cell r="B2970">
            <v>5582632</v>
          </cell>
          <cell r="C2970" t="str">
            <v>VOS</v>
          </cell>
          <cell r="D2970" t="str">
            <v>REACTOR TP.1 P.LAMP.VAP.SODIO ALTA PRES.220V. 70W.</v>
          </cell>
        </row>
        <row r="2971">
          <cell r="B2971">
            <v>5582638</v>
          </cell>
          <cell r="C2971" t="str">
            <v>ELT</v>
          </cell>
          <cell r="D2971" t="str">
            <v>REACTOR TP.1 P.LAMP.VAP.SODIO ALTA PRES.220V.150W.</v>
          </cell>
        </row>
        <row r="2972">
          <cell r="B2972">
            <v>5582638</v>
          </cell>
          <cell r="C2972" t="str">
            <v>M&amp;C</v>
          </cell>
          <cell r="D2972" t="str">
            <v>REACTOR TP.1 P.LAMP.VAP.SODIO ALTA PRES.220V.150W.</v>
          </cell>
        </row>
        <row r="2973">
          <cell r="B2973">
            <v>5582638</v>
          </cell>
          <cell r="C2973" t="str">
            <v>PHI</v>
          </cell>
          <cell r="D2973" t="str">
            <v>REACTOR TP.1 P.LAMP.VAP.SODIO ALTA PRES.220V.150W.</v>
          </cell>
        </row>
        <row r="2974">
          <cell r="B2974">
            <v>5582638</v>
          </cell>
          <cell r="C2974" t="str">
            <v>RGX</v>
          </cell>
          <cell r="D2974" t="str">
            <v>REACTOR TP.1 P.LAMP.VAP.SODIO ALTA PRES.220V.150W.</v>
          </cell>
        </row>
        <row r="2975">
          <cell r="B2975">
            <v>5582638</v>
          </cell>
          <cell r="C2975" t="str">
            <v>VOS</v>
          </cell>
          <cell r="D2975" t="str">
            <v>REACTOR TP.1 P.LAMP.VAP.SODIO ALTA PRES.220V.150W.</v>
          </cell>
        </row>
        <row r="2976">
          <cell r="B2976">
            <v>5582656</v>
          </cell>
          <cell r="C2976" t="str">
            <v>ELT</v>
          </cell>
          <cell r="D2976" t="str">
            <v>REACTOR TP.1 P.LAMP.VAP.SODIO ALTA PRES.220V.250W.</v>
          </cell>
        </row>
        <row r="2977">
          <cell r="B2977">
            <v>5582656</v>
          </cell>
          <cell r="C2977" t="str">
            <v>M&amp;C</v>
          </cell>
          <cell r="D2977" t="str">
            <v>REACTOR TP.1 P.LAMP.VAP.SODIO ALTA PRES.220V.250W.</v>
          </cell>
        </row>
        <row r="2978">
          <cell r="B2978">
            <v>5582656</v>
          </cell>
          <cell r="C2978" t="str">
            <v>VOS</v>
          </cell>
          <cell r="D2978" t="str">
            <v>REACTOR TP.1 P.LAMP.VAP.SODIO ALTA PRES.220V.250W.</v>
          </cell>
        </row>
        <row r="2979">
          <cell r="B2979">
            <v>5582666</v>
          </cell>
          <cell r="C2979" t="str">
            <v>M&amp;C</v>
          </cell>
          <cell r="D2979" t="str">
            <v>REACTOR TP.1 P.LAMP.VAP.SODIO ALTA PRES.220V.400W.</v>
          </cell>
        </row>
        <row r="2980">
          <cell r="B2980">
            <v>5582666</v>
          </cell>
          <cell r="C2980" t="str">
            <v>VOS</v>
          </cell>
          <cell r="D2980" t="str">
            <v>REACTOR TP.1 P.LAMP.VAP.SODIO ALTA PRES.220V.400W.</v>
          </cell>
        </row>
        <row r="2981">
          <cell r="B2981">
            <v>5582738</v>
          </cell>
          <cell r="C2981" t="str">
            <v>ALP</v>
          </cell>
          <cell r="D2981" t="str">
            <v>REACTOR TP.2 P.LAMP.VAP.SODIO ALTA PRES.220V.150W.</v>
          </cell>
        </row>
        <row r="2982">
          <cell r="B2982">
            <v>5582738</v>
          </cell>
          <cell r="C2982" t="str">
            <v>INA</v>
          </cell>
          <cell r="D2982" t="str">
            <v>REACTOR TP.2 P.LAMP.VAP.SODIO ALTA PRES.220V.150W.</v>
          </cell>
        </row>
        <row r="2983">
          <cell r="B2983">
            <v>5582738</v>
          </cell>
          <cell r="C2983" t="str">
            <v>PHI</v>
          </cell>
          <cell r="D2983" t="str">
            <v>REACTOR TP.2 P.LAMP.VAP.SODIO ALTA PRES.220V.150W.</v>
          </cell>
        </row>
        <row r="2984">
          <cell r="B2984">
            <v>5582756</v>
          </cell>
          <cell r="C2984" t="str">
            <v>ALP</v>
          </cell>
          <cell r="D2984" t="str">
            <v>REACTOR TP.2 P.LAMP.VAP.SODIO ALTA PRES.220V.250W.</v>
          </cell>
        </row>
        <row r="2985">
          <cell r="B2985">
            <v>5582756</v>
          </cell>
          <cell r="C2985" t="str">
            <v>ECN</v>
          </cell>
          <cell r="D2985" t="str">
            <v>REACTOR TP.2 P.LAMP.VAP.SODIO ALTA PRES.220V.250W.</v>
          </cell>
        </row>
        <row r="2986">
          <cell r="B2986">
            <v>5582756</v>
          </cell>
          <cell r="C2986" t="str">
            <v>ETI</v>
          </cell>
          <cell r="D2986" t="str">
            <v>REACTOR TP.2 P.LAMP.VAP.SODIO ALTA PRES.220V.250W.</v>
          </cell>
        </row>
        <row r="2987">
          <cell r="B2987">
            <v>5582756</v>
          </cell>
          <cell r="C2987" t="str">
            <v>INA</v>
          </cell>
          <cell r="D2987" t="str">
            <v>REACTOR TP.2 P.LAMP.VAP.SODIO ALTA PRES.220V.250W.</v>
          </cell>
        </row>
        <row r="2988">
          <cell r="B2988">
            <v>5582756</v>
          </cell>
          <cell r="C2988" t="str">
            <v>PHI</v>
          </cell>
          <cell r="D2988" t="str">
            <v>REACTOR TP.2 P.LAMP.VAP.SODIO ALTA PRES.220V.250W.</v>
          </cell>
        </row>
        <row r="2989">
          <cell r="B2989">
            <v>5582756</v>
          </cell>
          <cell r="C2989" t="str">
            <v>PHI</v>
          </cell>
          <cell r="D2989" t="str">
            <v>REACTOR TP.2 P.LAMP.VAP.SODIO ALTA PRES.220V.250W.</v>
          </cell>
        </row>
        <row r="2990">
          <cell r="B2990">
            <v>5582756</v>
          </cell>
          <cell r="C2990" t="str">
            <v>PHI</v>
          </cell>
          <cell r="D2990" t="str">
            <v>REACTOR TP.2 P.LAMP.VAP.SODIO ALTA PRES.220V.250W.</v>
          </cell>
        </row>
        <row r="2991">
          <cell r="B2991">
            <v>5582756</v>
          </cell>
          <cell r="C2991" t="str">
            <v>PHI</v>
          </cell>
          <cell r="D2991" t="str">
            <v>REACTOR TP.2 P.LAMP.VAP.SODIO ALTA PRES.220V.250W.</v>
          </cell>
        </row>
        <row r="2992">
          <cell r="B2992">
            <v>5582756</v>
          </cell>
          <cell r="C2992" t="str">
            <v>PHI</v>
          </cell>
          <cell r="D2992" t="str">
            <v>REACTOR TP.2 P.LAMP.VAP.SODIO ALTA PRES.220V.250W.</v>
          </cell>
        </row>
        <row r="2993">
          <cell r="B2993">
            <v>5582766</v>
          </cell>
          <cell r="C2993" t="str">
            <v>ALP</v>
          </cell>
          <cell r="D2993" t="str">
            <v>REACTOR TP.2 P.LAMP.VAP.SODIO ALTA PRES.220V.400W.</v>
          </cell>
        </row>
        <row r="2994">
          <cell r="B2994">
            <v>5582766</v>
          </cell>
          <cell r="C2994" t="str">
            <v>ECN</v>
          </cell>
          <cell r="D2994" t="str">
            <v>REACTOR TP.2 P.LAMP.VAP.SODIO ALTA PRES.220V.400W.</v>
          </cell>
        </row>
        <row r="2995">
          <cell r="B2995">
            <v>5582766</v>
          </cell>
          <cell r="C2995" t="str">
            <v>ELT</v>
          </cell>
          <cell r="D2995" t="str">
            <v>REACTOR TP.2 P.LAMP.VAP.SODIO ALTA PRES.220V.400W.</v>
          </cell>
        </row>
        <row r="2996">
          <cell r="B2996">
            <v>5582766</v>
          </cell>
          <cell r="C2996" t="str">
            <v>INA</v>
          </cell>
          <cell r="D2996" t="str">
            <v>REACTOR TP.2 P.LAMP.VAP.SODIO ALTA PRES.220V.400W.</v>
          </cell>
        </row>
        <row r="2997">
          <cell r="B2997">
            <v>5582766</v>
          </cell>
          <cell r="C2997" t="str">
            <v>M&amp;C</v>
          </cell>
          <cell r="D2997" t="str">
            <v>REACTOR TP.2 P.LAMP.VAP.SODIO ALTA PRES.220V.400W.</v>
          </cell>
        </row>
        <row r="2998">
          <cell r="B2998">
            <v>5582766</v>
          </cell>
          <cell r="C2998" t="str">
            <v>PHI</v>
          </cell>
          <cell r="D2998" t="str">
            <v>REACTOR TP.2 P.LAMP.VAP.SODIO ALTA PRES.220V.400W.</v>
          </cell>
        </row>
        <row r="2999">
          <cell r="B2999">
            <v>5582766</v>
          </cell>
          <cell r="C2999" t="str">
            <v>PHI</v>
          </cell>
          <cell r="D2999" t="str">
            <v>REACTOR TP.2 P.LAMP.VAP.SODIO ALTA PRES.220V.400W.</v>
          </cell>
        </row>
        <row r="3000">
          <cell r="B3000">
            <v>5582766</v>
          </cell>
          <cell r="C3000" t="str">
            <v>PHI</v>
          </cell>
          <cell r="D3000" t="str">
            <v>REACTOR TP.2 P.LAMP.VAP.SODIO ALTA PRES.220V.400W.</v>
          </cell>
        </row>
        <row r="3001">
          <cell r="B3001">
            <v>5584366</v>
          </cell>
          <cell r="C3001" t="str">
            <v>M&amp;C</v>
          </cell>
          <cell r="D3001" t="str">
            <v>IGNITOR TP. S-51 P.LAMP.VAP.HG.C/HALOG.METAL. 400W</v>
          </cell>
        </row>
        <row r="3002">
          <cell r="B3002">
            <v>5584651</v>
          </cell>
          <cell r="C3002" t="str">
            <v>BAG</v>
          </cell>
          <cell r="D3002" t="str">
            <v>IGNITOR TP.1 LAMP.VAP.NA.ALT.PRES.220V. 70W.TRIDONIC</v>
          </cell>
        </row>
        <row r="3003">
          <cell r="B3003">
            <v>5584651</v>
          </cell>
          <cell r="C3003" t="str">
            <v>PHI</v>
          </cell>
          <cell r="D3003" t="str">
            <v>IGNITOR TP.1 LAMP.VAP.NA.ALT.PRES.220V. 70W.TRIDONIC</v>
          </cell>
        </row>
        <row r="3004">
          <cell r="B3004">
            <v>5584651</v>
          </cell>
          <cell r="C3004" t="str">
            <v>TRI</v>
          </cell>
          <cell r="D3004" t="str">
            <v>IGNITOR TP.1 LAMP.VAP.NA.ALT.PRES.220V. 70W.TRIDONIC</v>
          </cell>
        </row>
        <row r="3005">
          <cell r="B3005">
            <v>5584652</v>
          </cell>
          <cell r="C3005" t="str">
            <v>BAG</v>
          </cell>
          <cell r="D3005" t="str">
            <v>IGNITOR TP.1 P.LAMP.SODIO ALTA PRESION 70W.</v>
          </cell>
        </row>
        <row r="3006">
          <cell r="B3006">
            <v>5584652</v>
          </cell>
          <cell r="C3006" t="str">
            <v>DIS</v>
          </cell>
          <cell r="D3006" t="str">
            <v>IGNITOR TP.1 P.LAMP.SODIO ALTA PRESION 70W.</v>
          </cell>
        </row>
        <row r="3007">
          <cell r="B3007">
            <v>5584652</v>
          </cell>
          <cell r="C3007" t="str">
            <v>INA</v>
          </cell>
          <cell r="D3007" t="str">
            <v>IGNITOR TP.1 P.LAMP.SODIO ALTA PRESION 70W.</v>
          </cell>
        </row>
        <row r="3008">
          <cell r="B3008">
            <v>5584652</v>
          </cell>
          <cell r="C3008" t="str">
            <v>PHI</v>
          </cell>
          <cell r="D3008" t="str">
            <v>IGNITOR TP.1 P.LAMP.SODIO ALTA PRESION 70W.</v>
          </cell>
        </row>
        <row r="3009">
          <cell r="B3009">
            <v>5584652</v>
          </cell>
          <cell r="C3009" t="str">
            <v>PHI</v>
          </cell>
          <cell r="D3009" t="str">
            <v>IGNITOR TP.1 P.LAMP.SODIO ALTA PRESION 70W.</v>
          </cell>
        </row>
        <row r="3010">
          <cell r="B3010">
            <v>5584652</v>
          </cell>
          <cell r="C3010" t="str">
            <v>TRI</v>
          </cell>
          <cell r="D3010" t="str">
            <v>IGNITOR TP.1 P.LAMP.SODIO ALTA PRESION 70W.</v>
          </cell>
        </row>
        <row r="3011">
          <cell r="B3011">
            <v>5584652</v>
          </cell>
          <cell r="C3011" t="str">
            <v>VOS</v>
          </cell>
          <cell r="D3011" t="str">
            <v>IGNITOR TP.1 P.LAMP.SODIO ALTA PRESION 70W.</v>
          </cell>
        </row>
        <row r="3012">
          <cell r="B3012">
            <v>5584655</v>
          </cell>
          <cell r="C3012" t="str">
            <v>ATC</v>
          </cell>
          <cell r="D3012" t="str">
            <v>IGN.TP.1 LAM.VAP.NA.ALT.PRES.220V.70-400W.TRIDONIC</v>
          </cell>
        </row>
        <row r="3013">
          <cell r="B3013">
            <v>5584655</v>
          </cell>
          <cell r="C3013" t="str">
            <v>BAG</v>
          </cell>
          <cell r="D3013" t="str">
            <v>IGN.TP.1 LAM.VAP.NA.ALT.PRES.220V.70-400W.TRIDONIC</v>
          </cell>
        </row>
        <row r="3014">
          <cell r="B3014">
            <v>5584655</v>
          </cell>
          <cell r="C3014" t="str">
            <v>JOS</v>
          </cell>
          <cell r="D3014" t="str">
            <v>IGN.TP.1 LAM.VAP.NA.ALT.PRES.220V.70-400W.TRIDONIC</v>
          </cell>
        </row>
        <row r="3015">
          <cell r="B3015">
            <v>5584655</v>
          </cell>
          <cell r="C3015" t="str">
            <v>M&amp;C</v>
          </cell>
          <cell r="D3015" t="str">
            <v>IGN.TP.1 LAM.VAP.NA.ALT.PRES.220V.70-400W.TRIDONIC</v>
          </cell>
        </row>
        <row r="3016">
          <cell r="B3016">
            <v>5584655</v>
          </cell>
          <cell r="C3016" t="str">
            <v>TRI</v>
          </cell>
          <cell r="D3016" t="str">
            <v>IGN.TP.1 LAM.VAP.NA.ALT.PRES.220V.70-400W.TRIDONIC</v>
          </cell>
        </row>
        <row r="3017">
          <cell r="B3017">
            <v>5584656</v>
          </cell>
          <cell r="C3017" t="str">
            <v>BAE</v>
          </cell>
          <cell r="D3017" t="str">
            <v>IGNITOR TP.1 P.LAMP.SODIO ALTA PRES. 150/250/400W.</v>
          </cell>
        </row>
        <row r="3018">
          <cell r="B3018">
            <v>5584656</v>
          </cell>
          <cell r="C3018" t="str">
            <v>BAG</v>
          </cell>
          <cell r="D3018" t="str">
            <v>IGNITOR TP.1 P.LAMP.SODIO ALTA PRES. 150/250/400W.</v>
          </cell>
        </row>
        <row r="3019">
          <cell r="B3019">
            <v>5584656</v>
          </cell>
          <cell r="C3019" t="str">
            <v>DIS</v>
          </cell>
          <cell r="D3019" t="str">
            <v>IGNITOR TP.1 P.LAMP.SODIO ALTA PRES. 150/250/400W.</v>
          </cell>
        </row>
        <row r="3020">
          <cell r="B3020">
            <v>5584656</v>
          </cell>
          <cell r="C3020" t="str">
            <v>INA</v>
          </cell>
          <cell r="D3020" t="str">
            <v>IGNITOR TP.1 P.LAMP.SODIO ALTA PRES. 150/250/400W.</v>
          </cell>
        </row>
        <row r="3021">
          <cell r="B3021">
            <v>5584656</v>
          </cell>
          <cell r="C3021" t="str">
            <v>TRI</v>
          </cell>
          <cell r="D3021" t="str">
            <v>IGNITOR TP.1 P.LAMP.SODIO ALTA PRES. 150/250/400W.</v>
          </cell>
        </row>
        <row r="3022">
          <cell r="B3022">
            <v>5584656</v>
          </cell>
          <cell r="C3022" t="str">
            <v>VOS</v>
          </cell>
          <cell r="D3022" t="str">
            <v>IGNITOR TP.1 P.LAMP.SODIO ALTA PRES. 150/250/400W.</v>
          </cell>
        </row>
        <row r="3023">
          <cell r="B3023">
            <v>5584756</v>
          </cell>
          <cell r="C3023" t="str">
            <v>DIS</v>
          </cell>
          <cell r="D3023" t="str">
            <v>IGNITOR TP.2 P.LAMP.SODIO ALTA PRES. 150/250/400W.</v>
          </cell>
        </row>
        <row r="3024">
          <cell r="B3024">
            <v>5584756</v>
          </cell>
          <cell r="C3024" t="str">
            <v>ECN</v>
          </cell>
          <cell r="D3024" t="str">
            <v>IGNITOR TP.2 P.LAMP.SODIO ALTA PRES. 150/250/400W.</v>
          </cell>
        </row>
        <row r="3025">
          <cell r="B3025">
            <v>5584756</v>
          </cell>
          <cell r="C3025" t="str">
            <v>ELT</v>
          </cell>
          <cell r="D3025" t="str">
            <v>IGNITOR TP.2 P.LAMP.SODIO ALTA PRES. 150/250/400W.</v>
          </cell>
        </row>
        <row r="3026">
          <cell r="B3026">
            <v>5584756</v>
          </cell>
          <cell r="C3026" t="str">
            <v>ETI</v>
          </cell>
          <cell r="D3026" t="str">
            <v>IGNITOR TP.2 P.LAMP.SODIO ALTA PRES. 150/250/400W.</v>
          </cell>
        </row>
        <row r="3027">
          <cell r="B3027">
            <v>5584756</v>
          </cell>
          <cell r="C3027" t="str">
            <v>PHI</v>
          </cell>
          <cell r="D3027" t="str">
            <v>IGNITOR TP.2 P.LAMP.SODIO ALTA PRES. 150/250/400W.</v>
          </cell>
        </row>
        <row r="3028">
          <cell r="B3028">
            <v>5584756</v>
          </cell>
          <cell r="C3028" t="str">
            <v>PHI</v>
          </cell>
          <cell r="D3028" t="str">
            <v>IGNITOR TP.2 P.LAMP.SODIO ALTA PRES. 150/250/400W.</v>
          </cell>
        </row>
        <row r="3029">
          <cell r="B3029">
            <v>5584756</v>
          </cell>
          <cell r="C3029" t="str">
            <v>PHI</v>
          </cell>
          <cell r="D3029" t="str">
            <v>IGNITOR TP.2 P.LAMP.SODIO ALTA PRES. 150/250/400W.</v>
          </cell>
        </row>
        <row r="3030">
          <cell r="B3030">
            <v>5592645</v>
          </cell>
          <cell r="C3030" t="str">
            <v>PIC</v>
          </cell>
          <cell r="D3030" t="str">
            <v>SEGURO TIPO CANASTILLA P.PORTAEQUIPO DE LUMINARIAS ASTRO 70W Y 150W</v>
          </cell>
        </row>
        <row r="3031">
          <cell r="B3031">
            <v>5592645</v>
          </cell>
          <cell r="C3031" t="str">
            <v>UCS</v>
          </cell>
          <cell r="D3031" t="str">
            <v>SEGURO TIPO CANASTILLA P.PORTAEQUIPO DE LUMINARIAS ASTRO 70W Y 150W</v>
          </cell>
        </row>
        <row r="3032">
          <cell r="B3032">
            <v>5592646</v>
          </cell>
          <cell r="C3032" t="str">
            <v>CHA</v>
          </cell>
          <cell r="D3032" t="str">
            <v>SEGURO TIPO CANASTILLA P.PORTAEQUIPO DE LUMINARIAS ECOM 70W Y 150W</v>
          </cell>
        </row>
        <row r="3033">
          <cell r="B3033">
            <v>5592646</v>
          </cell>
          <cell r="C3033" t="str">
            <v>PIC</v>
          </cell>
          <cell r="D3033" t="str">
            <v>SEGURO TIPO CANASTILLA P.PORTAEQUIPO DE LUMINARIAS ECOM 70W Y 150W</v>
          </cell>
        </row>
        <row r="3034">
          <cell r="B3034">
            <v>5592646</v>
          </cell>
          <cell r="C3034" t="str">
            <v>UCS</v>
          </cell>
          <cell r="D3034" t="str">
            <v>SEGURO TIPO CANASTILLA P.PORTAEQUIPO DE LUMINARIAS ECOM 70W Y 150W</v>
          </cell>
        </row>
        <row r="3035">
          <cell r="B3035">
            <v>5592650</v>
          </cell>
          <cell r="C3035" t="str">
            <v>PIC</v>
          </cell>
          <cell r="D3035" t="str">
            <v>SEGURO TIPO TAPA P.PORTAEQUIPO DE LUMINARIAS ASTRO 70W Y 150W</v>
          </cell>
        </row>
        <row r="3036">
          <cell r="B3036">
            <v>5592650</v>
          </cell>
          <cell r="C3036" t="str">
            <v>UCS</v>
          </cell>
          <cell r="D3036" t="str">
            <v>SEGURO TIPO TAPA P.PORTAEQUIPO DE LUMINARIAS ASTRO 70W Y 150W</v>
          </cell>
        </row>
        <row r="3037">
          <cell r="B3037">
            <v>5593644</v>
          </cell>
          <cell r="C3037" t="str">
            <v>ELG</v>
          </cell>
          <cell r="D3037" t="str">
            <v>DIFUSOR P.LUMINARIA PHILIPS SRC-510, ACRILICO, C/JEBE</v>
          </cell>
        </row>
        <row r="3038">
          <cell r="B3038">
            <v>5593645</v>
          </cell>
          <cell r="C3038" t="str">
            <v>ELG</v>
          </cell>
          <cell r="D3038" t="str">
            <v>DIFUSOR P.LUMINARIA PHILIPS SRC-511, ACRILICO, C/JEBE</v>
          </cell>
        </row>
        <row r="3039">
          <cell r="B3039">
            <v>5594207</v>
          </cell>
          <cell r="C3039" t="str">
            <v>PHI</v>
          </cell>
          <cell r="D3039" t="str">
            <v>DIFUSOR POLICARBONATO P.LUMINARIA PHILIPS ECOM 70 - 150W C.PLANCHA 3MM C.ACCESORIOS</v>
          </cell>
        </row>
        <row r="3040">
          <cell r="B3040">
            <v>5594218</v>
          </cell>
          <cell r="C3040" t="str">
            <v>ELG</v>
          </cell>
          <cell r="D3040" t="str">
            <v>DIFUSOR P.LUMINARIA PHILIPS SRC-515, ACRILICO, C/JEBE</v>
          </cell>
        </row>
        <row r="3041">
          <cell r="B3041">
            <v>5594220</v>
          </cell>
          <cell r="C3041" t="str">
            <v>ELG</v>
          </cell>
          <cell r="D3041" t="str">
            <v>DIFUSOR P.LUMINARIA SCHREDER AX1(70W)-AX2(150W), ACRILICO, C/JEBE, C/CLIP</v>
          </cell>
        </row>
        <row r="3042">
          <cell r="B3042">
            <v>5594225</v>
          </cell>
          <cell r="C3042" t="str">
            <v>JOS</v>
          </cell>
          <cell r="D3042" t="str">
            <v>DIFUSOR POLICARBONATO P.LUMINARIA JOSFEL ASTRO 70 - 150W C.PLANCHA 3MM C.ACCESORIOS</v>
          </cell>
        </row>
        <row r="3043">
          <cell r="B3043">
            <v>5611325</v>
          </cell>
          <cell r="C3043" t="str">
            <v>ACT</v>
          </cell>
          <cell r="D3043" t="str">
            <v>MEDIDOR ELECTROMECANICO E.ACTIVA MONOFASICO 10(60)A 220V 3H CL.2 60HZ AFERIDO C.PRECINTOS</v>
          </cell>
        </row>
        <row r="3044">
          <cell r="B3044">
            <v>5611325</v>
          </cell>
          <cell r="C3044" t="str">
            <v>ESR</v>
          </cell>
          <cell r="D3044" t="str">
            <v>MEDIDOR ELECTROMECANICO E.ACTIVA MONOFASICO 10(60)A 220V 3H CL.2 60HZ AFERIDO C.PRECINTOS</v>
          </cell>
        </row>
        <row r="3045">
          <cell r="B3045">
            <v>5611325</v>
          </cell>
          <cell r="C3045" t="str">
            <v>LYG</v>
          </cell>
          <cell r="D3045" t="str">
            <v>MEDIDOR ELECTROMECANICO E.ACTIVA MONOFASICO 10(60)A 220V 3H CL.2 60HZ AFERIDO C.PRECINTOS</v>
          </cell>
        </row>
        <row r="3046">
          <cell r="B3046">
            <v>5611325</v>
          </cell>
          <cell r="C3046" t="str">
            <v>NAN</v>
          </cell>
          <cell r="D3046" t="str">
            <v>MEDIDOR ELECTROMECANICO E.ACTIVA MONOFASICO 10(60)A 220V 3H CL.2 60HZ AFERIDO C.PRECINTOS</v>
          </cell>
        </row>
        <row r="3047">
          <cell r="B3047">
            <v>5611510</v>
          </cell>
          <cell r="C3047" t="str">
            <v>SIE</v>
          </cell>
          <cell r="D3047" t="str">
            <v>MEDIDOR ELECTRONICO DE ENERGIA MONOFASICO TP.PREPAGO 60A 220V 2 H CL.2 60HZ</v>
          </cell>
        </row>
        <row r="3048">
          <cell r="B3048">
            <v>5611531</v>
          </cell>
          <cell r="C3048" t="str">
            <v>HIK</v>
          </cell>
          <cell r="D3048" t="str">
            <v>MEDIDOR ELECTRONICO MONOFASICO 5(60A) 220V 3H CL.1 60HZ AFERIDO C.PRECINTO SEGURIDAD</v>
          </cell>
        </row>
        <row r="3049">
          <cell r="B3049">
            <v>5611531</v>
          </cell>
          <cell r="C3049" t="str">
            <v>LNG</v>
          </cell>
          <cell r="D3049" t="str">
            <v>MEDIDOR ELECTRONICO MONOFASICO 5(60A) 220V 3H CL.1 60HZ AFERIDO C.PRECINTO SEGURIDAD</v>
          </cell>
        </row>
        <row r="3050">
          <cell r="B3050">
            <v>5611531</v>
          </cell>
          <cell r="C3050" t="str">
            <v>LYG</v>
          </cell>
          <cell r="D3050" t="str">
            <v>MEDIDOR ELECTRONICO MONOFASICO 5(60A) 220V 3H CL.1 60HZ AFERIDO C.PRECINTO SEGURIDAD</v>
          </cell>
        </row>
        <row r="3051">
          <cell r="B3051">
            <v>5611531</v>
          </cell>
          <cell r="C3051" t="str">
            <v>SAX</v>
          </cell>
          <cell r="D3051" t="str">
            <v>MEDIDOR ELECTRONICO MONOFASICO 5(60A) 220V 3H CL.1 60HZ AFERIDO C.PRECINTO SEGURIDAD</v>
          </cell>
        </row>
        <row r="3052">
          <cell r="B3052">
            <v>5611531</v>
          </cell>
          <cell r="C3052" t="str">
            <v>STT</v>
          </cell>
          <cell r="D3052" t="str">
            <v>MEDIDOR ELECTRONICO MONOFASICO 5(60A) 220V 3H CL.1 60HZ AFERIDO C.PRECINTO SEGURIDAD</v>
          </cell>
        </row>
        <row r="3053">
          <cell r="B3053">
            <v>5611532</v>
          </cell>
          <cell r="C3053" t="str">
            <v>HIK</v>
          </cell>
          <cell r="D3053" t="str">
            <v>MEDIDOR ELECTRONICO MONOFASICO 5(60A) 220V 3H CL.1 60HZ</v>
          </cell>
        </row>
        <row r="3054">
          <cell r="B3054">
            <v>5611532</v>
          </cell>
          <cell r="C3054" t="str">
            <v>LNG</v>
          </cell>
          <cell r="D3054" t="str">
            <v>MEDIDOR ELECTRONICO MONOFASICO 5(60A) 220V 3H CL.1 60HZ</v>
          </cell>
        </row>
        <row r="3055">
          <cell r="B3055">
            <v>5611532</v>
          </cell>
          <cell r="C3055" t="str">
            <v>LYG</v>
          </cell>
          <cell r="D3055" t="str">
            <v>MEDIDOR ELECTRONICO MONOFASICO 5(60A) 220V 3H CL.1 60HZ</v>
          </cell>
        </row>
        <row r="3056">
          <cell r="B3056">
            <v>5611532</v>
          </cell>
          <cell r="C3056" t="str">
            <v>SAX</v>
          </cell>
          <cell r="D3056" t="str">
            <v>MEDIDOR ELECTRONICO MONOFASICO 5(60A) 220V 3H CL.1 60HZ</v>
          </cell>
        </row>
        <row r="3057">
          <cell r="B3057">
            <v>5611532</v>
          </cell>
          <cell r="C3057" t="str">
            <v>STT</v>
          </cell>
          <cell r="D3057" t="str">
            <v>MEDIDOR ELECTRONICO MONOFASICO 5(60A) 220V 3H CL.1 60HZ</v>
          </cell>
        </row>
        <row r="3058">
          <cell r="B3058">
            <v>5613192</v>
          </cell>
          <cell r="C3058" t="str">
            <v>ESR</v>
          </cell>
          <cell r="D3058" t="str">
            <v>MEDIDOR ELECTROMECANICO E.ACTIVA TRIFASICO 2,5(10)A 220V 3H CL.2 60HZ AFERIDO C.PRECINTOS</v>
          </cell>
        </row>
        <row r="3059">
          <cell r="B3059">
            <v>5613192</v>
          </cell>
          <cell r="C3059" t="str">
            <v>NAN</v>
          </cell>
          <cell r="D3059" t="str">
            <v>MEDIDOR ELECTROMECANICO E.ACTIVA TRIFASICO 2,5(10)A 220V 3H CL.2 60HZ AFERIDO C.PRECINTOS</v>
          </cell>
        </row>
        <row r="3060">
          <cell r="B3060">
            <v>5613192</v>
          </cell>
          <cell r="C3060" t="str">
            <v>SCH</v>
          </cell>
          <cell r="D3060" t="str">
            <v>MEDIDOR ELECTROMECANICO E.ACTIVA TRIFASICO 2,5(10)A 220V 3H CL.2 60HZ AFERIDO C.PRECINTOS</v>
          </cell>
        </row>
        <row r="3061">
          <cell r="B3061">
            <v>5634706</v>
          </cell>
          <cell r="C3061" t="str">
            <v>ESR</v>
          </cell>
          <cell r="D3061" t="str">
            <v>MEDIDOR ELECTRON.MULTIF.TRIF. 57,7-240V 2,5(20)A 3S 4H CL0,2 60HZ. AFER.PROG.C/PRECIN</v>
          </cell>
        </row>
        <row r="3062">
          <cell r="B3062">
            <v>5634706</v>
          </cell>
          <cell r="C3062" t="str">
            <v>GEL</v>
          </cell>
          <cell r="D3062" t="str">
            <v>MEDIDOR ELECTRON.MULTIF.TRIF. 57,7-240V 2,5(20)A 3S 4H CL0,2 60HZ. AFER.PROG.C/PRECIN</v>
          </cell>
        </row>
        <row r="3063">
          <cell r="B3063">
            <v>5637510</v>
          </cell>
          <cell r="C3063" t="str">
            <v>ESR</v>
          </cell>
          <cell r="D3063" t="str">
            <v>MEDIDOR ELECTRONICO TRIFASICO MULTIFUNCION 3H, 2 SIST, 220V, 5(100)A, 60HZ, CL1 - BT5A Y BT4</v>
          </cell>
        </row>
        <row r="3064">
          <cell r="B3064">
            <v>5637709</v>
          </cell>
          <cell r="C3064" t="str">
            <v>ESR</v>
          </cell>
          <cell r="D3064" t="str">
            <v>MEDIDOR ELECTRONICO MULTIFUNCION TRIFASICO 2,5(20)A 120-480V 3H 2S CL.0,2 M.T. AFERIDO A 100V</v>
          </cell>
        </row>
        <row r="3065">
          <cell r="B3065">
            <v>5637709</v>
          </cell>
          <cell r="C3065" t="str">
            <v>ESR</v>
          </cell>
          <cell r="D3065" t="str">
            <v>MEDIDOR ELECTRONICO MULTIFUNCION TRIFASICO 2,5(20)A 120-480V 3H 2S CL.0,2 M.T. AFERIDO A 100V</v>
          </cell>
        </row>
        <row r="3066">
          <cell r="B3066">
            <v>5637709</v>
          </cell>
          <cell r="C3066" t="str">
            <v>GEL</v>
          </cell>
          <cell r="D3066" t="str">
            <v>MEDIDOR ELECTRONICO MULTIFUNCION TRIFASICO 2,5(20)A 120-480V 3H 2S CL.0,2 M.T. AFERIDO A 100V</v>
          </cell>
        </row>
        <row r="3067">
          <cell r="B3067">
            <v>5637713</v>
          </cell>
          <cell r="C3067" t="str">
            <v>ESR</v>
          </cell>
          <cell r="D3067" t="str">
            <v>MEDIDOR ELECTRONICO MULTIFUNCION TRIFASICO 2,5(20)A 120-480V 3H 2S CL.0,2 B.T. AFERIDO A 220V</v>
          </cell>
        </row>
        <row r="3068">
          <cell r="B3068">
            <v>5637713</v>
          </cell>
          <cell r="C3068" t="str">
            <v>ESR</v>
          </cell>
          <cell r="D3068" t="str">
            <v>MEDIDOR ELECTRONICO MULTIFUNCION TRIFASICO 2,5(20)A 120-480V 3H 2S CL.0,2 B.T. AFERIDO A 220V</v>
          </cell>
        </row>
        <row r="3069">
          <cell r="B3069">
            <v>5637713</v>
          </cell>
          <cell r="C3069" t="str">
            <v>GEL</v>
          </cell>
          <cell r="D3069" t="str">
            <v>MEDIDOR ELECTRONICO MULTIFUNCION TRIFASICO 2,5(20)A 120-480V 3H 2S CL.0,2 B.T. AFERIDO A 220V</v>
          </cell>
        </row>
        <row r="3070">
          <cell r="B3070">
            <v>5637972</v>
          </cell>
          <cell r="C3070" t="str">
            <v>ESR</v>
          </cell>
          <cell r="D3070" t="str">
            <v>MEDIDOR ELECTRONICO TRIFASICO 15(90A) 220V 3H 2S CL.1 60HZ</v>
          </cell>
        </row>
        <row r="3071">
          <cell r="B3071">
            <v>5637972</v>
          </cell>
          <cell r="C3071" t="str">
            <v>HIK</v>
          </cell>
          <cell r="D3071" t="str">
            <v>MEDIDOR ELECTRONICO TRIFASICO 15(90A) 220V 3H 2S CL.1 60HZ</v>
          </cell>
        </row>
        <row r="3072">
          <cell r="B3072">
            <v>5637972</v>
          </cell>
          <cell r="C3072" t="str">
            <v>HXG</v>
          </cell>
          <cell r="D3072" t="str">
            <v>MEDIDOR ELECTRONICO TRIFASICO 15(90A) 220V 3H 2S CL.1 60HZ</v>
          </cell>
        </row>
        <row r="3073">
          <cell r="B3073">
            <v>5637972</v>
          </cell>
          <cell r="C3073" t="str">
            <v>OSK</v>
          </cell>
          <cell r="D3073" t="str">
            <v>MEDIDOR ELECTRONICO TRIFASICO 15(90A) 220V 3H 2S CL.1 60HZ</v>
          </cell>
        </row>
        <row r="3074">
          <cell r="B3074">
            <v>5637972</v>
          </cell>
          <cell r="C3074" t="str">
            <v>STT</v>
          </cell>
          <cell r="D3074" t="str">
            <v>MEDIDOR ELECTRONICO TRIFASICO 15(90A) 220V 3H 2S CL.1 60HZ</v>
          </cell>
        </row>
        <row r="3075">
          <cell r="B3075">
            <v>5637980</v>
          </cell>
          <cell r="C3075" t="str">
            <v>PME</v>
          </cell>
          <cell r="D3075" t="str">
            <v>MEDIDOR ELECTRONICO MULTIF.TRIF.3H.57-347V.5(20)A.CL.0,2.60 HZ. ION 7600 USO 10 Y 22,9KV</v>
          </cell>
        </row>
        <row r="3076">
          <cell r="B3076">
            <v>5637983</v>
          </cell>
          <cell r="C3076" t="str">
            <v>PME</v>
          </cell>
          <cell r="D3076" t="str">
            <v>MEDIDOR ELECTRON. MULTIF.TRIF.TP.ION 7650 C/PTO.FIBRA OPTICA 1(10A) 57-347V CL.0,1. USO 60 Y 220KV</v>
          </cell>
        </row>
        <row r="3077">
          <cell r="B3077">
            <v>5637987</v>
          </cell>
          <cell r="C3077" t="str">
            <v>ESR</v>
          </cell>
          <cell r="D3077" t="str">
            <v>MEDIDOR ELECTRONICO MULTIFUNCION TRIFASICO 5(20)A 100-220V 3H CL0,2(ANSI) O 0,5S(IEC) AFERIDO A 220V</v>
          </cell>
        </row>
        <row r="3078">
          <cell r="B3078">
            <v>5637987</v>
          </cell>
          <cell r="C3078" t="str">
            <v>ESR</v>
          </cell>
          <cell r="D3078" t="str">
            <v>MEDIDOR ELECTRONICO MULTIFUNCION TRIFASICO 5(20)A 100-220V 3H CL0,2(ANSI) O 0,5S(IEC) AFERIDO A 220V</v>
          </cell>
        </row>
        <row r="3079">
          <cell r="B3079">
            <v>5637989</v>
          </cell>
          <cell r="C3079" t="str">
            <v>ESR</v>
          </cell>
          <cell r="D3079" t="str">
            <v>MEDIDOR ELECTRONICO MULTIFUNCION TRIFASICO 5(20)A 100-220V 3H CL0,2(ANSI) O 0,5S(IEC) AFERIDO A 100V</v>
          </cell>
        </row>
        <row r="3080">
          <cell r="B3080">
            <v>5637989</v>
          </cell>
          <cell r="C3080" t="str">
            <v>ESR</v>
          </cell>
          <cell r="D3080" t="str">
            <v>MEDIDOR ELECTRONICO MULTIFUNCION TRIFASICO 5(20)A 100-220V 3H CL0,2(ANSI) O 0,5S(IEC) AFERIDO A 100V</v>
          </cell>
        </row>
        <row r="3081">
          <cell r="B3081">
            <v>5814104</v>
          </cell>
          <cell r="C3081" t="str">
            <v>EPL</v>
          </cell>
          <cell r="D3081" t="str">
            <v>AUTOTRANSFORMADOR DE POTENCIA TRIFASICO TP.SECO 40KVA 220 / 218 - 220 - 222 - 223 - 224V INTERIOR</v>
          </cell>
        </row>
        <row r="3082">
          <cell r="B3082">
            <v>5822304</v>
          </cell>
          <cell r="C3082" t="str">
            <v>ABB</v>
          </cell>
          <cell r="D3082" t="str">
            <v>TRANSFORMADOR MONOF.P.SAM 10+2X2,5%/0,23KV.  5KVA</v>
          </cell>
        </row>
        <row r="3083">
          <cell r="B3083">
            <v>5822304</v>
          </cell>
          <cell r="C3083" t="str">
            <v>CEA</v>
          </cell>
          <cell r="D3083" t="str">
            <v>TRANSFORMADOR MONOF.P.SAM 10+2X2,5%/0,23KV.  5KVA</v>
          </cell>
        </row>
        <row r="3084">
          <cell r="B3084">
            <v>5822304</v>
          </cell>
          <cell r="C3084" t="str">
            <v>DEL</v>
          </cell>
          <cell r="D3084" t="str">
            <v>TRANSFORMADOR MONOF.P.SAM 10+2X2,5%/0,23KV.  5KVA</v>
          </cell>
        </row>
        <row r="3085">
          <cell r="B3085">
            <v>5822304</v>
          </cell>
          <cell r="C3085" t="str">
            <v>EPL</v>
          </cell>
          <cell r="D3085" t="str">
            <v>TRANSFORMADOR MONOF.P.SAM 10+2X2,5%/0,23KV.  5KVA</v>
          </cell>
        </row>
        <row r="3086">
          <cell r="B3086">
            <v>5822304</v>
          </cell>
          <cell r="C3086" t="str">
            <v>MAG</v>
          </cell>
          <cell r="D3086" t="str">
            <v>TRANSFORMADOR MONOF.P.SAM 10+2X2,5%/0,23KV.  5KVA</v>
          </cell>
        </row>
        <row r="3087">
          <cell r="B3087">
            <v>5822304</v>
          </cell>
          <cell r="C3087" t="str">
            <v>SIE</v>
          </cell>
          <cell r="D3087" t="str">
            <v>TRANSFORMADOR MONOF.P.SAM 10+2X2,5%/0,23KV.  5KVA</v>
          </cell>
        </row>
        <row r="3088">
          <cell r="B3088">
            <v>5822306</v>
          </cell>
          <cell r="C3088" t="str">
            <v>ABB</v>
          </cell>
          <cell r="D3088" t="str">
            <v>TRANSFORMADOR MONOF.P.SAM 10+2X2,5%/0,23 KV. 10KVA</v>
          </cell>
        </row>
        <row r="3089">
          <cell r="B3089">
            <v>5822306</v>
          </cell>
          <cell r="C3089" t="str">
            <v>DEL</v>
          </cell>
          <cell r="D3089" t="str">
            <v>TRANSFORMADOR MONOF.P.SAM 10+2X2,5%/0,23 KV. 10KVA</v>
          </cell>
        </row>
        <row r="3090">
          <cell r="B3090">
            <v>5822306</v>
          </cell>
          <cell r="C3090" t="str">
            <v>MAG</v>
          </cell>
          <cell r="D3090" t="str">
            <v>TRANSFORMADOR MONOF.P.SAM 10+2X2,5%/0,23 KV. 10KVA</v>
          </cell>
        </row>
        <row r="3091">
          <cell r="B3091">
            <v>5822308</v>
          </cell>
          <cell r="C3091" t="str">
            <v>ABB</v>
          </cell>
          <cell r="D3091" t="str">
            <v>TRANSFORMADOR MONOF.P.SAM 10+2X2 5%/0 23 KV 15KVA.</v>
          </cell>
        </row>
        <row r="3092">
          <cell r="B3092">
            <v>5822308</v>
          </cell>
          <cell r="C3092" t="str">
            <v>DEL</v>
          </cell>
          <cell r="D3092" t="str">
            <v>TRANSFORMADOR MONOF.P.SAM 10+2X2 5%/0 23 KV 15KVA.</v>
          </cell>
        </row>
        <row r="3093">
          <cell r="B3093">
            <v>5822308</v>
          </cell>
          <cell r="C3093" t="str">
            <v>MAG</v>
          </cell>
          <cell r="D3093" t="str">
            <v>TRANSFORMADOR MONOF.P.SAM 10+2X2 5%/0 23 KV 15KVA.</v>
          </cell>
        </row>
        <row r="3094">
          <cell r="B3094">
            <v>5822328</v>
          </cell>
          <cell r="C3094" t="str">
            <v>ABB</v>
          </cell>
          <cell r="D3094" t="str">
            <v>TRANSFORMADOR POT.MONOF.10/0.23KV TP. AEREO 25KVA.</v>
          </cell>
        </row>
        <row r="3095">
          <cell r="B3095">
            <v>5822328</v>
          </cell>
          <cell r="C3095" t="str">
            <v>DEL</v>
          </cell>
          <cell r="D3095" t="str">
            <v>TRANSFORMADOR POT.MONOF.10/0.23KV TP. AEREO 25KVA.</v>
          </cell>
        </row>
        <row r="3096">
          <cell r="B3096">
            <v>5822328</v>
          </cell>
          <cell r="C3096" t="str">
            <v>ITE</v>
          </cell>
          <cell r="D3096" t="str">
            <v>TRANSFORMADOR POT.MONOF.10/0.23KV TP. AEREO 25KVA.</v>
          </cell>
        </row>
        <row r="3097">
          <cell r="B3097">
            <v>5822328</v>
          </cell>
          <cell r="C3097" t="str">
            <v>SIE</v>
          </cell>
          <cell r="D3097" t="str">
            <v>TRANSFORMADOR POT.MONOF.10/0.23KV TP. AEREO 25KVA.</v>
          </cell>
        </row>
        <row r="3098">
          <cell r="B3098">
            <v>5822336</v>
          </cell>
          <cell r="C3098" t="str">
            <v>ABB</v>
          </cell>
          <cell r="D3098" t="str">
            <v>TRANSFORMADOR POT.MONOF. 10/0.23KV. TP. AEREO 50KV</v>
          </cell>
        </row>
        <row r="3099">
          <cell r="B3099">
            <v>5822336</v>
          </cell>
          <cell r="C3099" t="str">
            <v>DEL</v>
          </cell>
          <cell r="D3099" t="str">
            <v>TRANSFORMADOR POT.MONOF. 10/0.23KV. TP. AEREO 50KV</v>
          </cell>
        </row>
        <row r="3100">
          <cell r="B3100">
            <v>5822336</v>
          </cell>
          <cell r="C3100" t="str">
            <v>SIE</v>
          </cell>
          <cell r="D3100" t="str">
            <v>TRANSFORMADOR POT.MONOF. 10/0.23KV. TP. AEREO 50KV</v>
          </cell>
        </row>
        <row r="3101">
          <cell r="B3101">
            <v>5824102</v>
          </cell>
          <cell r="C3101" t="str">
            <v>ABB</v>
          </cell>
          <cell r="D3101" t="str">
            <v>TRANSFORMADOR POT.TRIF.10/0,23KV.CONV.15KVA.</v>
          </cell>
        </row>
        <row r="3102">
          <cell r="B3102">
            <v>5824102</v>
          </cell>
          <cell r="C3102" t="str">
            <v>CEA</v>
          </cell>
          <cell r="D3102" t="str">
            <v>TRANSFORMADOR POT.TRIF.10/0,23KV.CONV.15KVA.</v>
          </cell>
        </row>
        <row r="3103">
          <cell r="B3103">
            <v>5824102</v>
          </cell>
          <cell r="C3103" t="str">
            <v>DEL</v>
          </cell>
          <cell r="D3103" t="str">
            <v>TRANSFORMADOR POT.TRIF.10/0,23KV.CONV.15KVA.</v>
          </cell>
        </row>
        <row r="3104">
          <cell r="B3104">
            <v>5824102</v>
          </cell>
          <cell r="C3104" t="str">
            <v>EPL</v>
          </cell>
          <cell r="D3104" t="str">
            <v>TRANSFORMADOR POT.TRIF.10/0,23KV.CONV.15KVA.</v>
          </cell>
        </row>
        <row r="3105">
          <cell r="B3105">
            <v>5824102</v>
          </cell>
          <cell r="C3105" t="str">
            <v>ITE</v>
          </cell>
          <cell r="D3105" t="str">
            <v>TRANSFORMADOR POT.TRIF.10/0,23KV.CONV.15KVA.</v>
          </cell>
        </row>
        <row r="3106">
          <cell r="B3106">
            <v>5824102</v>
          </cell>
          <cell r="C3106" t="str">
            <v>MAG</v>
          </cell>
          <cell r="D3106" t="str">
            <v>TRANSFORMADOR POT.TRIF.10/0,23KV.CONV.15KVA.</v>
          </cell>
        </row>
        <row r="3107">
          <cell r="B3107">
            <v>5824102</v>
          </cell>
          <cell r="C3107" t="str">
            <v>SIE</v>
          </cell>
          <cell r="D3107" t="str">
            <v>TRANSFORMADOR POT.TRIF.10/0,23KV.CONV.15KVA.</v>
          </cell>
        </row>
        <row r="3108">
          <cell r="B3108">
            <v>5824104</v>
          </cell>
          <cell r="C3108" t="str">
            <v>ABB</v>
          </cell>
          <cell r="D3108" t="str">
            <v>TRANSFORMADOR POT.TRIF.10/0.23KV.CONVENC.25KVA.</v>
          </cell>
        </row>
        <row r="3109">
          <cell r="B3109">
            <v>5824104</v>
          </cell>
          <cell r="C3109" t="str">
            <v>CEA</v>
          </cell>
          <cell r="D3109" t="str">
            <v>TRANSFORMADOR POT.TRIF.10/0.23KV.CONVENC.25KVA.</v>
          </cell>
        </row>
        <row r="3110">
          <cell r="B3110">
            <v>5824104</v>
          </cell>
          <cell r="C3110" t="str">
            <v>DEL</v>
          </cell>
          <cell r="D3110" t="str">
            <v>TRANSFORMADOR POT.TRIF.10/0.23KV.CONVENC.25KVA.</v>
          </cell>
        </row>
        <row r="3111">
          <cell r="B3111">
            <v>5824104</v>
          </cell>
          <cell r="C3111" t="str">
            <v>EPL</v>
          </cell>
          <cell r="D3111" t="str">
            <v>TRANSFORMADOR POT.TRIF.10/0.23KV.CONVENC.25KVA.</v>
          </cell>
        </row>
        <row r="3112">
          <cell r="B3112">
            <v>5824104</v>
          </cell>
          <cell r="C3112" t="str">
            <v>ITE</v>
          </cell>
          <cell r="D3112" t="str">
            <v>TRANSFORMADOR POT.TRIF.10/0.23KV.CONVENC.25KVA.</v>
          </cell>
        </row>
        <row r="3113">
          <cell r="B3113">
            <v>5824104</v>
          </cell>
          <cell r="C3113" t="str">
            <v>MAG</v>
          </cell>
          <cell r="D3113" t="str">
            <v>TRANSFORMADOR POT.TRIF.10/0.23KV.CONVENC.25KVA.</v>
          </cell>
        </row>
        <row r="3114">
          <cell r="B3114">
            <v>5824104</v>
          </cell>
          <cell r="C3114" t="str">
            <v>SIE</v>
          </cell>
          <cell r="D3114" t="str">
            <v>TRANSFORMADOR POT.TRIF.10/0.23KV.CONVENC.25KVA.</v>
          </cell>
        </row>
        <row r="3115">
          <cell r="B3115">
            <v>5824109</v>
          </cell>
          <cell r="C3115" t="str">
            <v>ABB</v>
          </cell>
          <cell r="D3115" t="str">
            <v>TRANSFORMADOR POT.TRIF.10/0,23KV.CONV.37,5KVA.</v>
          </cell>
        </row>
        <row r="3116">
          <cell r="B3116">
            <v>5824109</v>
          </cell>
          <cell r="C3116" t="str">
            <v>CEA</v>
          </cell>
          <cell r="D3116" t="str">
            <v>TRANSFORMADOR POT.TRIF.10/0,23KV.CONV.37,5KVA.</v>
          </cell>
        </row>
        <row r="3117">
          <cell r="B3117">
            <v>5824109</v>
          </cell>
          <cell r="C3117" t="str">
            <v>DEL</v>
          </cell>
          <cell r="D3117" t="str">
            <v>TRANSFORMADOR POT.TRIF.10/0,23KV.CONV.37,5KVA.</v>
          </cell>
        </row>
        <row r="3118">
          <cell r="B3118">
            <v>5824109</v>
          </cell>
          <cell r="C3118" t="str">
            <v>EPL</v>
          </cell>
          <cell r="D3118" t="str">
            <v>TRANSFORMADOR POT.TRIF.10/0,23KV.CONV.37,5KVA.</v>
          </cell>
        </row>
        <row r="3119">
          <cell r="B3119">
            <v>5824109</v>
          </cell>
          <cell r="C3119" t="str">
            <v>ITE</v>
          </cell>
          <cell r="D3119" t="str">
            <v>TRANSFORMADOR POT.TRIF.10/0,23KV.CONV.37,5KVA.</v>
          </cell>
        </row>
        <row r="3120">
          <cell r="B3120">
            <v>5824109</v>
          </cell>
          <cell r="C3120" t="str">
            <v>MAG</v>
          </cell>
          <cell r="D3120" t="str">
            <v>TRANSFORMADOR POT.TRIF.10/0,23KV.CONV.37,5KVA.</v>
          </cell>
        </row>
        <row r="3121">
          <cell r="B3121">
            <v>5824109</v>
          </cell>
          <cell r="C3121" t="str">
            <v>SIE</v>
          </cell>
          <cell r="D3121" t="str">
            <v>TRANSFORMADOR POT.TRIF.10/0,23KV.CONV.37,5KVA.</v>
          </cell>
        </row>
        <row r="3122">
          <cell r="B3122">
            <v>5824110</v>
          </cell>
          <cell r="C3122" t="str">
            <v>ABB</v>
          </cell>
          <cell r="D3122" t="str">
            <v>TRANSFORMADOR POT.TRIF.10/0.23KV.CONVENC.   50KVA</v>
          </cell>
        </row>
        <row r="3123">
          <cell r="B3123">
            <v>5824110</v>
          </cell>
          <cell r="C3123" t="str">
            <v>CEA</v>
          </cell>
          <cell r="D3123" t="str">
            <v>TRANSFORMADOR POT.TRIF.10/0.23KV.CONVENC.   50KVA</v>
          </cell>
        </row>
        <row r="3124">
          <cell r="B3124">
            <v>5824110</v>
          </cell>
          <cell r="C3124" t="str">
            <v>DEL</v>
          </cell>
          <cell r="D3124" t="str">
            <v>TRANSFORMADOR POT.TRIF.10/0.23KV.CONVENC.   50KVA</v>
          </cell>
        </row>
        <row r="3125">
          <cell r="B3125">
            <v>5824110</v>
          </cell>
          <cell r="C3125" t="str">
            <v>EPL</v>
          </cell>
          <cell r="D3125" t="str">
            <v>TRANSFORMADOR POT.TRIF.10/0.23KV.CONVENC.   50KVA</v>
          </cell>
        </row>
        <row r="3126">
          <cell r="B3126">
            <v>5824110</v>
          </cell>
          <cell r="C3126" t="str">
            <v>ITE</v>
          </cell>
          <cell r="D3126" t="str">
            <v>TRANSFORMADOR POT.TRIF.10/0.23KV.CONVENC.   50KVA</v>
          </cell>
        </row>
        <row r="3127">
          <cell r="B3127">
            <v>5824110</v>
          </cell>
          <cell r="C3127" t="str">
            <v>MAG</v>
          </cell>
          <cell r="D3127" t="str">
            <v>TRANSFORMADOR POT.TRIF.10/0.23KV.CONVENC.   50KVA</v>
          </cell>
        </row>
        <row r="3128">
          <cell r="B3128">
            <v>5824110</v>
          </cell>
          <cell r="C3128" t="str">
            <v>SIE</v>
          </cell>
          <cell r="D3128" t="str">
            <v>TRANSFORMADOR POT.TRIF.10/0.23KV.CONVENC.   50KVA</v>
          </cell>
        </row>
        <row r="3129">
          <cell r="B3129">
            <v>5824110</v>
          </cell>
          <cell r="C3129" t="str">
            <v>SPE</v>
          </cell>
          <cell r="D3129" t="str">
            <v>TRANSFORMADOR POT.TRIF.10/0.23KV.CONVENC.   50KVA</v>
          </cell>
        </row>
        <row r="3130">
          <cell r="B3130">
            <v>5824117</v>
          </cell>
          <cell r="C3130" t="str">
            <v>ITE</v>
          </cell>
          <cell r="D3130" t="str">
            <v>TRANSFORMADOR TRIFASICO DE DISTRIBUCION TP.CONVENCIONAL 75KVA 10 +/- 2X2,5% / 0,23KV DYN5 60HZ</v>
          </cell>
        </row>
        <row r="3131">
          <cell r="B3131">
            <v>5824117</v>
          </cell>
          <cell r="C3131" t="str">
            <v>MAG</v>
          </cell>
          <cell r="D3131" t="str">
            <v>TRANSFORMADOR TRIFASICO DE DISTRIBUCION TP.CONVENCIONAL 75KVA 10 +/- 2X2,5% / 0,23KV DYN5 60HZ</v>
          </cell>
        </row>
        <row r="3132">
          <cell r="B3132">
            <v>5824118</v>
          </cell>
          <cell r="C3132" t="str">
            <v>ABB</v>
          </cell>
          <cell r="D3132" t="str">
            <v>TRANSFORMADOR POT.TRIF.10/0.23KV.CONVENC.  100KVA</v>
          </cell>
        </row>
        <row r="3133">
          <cell r="B3133">
            <v>5824118</v>
          </cell>
          <cell r="C3133" t="str">
            <v>CEA</v>
          </cell>
          <cell r="D3133" t="str">
            <v>TRANSFORMADOR POT.TRIF.10/0.23KV.CONVENC.  100KVA</v>
          </cell>
        </row>
        <row r="3134">
          <cell r="B3134">
            <v>5824118</v>
          </cell>
          <cell r="C3134" t="str">
            <v>DEL</v>
          </cell>
          <cell r="D3134" t="str">
            <v>TRANSFORMADOR POT.TRIF.10/0.23KV.CONVENC.  100KVA</v>
          </cell>
        </row>
        <row r="3135">
          <cell r="B3135">
            <v>5824118</v>
          </cell>
          <cell r="C3135" t="str">
            <v>EPL</v>
          </cell>
          <cell r="D3135" t="str">
            <v>TRANSFORMADOR POT.TRIF.10/0.23KV.CONVENC.  100KVA</v>
          </cell>
        </row>
        <row r="3136">
          <cell r="B3136">
            <v>5824118</v>
          </cell>
          <cell r="C3136" t="str">
            <v>ITE</v>
          </cell>
          <cell r="D3136" t="str">
            <v>TRANSFORMADOR POT.TRIF.10/0.23KV.CONVENC.  100KVA</v>
          </cell>
        </row>
        <row r="3137">
          <cell r="B3137">
            <v>5824118</v>
          </cell>
          <cell r="C3137" t="str">
            <v>MAG</v>
          </cell>
          <cell r="D3137" t="str">
            <v>TRANSFORMADOR POT.TRIF.10/0.23KV.CONVENC.  100KVA</v>
          </cell>
        </row>
        <row r="3138">
          <cell r="B3138">
            <v>5824118</v>
          </cell>
          <cell r="C3138" t="str">
            <v>SIE</v>
          </cell>
          <cell r="D3138" t="str">
            <v>TRANSFORMADOR POT.TRIF.10/0.23KV.CONVENC.  100KVA</v>
          </cell>
        </row>
        <row r="3139">
          <cell r="B3139">
            <v>5824118</v>
          </cell>
          <cell r="C3139" t="str">
            <v>SPE</v>
          </cell>
          <cell r="D3139" t="str">
            <v>TRANSFORMADOR POT.TRIF.10/0.23KV.CONVENC.  100KVA</v>
          </cell>
        </row>
        <row r="3140">
          <cell r="B3140">
            <v>5824126</v>
          </cell>
          <cell r="C3140" t="str">
            <v>ABB</v>
          </cell>
          <cell r="D3140" t="str">
            <v>TRANSFORMADOR POT.TRIF.10/0.23KV.CONVENC.  160KVA</v>
          </cell>
        </row>
        <row r="3141">
          <cell r="B3141">
            <v>5824126</v>
          </cell>
          <cell r="C3141" t="str">
            <v>CEA</v>
          </cell>
          <cell r="D3141" t="str">
            <v>TRANSFORMADOR POT.TRIF.10/0.23KV.CONVENC.  160KVA</v>
          </cell>
        </row>
        <row r="3142">
          <cell r="B3142">
            <v>5824126</v>
          </cell>
          <cell r="C3142" t="str">
            <v>DEL</v>
          </cell>
          <cell r="D3142" t="str">
            <v>TRANSFORMADOR POT.TRIF.10/0.23KV.CONVENC.  160KVA</v>
          </cell>
        </row>
        <row r="3143">
          <cell r="B3143">
            <v>5824126</v>
          </cell>
          <cell r="C3143" t="str">
            <v>ELK</v>
          </cell>
          <cell r="D3143" t="str">
            <v>TRANSFORMADOR POT.TRIF.10/0.23KV.CONVENC.  160KVA</v>
          </cell>
        </row>
        <row r="3144">
          <cell r="B3144">
            <v>5824126</v>
          </cell>
          <cell r="C3144" t="str">
            <v>EPL</v>
          </cell>
          <cell r="D3144" t="str">
            <v>TRANSFORMADOR POT.TRIF.10/0.23KV.CONVENC.  160KVA</v>
          </cell>
        </row>
        <row r="3145">
          <cell r="B3145">
            <v>5824126</v>
          </cell>
          <cell r="C3145" t="str">
            <v>ITE</v>
          </cell>
          <cell r="D3145" t="str">
            <v>TRANSFORMADOR POT.TRIF.10/0.23KV.CONVENC.  160KVA</v>
          </cell>
        </row>
        <row r="3146">
          <cell r="B3146">
            <v>5824126</v>
          </cell>
          <cell r="C3146" t="str">
            <v>MAG</v>
          </cell>
          <cell r="D3146" t="str">
            <v>TRANSFORMADOR POT.TRIF.10/0.23KV.CONVENC.  160KVA</v>
          </cell>
        </row>
        <row r="3147">
          <cell r="B3147">
            <v>5824126</v>
          </cell>
          <cell r="C3147" t="str">
            <v>SIE</v>
          </cell>
          <cell r="D3147" t="str">
            <v>TRANSFORMADOR POT.TRIF.10/0.23KV.CONVENC.  160KVA</v>
          </cell>
        </row>
        <row r="3148">
          <cell r="B3148">
            <v>5824126</v>
          </cell>
          <cell r="C3148" t="str">
            <v>SPE</v>
          </cell>
          <cell r="D3148" t="str">
            <v>TRANSFORMADOR POT.TRIF.10/0.23KV.CONVENC.  160KVA</v>
          </cell>
        </row>
        <row r="3149">
          <cell r="B3149">
            <v>5824134</v>
          </cell>
          <cell r="C3149" t="str">
            <v>ABB</v>
          </cell>
          <cell r="D3149" t="str">
            <v>TRANSFORMADOR POT.TRIF.10/0.23KV.CONVENC.  250KVA</v>
          </cell>
        </row>
        <row r="3150">
          <cell r="B3150">
            <v>5824134</v>
          </cell>
          <cell r="C3150" t="str">
            <v>CEA</v>
          </cell>
          <cell r="D3150" t="str">
            <v>TRANSFORMADOR POT.TRIF.10/0.23KV.CONVENC.  250KVA</v>
          </cell>
        </row>
        <row r="3151">
          <cell r="B3151">
            <v>5824134</v>
          </cell>
          <cell r="C3151" t="str">
            <v>DEL</v>
          </cell>
          <cell r="D3151" t="str">
            <v>TRANSFORMADOR POT.TRIF.10/0.23KV.CONVENC.  250KVA</v>
          </cell>
        </row>
        <row r="3152">
          <cell r="B3152">
            <v>5824134</v>
          </cell>
          <cell r="C3152" t="str">
            <v>ELK</v>
          </cell>
          <cell r="D3152" t="str">
            <v>TRANSFORMADOR POT.TRIF.10/0.23KV.CONVENC.  250KVA</v>
          </cell>
        </row>
        <row r="3153">
          <cell r="B3153">
            <v>5824134</v>
          </cell>
          <cell r="C3153" t="str">
            <v>EPL</v>
          </cell>
          <cell r="D3153" t="str">
            <v>TRANSFORMADOR POT.TRIF.10/0.23KV.CONVENC.  250KVA</v>
          </cell>
        </row>
        <row r="3154">
          <cell r="B3154">
            <v>5824134</v>
          </cell>
          <cell r="C3154" t="str">
            <v>ITE</v>
          </cell>
          <cell r="D3154" t="str">
            <v>TRANSFORMADOR POT.TRIF.10/0.23KV.CONVENC.  250KVA</v>
          </cell>
        </row>
        <row r="3155">
          <cell r="B3155">
            <v>5824134</v>
          </cell>
          <cell r="C3155" t="str">
            <v>MAG</v>
          </cell>
          <cell r="D3155" t="str">
            <v>TRANSFORMADOR POT.TRIF.10/0.23KV.CONVENC.  250KVA</v>
          </cell>
        </row>
        <row r="3156">
          <cell r="B3156">
            <v>5824134</v>
          </cell>
          <cell r="C3156" t="str">
            <v>SIE</v>
          </cell>
          <cell r="D3156" t="str">
            <v>TRANSFORMADOR POT.TRIF.10/0.23KV.CONVENC.  250KVA</v>
          </cell>
        </row>
        <row r="3157">
          <cell r="B3157">
            <v>5824134</v>
          </cell>
          <cell r="C3157" t="str">
            <v>SPE</v>
          </cell>
          <cell r="D3157" t="str">
            <v>TRANSFORMADOR POT.TRIF.10/0.23KV.CONVENC.  250KVA</v>
          </cell>
        </row>
        <row r="3158">
          <cell r="B3158">
            <v>5824142</v>
          </cell>
          <cell r="C3158" t="str">
            <v>ABB</v>
          </cell>
          <cell r="D3158" t="str">
            <v>TRANSFORMADOR POT.TRIF.10/0.23KV.CONVENC.  400KVA</v>
          </cell>
        </row>
        <row r="3159">
          <cell r="B3159">
            <v>5824142</v>
          </cell>
          <cell r="C3159" t="str">
            <v>CEA</v>
          </cell>
          <cell r="D3159" t="str">
            <v>TRANSFORMADOR POT.TRIF.10/0.23KV.CONVENC.  400KVA</v>
          </cell>
        </row>
        <row r="3160">
          <cell r="B3160">
            <v>5824142</v>
          </cell>
          <cell r="C3160" t="str">
            <v>DEL</v>
          </cell>
          <cell r="D3160" t="str">
            <v>TRANSFORMADOR POT.TRIF.10/0.23KV.CONVENC.  400KVA</v>
          </cell>
        </row>
        <row r="3161">
          <cell r="B3161">
            <v>5824142</v>
          </cell>
          <cell r="C3161" t="str">
            <v>ELK</v>
          </cell>
          <cell r="D3161" t="str">
            <v>TRANSFORMADOR POT.TRIF.10/0.23KV.CONVENC.  400KVA</v>
          </cell>
        </row>
        <row r="3162">
          <cell r="B3162">
            <v>5824142</v>
          </cell>
          <cell r="C3162" t="str">
            <v>EPL</v>
          </cell>
          <cell r="D3162" t="str">
            <v>TRANSFORMADOR POT.TRIF.10/0.23KV.CONVENC.  400KVA</v>
          </cell>
        </row>
        <row r="3163">
          <cell r="B3163">
            <v>5824142</v>
          </cell>
          <cell r="C3163" t="str">
            <v>ITE</v>
          </cell>
          <cell r="D3163" t="str">
            <v>TRANSFORMADOR POT.TRIF.10/0.23KV.CONVENC.  400KVA</v>
          </cell>
        </row>
        <row r="3164">
          <cell r="B3164">
            <v>5824142</v>
          </cell>
          <cell r="C3164" t="str">
            <v>MAG</v>
          </cell>
          <cell r="D3164" t="str">
            <v>TRANSFORMADOR POT.TRIF.10/0.23KV.CONVENC.  400KVA</v>
          </cell>
        </row>
        <row r="3165">
          <cell r="B3165">
            <v>5824142</v>
          </cell>
          <cell r="C3165" t="str">
            <v>SIE</v>
          </cell>
          <cell r="D3165" t="str">
            <v>TRANSFORMADOR POT.TRIF.10/0.23KV.CONVENC.  400KVA</v>
          </cell>
        </row>
        <row r="3166">
          <cell r="B3166">
            <v>5824144</v>
          </cell>
          <cell r="C3166" t="str">
            <v>ITE</v>
          </cell>
          <cell r="D3166" t="str">
            <v>TRANSFORMADOR POT.TRIF.10/0.23KV.CONVENC.   500KVA</v>
          </cell>
        </row>
        <row r="3167">
          <cell r="B3167">
            <v>5824144</v>
          </cell>
          <cell r="C3167" t="str">
            <v>MAG</v>
          </cell>
          <cell r="D3167" t="str">
            <v>TRANSFORMADOR POT.TRIF.10/0.23KV.CONVENC.   500KVA</v>
          </cell>
        </row>
        <row r="3168">
          <cell r="B3168">
            <v>5824148</v>
          </cell>
          <cell r="C3168" t="str">
            <v>ABB</v>
          </cell>
          <cell r="D3168" t="str">
            <v>TRANSFORMADOR POT.TRIF.10/0.23KV.CONVENC.  630KVA</v>
          </cell>
        </row>
        <row r="3169">
          <cell r="B3169">
            <v>5824148</v>
          </cell>
          <cell r="C3169" t="str">
            <v>CEA</v>
          </cell>
          <cell r="D3169" t="str">
            <v>TRANSFORMADOR POT.TRIF.10/0.23KV.CONVENC.  630KVA</v>
          </cell>
        </row>
        <row r="3170">
          <cell r="B3170">
            <v>5824148</v>
          </cell>
          <cell r="C3170" t="str">
            <v>DEL</v>
          </cell>
          <cell r="D3170" t="str">
            <v>TRANSFORMADOR POT.TRIF.10/0.23KV.CONVENC.  630KVA</v>
          </cell>
        </row>
        <row r="3171">
          <cell r="B3171">
            <v>5824148</v>
          </cell>
          <cell r="C3171" t="str">
            <v>ELK</v>
          </cell>
          <cell r="D3171" t="str">
            <v>TRANSFORMADOR POT.TRIF.10/0.23KV.CONVENC.  630KVA</v>
          </cell>
        </row>
        <row r="3172">
          <cell r="B3172">
            <v>5824148</v>
          </cell>
          <cell r="C3172" t="str">
            <v>EPL</v>
          </cell>
          <cell r="D3172" t="str">
            <v>TRANSFORMADOR POT.TRIF.10/0.23KV.CONVENC.  630KVA</v>
          </cell>
        </row>
        <row r="3173">
          <cell r="B3173">
            <v>5824148</v>
          </cell>
          <cell r="C3173" t="str">
            <v>ITE</v>
          </cell>
          <cell r="D3173" t="str">
            <v>TRANSFORMADOR POT.TRIF.10/0.23KV.CONVENC.  630KVA</v>
          </cell>
        </row>
        <row r="3174">
          <cell r="B3174">
            <v>5824148</v>
          </cell>
          <cell r="C3174" t="str">
            <v>MAG</v>
          </cell>
          <cell r="D3174" t="str">
            <v>TRANSFORMADOR POT.TRIF.10/0.23KV.CONVENC.  630KVA</v>
          </cell>
        </row>
        <row r="3175">
          <cell r="B3175">
            <v>5824148</v>
          </cell>
          <cell r="C3175" t="str">
            <v>SIE</v>
          </cell>
          <cell r="D3175" t="str">
            <v>TRANSFORMADOR POT.TRIF.10/0.23KV.CONVENC.  630KVA</v>
          </cell>
        </row>
        <row r="3176">
          <cell r="B3176">
            <v>5824202</v>
          </cell>
          <cell r="C3176" t="str">
            <v>ITE</v>
          </cell>
          <cell r="D3176" t="str">
            <v>TRANSFORMADOR TRIFASICO DE DISTRIBUCION TP.CONVENCIONAL 315KVA 10 +/- 2X2,5% / 0,23KV DYN5 60HZ</v>
          </cell>
        </row>
        <row r="3177">
          <cell r="B3177">
            <v>5824202</v>
          </cell>
          <cell r="C3177" t="str">
            <v>MAG</v>
          </cell>
          <cell r="D3177" t="str">
            <v>TRANSFORMADOR TRIFASICO DE DISTRIBUCION TP.CONVENCIONAL 315KVA 10 +/- 2X2,5% / 0,23KV DYN5 60HZ</v>
          </cell>
        </row>
        <row r="3178">
          <cell r="B3178">
            <v>5824310</v>
          </cell>
          <cell r="C3178" t="str">
            <v>ABB</v>
          </cell>
          <cell r="D3178" t="str">
            <v>TRANSFORMADOR POT.10/0.23KV.TRIF.TP.BOVEDA 50KVA.</v>
          </cell>
        </row>
        <row r="3179">
          <cell r="B3179">
            <v>5824310</v>
          </cell>
          <cell r="C3179" t="str">
            <v>ITE</v>
          </cell>
          <cell r="D3179" t="str">
            <v>TRANSFORMADOR POT.10/0.23KV.TRIF.TP.BOVEDA 50KVA.</v>
          </cell>
        </row>
        <row r="3180">
          <cell r="B3180">
            <v>5824318</v>
          </cell>
          <cell r="C3180" t="str">
            <v>ABB</v>
          </cell>
          <cell r="D3180" t="str">
            <v>TRANSFORMADOR POT.TRIF.10/0.23KV.BOVEDA 100KVA.</v>
          </cell>
        </row>
        <row r="3181">
          <cell r="B3181">
            <v>5824318</v>
          </cell>
          <cell r="C3181" t="str">
            <v>DEL</v>
          </cell>
          <cell r="D3181" t="str">
            <v>TRANSFORMADOR POT.TRIF.10/0.23KV.BOVEDA 100KVA.</v>
          </cell>
        </row>
        <row r="3182">
          <cell r="B3182">
            <v>5824318</v>
          </cell>
          <cell r="C3182" t="str">
            <v>EPL</v>
          </cell>
          <cell r="D3182" t="str">
            <v>TRANSFORMADOR POT.TRIF.10/0.23KV.BOVEDA 100KVA.</v>
          </cell>
        </row>
        <row r="3183">
          <cell r="B3183">
            <v>5824318</v>
          </cell>
          <cell r="C3183" t="str">
            <v>ITE</v>
          </cell>
          <cell r="D3183" t="str">
            <v>TRANSFORMADOR POT.TRIF.10/0.23KV.BOVEDA 100KVA.</v>
          </cell>
        </row>
        <row r="3184">
          <cell r="B3184">
            <v>5824318</v>
          </cell>
          <cell r="C3184" t="str">
            <v>SIE</v>
          </cell>
          <cell r="D3184" t="str">
            <v>TRANSFORMADOR POT.TRIF.10/0.23KV.BOVEDA 100KVA.</v>
          </cell>
        </row>
        <row r="3185">
          <cell r="B3185">
            <v>5824326</v>
          </cell>
          <cell r="C3185" t="str">
            <v>ABB</v>
          </cell>
          <cell r="D3185" t="str">
            <v>TRANSFORMADOR POT.TRIF.10/0.23KV.BOVEDA 160KVA.</v>
          </cell>
        </row>
        <row r="3186">
          <cell r="B3186">
            <v>5824326</v>
          </cell>
          <cell r="C3186" t="str">
            <v>DEL</v>
          </cell>
          <cell r="D3186" t="str">
            <v>TRANSFORMADOR POT.TRIF.10/0.23KV.BOVEDA 160KVA.</v>
          </cell>
        </row>
        <row r="3187">
          <cell r="B3187">
            <v>5824326</v>
          </cell>
          <cell r="C3187" t="str">
            <v>EPL</v>
          </cell>
          <cell r="D3187" t="str">
            <v>TRANSFORMADOR POT.TRIF.10/0.23KV.BOVEDA 160KVA.</v>
          </cell>
        </row>
        <row r="3188">
          <cell r="B3188">
            <v>5824326</v>
          </cell>
          <cell r="C3188" t="str">
            <v>ITE</v>
          </cell>
          <cell r="D3188" t="str">
            <v>TRANSFORMADOR POT.TRIF.10/0.23KV.BOVEDA 160KVA.</v>
          </cell>
        </row>
        <row r="3189">
          <cell r="B3189">
            <v>5824326</v>
          </cell>
          <cell r="C3189" t="str">
            <v>SIE</v>
          </cell>
          <cell r="D3189" t="str">
            <v>TRANSFORMADOR POT.TRIF.10/0.23KV.BOVEDA 160KVA.</v>
          </cell>
        </row>
        <row r="3190">
          <cell r="B3190">
            <v>5824334</v>
          </cell>
          <cell r="C3190" t="str">
            <v>ABB</v>
          </cell>
          <cell r="D3190" t="str">
            <v>TRANSFORMADOR POT.TRIF.10/0.23KV.BOVEDA 250KVA.</v>
          </cell>
        </row>
        <row r="3191">
          <cell r="B3191">
            <v>5824334</v>
          </cell>
          <cell r="C3191" t="str">
            <v>DEL</v>
          </cell>
          <cell r="D3191" t="str">
            <v>TRANSFORMADOR POT.TRIF.10/0.23KV.BOVEDA 250KVA.</v>
          </cell>
        </row>
        <row r="3192">
          <cell r="B3192">
            <v>5824334</v>
          </cell>
          <cell r="C3192" t="str">
            <v>EPL</v>
          </cell>
          <cell r="D3192" t="str">
            <v>TRANSFORMADOR POT.TRIF.10/0.23KV.BOVEDA 250KVA.</v>
          </cell>
        </row>
        <row r="3193">
          <cell r="B3193">
            <v>5824334</v>
          </cell>
          <cell r="C3193" t="str">
            <v>ITE</v>
          </cell>
          <cell r="D3193" t="str">
            <v>TRANSFORMADOR POT.TRIF.10/0.23KV.BOVEDA 250KVA.</v>
          </cell>
        </row>
        <row r="3194">
          <cell r="B3194">
            <v>5824334</v>
          </cell>
          <cell r="C3194" t="str">
            <v>SIE</v>
          </cell>
          <cell r="D3194" t="str">
            <v>TRANSFORMADOR POT.TRIF.10/0.23KV.BOVEDA 250KVA.</v>
          </cell>
        </row>
        <row r="3195">
          <cell r="B3195">
            <v>5824336</v>
          </cell>
          <cell r="C3195" t="str">
            <v>ABB</v>
          </cell>
          <cell r="D3195" t="str">
            <v>TRANSFORMADOR POT.TRIF.10/0,23KV.BOVEDA 400KVA.</v>
          </cell>
        </row>
        <row r="3196">
          <cell r="B3196">
            <v>5824336</v>
          </cell>
          <cell r="C3196" t="str">
            <v>DEL</v>
          </cell>
          <cell r="D3196" t="str">
            <v>TRANSFORMADOR POT.TRIF.10/0,23KV.BOVEDA 400KVA.</v>
          </cell>
        </row>
        <row r="3197">
          <cell r="B3197">
            <v>5824336</v>
          </cell>
          <cell r="C3197" t="str">
            <v>EPL</v>
          </cell>
          <cell r="D3197" t="str">
            <v>TRANSFORMADOR POT.TRIF.10/0,23KV.BOVEDA 400KVA.</v>
          </cell>
        </row>
        <row r="3198">
          <cell r="B3198">
            <v>5824336</v>
          </cell>
          <cell r="C3198" t="str">
            <v>SIE</v>
          </cell>
          <cell r="D3198" t="str">
            <v>TRANSFORMADOR POT.TRIF.10/0,23KV.BOVEDA 400KVA.</v>
          </cell>
        </row>
        <row r="3199">
          <cell r="B3199">
            <v>5824346</v>
          </cell>
          <cell r="C3199" t="str">
            <v>EPL</v>
          </cell>
          <cell r="D3199" t="str">
            <v>TRANSFORMADOR POTENCIA TRIFASICO TP.BOVEDAD 630KVA 10 / 0,23KV</v>
          </cell>
        </row>
        <row r="3200">
          <cell r="B3200">
            <v>5824346</v>
          </cell>
          <cell r="C3200" t="str">
            <v>SIE</v>
          </cell>
          <cell r="D3200" t="str">
            <v>TRANSFORMADOR POTENCIA TRIFASICO TP.BOVEDAD 630KVA 10 / 0,23KV</v>
          </cell>
        </row>
        <row r="3201">
          <cell r="B3201">
            <v>5824418</v>
          </cell>
          <cell r="C3201" t="str">
            <v>ABB</v>
          </cell>
          <cell r="D3201" t="str">
            <v>TRANSFORMADOR POT.TRIF.10/0.23KV.PEDESTAL 100KVA.</v>
          </cell>
        </row>
        <row r="3202">
          <cell r="B3202">
            <v>5824418</v>
          </cell>
          <cell r="C3202" t="str">
            <v>DEL</v>
          </cell>
          <cell r="D3202" t="str">
            <v>TRANSFORMADOR POT.TRIF.10/0.23KV.PEDESTAL 100KVA.</v>
          </cell>
        </row>
        <row r="3203">
          <cell r="B3203">
            <v>5824418</v>
          </cell>
          <cell r="C3203" t="str">
            <v>ITE</v>
          </cell>
          <cell r="D3203" t="str">
            <v>TRANSFORMADOR POT.TRIF.10/0.23KV.PEDESTAL 100KVA.</v>
          </cell>
        </row>
        <row r="3204">
          <cell r="B3204">
            <v>5824426</v>
          </cell>
          <cell r="C3204" t="str">
            <v>ABB</v>
          </cell>
          <cell r="D3204" t="str">
            <v>TRANSFORMADOR POT.TRIF.10/0.23KV.PEDESTAL 160KVA.</v>
          </cell>
        </row>
        <row r="3205">
          <cell r="B3205">
            <v>5824426</v>
          </cell>
          <cell r="C3205" t="str">
            <v>DEL</v>
          </cell>
          <cell r="D3205" t="str">
            <v>TRANSFORMADOR POT.TRIF.10/0.23KV.PEDESTAL 160KVA.</v>
          </cell>
        </row>
        <row r="3206">
          <cell r="B3206">
            <v>5824426</v>
          </cell>
          <cell r="C3206" t="str">
            <v>EPL</v>
          </cell>
          <cell r="D3206" t="str">
            <v>TRANSFORMADOR POT.TRIF.10/0.23KV.PEDESTAL 160KVA.</v>
          </cell>
        </row>
        <row r="3207">
          <cell r="B3207">
            <v>5824426</v>
          </cell>
          <cell r="C3207" t="str">
            <v>ITE</v>
          </cell>
          <cell r="D3207" t="str">
            <v>TRANSFORMADOR POT.TRIF.10/0.23KV.PEDESTAL 160KVA.</v>
          </cell>
        </row>
        <row r="3208">
          <cell r="B3208">
            <v>5824426</v>
          </cell>
          <cell r="C3208" t="str">
            <v>SIE</v>
          </cell>
          <cell r="D3208" t="str">
            <v>TRANSFORMADOR POT.TRIF.10/0.23KV.PEDESTAL 160KVA.</v>
          </cell>
        </row>
        <row r="3209">
          <cell r="B3209">
            <v>5824434</v>
          </cell>
          <cell r="C3209" t="str">
            <v>ABB</v>
          </cell>
          <cell r="D3209" t="str">
            <v>TRANSFORMADOR POT.TRIF.10/0.23KV.PEDESTAL 250KVA.</v>
          </cell>
        </row>
        <row r="3210">
          <cell r="B3210">
            <v>5824434</v>
          </cell>
          <cell r="C3210" t="str">
            <v>DEL</v>
          </cell>
          <cell r="D3210" t="str">
            <v>TRANSFORMADOR POT.TRIF.10/0.23KV.PEDESTAL 250KVA.</v>
          </cell>
        </row>
        <row r="3211">
          <cell r="B3211">
            <v>5824434</v>
          </cell>
          <cell r="C3211" t="str">
            <v>EPL</v>
          </cell>
          <cell r="D3211" t="str">
            <v>TRANSFORMADOR POT.TRIF.10/0.23KV.PEDESTAL 250KVA.</v>
          </cell>
        </row>
        <row r="3212">
          <cell r="B3212">
            <v>5824434</v>
          </cell>
          <cell r="C3212" t="str">
            <v>ITE</v>
          </cell>
          <cell r="D3212" t="str">
            <v>TRANSFORMADOR POT.TRIF.10/0.23KV.PEDESTAL 250KVA.</v>
          </cell>
        </row>
        <row r="3213">
          <cell r="B3213">
            <v>5824434</v>
          </cell>
          <cell r="C3213" t="str">
            <v>SIE</v>
          </cell>
          <cell r="D3213" t="str">
            <v>TRANSFORMADOR POT.TRIF.10/0.23KV.PEDESTAL 250KVA.</v>
          </cell>
        </row>
        <row r="3214">
          <cell r="B3214">
            <v>5824442</v>
          </cell>
          <cell r="C3214" t="str">
            <v>ABB</v>
          </cell>
          <cell r="D3214" t="str">
            <v>TRANSFORMADOR POT.TRIF.10/0.23KV.PEDESTAL 400KV.</v>
          </cell>
        </row>
        <row r="3215">
          <cell r="B3215">
            <v>5824442</v>
          </cell>
          <cell r="C3215" t="str">
            <v>DEL</v>
          </cell>
          <cell r="D3215" t="str">
            <v>TRANSFORMADOR POT.TRIF.10/0.23KV.PEDESTAL 400KV.</v>
          </cell>
        </row>
        <row r="3216">
          <cell r="B3216">
            <v>5824442</v>
          </cell>
          <cell r="C3216" t="str">
            <v>EPL</v>
          </cell>
          <cell r="D3216" t="str">
            <v>TRANSFORMADOR POT.TRIF.10/0.23KV.PEDESTAL 400KV.</v>
          </cell>
        </row>
        <row r="3217">
          <cell r="B3217">
            <v>5824442</v>
          </cell>
          <cell r="C3217" t="str">
            <v>ITE</v>
          </cell>
          <cell r="D3217" t="str">
            <v>TRANSFORMADOR POT.TRIF.10/0.23KV.PEDESTAL 400KV.</v>
          </cell>
        </row>
        <row r="3218">
          <cell r="B3218">
            <v>5824442</v>
          </cell>
          <cell r="C3218" t="str">
            <v>SIE</v>
          </cell>
          <cell r="D3218" t="str">
            <v>TRANSFORMADOR POT.TRIF.10/0.23KV.PEDESTAL 400KV.</v>
          </cell>
        </row>
        <row r="3219">
          <cell r="B3219">
            <v>5824448</v>
          </cell>
          <cell r="C3219" t="str">
            <v>ABB</v>
          </cell>
          <cell r="D3219" t="str">
            <v>TRANSFORMADOR POT.TRIF.10/0.23KV.PEDESTAL 630KVA.</v>
          </cell>
        </row>
        <row r="3220">
          <cell r="B3220">
            <v>5824448</v>
          </cell>
          <cell r="C3220" t="str">
            <v>DEL</v>
          </cell>
          <cell r="D3220" t="str">
            <v>TRANSFORMADOR POT.TRIF.10/0.23KV.PEDESTAL 630KVA.</v>
          </cell>
        </row>
        <row r="3221">
          <cell r="B3221">
            <v>5824448</v>
          </cell>
          <cell r="C3221" t="str">
            <v>EPL</v>
          </cell>
          <cell r="D3221" t="str">
            <v>TRANSFORMADOR POT.TRIF.10/0.23KV.PEDESTAL 630KVA.</v>
          </cell>
        </row>
        <row r="3222">
          <cell r="B3222">
            <v>5824448</v>
          </cell>
          <cell r="C3222" t="str">
            <v>ITE</v>
          </cell>
          <cell r="D3222" t="str">
            <v>TRANSFORMADOR POT.TRIF.10/0.23KV.PEDESTAL 630KVA.</v>
          </cell>
        </row>
        <row r="3223">
          <cell r="B3223">
            <v>5824448</v>
          </cell>
          <cell r="C3223" t="str">
            <v>SIE</v>
          </cell>
          <cell r="D3223" t="str">
            <v>TRANSFORMADOR POT.TRIF.10/0.23KV.PEDESTAL 630KVA.</v>
          </cell>
        </row>
        <row r="3224">
          <cell r="B3224">
            <v>5824758</v>
          </cell>
          <cell r="C3224" t="str">
            <v>FHP</v>
          </cell>
          <cell r="D3224" t="str">
            <v>INDICADOR FALLA SUMERGIBLE TRIP. 10KV. 100A.</v>
          </cell>
        </row>
        <row r="3225">
          <cell r="B3225">
            <v>5824758</v>
          </cell>
          <cell r="C3225" t="str">
            <v>ITT</v>
          </cell>
          <cell r="D3225" t="str">
            <v>INDICADOR FALLA SUMERGIBLE TRIP. 10KV. 100A.</v>
          </cell>
        </row>
        <row r="3226">
          <cell r="B3226">
            <v>5826179</v>
          </cell>
          <cell r="C3226" t="str">
            <v>TMC</v>
          </cell>
          <cell r="D3226" t="str">
            <v>TRANSFORMADOR TRIFASICO DE DISTRIBUCION SECO TP.CONVENCIONAL C.ENVOLVENTE 50KVA 10/0,23KV</v>
          </cell>
        </row>
        <row r="3227">
          <cell r="B3227">
            <v>5826180</v>
          </cell>
          <cell r="C3227" t="str">
            <v>TMC</v>
          </cell>
          <cell r="D3227" t="str">
            <v>TRANSFORMADOR TRIFASICO DE DISTRIBUCION SECO TP.CONVENCIONAL 50KVA 10 / 0,23KV DYN5 AN 60HZ</v>
          </cell>
        </row>
        <row r="3228">
          <cell r="B3228">
            <v>5826181</v>
          </cell>
          <cell r="C3228" t="str">
            <v>TMC</v>
          </cell>
          <cell r="D3228" t="str">
            <v>TRANSFORMADOR TRIFASICO DE DISTRIBUCION SECO TP.CONVENCIONAL C.ENVOLVENTE 75KVA 10/0,23KV</v>
          </cell>
        </row>
        <row r="3229">
          <cell r="B3229">
            <v>5826182</v>
          </cell>
          <cell r="C3229" t="str">
            <v>TMC</v>
          </cell>
          <cell r="D3229" t="str">
            <v>TRANSFORMADOR TRIFASICO DE DISTRIBUCION SECO TP.CONVENCIONAL 75KVA 10 / 0,23KV DYN5 AN 60HZ</v>
          </cell>
        </row>
        <row r="3230">
          <cell r="B3230">
            <v>5826183</v>
          </cell>
          <cell r="C3230" t="str">
            <v>TMC</v>
          </cell>
          <cell r="D3230" t="str">
            <v>TRANSFORMADOR TRIFASICO DE DISTRIBUCION SECO TP.CONVENCIONAL C.ENVOLVENTE 100KVA 10/0,23KV</v>
          </cell>
        </row>
        <row r="3231">
          <cell r="B3231">
            <v>5826184</v>
          </cell>
          <cell r="C3231" t="str">
            <v>TMC</v>
          </cell>
          <cell r="D3231" t="str">
            <v>TRANSFORMADOR TRIFASICO DE DISTRIBUCION SECO TP.CONVENCIONAL 100KVA 10 / 0,23KV DYN5 AN 60HZ</v>
          </cell>
        </row>
        <row r="3232">
          <cell r="B3232">
            <v>5826185</v>
          </cell>
          <cell r="C3232" t="str">
            <v>TMC</v>
          </cell>
          <cell r="D3232" t="str">
            <v>TRANSFORMADOR TRIFASICO DE DISTRIBUCION SECO TP.CONVENCIONAL C.ENVOLVENTE 160KVA 10/0,23KV</v>
          </cell>
        </row>
        <row r="3233">
          <cell r="B3233">
            <v>5826186</v>
          </cell>
          <cell r="C3233" t="str">
            <v>TMC</v>
          </cell>
          <cell r="D3233" t="str">
            <v>TRANSFORMADOR TRIFASICO DE DISTRIBUCION SECO TP.CONVENCIONAL 160KVA 10 / 0,23KV DYN5 AN 60HZ</v>
          </cell>
        </row>
        <row r="3234">
          <cell r="B3234">
            <v>5826187</v>
          </cell>
          <cell r="C3234" t="str">
            <v>TMC</v>
          </cell>
          <cell r="D3234" t="str">
            <v>TRANSFORMADOR TRIFASICO DE DISTRIBUCION SECO TP.CONVENCIONAL C.ENVOLVENTE 250KVA 10/0,23KV</v>
          </cell>
        </row>
        <row r="3235">
          <cell r="B3235">
            <v>5826188</v>
          </cell>
          <cell r="C3235" t="str">
            <v>TMC</v>
          </cell>
          <cell r="D3235" t="str">
            <v>TRANSFORMADOR TRIFASICO DE DISTRIBUCION SECO TP.CONVENCIONAL 250KVA 10 / 0,23KV DYN5 AN 60HZ</v>
          </cell>
        </row>
        <row r="3236">
          <cell r="B3236">
            <v>5826189</v>
          </cell>
          <cell r="C3236" t="str">
            <v>TMC</v>
          </cell>
          <cell r="D3236" t="str">
            <v>TRANSFORMADOR TRIFASICO DE DISTRIBUCION SECO TP.CONVENCIONAL C.ENVOLVENTE 315KVA 10/0,23KV</v>
          </cell>
        </row>
        <row r="3237">
          <cell r="B3237">
            <v>5826190</v>
          </cell>
          <cell r="C3237" t="str">
            <v>TMC</v>
          </cell>
          <cell r="D3237" t="str">
            <v>TRANSFORMADOR TRIFASICO DE DISTRIBUCION SECO TP.CONVENCIONAL 315KVA 10 / 0,23KV DYN5 AN 60HZ</v>
          </cell>
        </row>
        <row r="3238">
          <cell r="B3238">
            <v>5826191</v>
          </cell>
          <cell r="C3238" t="str">
            <v>TMC</v>
          </cell>
          <cell r="D3238" t="str">
            <v>TRANSFORMADOR TRIFASICO DE DISTRIBUCION SECO TP.CONVENCIONAL C.ENVOLVENTE 400KVA 10/0,23KV</v>
          </cell>
        </row>
        <row r="3239">
          <cell r="B3239">
            <v>5826192</v>
          </cell>
          <cell r="C3239" t="str">
            <v>TMC</v>
          </cell>
          <cell r="D3239" t="str">
            <v>TRANSFORMADOR TRIFASICO DE DISTRIBUCION SECO TP.CONVENCIONAL 400KVA 10 / 0,23KV DYN5 AN 60HZ</v>
          </cell>
        </row>
        <row r="3240">
          <cell r="B3240">
            <v>5826193</v>
          </cell>
          <cell r="C3240" t="str">
            <v>TMC</v>
          </cell>
          <cell r="D3240" t="str">
            <v>TRANSFORMADOR TRIFASICO DE DISTRIBUCION SECO TP.CONVENCIONAL C.ENVOLVENTE 500KVA 10/0,23KV</v>
          </cell>
        </row>
        <row r="3241">
          <cell r="B3241">
            <v>5826194</v>
          </cell>
          <cell r="C3241" t="str">
            <v>TMC</v>
          </cell>
          <cell r="D3241" t="str">
            <v>TRANSFORMADOR TRIFASICO DE DISTRIBUCION SECO TP.CONVENCIONAL 500KVA 10 / 0,23KV DYN5 AN 60HZ</v>
          </cell>
        </row>
        <row r="3242">
          <cell r="B3242">
            <v>5826195</v>
          </cell>
          <cell r="C3242" t="str">
            <v>TMC</v>
          </cell>
          <cell r="D3242" t="str">
            <v>TRANSFORMADOR TRIFASICO DE DISTRIBUCION SECO TP.CONVENCIONAL C.ENVOLVENTE 630KVA 10/0,23KV</v>
          </cell>
        </row>
        <row r="3243">
          <cell r="B3243">
            <v>5826196</v>
          </cell>
          <cell r="C3243" t="str">
            <v>TMC</v>
          </cell>
          <cell r="D3243" t="str">
            <v>TRANSFORMADOR TRIFASICO DE DISTRIBUCION SECO TP.CONVENCIONAL 630KVA 10 / 0,23KV DYN5 AN 60HZ</v>
          </cell>
        </row>
        <row r="3244">
          <cell r="B3244">
            <v>5826197</v>
          </cell>
          <cell r="C3244" t="str">
            <v>TMC</v>
          </cell>
          <cell r="D3244" t="str">
            <v>TRANSFORMADOR TRIFASICO DE DISTRIBUCION SECO TP.CONVENCIONAL S.ENVOLVENTE 50KVA 10/0,23KV</v>
          </cell>
        </row>
        <row r="3245">
          <cell r="B3245">
            <v>5826198</v>
          </cell>
          <cell r="C3245" t="str">
            <v>TMC</v>
          </cell>
          <cell r="D3245" t="str">
            <v>TRANSFORMADOR TRIFASICO DE DISTRIBUCION SECO TP.CONVENCIONAL S.ENVOLVENTE 75KVA 10/0,23KV</v>
          </cell>
        </row>
        <row r="3246">
          <cell r="B3246">
            <v>5826199</v>
          </cell>
          <cell r="C3246" t="str">
            <v>TMC</v>
          </cell>
          <cell r="D3246" t="str">
            <v>TRANSFORMADOR TRIFASICO DE DISTRIBUCION SECO TP.CONVENCIONAL S.ENVOLVENTE 100KVA 10/0,23KV</v>
          </cell>
        </row>
        <row r="3247">
          <cell r="B3247">
            <v>5826200</v>
          </cell>
          <cell r="C3247" t="str">
            <v>TMC</v>
          </cell>
          <cell r="D3247" t="str">
            <v>TRANSFORMADOR TRIFASICO DE DISTRIBUCION SECO TP.CONVENCIONAL S.ENVOLVENTE 160KVA 10/0,23KV</v>
          </cell>
        </row>
        <row r="3248">
          <cell r="B3248">
            <v>5826201</v>
          </cell>
          <cell r="C3248" t="str">
            <v>TMC</v>
          </cell>
          <cell r="D3248" t="str">
            <v>TRANSFORMADOR TRIFASICO DE DISTRIBUCION SECO TP.CONVENCIONAL S.ENVOLVENTE 250KVA 10/0,23KV</v>
          </cell>
        </row>
        <row r="3249">
          <cell r="B3249">
            <v>5826202</v>
          </cell>
          <cell r="C3249" t="str">
            <v>TMC</v>
          </cell>
          <cell r="D3249" t="str">
            <v>TRANSFORMADOR TRIFASICO DE DISTRIBUCION SECO TP.CONVENCIONAL S.ENVOLVENTE 315KVA 10/0,23KV</v>
          </cell>
        </row>
        <row r="3250">
          <cell r="B3250">
            <v>5826203</v>
          </cell>
          <cell r="C3250" t="str">
            <v>TMC</v>
          </cell>
          <cell r="D3250" t="str">
            <v>TRANSFORMADOR TRIFASICO DE DISTRIBUCION SECO TP.CONVENCIONAL S.ENVOLVENTE 400KVA 10/0,23KV</v>
          </cell>
        </row>
        <row r="3251">
          <cell r="B3251">
            <v>5826204</v>
          </cell>
          <cell r="C3251" t="str">
            <v>TMC</v>
          </cell>
          <cell r="D3251" t="str">
            <v>TRANSFORMADOR TRIFASICO DE DISTRIBUCION SECO TP.CONVENCIONAL S.ENVOLVENTE 500KVA 10/0,23KV</v>
          </cell>
        </row>
        <row r="3252">
          <cell r="B3252">
            <v>5826205</v>
          </cell>
          <cell r="C3252" t="str">
            <v>TMC</v>
          </cell>
          <cell r="D3252" t="str">
            <v>TRANSFORMADOR TRIFASICO DE DISTRIBUCION SECO TP.CONVENCIONAL S.ENVOLVENTE 630KVA 10/0,23KV</v>
          </cell>
        </row>
        <row r="3253">
          <cell r="B3253">
            <v>5826330</v>
          </cell>
          <cell r="C3253" t="str">
            <v>ITE</v>
          </cell>
          <cell r="D3253" t="str">
            <v>TRANSFORMADOR TRIFASICO DE DISTRIBUCION TP.CONVENCIONAL 75KVA 22,9 +/- 2X2,5% / 0,23KV YND5 60HZ</v>
          </cell>
        </row>
        <row r="3254">
          <cell r="B3254">
            <v>5826330</v>
          </cell>
          <cell r="C3254" t="str">
            <v>MAG</v>
          </cell>
          <cell r="D3254" t="str">
            <v>TRANSFORMADOR TRIFASICO DE DISTRIBUCION TP.CONVENCIONAL 75KVA 22,9 +/- 2X2,5% / 0,23KV YND5 60HZ</v>
          </cell>
        </row>
        <row r="3255">
          <cell r="B3255">
            <v>5826355</v>
          </cell>
          <cell r="C3255" t="str">
            <v>ABB</v>
          </cell>
          <cell r="D3255" t="str">
            <v>TRANSFORMADOR DE POTENCIA TRIFASICO TP.CONVENCIONAL 400KVA 22,9 / 0,40 - 0,23KV EXTERIOR</v>
          </cell>
        </row>
        <row r="3256">
          <cell r="B3256">
            <v>5826355</v>
          </cell>
          <cell r="C3256" t="str">
            <v>CEA</v>
          </cell>
          <cell r="D3256" t="str">
            <v>TRANSFORMADOR DE POTENCIA TRIFASICO TP.CONVENCIONAL 400KVA 22,9 / 0,40 - 0,23KV EXTERIOR</v>
          </cell>
        </row>
        <row r="3257">
          <cell r="B3257">
            <v>5826355</v>
          </cell>
          <cell r="C3257" t="str">
            <v>DEL</v>
          </cell>
          <cell r="D3257" t="str">
            <v>TRANSFORMADOR DE POTENCIA TRIFASICO TP.CONVENCIONAL 400KVA 22,9 / 0,40 - 0,23KV EXTERIOR</v>
          </cell>
        </row>
        <row r="3258">
          <cell r="B3258">
            <v>5826355</v>
          </cell>
          <cell r="C3258" t="str">
            <v>EPL</v>
          </cell>
          <cell r="D3258" t="str">
            <v>TRANSFORMADOR DE POTENCIA TRIFASICO TP.CONVENCIONAL 400KVA 22,9 / 0,40 - 0,23KV EXTERIOR</v>
          </cell>
        </row>
        <row r="3259">
          <cell r="B3259">
            <v>5826506</v>
          </cell>
          <cell r="C3259" t="str">
            <v>ABB</v>
          </cell>
          <cell r="D3259" t="str">
            <v>TRANSFORMADOR POT.TRIF 10/22,9KV. 3MVA(ONAN) 3,75MVA(ONAF) YND5 1000MSNM</v>
          </cell>
        </row>
        <row r="3260">
          <cell r="B3260">
            <v>5826506</v>
          </cell>
          <cell r="C3260" t="str">
            <v>CEA</v>
          </cell>
          <cell r="D3260" t="str">
            <v>TRANSFORMADOR POT.TRIF 10/22,9KV. 3MVA(ONAN) 3,75MVA(ONAF) YND5 1000MSNM</v>
          </cell>
        </row>
        <row r="3261">
          <cell r="B3261">
            <v>5826506</v>
          </cell>
          <cell r="C3261" t="str">
            <v>DEL</v>
          </cell>
          <cell r="D3261" t="str">
            <v>TRANSFORMADOR POT.TRIF 10/22,9KV. 3MVA(ONAN) 3,75MVA(ONAF) YND5 1000MSNM</v>
          </cell>
        </row>
        <row r="3262">
          <cell r="B3262">
            <v>5826506</v>
          </cell>
          <cell r="C3262" t="str">
            <v>EPL</v>
          </cell>
          <cell r="D3262" t="str">
            <v>TRANSFORMADOR POT.TRIF 10/22,9KV. 3MVA(ONAN) 3,75MVA(ONAF) YND5 1000MSNM</v>
          </cell>
        </row>
        <row r="3263">
          <cell r="B3263">
            <v>5827020</v>
          </cell>
          <cell r="C3263" t="str">
            <v>ABB</v>
          </cell>
          <cell r="D3263" t="str">
            <v>TRANSFORMADOR TRIFASICO DE DISTRIBUCION C.BOBINADO DE ALUMINIO 50KVA 10 / 0,23KV DYN5 2500 M.S.N.M.</v>
          </cell>
        </row>
        <row r="3264">
          <cell r="B3264">
            <v>5827024</v>
          </cell>
          <cell r="C3264" t="str">
            <v>ABB</v>
          </cell>
          <cell r="D3264" t="str">
            <v>TRANSFORMADOR TRIFASICO DE DISTRIBUCION C.BOBINADO DE ALUMINIO 100KVA 10 / 0,23KV DYN5 2500 M.S.N.M.</v>
          </cell>
        </row>
        <row r="3265">
          <cell r="B3265">
            <v>5827028</v>
          </cell>
          <cell r="C3265" t="str">
            <v>ABB</v>
          </cell>
          <cell r="D3265" t="str">
            <v>TRANSFORMADOR TRIFASICO DE DISTRIBUCION C.BOBINADO DE ALUMINIO 160KVA 10 / 0,23KV DYN5 2500 M.S.N.M.</v>
          </cell>
        </row>
        <row r="3266">
          <cell r="B3266">
            <v>5827032</v>
          </cell>
          <cell r="C3266" t="str">
            <v>ABB</v>
          </cell>
          <cell r="D3266" t="str">
            <v>TRANSFORMADOR TRIFASICO DE DISTRIBUCION C.BOBINADO DE ALUMINIO 250KVA 10 / 0,23KV DYN5 2500 M.S.N.M.</v>
          </cell>
        </row>
        <row r="3267">
          <cell r="B3267">
            <v>5827034</v>
          </cell>
          <cell r="C3267" t="str">
            <v>ABB</v>
          </cell>
          <cell r="D3267" t="str">
            <v>TRANSFORMADOR TRIFASICO DE DISTRIBUCION C.BOBINADO DE ALUMINIO 400KVA 10 / 0,23KV DYN5 2500 M.S.N.M.</v>
          </cell>
        </row>
        <row r="3268">
          <cell r="B3268">
            <v>5827036</v>
          </cell>
          <cell r="C3268" t="str">
            <v>ABB</v>
          </cell>
          <cell r="D3268" t="str">
            <v>TRANSFORMADOR TRIFASICO DE DISTRIBUCION C.BOBINADO DE ALUMINIO 630KVA 10 / 0,23KV DYN5 2500 M.S.N.M.</v>
          </cell>
        </row>
        <row r="3269">
          <cell r="B3269">
            <v>5831178</v>
          </cell>
          <cell r="C3269" t="str">
            <v>ABB</v>
          </cell>
          <cell r="D3269" t="str">
            <v>TRANSFORMADOR DE POTENCIA TRIFASICO TP.CONVENCIONAL 50KVA 22,9/0,23KV YND5 ONAN EXTERIOR</v>
          </cell>
        </row>
        <row r="3270">
          <cell r="B3270">
            <v>5831178</v>
          </cell>
          <cell r="C3270" t="str">
            <v>CEA</v>
          </cell>
          <cell r="D3270" t="str">
            <v>TRANSFORMADOR DE POTENCIA TRIFASICO TP.CONVENCIONAL 50KVA 22,9/0,23KV YND5 ONAN EXTERIOR</v>
          </cell>
        </row>
        <row r="3271">
          <cell r="B3271">
            <v>5831178</v>
          </cell>
          <cell r="C3271" t="str">
            <v>DEL</v>
          </cell>
          <cell r="D3271" t="str">
            <v>TRANSFORMADOR DE POTENCIA TRIFASICO TP.CONVENCIONAL 50KVA 22,9/0,23KV YND5 ONAN EXTERIOR</v>
          </cell>
        </row>
        <row r="3272">
          <cell r="B3272">
            <v>5831178</v>
          </cell>
          <cell r="C3272" t="str">
            <v>EPL</v>
          </cell>
          <cell r="D3272" t="str">
            <v>TRANSFORMADOR DE POTENCIA TRIFASICO TP.CONVENCIONAL 50KVA 22,9/0,23KV YND5 ONAN EXTERIOR</v>
          </cell>
        </row>
        <row r="3273">
          <cell r="B3273">
            <v>5831178</v>
          </cell>
          <cell r="C3273" t="str">
            <v>ITE</v>
          </cell>
          <cell r="D3273" t="str">
            <v>TRANSFORMADOR DE POTENCIA TRIFASICO TP.CONVENCIONAL 50KVA 22,9/0,23KV YND5 ONAN EXTERIOR</v>
          </cell>
        </row>
        <row r="3274">
          <cell r="B3274">
            <v>5831178</v>
          </cell>
          <cell r="C3274" t="str">
            <v>MAG</v>
          </cell>
          <cell r="D3274" t="str">
            <v>TRANSFORMADOR DE POTENCIA TRIFASICO TP.CONVENCIONAL 50KVA 22,9/0,23KV YND5 ONAN EXTERIOR</v>
          </cell>
        </row>
        <row r="3275">
          <cell r="B3275">
            <v>5831178</v>
          </cell>
          <cell r="C3275" t="str">
            <v>SIE</v>
          </cell>
          <cell r="D3275" t="str">
            <v>TRANSFORMADOR DE POTENCIA TRIFASICO TP.CONVENCIONAL 50KVA 22,9/0,23KV YND5 ONAN EXTERIOR</v>
          </cell>
        </row>
        <row r="3276">
          <cell r="B3276">
            <v>5831182</v>
          </cell>
          <cell r="C3276" t="str">
            <v>ABB</v>
          </cell>
          <cell r="D3276" t="str">
            <v>TRANSFORMADOR DE POTENCIA TRIFASICO TP.CONVENCIONAL 100KVA 22,9/0,23KV YND5 ONAN EXTERIOR</v>
          </cell>
        </row>
        <row r="3277">
          <cell r="B3277">
            <v>5831182</v>
          </cell>
          <cell r="C3277" t="str">
            <v>CEA</v>
          </cell>
          <cell r="D3277" t="str">
            <v>TRANSFORMADOR DE POTENCIA TRIFASICO TP.CONVENCIONAL 100KVA 22,9/0,23KV YND5 ONAN EXTERIOR</v>
          </cell>
        </row>
        <row r="3278">
          <cell r="B3278">
            <v>5831182</v>
          </cell>
          <cell r="C3278" t="str">
            <v>DEL</v>
          </cell>
          <cell r="D3278" t="str">
            <v>TRANSFORMADOR DE POTENCIA TRIFASICO TP.CONVENCIONAL 100KVA 22,9/0,23KV YND5 ONAN EXTERIOR</v>
          </cell>
        </row>
        <row r="3279">
          <cell r="B3279">
            <v>5831182</v>
          </cell>
          <cell r="C3279" t="str">
            <v>DEL</v>
          </cell>
          <cell r="D3279" t="str">
            <v>TRANSFORMADOR DE POTENCIA TRIFASICO TP.CONVENCIONAL 100KVA 22,9/0,23KV YND5 ONAN EXTERIOR</v>
          </cell>
        </row>
        <row r="3280">
          <cell r="B3280">
            <v>5831182</v>
          </cell>
          <cell r="C3280" t="str">
            <v>EPL</v>
          </cell>
          <cell r="D3280" t="str">
            <v>TRANSFORMADOR DE POTENCIA TRIFASICO TP.CONVENCIONAL 100KVA 22,9/0,23KV YND5 ONAN EXTERIOR</v>
          </cell>
        </row>
        <row r="3281">
          <cell r="B3281">
            <v>5831182</v>
          </cell>
          <cell r="C3281" t="str">
            <v>ITE</v>
          </cell>
          <cell r="D3281" t="str">
            <v>TRANSFORMADOR DE POTENCIA TRIFASICO TP.CONVENCIONAL 100KVA 22,9/0,23KV YND5 ONAN EXTERIOR</v>
          </cell>
        </row>
        <row r="3282">
          <cell r="B3282">
            <v>5831182</v>
          </cell>
          <cell r="C3282" t="str">
            <v>MAG</v>
          </cell>
          <cell r="D3282" t="str">
            <v>TRANSFORMADOR DE POTENCIA TRIFASICO TP.CONVENCIONAL 100KVA 22,9/0,23KV YND5 ONAN EXTERIOR</v>
          </cell>
        </row>
        <row r="3283">
          <cell r="B3283">
            <v>5831182</v>
          </cell>
          <cell r="C3283" t="str">
            <v>SIE</v>
          </cell>
          <cell r="D3283" t="str">
            <v>TRANSFORMADOR DE POTENCIA TRIFASICO TP.CONVENCIONAL 100KVA 22,9/0,23KV YND5 ONAN EXTERIOR</v>
          </cell>
        </row>
        <row r="3284">
          <cell r="B3284">
            <v>5831183</v>
          </cell>
          <cell r="C3284" t="str">
            <v>ABB</v>
          </cell>
          <cell r="D3284" t="str">
            <v>TRANSFORMADOR DE POTENCIA TRIFASICO TP.CONVENCIONAL 160KVA 22,9/0,23KV YND5 ONAN EXTERIOR</v>
          </cell>
        </row>
        <row r="3285">
          <cell r="B3285">
            <v>5831183</v>
          </cell>
          <cell r="C3285" t="str">
            <v>CEA</v>
          </cell>
          <cell r="D3285" t="str">
            <v>TRANSFORMADOR DE POTENCIA TRIFASICO TP.CONVENCIONAL 160KVA 22,9/0,23KV YND5 ONAN EXTERIOR</v>
          </cell>
        </row>
        <row r="3286">
          <cell r="B3286">
            <v>5831183</v>
          </cell>
          <cell r="C3286" t="str">
            <v>DEL</v>
          </cell>
          <cell r="D3286" t="str">
            <v>TRANSFORMADOR DE POTENCIA TRIFASICO TP.CONVENCIONAL 160KVA 22,9/0,23KV YND5 ONAN EXTERIOR</v>
          </cell>
        </row>
        <row r="3287">
          <cell r="B3287">
            <v>5831183</v>
          </cell>
          <cell r="C3287" t="str">
            <v>EPL</v>
          </cell>
          <cell r="D3287" t="str">
            <v>TRANSFORMADOR DE POTENCIA TRIFASICO TP.CONVENCIONAL 160KVA 22,9/0,23KV YND5 ONAN EXTERIOR</v>
          </cell>
        </row>
        <row r="3288">
          <cell r="B3288">
            <v>5831183</v>
          </cell>
          <cell r="C3288" t="str">
            <v>ITE</v>
          </cell>
          <cell r="D3288" t="str">
            <v>TRANSFORMADOR DE POTENCIA TRIFASICO TP.CONVENCIONAL 160KVA 22,9/0,23KV YND5 ONAN EXTERIOR</v>
          </cell>
        </row>
        <row r="3289">
          <cell r="B3289">
            <v>5831183</v>
          </cell>
          <cell r="C3289" t="str">
            <v>MAG</v>
          </cell>
          <cell r="D3289" t="str">
            <v>TRANSFORMADOR DE POTENCIA TRIFASICO TP.CONVENCIONAL 160KVA 22,9/0,23KV YND5 ONAN EXTERIOR</v>
          </cell>
        </row>
        <row r="3290">
          <cell r="B3290">
            <v>5831183</v>
          </cell>
          <cell r="C3290" t="str">
            <v>SIE</v>
          </cell>
          <cell r="D3290" t="str">
            <v>TRANSFORMADOR DE POTENCIA TRIFASICO TP.CONVENCIONAL 160KVA 22,9/0,23KV YND5 ONAN EXTERIOR</v>
          </cell>
        </row>
        <row r="3291">
          <cell r="B3291">
            <v>5831188</v>
          </cell>
          <cell r="C3291" t="str">
            <v>ABB</v>
          </cell>
          <cell r="D3291" t="str">
            <v>TRANSFORMADOR DE POTENCIA TRIFASICO TP.CONVENCIONAL 250KVA 22,9/0,23KV YND5 ONAN EXTERIOR</v>
          </cell>
        </row>
        <row r="3292">
          <cell r="B3292">
            <v>5831188</v>
          </cell>
          <cell r="C3292" t="str">
            <v>CEA</v>
          </cell>
          <cell r="D3292" t="str">
            <v>TRANSFORMADOR DE POTENCIA TRIFASICO TP.CONVENCIONAL 250KVA 22,9/0,23KV YND5 ONAN EXTERIOR</v>
          </cell>
        </row>
        <row r="3293">
          <cell r="B3293">
            <v>5831188</v>
          </cell>
          <cell r="C3293" t="str">
            <v>DEL</v>
          </cell>
          <cell r="D3293" t="str">
            <v>TRANSFORMADOR DE POTENCIA TRIFASICO TP.CONVENCIONAL 250KVA 22,9/0,23KV YND5 ONAN EXTERIOR</v>
          </cell>
        </row>
        <row r="3294">
          <cell r="B3294">
            <v>5831188</v>
          </cell>
          <cell r="C3294" t="str">
            <v>EPL</v>
          </cell>
          <cell r="D3294" t="str">
            <v>TRANSFORMADOR DE POTENCIA TRIFASICO TP.CONVENCIONAL 250KVA 22,9/0,23KV YND5 ONAN EXTERIOR</v>
          </cell>
        </row>
        <row r="3295">
          <cell r="B3295">
            <v>5831188</v>
          </cell>
          <cell r="C3295" t="str">
            <v>ITE</v>
          </cell>
          <cell r="D3295" t="str">
            <v>TRANSFORMADOR DE POTENCIA TRIFASICO TP.CONVENCIONAL 250KVA 22,9/0,23KV YND5 ONAN EXTERIOR</v>
          </cell>
        </row>
        <row r="3296">
          <cell r="B3296">
            <v>5831188</v>
          </cell>
          <cell r="C3296" t="str">
            <v>MAG</v>
          </cell>
          <cell r="D3296" t="str">
            <v>TRANSFORMADOR DE POTENCIA TRIFASICO TP.CONVENCIONAL 250KVA 22,9/0,23KV YND5 ONAN EXTERIOR</v>
          </cell>
        </row>
        <row r="3297">
          <cell r="B3297">
            <v>5831190</v>
          </cell>
          <cell r="C3297" t="str">
            <v>ITE</v>
          </cell>
          <cell r="D3297" t="str">
            <v>TRANSFORMADOR TRIFASICO DE DISTRIBUCION TP.CONVENCIONAL 315KVA 22,9 +/- 2X2,5% / 0,23KV YND5 60HZ</v>
          </cell>
        </row>
        <row r="3298">
          <cell r="B3298">
            <v>5831190</v>
          </cell>
          <cell r="C3298" t="str">
            <v>MAG</v>
          </cell>
          <cell r="D3298" t="str">
            <v>TRANSFORMADOR TRIFASICO DE DISTRIBUCION TP.CONVENCIONAL 315KVA 22,9 +/- 2X2,5% / 0,23KV YND5 60HZ</v>
          </cell>
        </row>
        <row r="3299">
          <cell r="B3299">
            <v>5831192</v>
          </cell>
          <cell r="C3299" t="str">
            <v>ABB</v>
          </cell>
          <cell r="D3299" t="str">
            <v>TRANSFORMADOR DE POTENCIA TRIFASICO TP.CONVENCIONAL 400KVA 22,9/0,23KV YND5 ONAN EXTERIOR</v>
          </cell>
        </row>
        <row r="3300">
          <cell r="B3300">
            <v>5831192</v>
          </cell>
          <cell r="C3300" t="str">
            <v>CEA</v>
          </cell>
          <cell r="D3300" t="str">
            <v>TRANSFORMADOR DE POTENCIA TRIFASICO TP.CONVENCIONAL 400KVA 22,9/0,23KV YND5 ONAN EXTERIOR</v>
          </cell>
        </row>
        <row r="3301">
          <cell r="B3301">
            <v>5831192</v>
          </cell>
          <cell r="C3301" t="str">
            <v>DEL</v>
          </cell>
          <cell r="D3301" t="str">
            <v>TRANSFORMADOR DE POTENCIA TRIFASICO TP.CONVENCIONAL 400KVA 22,9/0,23KV YND5 ONAN EXTERIOR</v>
          </cell>
        </row>
        <row r="3302">
          <cell r="B3302">
            <v>5831192</v>
          </cell>
          <cell r="C3302" t="str">
            <v>EPL</v>
          </cell>
          <cell r="D3302" t="str">
            <v>TRANSFORMADOR DE POTENCIA TRIFASICO TP.CONVENCIONAL 400KVA 22,9/0,23KV YND5 ONAN EXTERIOR</v>
          </cell>
        </row>
        <row r="3303">
          <cell r="B3303">
            <v>5831192</v>
          </cell>
          <cell r="C3303" t="str">
            <v>ITE</v>
          </cell>
          <cell r="D3303" t="str">
            <v>TRANSFORMADOR DE POTENCIA TRIFASICO TP.CONVENCIONAL 400KVA 22,9/0,23KV YND5 ONAN EXTERIOR</v>
          </cell>
        </row>
        <row r="3304">
          <cell r="B3304">
            <v>5831192</v>
          </cell>
          <cell r="C3304" t="str">
            <v>MAG</v>
          </cell>
          <cell r="D3304" t="str">
            <v>TRANSFORMADOR DE POTENCIA TRIFASICO TP.CONVENCIONAL 400KVA 22,9/0,23KV YND5 ONAN EXTERIOR</v>
          </cell>
        </row>
        <row r="3305">
          <cell r="B3305">
            <v>5831194</v>
          </cell>
          <cell r="C3305" t="str">
            <v>ABB</v>
          </cell>
          <cell r="D3305" t="str">
            <v>TRANSFORMADOR DE POTENCIA TRIFASICO TP.CONVENCIONAL 630KVA 22,9/0,23KV YND5 ONAN EXTERIOR</v>
          </cell>
        </row>
        <row r="3306">
          <cell r="B3306">
            <v>5831194</v>
          </cell>
          <cell r="C3306" t="str">
            <v>CEA</v>
          </cell>
          <cell r="D3306" t="str">
            <v>TRANSFORMADOR DE POTENCIA TRIFASICO TP.CONVENCIONAL 630KVA 22,9/0,23KV YND5 ONAN EXTERIOR</v>
          </cell>
        </row>
        <row r="3307">
          <cell r="B3307">
            <v>5831194</v>
          </cell>
          <cell r="C3307" t="str">
            <v>DEL</v>
          </cell>
          <cell r="D3307" t="str">
            <v>TRANSFORMADOR DE POTENCIA TRIFASICO TP.CONVENCIONAL 630KVA 22,9/0,23KV YND5 ONAN EXTERIOR</v>
          </cell>
        </row>
        <row r="3308">
          <cell r="B3308">
            <v>5831194</v>
          </cell>
          <cell r="C3308" t="str">
            <v>EPL</v>
          </cell>
          <cell r="D3308" t="str">
            <v>TRANSFORMADOR DE POTENCIA TRIFASICO TP.CONVENCIONAL 630KVA 22,9/0,23KV YND5 ONAN EXTERIOR</v>
          </cell>
        </row>
        <row r="3309">
          <cell r="B3309">
            <v>5831194</v>
          </cell>
          <cell r="C3309" t="str">
            <v>ITE</v>
          </cell>
          <cell r="D3309" t="str">
            <v>TRANSFORMADOR DE POTENCIA TRIFASICO TP.CONVENCIONAL 630KVA 22,9/0,23KV YND5 ONAN EXTERIOR</v>
          </cell>
        </row>
        <row r="3310">
          <cell r="B3310">
            <v>5831194</v>
          </cell>
          <cell r="C3310" t="str">
            <v>MAG</v>
          </cell>
          <cell r="D3310" t="str">
            <v>TRANSFORMADOR DE POTENCIA TRIFASICO TP.CONVENCIONAL 630KVA 22,9/0,23KV YND5 ONAN EXTERIOR</v>
          </cell>
        </row>
        <row r="3311">
          <cell r="B3311">
            <v>5831196</v>
          </cell>
          <cell r="C3311" t="str">
            <v>ITE</v>
          </cell>
          <cell r="D3311" t="str">
            <v>TRANSFORMADOR TRIFASICO DE DISTRIBUCION TP.CONVENCIONAL 500KVA 22,9 +/- 2X2,5% / 0,23KV YND5 60HZ</v>
          </cell>
        </row>
        <row r="3312">
          <cell r="B3312">
            <v>5831196</v>
          </cell>
          <cell r="C3312" t="str">
            <v>MAG</v>
          </cell>
          <cell r="D3312" t="str">
            <v>TRANSFORMADOR TRIFASICO DE DISTRIBUCION TP.CONVENCIONAL 500KVA 22,9 +/- 2X2,5% / 0,23KV YND5 60HZ</v>
          </cell>
        </row>
        <row r="3313">
          <cell r="B3313">
            <v>5831200</v>
          </cell>
          <cell r="C3313" t="str">
            <v>ITE</v>
          </cell>
          <cell r="D3313" t="str">
            <v>TRANSFORMADOR TRIFASICO DE DISTRIBUCION TP.COMPACTO PEDESTAL 75KVA 22,9/0,23KV YND5 60HZ</v>
          </cell>
        </row>
        <row r="3314">
          <cell r="B3314">
            <v>5831201</v>
          </cell>
          <cell r="C3314" t="str">
            <v>ITE</v>
          </cell>
          <cell r="D3314" t="str">
            <v>TRANSFORMADOR TRIFASICO DE DISTRIBUCION TP.COMPACTO PEDESTAL 100KVA 22,9/0,23KV YND5 60HZ</v>
          </cell>
        </row>
        <row r="3315">
          <cell r="B3315">
            <v>5831202</v>
          </cell>
          <cell r="C3315" t="str">
            <v>ITE</v>
          </cell>
          <cell r="D3315" t="str">
            <v>TRANSFORMADOR TRIFASICO DE DISTRIBUCION TP.COMPACTO PEDESTAL 160KVA 22,9/0,23KV YND5 60HZ</v>
          </cell>
        </row>
        <row r="3316">
          <cell r="B3316">
            <v>5831203</v>
          </cell>
          <cell r="C3316" t="str">
            <v>ABB</v>
          </cell>
          <cell r="D3316" t="str">
            <v>TRANSFORMADOR TRIFASICO DE DISTRIBUCION TP.COMPACTO PEDESTAL 250KVA 22,9/0,23KV YND5 60HZ</v>
          </cell>
        </row>
        <row r="3317">
          <cell r="B3317">
            <v>5831203</v>
          </cell>
          <cell r="C3317" t="str">
            <v>DEL</v>
          </cell>
          <cell r="D3317" t="str">
            <v>TRANSFORMADOR TRIFASICO DE DISTRIBUCION TP.COMPACTO PEDESTAL 250KVA 22,9/0,23KV YND5 60HZ</v>
          </cell>
        </row>
        <row r="3318">
          <cell r="B3318">
            <v>5831203</v>
          </cell>
          <cell r="C3318" t="str">
            <v>EPL</v>
          </cell>
          <cell r="D3318" t="str">
            <v>TRANSFORMADOR TRIFASICO DE DISTRIBUCION TP.COMPACTO PEDESTAL 250KVA 22,9/0,23KV YND5 60HZ</v>
          </cell>
        </row>
        <row r="3319">
          <cell r="B3319">
            <v>5831203</v>
          </cell>
          <cell r="C3319" t="str">
            <v>ITE</v>
          </cell>
          <cell r="D3319" t="str">
            <v>TRANSFORMADOR TRIFASICO DE DISTRIBUCION TP.COMPACTO PEDESTAL 250KVA 22,9/0,23KV YND5 60HZ</v>
          </cell>
        </row>
        <row r="3320">
          <cell r="B3320">
            <v>5831203</v>
          </cell>
          <cell r="C3320" t="str">
            <v>SIE</v>
          </cell>
          <cell r="D3320" t="str">
            <v>TRANSFORMADOR TRIFASICO DE DISTRIBUCION TP.COMPACTO PEDESTAL 250KVA 22,9/0,23KV YND5 60HZ</v>
          </cell>
        </row>
        <row r="3321">
          <cell r="B3321">
            <v>5831204</v>
          </cell>
          <cell r="C3321" t="str">
            <v>ABB</v>
          </cell>
          <cell r="D3321" t="str">
            <v>TRANSFORMADOR TRIFASICO DE DISTRIBUCION TP.COMPACTO PEDESTAL 400KVA 22,9/0,23KV YND5 60HZ</v>
          </cell>
        </row>
        <row r="3322">
          <cell r="B3322">
            <v>5831204</v>
          </cell>
          <cell r="C3322" t="str">
            <v>DEL</v>
          </cell>
          <cell r="D3322" t="str">
            <v>TRANSFORMADOR TRIFASICO DE DISTRIBUCION TP.COMPACTO PEDESTAL 400KVA 22,9/0,23KV YND5 60HZ</v>
          </cell>
        </row>
        <row r="3323">
          <cell r="B3323">
            <v>5831204</v>
          </cell>
          <cell r="C3323" t="str">
            <v>EPL</v>
          </cell>
          <cell r="D3323" t="str">
            <v>TRANSFORMADOR TRIFASICO DE DISTRIBUCION TP.COMPACTO PEDESTAL 400KVA 22,9/0,23KV YND5 60HZ</v>
          </cell>
        </row>
        <row r="3324">
          <cell r="B3324">
            <v>5831204</v>
          </cell>
          <cell r="C3324" t="str">
            <v>ITE</v>
          </cell>
          <cell r="D3324" t="str">
            <v>TRANSFORMADOR TRIFASICO DE DISTRIBUCION TP.COMPACTO PEDESTAL 400KVA 22,9/0,23KV YND5 60HZ</v>
          </cell>
        </row>
        <row r="3325">
          <cell r="B3325">
            <v>5831204</v>
          </cell>
          <cell r="C3325" t="str">
            <v>SIE</v>
          </cell>
          <cell r="D3325" t="str">
            <v>TRANSFORMADOR TRIFASICO DE DISTRIBUCION TP.COMPACTO PEDESTAL 400KVA 22,9/0,23KV YND5 60HZ</v>
          </cell>
        </row>
        <row r="3326">
          <cell r="B3326">
            <v>5831205</v>
          </cell>
          <cell r="C3326" t="str">
            <v>ABB</v>
          </cell>
          <cell r="D3326" t="str">
            <v>TRANSFORMADOR TRIFASICO DE DISTRIBUCION TP.COMPACTO PEDESTAL 630KVA 22,9/0,23KV YND5 60HZ</v>
          </cell>
        </row>
        <row r="3327">
          <cell r="B3327">
            <v>5831205</v>
          </cell>
          <cell r="C3327" t="str">
            <v>DEL</v>
          </cell>
          <cell r="D3327" t="str">
            <v>TRANSFORMADOR TRIFASICO DE DISTRIBUCION TP.COMPACTO PEDESTAL 630KVA 22,9/0,23KV YND5 60HZ</v>
          </cell>
        </row>
        <row r="3328">
          <cell r="B3328">
            <v>5831205</v>
          </cell>
          <cell r="C3328" t="str">
            <v>EPL</v>
          </cell>
          <cell r="D3328" t="str">
            <v>TRANSFORMADOR TRIFASICO DE DISTRIBUCION TP.COMPACTO PEDESTAL 630KVA 22,9/0,23KV YND5 60HZ</v>
          </cell>
        </row>
        <row r="3329">
          <cell r="B3329">
            <v>5831205</v>
          </cell>
          <cell r="C3329" t="str">
            <v>ITE</v>
          </cell>
          <cell r="D3329" t="str">
            <v>TRANSFORMADOR TRIFASICO DE DISTRIBUCION TP.COMPACTO PEDESTAL 630KVA 22,9/0,23KV YND5 60HZ</v>
          </cell>
        </row>
        <row r="3330">
          <cell r="B3330">
            <v>5831205</v>
          </cell>
          <cell r="C3330" t="str">
            <v>SIE</v>
          </cell>
          <cell r="D3330" t="str">
            <v>TRANSFORMADOR TRIFASICO DE DISTRIBUCION TP.COMPACTO PEDESTAL 630KVA 22,9/0,23KV YND5 60HZ</v>
          </cell>
        </row>
        <row r="3331">
          <cell r="B3331">
            <v>5831206</v>
          </cell>
          <cell r="C3331" t="str">
            <v>ITE</v>
          </cell>
          <cell r="D3331" t="str">
            <v>TRANSFORMADOR TRIFASICO DE DISTRIBUCION TP.COMPACTO PEDESTAL 315KVA 22,9/0,23KV YND5 60HZ</v>
          </cell>
        </row>
        <row r="3332">
          <cell r="B3332">
            <v>5831207</v>
          </cell>
          <cell r="C3332" t="str">
            <v>ITE</v>
          </cell>
          <cell r="D3332" t="str">
            <v>TRANSFORMADOR TRIFASICO DE DISTRIBUCION TP.COMPACTO PEDESTAL 500KVA 22,9/0,23KV YND5 60HZ</v>
          </cell>
        </row>
        <row r="3333">
          <cell r="B3333">
            <v>5831208</v>
          </cell>
          <cell r="C3333" t="str">
            <v>ITE</v>
          </cell>
          <cell r="D3333" t="str">
            <v>TRANSFORMADOR TRIFASICO DE DISTRIBUCION TP.COMPACTO PEDESTAL 50KVA 22,9/0,23KV YND5 60HZ</v>
          </cell>
        </row>
        <row r="3334">
          <cell r="B3334">
            <v>5831214</v>
          </cell>
          <cell r="C3334" t="str">
            <v>ABB</v>
          </cell>
          <cell r="D3334" t="str">
            <v>TRANSFORMADOR DE POTENCIA TRIFASICO TP.CONVENCIONAL 50KVA 22,9-10 / 0,23KV</v>
          </cell>
        </row>
        <row r="3335">
          <cell r="B3335">
            <v>5831214</v>
          </cell>
          <cell r="C3335" t="str">
            <v>CEA</v>
          </cell>
          <cell r="D3335" t="str">
            <v>TRANSFORMADOR DE POTENCIA TRIFASICO TP.CONVENCIONAL 50KVA 22,9-10 / 0,23KV</v>
          </cell>
        </row>
        <row r="3336">
          <cell r="B3336">
            <v>5831214</v>
          </cell>
          <cell r="C3336" t="str">
            <v>DEL</v>
          </cell>
          <cell r="D3336" t="str">
            <v>TRANSFORMADOR DE POTENCIA TRIFASICO TP.CONVENCIONAL 50KVA 22,9-10 / 0,23KV</v>
          </cell>
        </row>
        <row r="3337">
          <cell r="B3337">
            <v>5831214</v>
          </cell>
          <cell r="C3337" t="str">
            <v>EPL</v>
          </cell>
          <cell r="D3337" t="str">
            <v>TRANSFORMADOR DE POTENCIA TRIFASICO TP.CONVENCIONAL 50KVA 22,9-10 / 0,23KV</v>
          </cell>
        </row>
        <row r="3338">
          <cell r="B3338">
            <v>5831214</v>
          </cell>
          <cell r="C3338" t="str">
            <v>ITE</v>
          </cell>
          <cell r="D3338" t="str">
            <v>TRANSFORMADOR DE POTENCIA TRIFASICO TP.CONVENCIONAL 50KVA 22,9-10 / 0,23KV</v>
          </cell>
        </row>
        <row r="3339">
          <cell r="B3339">
            <v>5831214</v>
          </cell>
          <cell r="C3339" t="str">
            <v>SPE</v>
          </cell>
          <cell r="D3339" t="str">
            <v>TRANSFORMADOR DE POTENCIA TRIFASICO TP.CONVENCIONAL 50KVA 22,9-10 / 0,23KV</v>
          </cell>
        </row>
        <row r="3340">
          <cell r="B3340">
            <v>5831217</v>
          </cell>
          <cell r="C3340" t="str">
            <v>ABB</v>
          </cell>
          <cell r="D3340" t="str">
            <v>TRANSFORMADOR DE POTENCIA TRIFASICO TP.CONVENCIONAL 100KVA 22,9-10 / 0,23KV</v>
          </cell>
        </row>
        <row r="3341">
          <cell r="B3341">
            <v>5831217</v>
          </cell>
          <cell r="C3341" t="str">
            <v>CEA</v>
          </cell>
          <cell r="D3341" t="str">
            <v>TRANSFORMADOR DE POTENCIA TRIFASICO TP.CONVENCIONAL 100KVA 22,9-10 / 0,23KV</v>
          </cell>
        </row>
        <row r="3342">
          <cell r="B3342">
            <v>5831217</v>
          </cell>
          <cell r="C3342" t="str">
            <v>DEL</v>
          </cell>
          <cell r="D3342" t="str">
            <v>TRANSFORMADOR DE POTENCIA TRIFASICO TP.CONVENCIONAL 100KVA 22,9-10 / 0,23KV</v>
          </cell>
        </row>
        <row r="3343">
          <cell r="B3343">
            <v>5831217</v>
          </cell>
          <cell r="C3343" t="str">
            <v>EPL</v>
          </cell>
          <cell r="D3343" t="str">
            <v>TRANSFORMADOR DE POTENCIA TRIFASICO TP.CONVENCIONAL 100KVA 22,9-10 / 0,23KV</v>
          </cell>
        </row>
        <row r="3344">
          <cell r="B3344">
            <v>5831217</v>
          </cell>
          <cell r="C3344" t="str">
            <v>ITE</v>
          </cell>
          <cell r="D3344" t="str">
            <v>TRANSFORMADOR DE POTENCIA TRIFASICO TP.CONVENCIONAL 100KVA 22,9-10 / 0,23KV</v>
          </cell>
        </row>
        <row r="3345">
          <cell r="B3345">
            <v>5831217</v>
          </cell>
          <cell r="C3345" t="str">
            <v>SPE</v>
          </cell>
          <cell r="D3345" t="str">
            <v>TRANSFORMADOR DE POTENCIA TRIFASICO TP.CONVENCIONAL 100KVA 22,9-10 / 0,23KV</v>
          </cell>
        </row>
        <row r="3346">
          <cell r="B3346">
            <v>5831218</v>
          </cell>
          <cell r="C3346" t="str">
            <v>ABB</v>
          </cell>
          <cell r="D3346" t="str">
            <v>TRANSFORMADOR DE POTENCIA TRIFASICO TP.CONVENCIONAL 160KVA 22,9-10 / 0,23KV</v>
          </cell>
        </row>
        <row r="3347">
          <cell r="B3347">
            <v>5831218</v>
          </cell>
          <cell r="C3347" t="str">
            <v>CEA</v>
          </cell>
          <cell r="D3347" t="str">
            <v>TRANSFORMADOR DE POTENCIA TRIFASICO TP.CONVENCIONAL 160KVA 22,9-10 / 0,23KV</v>
          </cell>
        </row>
        <row r="3348">
          <cell r="B3348">
            <v>5831218</v>
          </cell>
          <cell r="C3348" t="str">
            <v>DEL</v>
          </cell>
          <cell r="D3348" t="str">
            <v>TRANSFORMADOR DE POTENCIA TRIFASICO TP.CONVENCIONAL 160KVA 22,9-10 / 0,23KV</v>
          </cell>
        </row>
        <row r="3349">
          <cell r="B3349">
            <v>5831218</v>
          </cell>
          <cell r="C3349" t="str">
            <v>EPL</v>
          </cell>
          <cell r="D3349" t="str">
            <v>TRANSFORMADOR DE POTENCIA TRIFASICO TP.CONVENCIONAL 160KVA 22,9-10 / 0,23KV</v>
          </cell>
        </row>
        <row r="3350">
          <cell r="B3350">
            <v>5831218</v>
          </cell>
          <cell r="C3350" t="str">
            <v>ITE</v>
          </cell>
          <cell r="D3350" t="str">
            <v>TRANSFORMADOR DE POTENCIA TRIFASICO TP.CONVENCIONAL 160KVA 22,9-10 / 0,23KV</v>
          </cell>
        </row>
        <row r="3351">
          <cell r="B3351">
            <v>5831218</v>
          </cell>
          <cell r="C3351" t="str">
            <v>SPE</v>
          </cell>
          <cell r="D3351" t="str">
            <v>TRANSFORMADOR DE POTENCIA TRIFASICO TP.CONVENCIONAL 160KVA 22,9-10 / 0,23KV</v>
          </cell>
        </row>
        <row r="3352">
          <cell r="B3352">
            <v>5831219</v>
          </cell>
          <cell r="C3352" t="str">
            <v>ABB</v>
          </cell>
          <cell r="D3352" t="str">
            <v>TRANSFORMADOR DE POTENCIA TRIFASICO TP.CONVENCIONAL 250KVA 22,9-10 / 0,23KV</v>
          </cell>
        </row>
        <row r="3353">
          <cell r="B3353">
            <v>5831219</v>
          </cell>
          <cell r="C3353" t="str">
            <v>CEA</v>
          </cell>
          <cell r="D3353" t="str">
            <v>TRANSFORMADOR DE POTENCIA TRIFASICO TP.CONVENCIONAL 250KVA 22,9-10 / 0,23KV</v>
          </cell>
        </row>
        <row r="3354">
          <cell r="B3354">
            <v>5831219</v>
          </cell>
          <cell r="C3354" t="str">
            <v>DEL</v>
          </cell>
          <cell r="D3354" t="str">
            <v>TRANSFORMADOR DE POTENCIA TRIFASICO TP.CONVENCIONAL 250KVA 22,9-10 / 0,23KV</v>
          </cell>
        </row>
        <row r="3355">
          <cell r="B3355">
            <v>5831219</v>
          </cell>
          <cell r="C3355" t="str">
            <v>EPL</v>
          </cell>
          <cell r="D3355" t="str">
            <v>TRANSFORMADOR DE POTENCIA TRIFASICO TP.CONVENCIONAL 250KVA 22,9-10 / 0,23KV</v>
          </cell>
        </row>
        <row r="3356">
          <cell r="B3356">
            <v>5831219</v>
          </cell>
          <cell r="C3356" t="str">
            <v>ITE</v>
          </cell>
          <cell r="D3356" t="str">
            <v>TRANSFORMADOR DE POTENCIA TRIFASICO TP.CONVENCIONAL 250KVA 22,9-10 / 0,23KV</v>
          </cell>
        </row>
        <row r="3357">
          <cell r="B3357">
            <v>5831219</v>
          </cell>
          <cell r="C3357" t="str">
            <v>SPE</v>
          </cell>
          <cell r="D3357" t="str">
            <v>TRANSFORMADOR DE POTENCIA TRIFASICO TP.CONVENCIONAL 250KVA 22,9-10 / 0,23KV</v>
          </cell>
        </row>
        <row r="3358">
          <cell r="B3358">
            <v>5831220</v>
          </cell>
          <cell r="C3358" t="str">
            <v>ABB</v>
          </cell>
          <cell r="D3358" t="str">
            <v>TRANSFORMADOR DE POTENCIA TRIFASICO TP.CONVENCIONAL 400KVA 22,9-10 / 0,23KV</v>
          </cell>
        </row>
        <row r="3359">
          <cell r="B3359">
            <v>5831220</v>
          </cell>
          <cell r="C3359" t="str">
            <v>CEA</v>
          </cell>
          <cell r="D3359" t="str">
            <v>TRANSFORMADOR DE POTENCIA TRIFASICO TP.CONVENCIONAL 400KVA 22,9-10 / 0,23KV</v>
          </cell>
        </row>
        <row r="3360">
          <cell r="B3360">
            <v>5831220</v>
          </cell>
          <cell r="C3360" t="str">
            <v>DEL</v>
          </cell>
          <cell r="D3360" t="str">
            <v>TRANSFORMADOR DE POTENCIA TRIFASICO TP.CONVENCIONAL 400KVA 22,9-10 / 0,23KV</v>
          </cell>
        </row>
        <row r="3361">
          <cell r="B3361">
            <v>5831220</v>
          </cell>
          <cell r="C3361" t="str">
            <v>EPL</v>
          </cell>
          <cell r="D3361" t="str">
            <v>TRANSFORMADOR DE POTENCIA TRIFASICO TP.CONVENCIONAL 400KVA 22,9-10 / 0,23KV</v>
          </cell>
        </row>
        <row r="3362">
          <cell r="B3362">
            <v>5831220</v>
          </cell>
          <cell r="C3362" t="str">
            <v>ITE</v>
          </cell>
          <cell r="D3362" t="str">
            <v>TRANSFORMADOR DE POTENCIA TRIFASICO TP.CONVENCIONAL 400KVA 22,9-10 / 0,23KV</v>
          </cell>
        </row>
        <row r="3363">
          <cell r="B3363">
            <v>5831220</v>
          </cell>
          <cell r="C3363" t="str">
            <v>SPE</v>
          </cell>
          <cell r="D3363" t="str">
            <v>TRANSFORMADOR DE POTENCIA TRIFASICO TP.CONVENCIONAL 400KVA 22,9-10 / 0,23KV</v>
          </cell>
        </row>
        <row r="3364">
          <cell r="B3364">
            <v>5831221</v>
          </cell>
          <cell r="C3364" t="str">
            <v>ABB</v>
          </cell>
          <cell r="D3364" t="str">
            <v>TRANSFORMADOR DE POTENCIA TRIFASICO TP.CONVENCIONAL 630KVA 22,9-10 / 0,23KV</v>
          </cell>
        </row>
        <row r="3365">
          <cell r="B3365">
            <v>5831221</v>
          </cell>
          <cell r="C3365" t="str">
            <v>CEA</v>
          </cell>
          <cell r="D3365" t="str">
            <v>TRANSFORMADOR DE POTENCIA TRIFASICO TP.CONVENCIONAL 630KVA 22,9-10 / 0,23KV</v>
          </cell>
        </row>
        <row r="3366">
          <cell r="B3366">
            <v>5831221</v>
          </cell>
          <cell r="C3366" t="str">
            <v>DEL</v>
          </cell>
          <cell r="D3366" t="str">
            <v>TRANSFORMADOR DE POTENCIA TRIFASICO TP.CONVENCIONAL 630KVA 22,9-10 / 0,23KV</v>
          </cell>
        </row>
        <row r="3367">
          <cell r="B3367">
            <v>5831221</v>
          </cell>
          <cell r="C3367" t="str">
            <v>EPL</v>
          </cell>
          <cell r="D3367" t="str">
            <v>TRANSFORMADOR DE POTENCIA TRIFASICO TP.CONVENCIONAL 630KVA 22,9-10 / 0,23KV</v>
          </cell>
        </row>
        <row r="3368">
          <cell r="B3368">
            <v>5831221</v>
          </cell>
          <cell r="C3368" t="str">
            <v>ITE</v>
          </cell>
          <cell r="D3368" t="str">
            <v>TRANSFORMADOR DE POTENCIA TRIFASICO TP.CONVENCIONAL 630KVA 22,9-10 / 0,23KV</v>
          </cell>
        </row>
        <row r="3369">
          <cell r="B3369">
            <v>5831221</v>
          </cell>
          <cell r="C3369" t="str">
            <v>SPE</v>
          </cell>
          <cell r="D3369" t="str">
            <v>TRANSFORMADOR DE POTENCIA TRIFASICO TP.CONVENCIONAL 630KVA 22,9-10 / 0,23KV</v>
          </cell>
        </row>
        <row r="3370">
          <cell r="B3370">
            <v>5832180</v>
          </cell>
          <cell r="C3370" t="str">
            <v>TMC</v>
          </cell>
          <cell r="D3370" t="str">
            <v>TRANSFORMADOR DE POTENCIA TRIFASICO TP.SECO 1600KVA 22,9-10 / 0,23KV</v>
          </cell>
        </row>
        <row r="3371">
          <cell r="B3371">
            <v>5832232</v>
          </cell>
          <cell r="C3371" t="str">
            <v>TMC</v>
          </cell>
          <cell r="D3371" t="str">
            <v>TRANSFORMADOR TRIFASICO DE DISTRIBUCION SECO TP.CONVENCIONAL S.ENVOLVENTE 50KVA 22,9/0,23KV</v>
          </cell>
        </row>
        <row r="3372">
          <cell r="B3372">
            <v>5832233</v>
          </cell>
          <cell r="C3372" t="str">
            <v>TMC</v>
          </cell>
          <cell r="D3372" t="str">
            <v>TRANSFORMADOR TRIFASICO DE DISTRIBUCION SECO TP.CONVENCIONAL S.ENVOLVENTE 75KVA 22,9/0,23KV</v>
          </cell>
        </row>
        <row r="3373">
          <cell r="B3373">
            <v>5832234</v>
          </cell>
          <cell r="C3373" t="str">
            <v>TMC</v>
          </cell>
          <cell r="D3373" t="str">
            <v>TRANSFORMADOR TRIFASICO DE DISTRIBUCION SECO TP.CONVENCIONAL S.ENVOLVENTE 100KVA 22,9/0,23KV</v>
          </cell>
        </row>
        <row r="3374">
          <cell r="B3374">
            <v>5832235</v>
          </cell>
          <cell r="C3374" t="str">
            <v>TMC</v>
          </cell>
          <cell r="D3374" t="str">
            <v>TRANSFORMADOR TRIFASICO DE DISTRIBUCION SECO TP.CONVENCIONAL S.ENVOLVENTE 160KVA 22,9/0,23KV</v>
          </cell>
        </row>
        <row r="3375">
          <cell r="B3375">
            <v>5832236</v>
          </cell>
          <cell r="C3375" t="str">
            <v>TMC</v>
          </cell>
          <cell r="D3375" t="str">
            <v>TRANSFORMADOR TRIFASICO DE DISTRIBUCION SECO TP.CONVENCIONAL S.ENVOLVENTE 250KVA 22,9/0,23KV</v>
          </cell>
        </row>
        <row r="3376">
          <cell r="B3376">
            <v>5832237</v>
          </cell>
          <cell r="C3376" t="str">
            <v>TMC</v>
          </cell>
          <cell r="D3376" t="str">
            <v>TRANSFORMADOR TRIFASICO DE DISTRIBUCION SECO TP.CONVENCIONAL S.ENVOLVENTE 315KVA 22,9/0,23KV</v>
          </cell>
        </row>
        <row r="3377">
          <cell r="B3377">
            <v>5832238</v>
          </cell>
          <cell r="C3377" t="str">
            <v>TMC</v>
          </cell>
          <cell r="D3377" t="str">
            <v>TRANSFORMADOR TRIFASICO DE DISTRIBUCION SECO TP.CONVENCIONAL S.ENVOLVENTE 400KVA 22,9/0,23KV</v>
          </cell>
        </row>
        <row r="3378">
          <cell r="B3378">
            <v>5832239</v>
          </cell>
          <cell r="C3378" t="str">
            <v>TMC</v>
          </cell>
          <cell r="D3378" t="str">
            <v>TRANSFORMADOR TRIFASICO DE DISTRIBUCION SECO TP.CONVENCIONAL S.ENVOLVENTE 500KVA 22,9/0,23KV</v>
          </cell>
        </row>
        <row r="3379">
          <cell r="B3379">
            <v>5832240</v>
          </cell>
          <cell r="C3379" t="str">
            <v>TMC</v>
          </cell>
          <cell r="D3379" t="str">
            <v>TRANSFORMADOR TRIFASICO DE DISTRIBUCION SECO TP.CONVENCIONAL S.ENVOLVENTE 630KVA 22,9/0,23KV</v>
          </cell>
        </row>
        <row r="3380">
          <cell r="B3380">
            <v>5832249</v>
          </cell>
          <cell r="C3380" t="str">
            <v>TMC</v>
          </cell>
          <cell r="D3380" t="str">
            <v>TRANSFORMADOR TRIFASICO DE DISTRIBUCION SECO TP.CONVENCIONAL C.ENVOLVENTE 50KVA 22,9/0,23KV</v>
          </cell>
        </row>
        <row r="3381">
          <cell r="B3381">
            <v>5832250</v>
          </cell>
          <cell r="C3381" t="str">
            <v>TMC</v>
          </cell>
          <cell r="D3381" t="str">
            <v>TRANSFORMADOR TRIFASICO DE DISTRIBUCION SECO TP.CONVENCIONAL 50KVA 22,9 / 0,23KV YND5 AN 60HZ</v>
          </cell>
        </row>
        <row r="3382">
          <cell r="B3382">
            <v>5832251</v>
          </cell>
          <cell r="C3382" t="str">
            <v>TMC</v>
          </cell>
          <cell r="D3382" t="str">
            <v>TRANSFORMADOR TRIFASICO DE DISTRIBUCION SECO TP.CONVENCIONAL C.ENVOLVENTE 75KVA 22,9/0,23KV</v>
          </cell>
        </row>
        <row r="3383">
          <cell r="B3383">
            <v>5832252</v>
          </cell>
          <cell r="C3383" t="str">
            <v>TMC</v>
          </cell>
          <cell r="D3383" t="str">
            <v>TRANSFORMADOR TRIFASICO DE DISTRIBUCION SECO TP.CONVENCIONAL 75KVA 22,9 / 0,23KV YND5 AN 60HZ</v>
          </cell>
        </row>
        <row r="3384">
          <cell r="B3384">
            <v>5832253</v>
          </cell>
          <cell r="C3384" t="str">
            <v>TMC</v>
          </cell>
          <cell r="D3384" t="str">
            <v>TRANSFORMADOR TRIFASICO DE DISTRIBUCION SECO TP.CONVENCIONAL C.ENVOLVENTE 100KVA 22,9/0,23KV</v>
          </cell>
        </row>
        <row r="3385">
          <cell r="B3385">
            <v>5832254</v>
          </cell>
          <cell r="C3385" t="str">
            <v>TMC</v>
          </cell>
          <cell r="D3385" t="str">
            <v>TRANSFORMADOR TRIFASICO DE DISTRIBUCION SECO TP.CONVENCIONAL 100KVA 22,9 / 0,23KV YND5 AN 60HZ</v>
          </cell>
        </row>
        <row r="3386">
          <cell r="B3386">
            <v>5832255</v>
          </cell>
          <cell r="C3386" t="str">
            <v>TMC</v>
          </cell>
          <cell r="D3386" t="str">
            <v>TRANSFORMADOR TRIFASICO DE DISTRIBUCION SECO TP.CONVENCIONAL C.ENVOLVENTE 160KVA 22,9/0,23KV</v>
          </cell>
        </row>
        <row r="3387">
          <cell r="B3387">
            <v>5832256</v>
          </cell>
          <cell r="C3387" t="str">
            <v>TMC</v>
          </cell>
          <cell r="D3387" t="str">
            <v>TRANSFORMADOR TRIFASICO DE DISTRIBUCION SECO TP.CONVENCIONAL 160KVA 22,9 / 0,23KV YND5 AN 60HZ</v>
          </cell>
        </row>
        <row r="3388">
          <cell r="B3388">
            <v>5832257</v>
          </cell>
          <cell r="C3388" t="str">
            <v>TMC</v>
          </cell>
          <cell r="D3388" t="str">
            <v>TRANSFORMADOR TRIFASICO DE DISTRIBUCION SECO TP.CONVENCIONAL C.ENVOLVENTE 250KVA 22,9/0,23KV</v>
          </cell>
        </row>
        <row r="3389">
          <cell r="B3389">
            <v>5832258</v>
          </cell>
          <cell r="C3389" t="str">
            <v>TMC</v>
          </cell>
          <cell r="D3389" t="str">
            <v>TRANSFORMADOR TRIFASICO DE DISTRIBUCION SECO TP.CONVENCIONAL 250KVA 22,9 / 0,23KV YND5 AN 60HZ</v>
          </cell>
        </row>
        <row r="3390">
          <cell r="B3390">
            <v>5832259</v>
          </cell>
          <cell r="C3390" t="str">
            <v>TMC</v>
          </cell>
          <cell r="D3390" t="str">
            <v>TRANSFORMADOR TRIFASICO DE DISTRIBUCION SECO TP.CONVENCIONAL C.ENVOLVENTE 315KVA 22,9/0,23KV</v>
          </cell>
        </row>
        <row r="3391">
          <cell r="B3391">
            <v>5832260</v>
          </cell>
          <cell r="C3391" t="str">
            <v>TMC</v>
          </cell>
          <cell r="D3391" t="str">
            <v>TRANSFORMADOR TRIFASICO DE DISTRIBUCION SECO TP.CONVENCIONAL 315KVA 22,9 / 0,23KV YND5 AN 60HZ</v>
          </cell>
        </row>
        <row r="3392">
          <cell r="B3392">
            <v>5832261</v>
          </cell>
          <cell r="C3392" t="str">
            <v>TMC</v>
          </cell>
          <cell r="D3392" t="str">
            <v>TRANSFORMADOR TRIFASICO DE DISTRIBUCION SECO TP.CONVENCIONAL C.ENVOLVENTE 400KVA 22,9/0,23KV</v>
          </cell>
        </row>
        <row r="3393">
          <cell r="B3393">
            <v>5832262</v>
          </cell>
          <cell r="C3393" t="str">
            <v>TMC</v>
          </cell>
          <cell r="D3393" t="str">
            <v>TRANSFORMADOR TRIFASICO DE DISTRIBUCION SECO TP.CONVENCIONAL 400KVA 22,9 / 0,23KV YND5 AN 60HZ</v>
          </cell>
        </row>
        <row r="3394">
          <cell r="B3394">
            <v>5832263</v>
          </cell>
          <cell r="C3394" t="str">
            <v>TMC</v>
          </cell>
          <cell r="D3394" t="str">
            <v>TRANSFORMADOR TRIFASICO DE DISTRIBUCION SECO TP.CONVENCIONAL C.ENVOLVENTE 500KVA 22,9/0,23KV</v>
          </cell>
        </row>
        <row r="3395">
          <cell r="B3395">
            <v>5832264</v>
          </cell>
          <cell r="C3395" t="str">
            <v>TMC</v>
          </cell>
          <cell r="D3395" t="str">
            <v>TRANSFORMADOR TRIFASICO DE DISTRIBUCION SECO TP.CONVENCIONAL 500KVA 22,9 / 0,23KV YND5 AN 60HZ</v>
          </cell>
        </row>
        <row r="3396">
          <cell r="B3396">
            <v>5832265</v>
          </cell>
          <cell r="C3396" t="str">
            <v>TMC</v>
          </cell>
          <cell r="D3396" t="str">
            <v>TRANSFORMADOR TRIFASICO DE DISTRIBUCION SECO TP.CONVENCIONAL C.ENVOLVENTE 630KVA 22,9/0,23KV</v>
          </cell>
        </row>
        <row r="3397">
          <cell r="B3397">
            <v>5832265</v>
          </cell>
          <cell r="C3397" t="str">
            <v>TMC</v>
          </cell>
          <cell r="D3397" t="str">
            <v>TRANSFORMADOR TRIFASICO DE DISTRIBUCION SECO TP.CONVENCIONAL C.ENVOLVENTE 630KVA 22,9/0,23KV</v>
          </cell>
        </row>
        <row r="3398">
          <cell r="B3398">
            <v>5832266</v>
          </cell>
          <cell r="C3398" t="str">
            <v>TMC</v>
          </cell>
          <cell r="D3398" t="str">
            <v>TRANSFORMADOR TRIFASICO DE DISTRIBUCION SECO TP.CONVENCIONAL 630KVA 22,9 / 0,23KV YND5 AN 60HZ</v>
          </cell>
        </row>
        <row r="3399">
          <cell r="B3399">
            <v>5832314</v>
          </cell>
          <cell r="C3399" t="str">
            <v>ABB</v>
          </cell>
          <cell r="D3399" t="str">
            <v>TRANSFORMADOR TRIF. 10-22,9  2X2,5% / 0,23KV 100KVA</v>
          </cell>
        </row>
        <row r="3400">
          <cell r="B3400">
            <v>5832314</v>
          </cell>
          <cell r="C3400" t="str">
            <v>CEA</v>
          </cell>
          <cell r="D3400" t="str">
            <v>TRANSFORMADOR TRIF. 10-22,9  2X2,5% / 0,23KV 100KVA</v>
          </cell>
        </row>
        <row r="3401">
          <cell r="B3401">
            <v>5832314</v>
          </cell>
          <cell r="C3401" t="str">
            <v>DEL</v>
          </cell>
          <cell r="D3401" t="str">
            <v>TRANSFORMADOR TRIF. 10-22,9  2X2,5% / 0,23KV 100KVA</v>
          </cell>
        </row>
        <row r="3402">
          <cell r="B3402">
            <v>5832315</v>
          </cell>
          <cell r="C3402" t="str">
            <v>EPL</v>
          </cell>
          <cell r="D3402" t="str">
            <v>TRANSFORMADOR DE POTENCIA TRIFASICO TP.CONVENCIONAL 100KVA 22,9-10 / 0,23KV</v>
          </cell>
        </row>
        <row r="3403">
          <cell r="B3403">
            <v>5832317</v>
          </cell>
          <cell r="C3403" t="str">
            <v>ABB</v>
          </cell>
          <cell r="D3403" t="str">
            <v>TRANSFORMADOR POT.TRIF.CONV.10-22,9/0,23KV 160KVA</v>
          </cell>
        </row>
        <row r="3404">
          <cell r="B3404">
            <v>5832317</v>
          </cell>
          <cell r="C3404" t="str">
            <v>CEA</v>
          </cell>
          <cell r="D3404" t="str">
            <v>TRANSFORMADOR POT.TRIF.CONV.10-22,9/0,23KV 160KVA</v>
          </cell>
        </row>
        <row r="3405">
          <cell r="B3405">
            <v>5832317</v>
          </cell>
          <cell r="C3405" t="str">
            <v>DEL</v>
          </cell>
          <cell r="D3405" t="str">
            <v>TRANSFORMADOR POT.TRIF.CONV.10-22,9/0,23KV 160KVA</v>
          </cell>
        </row>
        <row r="3406">
          <cell r="B3406">
            <v>5832318</v>
          </cell>
          <cell r="C3406" t="str">
            <v>ABB</v>
          </cell>
          <cell r="D3406" t="str">
            <v>TRANSFORMADOR POT.TRIF.CONV.10-22,9/0,23KV.250KVA.</v>
          </cell>
        </row>
        <row r="3407">
          <cell r="B3407">
            <v>5832318</v>
          </cell>
          <cell r="C3407" t="str">
            <v>CEA</v>
          </cell>
          <cell r="D3407" t="str">
            <v>TRANSFORMADOR POT.TRIF.CONV.10-22,9/0,23KV.250KVA.</v>
          </cell>
        </row>
        <row r="3408">
          <cell r="B3408">
            <v>5832318</v>
          </cell>
          <cell r="C3408" t="str">
            <v>DEL</v>
          </cell>
          <cell r="D3408" t="str">
            <v>TRANSFORMADOR POT.TRIF.CONV.10-22,9/0,23KV.250KVA.</v>
          </cell>
        </row>
        <row r="3409">
          <cell r="B3409">
            <v>5832318</v>
          </cell>
          <cell r="C3409" t="str">
            <v>SPE</v>
          </cell>
          <cell r="D3409" t="str">
            <v>TRANSFORMADOR POT.TRIF.CONV.10-22,9/0,23KV.250KVA.</v>
          </cell>
        </row>
        <row r="3410">
          <cell r="B3410">
            <v>5832319</v>
          </cell>
          <cell r="C3410" t="str">
            <v>ABB</v>
          </cell>
          <cell r="D3410" t="str">
            <v>TRANSFORMADOR POT.TRIF.CONV.10-22,9/0,23KV.315KVA.</v>
          </cell>
        </row>
        <row r="3411">
          <cell r="B3411">
            <v>5832319</v>
          </cell>
          <cell r="C3411" t="str">
            <v>CEA</v>
          </cell>
          <cell r="D3411" t="str">
            <v>TRANSFORMADOR POT.TRIF.CONV.10-22,9/0,23KV.315KVA.</v>
          </cell>
        </row>
        <row r="3412">
          <cell r="B3412">
            <v>5832319</v>
          </cell>
          <cell r="C3412" t="str">
            <v>DEL</v>
          </cell>
          <cell r="D3412" t="str">
            <v>TRANSFORMADOR POT.TRIF.CONV.10-22,9/0,23KV.315KVA.</v>
          </cell>
        </row>
        <row r="3413">
          <cell r="B3413">
            <v>5832320</v>
          </cell>
          <cell r="C3413" t="str">
            <v>ABB</v>
          </cell>
          <cell r="D3413" t="str">
            <v>TRANSFORMADOR POT.TRIF.CONV.10-22,9/0,23KV.630KVA.</v>
          </cell>
        </row>
        <row r="3414">
          <cell r="B3414">
            <v>5832320</v>
          </cell>
          <cell r="C3414" t="str">
            <v>DEL</v>
          </cell>
          <cell r="D3414" t="str">
            <v>TRANSFORMADOR POT.TRIF.CONV.10-22,9/0,23KV.630KVA.</v>
          </cell>
        </row>
        <row r="3415">
          <cell r="B3415">
            <v>5832321</v>
          </cell>
          <cell r="C3415" t="str">
            <v>ABB</v>
          </cell>
          <cell r="D3415" t="str">
            <v>TRANSFORMADOR POT.TRIF.CONV.10-22,9/0,23KV.500KVA.</v>
          </cell>
        </row>
        <row r="3416">
          <cell r="B3416">
            <v>5832321</v>
          </cell>
          <cell r="C3416" t="str">
            <v>CEA</v>
          </cell>
          <cell r="D3416" t="str">
            <v>TRANSFORMADOR POT.TRIF.CONV.10-22,9/0,23KV.500KVA.</v>
          </cell>
        </row>
        <row r="3417">
          <cell r="B3417">
            <v>5832321</v>
          </cell>
          <cell r="C3417" t="str">
            <v>DEL</v>
          </cell>
          <cell r="D3417" t="str">
            <v>TRANSFORMADOR POT.TRIF.CONV.10-22,9/0,23KV.500KVA.</v>
          </cell>
        </row>
        <row r="3418">
          <cell r="B3418">
            <v>5832322</v>
          </cell>
          <cell r="C3418" t="str">
            <v>ABB</v>
          </cell>
          <cell r="D3418" t="str">
            <v>TRANSFORMADOR POT.TRIF.CONV.10-22,9/0,23KV.800KVA.</v>
          </cell>
        </row>
        <row r="3419">
          <cell r="B3419">
            <v>5832322</v>
          </cell>
          <cell r="C3419" t="str">
            <v>CEA</v>
          </cell>
          <cell r="D3419" t="str">
            <v>TRANSFORMADOR POT.TRIF.CONV.10-22,9/0,23KV.800KVA.</v>
          </cell>
        </row>
        <row r="3420">
          <cell r="B3420">
            <v>5832322</v>
          </cell>
          <cell r="C3420" t="str">
            <v>DEL</v>
          </cell>
          <cell r="D3420" t="str">
            <v>TRANSFORMADOR POT.TRIF.CONV.10-22,9/0,23KV.800KVA.</v>
          </cell>
        </row>
        <row r="3421">
          <cell r="B3421">
            <v>5832323</v>
          </cell>
          <cell r="C3421" t="str">
            <v>ABB</v>
          </cell>
          <cell r="D3421" t="str">
            <v>TRANSFORMADOR POT.TRIF.CONV.10-22,9/0,46KV.250KVA.</v>
          </cell>
        </row>
        <row r="3422">
          <cell r="B3422">
            <v>5832323</v>
          </cell>
          <cell r="C3422" t="str">
            <v>CEA</v>
          </cell>
          <cell r="D3422" t="str">
            <v>TRANSFORMADOR POT.TRIF.CONV.10-22,9/0,46KV.250KVA.</v>
          </cell>
        </row>
        <row r="3423">
          <cell r="B3423">
            <v>5832323</v>
          </cell>
          <cell r="C3423" t="str">
            <v>DEL</v>
          </cell>
          <cell r="D3423" t="str">
            <v>TRANSFORMADOR POT.TRIF.CONV.10-22,9/0,46KV.250KVA.</v>
          </cell>
        </row>
        <row r="3424">
          <cell r="B3424">
            <v>5832327</v>
          </cell>
          <cell r="C3424" t="str">
            <v>ABB</v>
          </cell>
          <cell r="D3424" t="str">
            <v>TRANSFORMADOR TRIFASICO TP.CONVENCIONAL 160KVA 22,9-10 / 0,46KV</v>
          </cell>
        </row>
        <row r="3425">
          <cell r="B3425">
            <v>5832327</v>
          </cell>
          <cell r="C3425" t="str">
            <v>CEA</v>
          </cell>
          <cell r="D3425" t="str">
            <v>TRANSFORMADOR TRIFASICO TP.CONVENCIONAL 160KVA 22,9-10 / 0,46KV</v>
          </cell>
        </row>
        <row r="3426">
          <cell r="B3426">
            <v>5832327</v>
          </cell>
          <cell r="C3426" t="str">
            <v>DEL</v>
          </cell>
          <cell r="D3426" t="str">
            <v>TRANSFORMADOR TRIFASICO TP.CONVENCIONAL 160KVA 22,9-10 / 0,46KV</v>
          </cell>
        </row>
        <row r="3427">
          <cell r="B3427">
            <v>5832327</v>
          </cell>
          <cell r="C3427" t="str">
            <v>SPE</v>
          </cell>
          <cell r="D3427" t="str">
            <v>TRANSFORMADOR TRIFASICO TP.CONVENCIONAL 160KVA 22,9-10 / 0,46KV</v>
          </cell>
        </row>
        <row r="3428">
          <cell r="B3428">
            <v>5832355</v>
          </cell>
          <cell r="C3428" t="str">
            <v>ABB</v>
          </cell>
          <cell r="D3428" t="str">
            <v>TRANSFORMADOR POT.TRIFASICO CONV.10-22,9 / 0,40-0,23KV.250KVA</v>
          </cell>
        </row>
        <row r="3429">
          <cell r="B3429">
            <v>5832355</v>
          </cell>
          <cell r="C3429" t="str">
            <v>CEA</v>
          </cell>
          <cell r="D3429" t="str">
            <v>TRANSFORMADOR POT.TRIFASICO CONV.10-22,9 / 0,40-0,23KV.250KVA</v>
          </cell>
        </row>
        <row r="3430">
          <cell r="B3430">
            <v>5832355</v>
          </cell>
          <cell r="C3430" t="str">
            <v>DEL</v>
          </cell>
          <cell r="D3430" t="str">
            <v>TRANSFORMADOR POT.TRIFASICO CONV.10-22,9 / 0,40-0,23KV.250KVA</v>
          </cell>
        </row>
        <row r="3431">
          <cell r="B3431">
            <v>5832382</v>
          </cell>
          <cell r="C3431" t="str">
            <v>TMC</v>
          </cell>
          <cell r="D3431" t="str">
            <v>TRANSFORMADOR TRIFASICO DE DISTRIBUCION TP.SECO C.BOBINADO DE ALUMINIO 3MVA 22,9-10 / 0,40KV</v>
          </cell>
        </row>
        <row r="3432">
          <cell r="B3432">
            <v>5832385</v>
          </cell>
          <cell r="C3432" t="str">
            <v>TMC</v>
          </cell>
          <cell r="D3432" t="str">
            <v>TRANSFORMADOR TRIFASICO DE DISTRIBUCION TP.SECO C.BOBINADO DE ALUMINIO 630KVA 22,9 / 0,23KV</v>
          </cell>
        </row>
        <row r="3433">
          <cell r="B3433">
            <v>5832930</v>
          </cell>
          <cell r="C3433" t="str">
            <v>TMC</v>
          </cell>
          <cell r="D3433" t="str">
            <v>TRANSFORMADOR TRIFASICO DE DISTRIBUCION SECO CONVENCIONAL 50KVA 22,9-10/0,23KV</v>
          </cell>
        </row>
        <row r="3434">
          <cell r="B3434">
            <v>5832932</v>
          </cell>
          <cell r="C3434" t="str">
            <v>TMC</v>
          </cell>
          <cell r="D3434" t="str">
            <v>TRANSFORMADOR TRIFASICO DE DISTRIBUCION SECO CONVENCIONAL 75KVA 22,9-10/0,23KV</v>
          </cell>
        </row>
        <row r="3435">
          <cell r="B3435">
            <v>5832934</v>
          </cell>
          <cell r="C3435" t="str">
            <v>TMC</v>
          </cell>
          <cell r="D3435" t="str">
            <v>TRANSFORMADOR TRIFASICO DE DISTRIBUCION SECO CONVENCIONAL 100KVA 22,9-10/0,23KV</v>
          </cell>
        </row>
        <row r="3436">
          <cell r="B3436">
            <v>5832936</v>
          </cell>
          <cell r="C3436" t="str">
            <v>TMC</v>
          </cell>
          <cell r="D3436" t="str">
            <v>TRANSFORMADOR TRIFASICO DE DISTRIBUCION SECO CONVENCIONAL 160KVA 22,9-10/0,23KV</v>
          </cell>
        </row>
        <row r="3437">
          <cell r="B3437">
            <v>5832938</v>
          </cell>
          <cell r="C3437" t="str">
            <v>TMC</v>
          </cell>
          <cell r="D3437" t="str">
            <v>TRANSFORMADOR TRIFASICO DE DISTRIBUCION SECO CONVENCIONAL 250KVA 22,9-10/0,23KV</v>
          </cell>
        </row>
        <row r="3438">
          <cell r="B3438">
            <v>5832940</v>
          </cell>
          <cell r="C3438" t="str">
            <v>TMC</v>
          </cell>
          <cell r="D3438" t="str">
            <v>TRANSFORMADOR TRIFASICO DE DISTRIBUCION SECO CONVENCIONAL 315KVA 22,9-10/0,23KV</v>
          </cell>
        </row>
        <row r="3439">
          <cell r="B3439">
            <v>5832942</v>
          </cell>
          <cell r="C3439" t="str">
            <v>TMC</v>
          </cell>
          <cell r="D3439" t="str">
            <v>TRANSFORMADOR TRIFASICO DE DISTRIBUCION SECO CONVENCIONAL 400KVA 22,9-10/0,23KV</v>
          </cell>
        </row>
        <row r="3440">
          <cell r="B3440">
            <v>5832944</v>
          </cell>
          <cell r="C3440" t="str">
            <v>TMC</v>
          </cell>
          <cell r="D3440" t="str">
            <v>TRANSFORMADOR TRIFASICO DE DISTRIBUCION SECO CONVENCIONAL 500KVA 22,9-10/0,23KV</v>
          </cell>
        </row>
        <row r="3441">
          <cell r="B3441">
            <v>5832946</v>
          </cell>
          <cell r="C3441" t="str">
            <v>TMC</v>
          </cell>
          <cell r="D3441" t="str">
            <v>TRANSFORMADOR TRIFASICO DE DISTRIBUCION SECO CONVENCIONAL 630KVA 22,9-10/0,23KV</v>
          </cell>
        </row>
        <row r="3442">
          <cell r="B3442">
            <v>5832947</v>
          </cell>
          <cell r="C3442" t="str">
            <v>TMC</v>
          </cell>
          <cell r="D3442" t="str">
            <v>TRANSFORMADOR TRIFASICO DE DISTRIBUCION SECO CONVENCIONAL 1MVA 22,9-10/0,23KV</v>
          </cell>
        </row>
        <row r="3443">
          <cell r="B3443">
            <v>5911060</v>
          </cell>
          <cell r="C3443" t="str">
            <v>CEA</v>
          </cell>
          <cell r="D3443" t="str">
            <v>TRANSFORMADOR MEDIDA COMBINADO 10 / 0,10KV, 50VA, 10/5A, 30VA, EXTERIOR</v>
          </cell>
        </row>
        <row r="3444">
          <cell r="B3444">
            <v>5911060</v>
          </cell>
          <cell r="C3444" t="str">
            <v>ELK</v>
          </cell>
          <cell r="D3444" t="str">
            <v>TRANSFORMADOR MEDIDA COMBINADO 10 / 0,10KV, 50VA, 10/5A, 30VA, EXTERIOR</v>
          </cell>
        </row>
        <row r="3445">
          <cell r="B3445">
            <v>5911060</v>
          </cell>
          <cell r="C3445" t="str">
            <v>ITE</v>
          </cell>
          <cell r="D3445" t="str">
            <v>TRANSFORMADOR MEDIDA COMBINADO 10 / 0,10KV, 50VA, 10/5A, 30VA, EXTERIOR</v>
          </cell>
        </row>
        <row r="3446">
          <cell r="B3446">
            <v>5911065</v>
          </cell>
          <cell r="C3446" t="str">
            <v>ITE</v>
          </cell>
          <cell r="D3446" t="str">
            <v>TRANSFORMADOR DE MEDIDA COMBINADO 10/0,10KV 50/5A CL.0,2S 15,5/34/95KV P.USO EN BOVEDA</v>
          </cell>
        </row>
        <row r="3447">
          <cell r="B3447">
            <v>5911102</v>
          </cell>
          <cell r="C3447" t="str">
            <v>CEA</v>
          </cell>
          <cell r="D3447" t="str">
            <v>TRANSFORMADOR MEDIDA COMBINADO 10 / 0,10KV, 50VA, 20/5A, 30VA, EXTERIOR</v>
          </cell>
        </row>
        <row r="3448">
          <cell r="B3448">
            <v>5911102</v>
          </cell>
          <cell r="C3448" t="str">
            <v>ELK</v>
          </cell>
          <cell r="D3448" t="str">
            <v>TRANSFORMADOR MEDIDA COMBINADO 10 / 0,10KV, 50VA, 20/5A, 30VA, EXTERIOR</v>
          </cell>
        </row>
        <row r="3449">
          <cell r="B3449">
            <v>5911102</v>
          </cell>
          <cell r="C3449" t="str">
            <v>ITE</v>
          </cell>
          <cell r="D3449" t="str">
            <v>TRANSFORMADOR MEDIDA COMBINADO 10 / 0,10KV, 50VA, 20/5A, 30VA, EXTERIOR</v>
          </cell>
        </row>
        <row r="3450">
          <cell r="B3450">
            <v>5911103</v>
          </cell>
          <cell r="C3450" t="str">
            <v>CEA</v>
          </cell>
          <cell r="D3450" t="str">
            <v>TRANSFORMADOR MEDIDA COMBINADO 10 / 0,10KV, 50VA, 30/5A, 30VA, EXTERIOR</v>
          </cell>
        </row>
        <row r="3451">
          <cell r="B3451">
            <v>5911103</v>
          </cell>
          <cell r="C3451" t="str">
            <v>ELK</v>
          </cell>
          <cell r="D3451" t="str">
            <v>TRANSFORMADOR MEDIDA COMBINADO 10 / 0,10KV, 50VA, 30/5A, 30VA, EXTERIOR</v>
          </cell>
        </row>
        <row r="3452">
          <cell r="B3452">
            <v>5911103</v>
          </cell>
          <cell r="C3452" t="str">
            <v>ITE</v>
          </cell>
          <cell r="D3452" t="str">
            <v>TRANSFORMADOR MEDIDA COMBINADO 10 / 0,10KV, 50VA, 30/5A, 30VA, EXTERIOR</v>
          </cell>
        </row>
        <row r="3453">
          <cell r="B3453">
            <v>5911105</v>
          </cell>
          <cell r="C3453" t="str">
            <v>CEA</v>
          </cell>
          <cell r="D3453" t="str">
            <v>TRANSFORMADOR MEDIDA COMBINADO 10 / 0,10KV, 50VA, 50/5A, 30VA, EXTERIOR</v>
          </cell>
        </row>
        <row r="3454">
          <cell r="B3454">
            <v>5911105</v>
          </cell>
          <cell r="C3454" t="str">
            <v>ELK</v>
          </cell>
          <cell r="D3454" t="str">
            <v>TRANSFORMADOR MEDIDA COMBINADO 10 / 0,10KV, 50VA, 50/5A, 30VA, EXTERIOR</v>
          </cell>
        </row>
        <row r="3455">
          <cell r="B3455">
            <v>5911105</v>
          </cell>
          <cell r="C3455" t="str">
            <v>ITE</v>
          </cell>
          <cell r="D3455" t="str">
            <v>TRANSFORMADOR MEDIDA COMBINADO 10 / 0,10KV, 50VA, 50/5A, 30VA, EXTERIOR</v>
          </cell>
        </row>
        <row r="3456">
          <cell r="B3456">
            <v>5911107</v>
          </cell>
          <cell r="C3456" t="str">
            <v>CEA</v>
          </cell>
          <cell r="D3456" t="str">
            <v>TRANSFORMADOR MEDIDA COMBINADO 10 / 0,10KV, 50VA, 75/5A, 30VA, EXTERIOR</v>
          </cell>
        </row>
        <row r="3457">
          <cell r="B3457">
            <v>5911107</v>
          </cell>
          <cell r="C3457" t="str">
            <v>ELK</v>
          </cell>
          <cell r="D3457" t="str">
            <v>TRANSFORMADOR MEDIDA COMBINADO 10 / 0,10KV, 50VA, 75/5A, 30VA, EXTERIOR</v>
          </cell>
        </row>
        <row r="3458">
          <cell r="B3458">
            <v>5911107</v>
          </cell>
          <cell r="C3458" t="str">
            <v>ITE</v>
          </cell>
          <cell r="D3458" t="str">
            <v>TRANSFORMADOR MEDIDA COMBINADO 10 / 0,10KV, 50VA, 75/5A, 30VA, EXTERIOR</v>
          </cell>
        </row>
        <row r="3459">
          <cell r="B3459">
            <v>5911108</v>
          </cell>
          <cell r="C3459" t="str">
            <v>CEA</v>
          </cell>
          <cell r="D3459" t="str">
            <v>TRANSFORMADOR MEDIDA COMBINADO 22.9KV. 5A. EXT.</v>
          </cell>
        </row>
        <row r="3460">
          <cell r="B3460">
            <v>5911108</v>
          </cell>
          <cell r="C3460" t="str">
            <v>ITE</v>
          </cell>
          <cell r="D3460" t="str">
            <v>TRANSFORMADOR MEDIDA COMBINADO 22.9KV. 5A. EXT.</v>
          </cell>
        </row>
        <row r="3461">
          <cell r="B3461">
            <v>5911110</v>
          </cell>
          <cell r="C3461" t="str">
            <v>CEA</v>
          </cell>
          <cell r="D3461" t="str">
            <v>TRANSFORMADOR MEDIDA COMBINADO 22.9KV. 10A. EXT.</v>
          </cell>
        </row>
        <row r="3462">
          <cell r="B3462">
            <v>5911110</v>
          </cell>
          <cell r="C3462" t="str">
            <v>ELK</v>
          </cell>
          <cell r="D3462" t="str">
            <v>TRANSFORMADOR MEDIDA COMBINADO 22.9KV. 10A. EXT.</v>
          </cell>
        </row>
        <row r="3463">
          <cell r="B3463">
            <v>5911110</v>
          </cell>
          <cell r="C3463" t="str">
            <v>ITE</v>
          </cell>
          <cell r="D3463" t="str">
            <v>TRANSFORMADOR MEDIDA COMBINADO 22.9KV. 10A. EXT.</v>
          </cell>
        </row>
        <row r="3464">
          <cell r="B3464">
            <v>5911112</v>
          </cell>
          <cell r="C3464" t="str">
            <v>CEA</v>
          </cell>
          <cell r="D3464" t="str">
            <v>TRANSFORMADOR MEDIDA COMBINADO 22.9KV. 20A. EXT.</v>
          </cell>
        </row>
        <row r="3465">
          <cell r="B3465">
            <v>5911112</v>
          </cell>
          <cell r="C3465" t="str">
            <v>ELK</v>
          </cell>
          <cell r="D3465" t="str">
            <v>TRANSFORMADOR MEDIDA COMBINADO 22.9KV. 20A. EXT.</v>
          </cell>
        </row>
        <row r="3466">
          <cell r="B3466">
            <v>5911112</v>
          </cell>
          <cell r="C3466" t="str">
            <v>ITE</v>
          </cell>
          <cell r="D3466" t="str">
            <v>TRANSFORMADOR MEDIDA COMBINADO 22.9KV. 20A. EXT.</v>
          </cell>
        </row>
        <row r="3467">
          <cell r="B3467">
            <v>5911114</v>
          </cell>
          <cell r="C3467" t="str">
            <v>CEA</v>
          </cell>
          <cell r="D3467" t="str">
            <v>TRANSFORMADOR MEDIDA COMBINADO 22.9KV. 30A. EXT.</v>
          </cell>
        </row>
        <row r="3468">
          <cell r="B3468">
            <v>5911114</v>
          </cell>
          <cell r="C3468" t="str">
            <v>ELK</v>
          </cell>
          <cell r="D3468" t="str">
            <v>TRANSFORMADOR MEDIDA COMBINADO 22.9KV. 30A. EXT.</v>
          </cell>
        </row>
        <row r="3469">
          <cell r="B3469">
            <v>5911114</v>
          </cell>
          <cell r="C3469" t="str">
            <v>ITE</v>
          </cell>
          <cell r="D3469" t="str">
            <v>TRANSFORMADOR MEDIDA COMBINADO 22.9KV. 30A. EXT.</v>
          </cell>
        </row>
        <row r="3470">
          <cell r="B3470">
            <v>5911116</v>
          </cell>
          <cell r="C3470" t="str">
            <v>CEA</v>
          </cell>
          <cell r="D3470" t="str">
            <v>TRANSFORMADOR MEDIDA COMBINADO 22.9KV. 50A. EXT.</v>
          </cell>
        </row>
        <row r="3471">
          <cell r="B3471">
            <v>5911116</v>
          </cell>
          <cell r="C3471" t="str">
            <v>ITE</v>
          </cell>
          <cell r="D3471" t="str">
            <v>TRANSFORMADOR MEDIDA COMBINADO 22.9KV. 50A. EXT.</v>
          </cell>
        </row>
        <row r="3472">
          <cell r="B3472">
            <v>5911117</v>
          </cell>
          <cell r="C3472" t="str">
            <v>CEA</v>
          </cell>
          <cell r="D3472" t="str">
            <v>TRANSFORMADOR MEDIDA COMBINADO 22.9KV. 75A. EXT.</v>
          </cell>
        </row>
        <row r="3473">
          <cell r="B3473">
            <v>5911117</v>
          </cell>
          <cell r="C3473" t="str">
            <v>ITE</v>
          </cell>
          <cell r="D3473" t="str">
            <v>TRANSFORMADOR MEDIDA COMBINADO 22.9KV. 75A. EXT.</v>
          </cell>
        </row>
        <row r="3474">
          <cell r="B3474">
            <v>5911120</v>
          </cell>
          <cell r="C3474" t="str">
            <v>CEA</v>
          </cell>
          <cell r="D3474" t="str">
            <v>TRANSFORMADOR MEDID.COMBINADO 10/0.1KV.200/5A EXT.</v>
          </cell>
        </row>
        <row r="3475">
          <cell r="B3475">
            <v>5911242</v>
          </cell>
          <cell r="C3475" t="str">
            <v>ABB</v>
          </cell>
          <cell r="D3475" t="str">
            <v>TRANSFORMADOR CTE.220V. 100/5A. S/BARRA PASANTE.</v>
          </cell>
        </row>
        <row r="3476">
          <cell r="B3476">
            <v>5911242</v>
          </cell>
          <cell r="C3476" t="str">
            <v>CEA</v>
          </cell>
          <cell r="D3476" t="str">
            <v>TRANSFORMADOR CTE.220V. 100/5A. S/BARRA PASANTE.</v>
          </cell>
        </row>
        <row r="3477">
          <cell r="B3477">
            <v>5911242</v>
          </cell>
          <cell r="C3477" t="str">
            <v>CES</v>
          </cell>
          <cell r="D3477" t="str">
            <v>TRANSFORMADOR CTE.220V. 100/5A. S/BARRA PASANTE.</v>
          </cell>
        </row>
        <row r="3478">
          <cell r="B3478">
            <v>5911254</v>
          </cell>
          <cell r="C3478" t="str">
            <v>ABB</v>
          </cell>
          <cell r="D3478" t="str">
            <v>TRANSFORMADOR CTE.220V. 200/5A. S/BARRA PASANTE.</v>
          </cell>
        </row>
        <row r="3479">
          <cell r="B3479">
            <v>5911254</v>
          </cell>
          <cell r="C3479" t="str">
            <v>CEA</v>
          </cell>
          <cell r="D3479" t="str">
            <v>TRANSFORMADOR CTE.220V. 200/5A. S/BARRA PASANTE.</v>
          </cell>
        </row>
        <row r="3480">
          <cell r="B3480">
            <v>5911254</v>
          </cell>
          <cell r="C3480" t="str">
            <v>CES</v>
          </cell>
          <cell r="D3480" t="str">
            <v>TRANSFORMADOR CTE.220V. 200/5A. S/BARRA PASANTE.</v>
          </cell>
        </row>
        <row r="3481">
          <cell r="B3481">
            <v>5911254</v>
          </cell>
          <cell r="C3481" t="str">
            <v>ITE</v>
          </cell>
          <cell r="D3481" t="str">
            <v>TRANSFORMADOR CTE.220V. 200/5A. S/BARRA PASANTE.</v>
          </cell>
        </row>
        <row r="3482">
          <cell r="B3482">
            <v>5911254</v>
          </cell>
          <cell r="C3482" t="str">
            <v>RSA</v>
          </cell>
          <cell r="D3482" t="str">
            <v>TRANSFORMADOR CTE.220V. 200/5A. S/BARRA PASANTE.</v>
          </cell>
        </row>
        <row r="3483">
          <cell r="B3483">
            <v>5911260</v>
          </cell>
          <cell r="C3483" t="str">
            <v>ABB</v>
          </cell>
          <cell r="D3483" t="str">
            <v>TRANSFORMADOR CTE.220V. 300/5A. S/BARRA PASANTE.</v>
          </cell>
        </row>
        <row r="3484">
          <cell r="B3484">
            <v>5911260</v>
          </cell>
          <cell r="C3484" t="str">
            <v>CEA</v>
          </cell>
          <cell r="D3484" t="str">
            <v>TRANSFORMADOR CTE.220V. 300/5A. S/BARRA PASANTE.</v>
          </cell>
        </row>
        <row r="3485">
          <cell r="B3485">
            <v>5911260</v>
          </cell>
          <cell r="C3485" t="str">
            <v>CES</v>
          </cell>
          <cell r="D3485" t="str">
            <v>TRANSFORMADOR CTE.220V. 300/5A. S/BARRA PASANTE.</v>
          </cell>
        </row>
        <row r="3486">
          <cell r="B3486">
            <v>5911260</v>
          </cell>
          <cell r="C3486" t="str">
            <v>ITE</v>
          </cell>
          <cell r="D3486" t="str">
            <v>TRANSFORMADOR CTE.220V. 300/5A. S/BARRA PASANTE.</v>
          </cell>
        </row>
        <row r="3487">
          <cell r="B3487">
            <v>5911260</v>
          </cell>
          <cell r="C3487" t="str">
            <v>RSA</v>
          </cell>
          <cell r="D3487" t="str">
            <v>TRANSFORMADOR CTE.220V. 300/5A. S/BARRA PASANTE.</v>
          </cell>
        </row>
        <row r="3488">
          <cell r="B3488">
            <v>5911263</v>
          </cell>
          <cell r="C3488" t="str">
            <v>CES</v>
          </cell>
          <cell r="D3488" t="str">
            <v>TRANSFORMADOR CORRIENTE NUCLEO PARTIDO PARA MEDIDA 300/5A.CELSA  CLASE 1</v>
          </cell>
        </row>
        <row r="3489">
          <cell r="B3489">
            <v>5911268</v>
          </cell>
          <cell r="C3489" t="str">
            <v>CES</v>
          </cell>
          <cell r="D3489" t="str">
            <v>TRANSFORMADOR CORRIENTE NUCLEO PARTIDO PARA MEDIDA 500/5A.CELSA  CLASE 1</v>
          </cell>
        </row>
        <row r="3490">
          <cell r="B3490">
            <v>5911269</v>
          </cell>
          <cell r="C3490" t="str">
            <v>ABB</v>
          </cell>
          <cell r="D3490" t="str">
            <v>TRANSFORMADOR CORRIENTE P.MEDICION S.BARRA PASANTE 500/5A 220V 10VA CL.1</v>
          </cell>
        </row>
        <row r="3491">
          <cell r="B3491">
            <v>5911269</v>
          </cell>
          <cell r="C3491" t="str">
            <v>CEA</v>
          </cell>
          <cell r="D3491" t="str">
            <v>TRANSFORMADOR CORRIENTE P.MEDICION S.BARRA PASANTE 500/5A 220V 10VA CL.1</v>
          </cell>
        </row>
        <row r="3492">
          <cell r="B3492">
            <v>5911269</v>
          </cell>
          <cell r="C3492" t="str">
            <v>CES</v>
          </cell>
          <cell r="D3492" t="str">
            <v>TRANSFORMADOR CORRIENTE P.MEDICION S.BARRA PASANTE 500/5A 220V 10VA CL.1</v>
          </cell>
        </row>
        <row r="3493">
          <cell r="B3493">
            <v>5911269</v>
          </cell>
          <cell r="C3493" t="str">
            <v>ITE</v>
          </cell>
          <cell r="D3493" t="str">
            <v>TRANSFORMADOR CORRIENTE P.MEDICION S.BARRA PASANTE 500/5A 220V 10VA CL.1</v>
          </cell>
        </row>
        <row r="3494">
          <cell r="B3494">
            <v>5911272</v>
          </cell>
          <cell r="C3494" t="str">
            <v>ABB</v>
          </cell>
          <cell r="D3494" t="str">
            <v>TRANSFORMADOR CTE.220V. 750/5A. S/BARRA PASANTE.</v>
          </cell>
        </row>
        <row r="3495">
          <cell r="B3495">
            <v>5911272</v>
          </cell>
          <cell r="C3495" t="str">
            <v>CEA</v>
          </cell>
          <cell r="D3495" t="str">
            <v>TRANSFORMADOR CTE.220V. 750/5A. S/BARRA PASANTE.</v>
          </cell>
        </row>
        <row r="3496">
          <cell r="B3496">
            <v>5911272</v>
          </cell>
          <cell r="C3496" t="str">
            <v>CES</v>
          </cell>
          <cell r="D3496" t="str">
            <v>TRANSFORMADOR CTE.220V. 750/5A. S/BARRA PASANTE.</v>
          </cell>
        </row>
        <row r="3497">
          <cell r="B3497">
            <v>5911272</v>
          </cell>
          <cell r="C3497" t="str">
            <v>ITE</v>
          </cell>
          <cell r="D3497" t="str">
            <v>TRANSFORMADOR CTE.220V. 750/5A. S/BARRA PASANTE.</v>
          </cell>
        </row>
        <row r="3498">
          <cell r="B3498">
            <v>5911277</v>
          </cell>
          <cell r="C3498" t="str">
            <v>CES</v>
          </cell>
          <cell r="D3498" t="str">
            <v>TRANSFORMADOR CTE. NUCLEO PARTIDO 1000/5A. 10VA.CL 1. 60HZ.</v>
          </cell>
        </row>
        <row r="3499">
          <cell r="B3499">
            <v>5911278</v>
          </cell>
          <cell r="C3499" t="str">
            <v>ABB</v>
          </cell>
          <cell r="D3499" t="str">
            <v>TRANSFORMADOR CTE.220V.1000/5A. S/BARRA PASANTE.</v>
          </cell>
        </row>
        <row r="3500">
          <cell r="B3500">
            <v>5911278</v>
          </cell>
          <cell r="C3500" t="str">
            <v>CEA</v>
          </cell>
          <cell r="D3500" t="str">
            <v>TRANSFORMADOR CTE.220V.1000/5A. S/BARRA PASANTE.</v>
          </cell>
        </row>
        <row r="3501">
          <cell r="B3501">
            <v>5911278</v>
          </cell>
          <cell r="C3501" t="str">
            <v>CES</v>
          </cell>
          <cell r="D3501" t="str">
            <v>TRANSFORMADOR CTE.220V.1000/5A. S/BARRA PASANTE.</v>
          </cell>
        </row>
        <row r="3502">
          <cell r="B3502">
            <v>5911278</v>
          </cell>
          <cell r="C3502" t="str">
            <v>ITE</v>
          </cell>
          <cell r="D3502" t="str">
            <v>TRANSFORMADOR CTE.220V.1000/5A. S/BARRA PASANTE.</v>
          </cell>
        </row>
        <row r="3503">
          <cell r="B3503">
            <v>5911284</v>
          </cell>
          <cell r="C3503" t="str">
            <v>ABB</v>
          </cell>
          <cell r="D3503" t="str">
            <v>TRANSFORMADOR CTE.220V.2000/5A. S/BARRA PASANTE.</v>
          </cell>
        </row>
        <row r="3504">
          <cell r="B3504">
            <v>5911284</v>
          </cell>
          <cell r="C3504" t="str">
            <v>CEA</v>
          </cell>
          <cell r="D3504" t="str">
            <v>TRANSFORMADOR CTE.220V.2000/5A. S/BARRA PASANTE.</v>
          </cell>
        </row>
        <row r="3505">
          <cell r="B3505">
            <v>5911284</v>
          </cell>
          <cell r="C3505" t="str">
            <v>CES</v>
          </cell>
          <cell r="D3505" t="str">
            <v>TRANSFORMADOR CTE.220V.2000/5A. S/BARRA PASANTE.</v>
          </cell>
        </row>
        <row r="3506">
          <cell r="B3506">
            <v>5911284</v>
          </cell>
          <cell r="C3506" t="str">
            <v>ITE</v>
          </cell>
          <cell r="D3506" t="str">
            <v>TRANSFORMADOR CTE.220V.2000/5A. S/BARRA PASANTE.</v>
          </cell>
        </row>
        <row r="3507">
          <cell r="B3507">
            <v>5911342</v>
          </cell>
          <cell r="C3507" t="str">
            <v>ABB</v>
          </cell>
          <cell r="D3507" t="str">
            <v>TRANSFORMADOR CTE.220V. 100/5A. C/BARRA PASANTE.</v>
          </cell>
        </row>
        <row r="3508">
          <cell r="B3508">
            <v>5911342</v>
          </cell>
          <cell r="C3508" t="str">
            <v>CEA</v>
          </cell>
          <cell r="D3508" t="str">
            <v>TRANSFORMADOR CTE.220V. 100/5A. C/BARRA PASANTE.</v>
          </cell>
        </row>
        <row r="3509">
          <cell r="B3509">
            <v>5911342</v>
          </cell>
          <cell r="C3509" t="str">
            <v>CES</v>
          </cell>
          <cell r="D3509" t="str">
            <v>TRANSFORMADOR CTE.220V. 100/5A. C/BARRA PASANTE.</v>
          </cell>
        </row>
        <row r="3510">
          <cell r="B3510">
            <v>5911342</v>
          </cell>
          <cell r="C3510" t="str">
            <v>ITE</v>
          </cell>
          <cell r="D3510" t="str">
            <v>TRANSFORMADOR CTE.220V. 100/5A. C/BARRA PASANTE.</v>
          </cell>
        </row>
        <row r="3511">
          <cell r="B3511">
            <v>5911354</v>
          </cell>
          <cell r="C3511" t="str">
            <v>ABB</v>
          </cell>
          <cell r="D3511" t="str">
            <v>TRANSFORMADOR CTE.220V. 200/5A. C/BARRA PASANTE.</v>
          </cell>
        </row>
        <row r="3512">
          <cell r="B3512">
            <v>5911354</v>
          </cell>
          <cell r="C3512" t="str">
            <v>CEA</v>
          </cell>
          <cell r="D3512" t="str">
            <v>TRANSFORMADOR CTE.220V. 200/5A. C/BARRA PASANTE.</v>
          </cell>
        </row>
        <row r="3513">
          <cell r="B3513">
            <v>5911354</v>
          </cell>
          <cell r="C3513" t="str">
            <v>CES</v>
          </cell>
          <cell r="D3513" t="str">
            <v>TRANSFORMADOR CTE.220V. 200/5A. C/BARRA PASANTE.</v>
          </cell>
        </row>
        <row r="3514">
          <cell r="B3514">
            <v>5911354</v>
          </cell>
          <cell r="C3514" t="str">
            <v>ITE</v>
          </cell>
          <cell r="D3514" t="str">
            <v>TRANSFORMADOR CTE.220V. 200/5A. C/BARRA PASANTE.</v>
          </cell>
        </row>
        <row r="3515">
          <cell r="B3515">
            <v>5911360</v>
          </cell>
          <cell r="C3515" t="str">
            <v>ABB</v>
          </cell>
          <cell r="D3515" t="str">
            <v>TRANSFORMADOR CTE.220V. 300/5A. C/BARRA PASANTE.</v>
          </cell>
        </row>
        <row r="3516">
          <cell r="B3516">
            <v>5911360</v>
          </cell>
          <cell r="C3516" t="str">
            <v>CEA</v>
          </cell>
          <cell r="D3516" t="str">
            <v>TRANSFORMADOR CTE.220V. 300/5A. C/BARRA PASANTE.</v>
          </cell>
        </row>
        <row r="3517">
          <cell r="B3517">
            <v>5911360</v>
          </cell>
          <cell r="C3517" t="str">
            <v>CES</v>
          </cell>
          <cell r="D3517" t="str">
            <v>TRANSFORMADOR CTE.220V. 300/5A. C/BARRA PASANTE.</v>
          </cell>
        </row>
        <row r="3518">
          <cell r="B3518">
            <v>5911360</v>
          </cell>
          <cell r="C3518" t="str">
            <v>ITE</v>
          </cell>
          <cell r="D3518" t="str">
            <v>TRANSFORMADOR CTE.220V. 300/5A. C/BARRA PASANTE.</v>
          </cell>
        </row>
        <row r="3519">
          <cell r="B3519">
            <v>5911369</v>
          </cell>
          <cell r="C3519" t="str">
            <v>ABB</v>
          </cell>
          <cell r="D3519" t="str">
            <v>TRANSFORMADOR CTE.220V. 500/5A. C/BARRA PASANTE.</v>
          </cell>
        </row>
        <row r="3520">
          <cell r="B3520">
            <v>5911369</v>
          </cell>
          <cell r="C3520" t="str">
            <v>CEA</v>
          </cell>
          <cell r="D3520" t="str">
            <v>TRANSFORMADOR CTE.220V. 500/5A. C/BARRA PASANTE.</v>
          </cell>
        </row>
        <row r="3521">
          <cell r="B3521">
            <v>5911369</v>
          </cell>
          <cell r="C3521" t="str">
            <v>CES</v>
          </cell>
          <cell r="D3521" t="str">
            <v>TRANSFORMADOR CTE.220V. 500/5A. C/BARRA PASANTE.</v>
          </cell>
        </row>
        <row r="3522">
          <cell r="B3522">
            <v>5911369</v>
          </cell>
          <cell r="C3522" t="str">
            <v>ITE</v>
          </cell>
          <cell r="D3522" t="str">
            <v>TRANSFORMADOR CTE.220V. 500/5A. C/BARRA PASANTE.</v>
          </cell>
        </row>
        <row r="3523">
          <cell r="B3523">
            <v>5911372</v>
          </cell>
          <cell r="C3523" t="str">
            <v>ABB</v>
          </cell>
          <cell r="D3523" t="str">
            <v>TRANSFORMADOR CTE.220V. 750/5A. C/BARRA PASANTE.</v>
          </cell>
        </row>
        <row r="3524">
          <cell r="B3524">
            <v>5911372</v>
          </cell>
          <cell r="C3524" t="str">
            <v>CEA</v>
          </cell>
          <cell r="D3524" t="str">
            <v>TRANSFORMADOR CTE.220V. 750/5A. C/BARRA PASANTE.</v>
          </cell>
        </row>
        <row r="3525">
          <cell r="B3525">
            <v>5911372</v>
          </cell>
          <cell r="C3525" t="str">
            <v>CES</v>
          </cell>
          <cell r="D3525" t="str">
            <v>TRANSFORMADOR CTE.220V. 750/5A. C/BARRA PASANTE.</v>
          </cell>
        </row>
        <row r="3526">
          <cell r="B3526">
            <v>5911372</v>
          </cell>
          <cell r="C3526" t="str">
            <v>ITE</v>
          </cell>
          <cell r="D3526" t="str">
            <v>TRANSFORMADOR CTE.220V. 750/5A. C/BARRA PASANTE.</v>
          </cell>
        </row>
        <row r="3527">
          <cell r="B3527">
            <v>5911428</v>
          </cell>
          <cell r="C3527" t="str">
            <v>CES</v>
          </cell>
          <cell r="D3527" t="str">
            <v>TRANSFORMADOR CTE. NUCLEO PARTIDO 750/5A 5VA CL1 60 HZ</v>
          </cell>
        </row>
        <row r="3528">
          <cell r="B3528">
            <v>5911442</v>
          </cell>
          <cell r="C3528" t="str">
            <v>CES</v>
          </cell>
          <cell r="D3528" t="str">
            <v>TRANSFORMADOR CTE. NUCLEO PARTIDO 1500/5A 10VA CL1 60 HZ</v>
          </cell>
        </row>
        <row r="3529">
          <cell r="B3529">
            <v>5911444</v>
          </cell>
          <cell r="C3529" t="str">
            <v>CES</v>
          </cell>
          <cell r="D3529" t="str">
            <v>TRANSFORMADOR CTE. NUCLEO PARTIDO 2000/5A 10VA CL1 60HZ</v>
          </cell>
        </row>
        <row r="3530">
          <cell r="B3530">
            <v>5911446</v>
          </cell>
          <cell r="C3530" t="str">
            <v>CES</v>
          </cell>
          <cell r="D3530" t="str">
            <v>TRANSFORMADOR CTE. NUCLEO PARTIDO 3000/5A 10VA CL1 60HZ</v>
          </cell>
        </row>
        <row r="3531">
          <cell r="B3531">
            <v>5913224</v>
          </cell>
          <cell r="C3531" t="str">
            <v>ART</v>
          </cell>
          <cell r="D3531" t="str">
            <v>TRANSFORMADOR CTE.10KV.  30/5A. 0.5 250MVA.INTEMP.</v>
          </cell>
        </row>
        <row r="3532">
          <cell r="B3532">
            <v>5913224</v>
          </cell>
          <cell r="C3532" t="str">
            <v>H&amp;C</v>
          </cell>
          <cell r="D3532" t="str">
            <v>TRANSFORMADOR CTE.10KV.  30/5A. 0.5 250MVA.INTEMP.</v>
          </cell>
        </row>
        <row r="3533">
          <cell r="B3533">
            <v>5913224</v>
          </cell>
          <cell r="C3533" t="str">
            <v>PRO</v>
          </cell>
          <cell r="D3533" t="str">
            <v>TRANSFORMADOR CTE.10KV.  30/5A. 0.5 250MVA.INTEMP.</v>
          </cell>
        </row>
        <row r="3534">
          <cell r="B3534">
            <v>5913622</v>
          </cell>
          <cell r="C3534" t="str">
            <v>ABB</v>
          </cell>
          <cell r="D3534" t="str">
            <v>TRANSFORMADOR CTE.10KV. 20/5A. CL.0,5 500MVA.INTERIOR</v>
          </cell>
        </row>
        <row r="3535">
          <cell r="B3535">
            <v>5913622</v>
          </cell>
          <cell r="C3535" t="str">
            <v>ABB</v>
          </cell>
          <cell r="D3535" t="str">
            <v>TRANSFORMADOR CTE.10KV. 20/5A. CL.0,5 500MVA.INTERIOR</v>
          </cell>
        </row>
        <row r="3536">
          <cell r="B3536">
            <v>5913622</v>
          </cell>
          <cell r="C3536" t="str">
            <v>ART</v>
          </cell>
          <cell r="D3536" t="str">
            <v>TRANSFORMADOR CTE.10KV. 20/5A. CL.0,5 500MVA.INTERIOR</v>
          </cell>
        </row>
        <row r="3537">
          <cell r="B3537">
            <v>5913630</v>
          </cell>
          <cell r="C3537" t="str">
            <v>ABB</v>
          </cell>
          <cell r="D3537" t="str">
            <v>TRANSFORMADOR CTE.10KV.  50/5A. 0.5 500MVA.INT.</v>
          </cell>
        </row>
        <row r="3538">
          <cell r="B3538">
            <v>5913630</v>
          </cell>
          <cell r="C3538" t="str">
            <v>ABB</v>
          </cell>
          <cell r="D3538" t="str">
            <v>TRANSFORMADOR CTE.10KV.  50/5A. 0.5 500MVA.INT.</v>
          </cell>
        </row>
        <row r="3539">
          <cell r="B3539">
            <v>5913630</v>
          </cell>
          <cell r="C3539" t="str">
            <v>ART</v>
          </cell>
          <cell r="D3539" t="str">
            <v>TRANSFORMADOR CTE.10KV.  50/5A. 0.5 500MVA.INT.</v>
          </cell>
        </row>
        <row r="3540">
          <cell r="B3540">
            <v>5913642</v>
          </cell>
          <cell r="C3540" t="str">
            <v>ABB</v>
          </cell>
          <cell r="D3540" t="str">
            <v>TRANSFORMADOR CTE.10KV. 100/5A. 0.5 500MVA.INT.</v>
          </cell>
        </row>
        <row r="3541">
          <cell r="B3541">
            <v>5913642</v>
          </cell>
          <cell r="C3541" t="str">
            <v>ABB</v>
          </cell>
          <cell r="D3541" t="str">
            <v>TRANSFORMADOR CTE.10KV. 100/5A. 0.5 500MVA.INT.</v>
          </cell>
        </row>
        <row r="3542">
          <cell r="B3542">
            <v>5913642</v>
          </cell>
          <cell r="C3542" t="str">
            <v>ART</v>
          </cell>
          <cell r="D3542" t="str">
            <v>TRANSFORMADOR CTE.10KV. 100/5A. 0.5 500MVA.INT.</v>
          </cell>
        </row>
        <row r="3543">
          <cell r="B3543">
            <v>5913642</v>
          </cell>
          <cell r="C3543" t="str">
            <v>ELQ</v>
          </cell>
          <cell r="D3543" t="str">
            <v>TRANSFORMADOR CTE.10KV. 100/5A. 0.5 500MVA.INT.</v>
          </cell>
        </row>
        <row r="3544">
          <cell r="B3544">
            <v>5913660</v>
          </cell>
          <cell r="C3544" t="str">
            <v>ART</v>
          </cell>
          <cell r="D3544" t="str">
            <v>TRANSFORMADOR CTE.10KV. 300/5A. 0.5 500MVA.INT.</v>
          </cell>
        </row>
        <row r="3545">
          <cell r="B3545">
            <v>5913660</v>
          </cell>
          <cell r="C3545" t="str">
            <v>CEA</v>
          </cell>
          <cell r="D3545" t="str">
            <v>TRANSFORMADOR CTE.10KV. 300/5A. 0.5 500MVA.INT.</v>
          </cell>
        </row>
        <row r="3546">
          <cell r="B3546">
            <v>5913666</v>
          </cell>
          <cell r="C3546" t="str">
            <v>ART</v>
          </cell>
          <cell r="D3546" t="str">
            <v>TRANSFORMADOR CTE.10KV. 400/5A. 0.5 500MVA.INT.</v>
          </cell>
        </row>
        <row r="3547">
          <cell r="B3547">
            <v>5913666</v>
          </cell>
          <cell r="C3547" t="str">
            <v>CEA</v>
          </cell>
          <cell r="D3547" t="str">
            <v>TRANSFORMADOR CTE.10KV. 400/5A. 0.5 500MVA.INT.</v>
          </cell>
        </row>
        <row r="3548">
          <cell r="B3548">
            <v>5913948</v>
          </cell>
          <cell r="C3548" t="str">
            <v>ELQ</v>
          </cell>
          <cell r="D3548" t="str">
            <v>TRANSFORMADOR DE CORRIENTE SECCIONABLE P.MEDICION TP.TOROIDAL 50/1A 1VA DIAM.140MM 0,72KV</v>
          </cell>
        </row>
        <row r="3549">
          <cell r="B3549">
            <v>5913948</v>
          </cell>
          <cell r="C3549" t="str">
            <v>PFI</v>
          </cell>
          <cell r="D3549" t="str">
            <v>TRANSFORMADOR DE CORRIENTE SECCIONABLE P.MEDICION TP.TOROIDAL 50/1A 1VA DIAM.140MM 0,72KV</v>
          </cell>
        </row>
        <row r="3550">
          <cell r="B3550">
            <v>5913950</v>
          </cell>
          <cell r="C3550" t="str">
            <v>PFI</v>
          </cell>
          <cell r="D3550" t="str">
            <v>TRANSFORMADOR CTE. TOROIDAL INT.10KV.50/1A., 60HZ, 4VA.,CL.3.</v>
          </cell>
        </row>
        <row r="3551">
          <cell r="B3551">
            <v>5932858</v>
          </cell>
          <cell r="C3551" t="str">
            <v>ART</v>
          </cell>
          <cell r="D3551" t="str">
            <v>TRANSFORMADOR TENSION 10KV.10/0.1KV.0.5 250MVA.INTEMP</v>
          </cell>
        </row>
        <row r="3552">
          <cell r="B3552">
            <v>5932858</v>
          </cell>
          <cell r="C3552" t="str">
            <v>EPF</v>
          </cell>
          <cell r="D3552" t="str">
            <v>TRANSFORMADOR TENSION 10KV.10/0.1KV.0.5 250MVA.INTEMP</v>
          </cell>
        </row>
        <row r="3553">
          <cell r="B3553">
            <v>5932858</v>
          </cell>
          <cell r="C3553" t="str">
            <v>H&amp;C</v>
          </cell>
          <cell r="D3553" t="str">
            <v>TRANSFORMADOR TENSION 10KV.10/0.1KV.0.5 250MVA.INTEMP</v>
          </cell>
        </row>
        <row r="3554">
          <cell r="B3554">
            <v>5932858</v>
          </cell>
          <cell r="C3554" t="str">
            <v>PRO</v>
          </cell>
          <cell r="D3554" t="str">
            <v>TRANSFORMADOR TENSION 10KV.10/0.1KV.0.5 250MVA.INTEMP</v>
          </cell>
        </row>
        <row r="3555">
          <cell r="B3555">
            <v>5932869</v>
          </cell>
          <cell r="C3555" t="str">
            <v>ABB</v>
          </cell>
          <cell r="D3555" t="str">
            <v>TRANSFORMADOR TENSION     10/0.10KV.0.5 500MVA.INT.</v>
          </cell>
        </row>
        <row r="3556">
          <cell r="B3556">
            <v>5932869</v>
          </cell>
          <cell r="C3556" t="str">
            <v>ART</v>
          </cell>
          <cell r="D3556" t="str">
            <v>TRANSFORMADOR TENSION     10/0.10KV.0.5 500MVA.INT.</v>
          </cell>
        </row>
        <row r="3557">
          <cell r="B3557">
            <v>5932869</v>
          </cell>
          <cell r="C3557" t="str">
            <v>ELQ</v>
          </cell>
          <cell r="D3557" t="str">
            <v>TRANSFORMADOR TENSION     10/0.10KV.0.5 500MVA.INT.</v>
          </cell>
        </row>
        <row r="3558">
          <cell r="B3558">
            <v>5932869</v>
          </cell>
          <cell r="C3558" t="str">
            <v>EPF</v>
          </cell>
          <cell r="D3558" t="str">
            <v>TRANSFORMADOR TENSION     10/0.10KV.0.5 500MVA.INT.</v>
          </cell>
        </row>
        <row r="3559">
          <cell r="B3559">
            <v>5932869</v>
          </cell>
          <cell r="C3559" t="str">
            <v>H&amp;C</v>
          </cell>
          <cell r="D3559" t="str">
            <v>TRANSFORMADOR TENSION     10/0.10KV.0.5 500MVA.INT.</v>
          </cell>
        </row>
        <row r="3560">
          <cell r="B3560">
            <v>5933220</v>
          </cell>
          <cell r="C3560" t="str">
            <v>CEA</v>
          </cell>
          <cell r="D3560" t="str">
            <v>TRANSF.TENSION 2 DEVAN.10KV.30VA.CLASE.0.5</v>
          </cell>
        </row>
        <row r="3561">
          <cell r="B3561">
            <v>5933220</v>
          </cell>
          <cell r="C3561" t="str">
            <v>ELQ</v>
          </cell>
          <cell r="D3561" t="str">
            <v>TRANSF.TENSION 2 DEVAN.10KV.30VA.CLASE.0.5</v>
          </cell>
        </row>
        <row r="3562">
          <cell r="B3562">
            <v>5933220</v>
          </cell>
          <cell r="C3562" t="str">
            <v>SAD</v>
          </cell>
          <cell r="D3562" t="str">
            <v>TRANSF.TENSION 2 DEVAN.10KV.30VA.CLASE.0.5</v>
          </cell>
        </row>
        <row r="3563">
          <cell r="B3563">
            <v>5933840</v>
          </cell>
          <cell r="C3563" t="str">
            <v>CEA</v>
          </cell>
          <cell r="D3563" t="str">
            <v>TRANSF. TENSION P. MED. 22,9/V3/0.1/V3KV. CL. 0,5 INTERIOR</v>
          </cell>
        </row>
        <row r="3564">
          <cell r="B3564">
            <v>5933840</v>
          </cell>
          <cell r="C3564" t="str">
            <v>ELQ</v>
          </cell>
          <cell r="D3564" t="str">
            <v>TRANSF. TENSION P. MED. 22,9/V3/0.1/V3KV. CL. 0,5 INTERIOR</v>
          </cell>
        </row>
        <row r="3565">
          <cell r="B3565">
            <v>5933840</v>
          </cell>
          <cell r="C3565" t="str">
            <v>SAD</v>
          </cell>
          <cell r="D3565" t="str">
            <v>TRANSF. TENSION P. MED. 22,9/V3/0.1/V3KV. CL. 0,5 INTERIOR</v>
          </cell>
        </row>
        <row r="3566">
          <cell r="B3566">
            <v>5964458</v>
          </cell>
          <cell r="C3566" t="str">
            <v>ALS</v>
          </cell>
          <cell r="D3566" t="str">
            <v>TRANSFORMADOR CTE.TP.PROTEC.10KV.(100-200)/5A.20VA,5P20</v>
          </cell>
        </row>
        <row r="3567">
          <cell r="B3567">
            <v>5964458</v>
          </cell>
          <cell r="C3567" t="str">
            <v>ELQ</v>
          </cell>
          <cell r="D3567" t="str">
            <v>TRANSFORMADOR CTE.TP.PROTEC.10KV.(100-200)/5A.20VA,5P20</v>
          </cell>
        </row>
        <row r="3568">
          <cell r="B3568">
            <v>5964458</v>
          </cell>
          <cell r="C3568" t="str">
            <v>SAD</v>
          </cell>
          <cell r="D3568" t="str">
            <v>TRANSFORMADOR CTE.TP.PROTEC.10KV.(100-200)/5A.20VA,5P20</v>
          </cell>
        </row>
        <row r="3569">
          <cell r="B3569">
            <v>5964458</v>
          </cell>
          <cell r="C3569" t="str">
            <v>TAI</v>
          </cell>
          <cell r="D3569" t="str">
            <v>TRANSFORMADOR CTE.TP.PROTEC.10KV.(100-200)/5A.20VA,5P20</v>
          </cell>
        </row>
        <row r="3570">
          <cell r="B3570">
            <v>5966070</v>
          </cell>
          <cell r="C3570" t="str">
            <v>ELQ</v>
          </cell>
          <cell r="D3570" t="str">
            <v>TRANSFORMADOR DE CORRIENTE  22,9KV P.PROTECCION TP. TOROIDAL 300-600/5A, CL5P20, 10VA</v>
          </cell>
        </row>
        <row r="3571">
          <cell r="B3571">
            <v>5966468</v>
          </cell>
          <cell r="C3571" t="str">
            <v>ELQ</v>
          </cell>
          <cell r="D3571" t="str">
            <v>TRANSFORMADOR CTE.TP. PROTEC.10KV. (300-600)/5A.20VA, 5P20</v>
          </cell>
        </row>
        <row r="3572">
          <cell r="B3572">
            <v>5986323</v>
          </cell>
          <cell r="C3572" t="str">
            <v>ELQ</v>
          </cell>
          <cell r="D3572" t="str">
            <v>TRANSFORMADOR CTE. TP. BLOQUE 22.9KV, P.PROTECC. Y MEDIC. 100-200/5-5A, 15VA, CL 0.2S, 5P20</v>
          </cell>
        </row>
        <row r="3573">
          <cell r="B3573">
            <v>5986323</v>
          </cell>
          <cell r="C3573" t="str">
            <v>SAD</v>
          </cell>
          <cell r="D3573" t="str">
            <v>TRANSFORMADOR CTE. TP. BLOQUE 22.9KV, P.PROTECC. Y MEDIC. 100-200/5-5A, 15VA, CL 0.2S, 5P20</v>
          </cell>
        </row>
        <row r="3574">
          <cell r="B3574">
            <v>5986331</v>
          </cell>
          <cell r="C3574" t="str">
            <v>SAD</v>
          </cell>
          <cell r="D3574" t="str">
            <v>TRANSFORMADOR CTE TP.BLOQUE 22.9 KV P.PROTEC.MED. 300-600/5-5A 15VA, CL 0.2S, 5P20</v>
          </cell>
        </row>
        <row r="3575">
          <cell r="B3575">
            <v>5986332</v>
          </cell>
          <cell r="C3575" t="str">
            <v>SAD</v>
          </cell>
          <cell r="D3575" t="str">
            <v>TRANSFORMADOR DE CORRIENTE TP.BLOQUE 22.9 KV P.PROTECCION 300-600/5A CL.5P20, 15VA, 20/50KA</v>
          </cell>
        </row>
        <row r="3576">
          <cell r="B3576">
            <v>5986339</v>
          </cell>
          <cell r="C3576" t="str">
            <v>ELQ</v>
          </cell>
          <cell r="D3576" t="str">
            <v>TRANSFORMADOR CTE. TP. BLOQUE 22.9KV, P.MEDIC. 100-200/5A, 15VA, CL 0.2S</v>
          </cell>
        </row>
        <row r="3577">
          <cell r="B3577">
            <v>5986339</v>
          </cell>
          <cell r="C3577" t="str">
            <v>SAD</v>
          </cell>
          <cell r="D3577" t="str">
            <v>TRANSFORMADOR CTE. TP. BLOQUE 22.9KV, P.MEDIC. 100-200/5A, 15VA, CL 0.2S</v>
          </cell>
        </row>
        <row r="3578">
          <cell r="B3578">
            <v>5986433</v>
          </cell>
          <cell r="C3578" t="str">
            <v>ELQ</v>
          </cell>
          <cell r="D3578" t="str">
            <v>TRANSFORMADOR DE CORRIENTE P.MEDICION Y PROTECCION TOROIDAL EN 22,9KV 300-600/5-5A CL.0,2S/5P20 10VA</v>
          </cell>
        </row>
        <row r="3579">
          <cell r="B3579">
            <v>6112210</v>
          </cell>
          <cell r="C3579" t="str">
            <v>RNS</v>
          </cell>
          <cell r="D3579" t="str">
            <v>FUSIBLE TP. C 220V.   5A. P.CONEX.DOMICIL. Y A.P.</v>
          </cell>
        </row>
        <row r="3580">
          <cell r="B3580">
            <v>6112210</v>
          </cell>
          <cell r="C3580" t="str">
            <v>TAL</v>
          </cell>
          <cell r="D3580" t="str">
            <v>FUSIBLE TP. C 220V.   5A. P.CONEX.DOMICIL. Y A.P.</v>
          </cell>
        </row>
        <row r="3581">
          <cell r="B3581">
            <v>6112219</v>
          </cell>
          <cell r="C3581" t="str">
            <v>RNS</v>
          </cell>
          <cell r="D3581" t="str">
            <v>FUSIBLE TP. C 220V.  15A. P.CONEX.DOMICIL. Y A.P.</v>
          </cell>
        </row>
        <row r="3582">
          <cell r="B3582">
            <v>6112219</v>
          </cell>
          <cell r="C3582" t="str">
            <v>TAL</v>
          </cell>
          <cell r="D3582" t="str">
            <v>FUSIBLE TP. C 220V.  15A. P.CONEX.DOMICIL. Y A.P.</v>
          </cell>
        </row>
        <row r="3583">
          <cell r="B3583">
            <v>6112224</v>
          </cell>
          <cell r="C3583" t="str">
            <v>RNS</v>
          </cell>
          <cell r="D3583" t="str">
            <v>FUSIBLE TP. C 220V.  30A. P.CONEX.DOMICIL. Y A.P.</v>
          </cell>
        </row>
        <row r="3584">
          <cell r="B3584">
            <v>6112224</v>
          </cell>
          <cell r="C3584" t="str">
            <v>TAL</v>
          </cell>
          <cell r="D3584" t="str">
            <v>FUSIBLE TP. C 220V.  30A. P.CONEX.DOMICIL. Y A.P.</v>
          </cell>
        </row>
        <row r="3585">
          <cell r="B3585">
            <v>6112232</v>
          </cell>
          <cell r="C3585" t="str">
            <v>RNS</v>
          </cell>
          <cell r="D3585" t="str">
            <v>FUSIBLE TP. C 220V.  60A. P.CONEX.DOMICIL. Y A.P.</v>
          </cell>
        </row>
        <row r="3586">
          <cell r="B3586">
            <v>6112232</v>
          </cell>
          <cell r="C3586" t="str">
            <v>TAL</v>
          </cell>
          <cell r="D3586" t="str">
            <v>FUSIBLE TP. C 220V.  60A. P.CONEX.DOMICIL. Y A.P.</v>
          </cell>
        </row>
        <row r="3587">
          <cell r="B3587">
            <v>6112324</v>
          </cell>
          <cell r="C3587" t="str">
            <v>TAL</v>
          </cell>
          <cell r="D3587" t="str">
            <v>FUSIBLE TP.LAMINA 220V. 30A.TAM-CHICO    16X 78MM.</v>
          </cell>
        </row>
        <row r="3588">
          <cell r="B3588">
            <v>6112332</v>
          </cell>
          <cell r="C3588" t="str">
            <v>TAL</v>
          </cell>
          <cell r="D3588" t="str">
            <v>FUSIBLE TP.LAMINA 220V. 60A.TAM-CHICO    16X 78MM.</v>
          </cell>
        </row>
        <row r="3589">
          <cell r="B3589">
            <v>6112342</v>
          </cell>
          <cell r="C3589" t="str">
            <v>TAL</v>
          </cell>
          <cell r="D3589" t="str">
            <v>FUSIBLE TP.LAMINA 220V.100A.TAM-CHICO    16X 78MM.</v>
          </cell>
        </row>
        <row r="3590">
          <cell r="B3590">
            <v>6112432</v>
          </cell>
          <cell r="C3590" t="str">
            <v>TAL</v>
          </cell>
          <cell r="D3590" t="str">
            <v>FUSIBLE TP.LAMINA 220V. 60A.TAM-MEDIANO  22X119MM.</v>
          </cell>
        </row>
        <row r="3591">
          <cell r="B3591">
            <v>6112442</v>
          </cell>
          <cell r="C3591" t="str">
            <v>TAL</v>
          </cell>
          <cell r="D3591" t="str">
            <v>FUSIBLE TP.LAMINA 220V.100A.TAM-MEDIANO  22X119MM.</v>
          </cell>
        </row>
        <row r="3592">
          <cell r="B3592">
            <v>6112448</v>
          </cell>
          <cell r="C3592" t="str">
            <v>TAL</v>
          </cell>
          <cell r="D3592" t="str">
            <v>FUSIBLE TP.LAMINA 220V.160A.TAM-MEDIANO  22X119MM.</v>
          </cell>
        </row>
        <row r="3593">
          <cell r="B3593">
            <v>6112542</v>
          </cell>
          <cell r="C3593" t="str">
            <v>TAL</v>
          </cell>
          <cell r="D3593" t="str">
            <v>FUSIBLE TP.LAMINA 220V.100A.TAM-GRANDE   42X150MM.</v>
          </cell>
        </row>
        <row r="3594">
          <cell r="B3594">
            <v>6112548</v>
          </cell>
          <cell r="C3594" t="str">
            <v>TAL</v>
          </cell>
          <cell r="D3594" t="str">
            <v>FUSIBLE TP.LAMINA 220V.160A.TAM-GRANDE   42X150MM.</v>
          </cell>
        </row>
        <row r="3595">
          <cell r="B3595">
            <v>6112554</v>
          </cell>
          <cell r="C3595" t="str">
            <v>TAL</v>
          </cell>
          <cell r="D3595" t="str">
            <v>FUSIBLE TP.LAMINA 220V.200A.TAM-GRANDE   42X150MM.</v>
          </cell>
        </row>
        <row r="3596">
          <cell r="B3596">
            <v>6112560</v>
          </cell>
          <cell r="C3596" t="str">
            <v>TAL</v>
          </cell>
          <cell r="D3596" t="str">
            <v>FUSIBLE TP.LAMINA 220V.300A.TAM-GRANDE   42X150MM.</v>
          </cell>
        </row>
        <row r="3597">
          <cell r="B3597">
            <v>6112568</v>
          </cell>
          <cell r="C3597" t="str">
            <v>TAL</v>
          </cell>
          <cell r="D3597" t="str">
            <v>FUSIBLE TP.LAMINA 220V.450A.TAM-GRANDE   42X150MM.</v>
          </cell>
        </row>
        <row r="3598">
          <cell r="B3598">
            <v>6112570</v>
          </cell>
          <cell r="C3598" t="str">
            <v>TAL</v>
          </cell>
          <cell r="D3598" t="str">
            <v>FUSIBLE TP.LAMINA 220V.600A.TAM-GRANDE   42X150MM.</v>
          </cell>
        </row>
        <row r="3599">
          <cell r="B3599">
            <v>6114114</v>
          </cell>
          <cell r="C3599" t="str">
            <v>TIC</v>
          </cell>
          <cell r="D3599" t="str">
            <v>FUSIBLE LIM.CTE.380V.  6A. VERDE  TAM-T   9X32MML.</v>
          </cell>
        </row>
        <row r="3600">
          <cell r="B3600">
            <v>6114515</v>
          </cell>
          <cell r="C3600" t="str">
            <v>FES</v>
          </cell>
          <cell r="D3600" t="str">
            <v>FUSIBLE LIMITADOR CORRIENTE TP. NH TAMANO 00, 500V 160A 120KA</v>
          </cell>
        </row>
        <row r="3601">
          <cell r="B3601">
            <v>6114515</v>
          </cell>
          <cell r="C3601" t="str">
            <v>FES</v>
          </cell>
          <cell r="D3601" t="str">
            <v>FUSIBLE LIMITADOR CORRIENTE TP. NH TAMANO 00, 500V 160A 120KA</v>
          </cell>
        </row>
        <row r="3602">
          <cell r="B3602">
            <v>6114515</v>
          </cell>
          <cell r="C3602" t="str">
            <v>FES</v>
          </cell>
          <cell r="D3602" t="str">
            <v>FUSIBLE LIMITADOR CORRIENTE TP. NH TAMANO 00, 500V 160A 120KA</v>
          </cell>
        </row>
        <row r="3603">
          <cell r="B3603">
            <v>6114515</v>
          </cell>
          <cell r="C3603" t="str">
            <v>FES</v>
          </cell>
          <cell r="D3603" t="str">
            <v>FUSIBLE LIMITADOR CORRIENTE TP. NH TAMANO 00, 500V 160A 120KA</v>
          </cell>
        </row>
        <row r="3604">
          <cell r="B3604">
            <v>6114515</v>
          </cell>
          <cell r="C3604" t="str">
            <v>SBA</v>
          </cell>
          <cell r="D3604" t="str">
            <v>FUSIBLE LIMITADOR CORRIENTE TP. NH TAMANO 00, 500V 160A 120KA</v>
          </cell>
        </row>
        <row r="3605">
          <cell r="B3605">
            <v>6114528</v>
          </cell>
          <cell r="C3605" t="str">
            <v>FES</v>
          </cell>
          <cell r="D3605" t="str">
            <v>FUSIBLE LIMITADOR CORRIENTE TP. NH TAMANO 00, 220V 40A</v>
          </cell>
        </row>
        <row r="3606">
          <cell r="B3606">
            <v>6114528</v>
          </cell>
          <cell r="C3606" t="str">
            <v>FES</v>
          </cell>
          <cell r="D3606" t="str">
            <v>FUSIBLE LIMITADOR CORRIENTE TP. NH TAMANO 00, 220V 40A</v>
          </cell>
        </row>
        <row r="3607">
          <cell r="B3607">
            <v>6114528</v>
          </cell>
          <cell r="C3607" t="str">
            <v>FES</v>
          </cell>
          <cell r="D3607" t="str">
            <v>FUSIBLE LIMITADOR CORRIENTE TP. NH TAMANO 00, 220V 40A</v>
          </cell>
        </row>
        <row r="3608">
          <cell r="B3608">
            <v>6114528</v>
          </cell>
          <cell r="C3608" t="str">
            <v>FES</v>
          </cell>
          <cell r="D3608" t="str">
            <v>FUSIBLE LIMITADOR CORRIENTE TP. NH TAMANO 00, 220V 40A</v>
          </cell>
        </row>
        <row r="3609">
          <cell r="B3609">
            <v>6114528</v>
          </cell>
          <cell r="C3609" t="str">
            <v>LIN</v>
          </cell>
          <cell r="D3609" t="str">
            <v>FUSIBLE LIMITADOR CORRIENTE TP. NH TAMANO 00, 220V 40A</v>
          </cell>
        </row>
        <row r="3610">
          <cell r="B3610">
            <v>6114528</v>
          </cell>
          <cell r="C3610" t="str">
            <v>SBA</v>
          </cell>
          <cell r="D3610" t="str">
            <v>FUSIBLE LIMITADOR CORRIENTE TP. NH TAMANO 00, 220V 40A</v>
          </cell>
        </row>
        <row r="3611">
          <cell r="B3611">
            <v>6114533</v>
          </cell>
          <cell r="C3611" t="str">
            <v>FES</v>
          </cell>
          <cell r="D3611" t="str">
            <v>FUSIBLE LIMITADOR CORRIENTE TP. NH TAMANO 00, 220V 63A</v>
          </cell>
        </row>
        <row r="3612">
          <cell r="B3612">
            <v>6114533</v>
          </cell>
          <cell r="C3612" t="str">
            <v>FES</v>
          </cell>
          <cell r="D3612" t="str">
            <v>FUSIBLE LIMITADOR CORRIENTE TP. NH TAMANO 00, 220V 63A</v>
          </cell>
        </row>
        <row r="3613">
          <cell r="B3613">
            <v>6114533</v>
          </cell>
          <cell r="C3613" t="str">
            <v>FES</v>
          </cell>
          <cell r="D3613" t="str">
            <v>FUSIBLE LIMITADOR CORRIENTE TP. NH TAMANO 00, 220V 63A</v>
          </cell>
        </row>
        <row r="3614">
          <cell r="B3614">
            <v>6114533</v>
          </cell>
          <cell r="C3614" t="str">
            <v>FES</v>
          </cell>
          <cell r="D3614" t="str">
            <v>FUSIBLE LIMITADOR CORRIENTE TP. NH TAMANO 00, 220V 63A</v>
          </cell>
        </row>
        <row r="3615">
          <cell r="B3615">
            <v>6114533</v>
          </cell>
          <cell r="C3615" t="str">
            <v>LIN</v>
          </cell>
          <cell r="D3615" t="str">
            <v>FUSIBLE LIMITADOR CORRIENTE TP. NH TAMANO 00, 220V 63A</v>
          </cell>
        </row>
        <row r="3616">
          <cell r="B3616">
            <v>6114533</v>
          </cell>
          <cell r="C3616" t="str">
            <v>SBA</v>
          </cell>
          <cell r="D3616" t="str">
            <v>FUSIBLE LIMITADOR CORRIENTE TP. NH TAMANO 00, 220V 63A</v>
          </cell>
        </row>
        <row r="3617">
          <cell r="B3617">
            <v>6114538</v>
          </cell>
          <cell r="C3617" t="str">
            <v>FES</v>
          </cell>
          <cell r="D3617" t="str">
            <v>FUSIBLE LIMITADOR CORRIENTE TP. NH TAMANO 00, 220V 80A</v>
          </cell>
        </row>
        <row r="3618">
          <cell r="B3618">
            <v>6114538</v>
          </cell>
          <cell r="C3618" t="str">
            <v>FES</v>
          </cell>
          <cell r="D3618" t="str">
            <v>FUSIBLE LIMITADOR CORRIENTE TP. NH TAMANO 00, 220V 80A</v>
          </cell>
        </row>
        <row r="3619">
          <cell r="B3619">
            <v>6114538</v>
          </cell>
          <cell r="C3619" t="str">
            <v>FES</v>
          </cell>
          <cell r="D3619" t="str">
            <v>FUSIBLE LIMITADOR CORRIENTE TP. NH TAMANO 00, 220V 80A</v>
          </cell>
        </row>
        <row r="3620">
          <cell r="B3620">
            <v>6114538</v>
          </cell>
          <cell r="C3620" t="str">
            <v>FES</v>
          </cell>
          <cell r="D3620" t="str">
            <v>FUSIBLE LIMITADOR CORRIENTE TP. NH TAMANO 00, 220V 80A</v>
          </cell>
        </row>
        <row r="3621">
          <cell r="B3621">
            <v>6114538</v>
          </cell>
          <cell r="C3621" t="str">
            <v>LIN</v>
          </cell>
          <cell r="D3621" t="str">
            <v>FUSIBLE LIMITADOR CORRIENTE TP. NH TAMANO 00, 220V 80A</v>
          </cell>
        </row>
        <row r="3622">
          <cell r="B3622">
            <v>6114538</v>
          </cell>
          <cell r="C3622" t="str">
            <v>SBA</v>
          </cell>
          <cell r="D3622" t="str">
            <v>FUSIBLE LIMITADOR CORRIENTE TP. NH TAMANO 00, 220V 80A</v>
          </cell>
        </row>
        <row r="3623">
          <cell r="B3623">
            <v>6114542</v>
          </cell>
          <cell r="C3623" t="str">
            <v>FES</v>
          </cell>
          <cell r="D3623" t="str">
            <v>FUSIBLE LIMITADOR CORRIENTE TP. NH TAMANO 00, 220V 100A</v>
          </cell>
        </row>
        <row r="3624">
          <cell r="B3624">
            <v>6114542</v>
          </cell>
          <cell r="C3624" t="str">
            <v>FES</v>
          </cell>
          <cell r="D3624" t="str">
            <v>FUSIBLE LIMITADOR CORRIENTE TP. NH TAMANO 00, 220V 100A</v>
          </cell>
        </row>
        <row r="3625">
          <cell r="B3625">
            <v>6114542</v>
          </cell>
          <cell r="C3625" t="str">
            <v>FES</v>
          </cell>
          <cell r="D3625" t="str">
            <v>FUSIBLE LIMITADOR CORRIENTE TP. NH TAMANO 00, 220V 100A</v>
          </cell>
        </row>
        <row r="3626">
          <cell r="B3626">
            <v>6114542</v>
          </cell>
          <cell r="C3626" t="str">
            <v>FES</v>
          </cell>
          <cell r="D3626" t="str">
            <v>FUSIBLE LIMITADOR CORRIENTE TP. NH TAMANO 00, 220V 100A</v>
          </cell>
        </row>
        <row r="3627">
          <cell r="B3627">
            <v>6114542</v>
          </cell>
          <cell r="C3627" t="str">
            <v>LIN</v>
          </cell>
          <cell r="D3627" t="str">
            <v>FUSIBLE LIMITADOR CORRIENTE TP. NH TAMANO 00, 220V 100A</v>
          </cell>
        </row>
        <row r="3628">
          <cell r="B3628">
            <v>6114542</v>
          </cell>
          <cell r="C3628" t="str">
            <v>SBA</v>
          </cell>
          <cell r="D3628" t="str">
            <v>FUSIBLE LIMITADOR CORRIENTE TP. NH TAMANO 00, 220V 100A</v>
          </cell>
        </row>
        <row r="3629">
          <cell r="B3629">
            <v>6114545</v>
          </cell>
          <cell r="C3629" t="str">
            <v>FES</v>
          </cell>
          <cell r="D3629" t="str">
            <v>FUSIBLE LIMITADOR CORRIENTE TP. NH TAMANO 00, 220V 125A</v>
          </cell>
        </row>
        <row r="3630">
          <cell r="B3630">
            <v>6114545</v>
          </cell>
          <cell r="C3630" t="str">
            <v>FES</v>
          </cell>
          <cell r="D3630" t="str">
            <v>FUSIBLE LIMITADOR CORRIENTE TP. NH TAMANO 00, 220V 125A</v>
          </cell>
        </row>
        <row r="3631">
          <cell r="B3631">
            <v>6114545</v>
          </cell>
          <cell r="C3631" t="str">
            <v>FES</v>
          </cell>
          <cell r="D3631" t="str">
            <v>FUSIBLE LIMITADOR CORRIENTE TP. NH TAMANO 00, 220V 125A</v>
          </cell>
        </row>
        <row r="3632">
          <cell r="B3632">
            <v>6114545</v>
          </cell>
          <cell r="C3632" t="str">
            <v>FES</v>
          </cell>
          <cell r="D3632" t="str">
            <v>FUSIBLE LIMITADOR CORRIENTE TP. NH TAMANO 00, 220V 125A</v>
          </cell>
        </row>
        <row r="3633">
          <cell r="B3633">
            <v>6114545</v>
          </cell>
          <cell r="C3633" t="str">
            <v>SBA</v>
          </cell>
          <cell r="D3633" t="str">
            <v>FUSIBLE LIMITADOR CORRIENTE TP. NH TAMANO 00, 220V 125A</v>
          </cell>
        </row>
        <row r="3634">
          <cell r="B3634">
            <v>6114738</v>
          </cell>
          <cell r="C3634" t="str">
            <v>FES</v>
          </cell>
          <cell r="D3634" t="str">
            <v>FUSIBLE LIMITADOR CORRIENTE TP. NH TAMANO 1, 500V 80A</v>
          </cell>
        </row>
        <row r="3635">
          <cell r="B3635">
            <v>6114738</v>
          </cell>
          <cell r="C3635" t="str">
            <v>FES</v>
          </cell>
          <cell r="D3635" t="str">
            <v>FUSIBLE LIMITADOR CORRIENTE TP. NH TAMANO 1, 500V 80A</v>
          </cell>
        </row>
        <row r="3636">
          <cell r="B3636">
            <v>6114738</v>
          </cell>
          <cell r="C3636" t="str">
            <v>FES</v>
          </cell>
          <cell r="D3636" t="str">
            <v>FUSIBLE LIMITADOR CORRIENTE TP. NH TAMANO 1, 500V 80A</v>
          </cell>
        </row>
        <row r="3637">
          <cell r="B3637">
            <v>6114738</v>
          </cell>
          <cell r="C3637" t="str">
            <v>FES</v>
          </cell>
          <cell r="D3637" t="str">
            <v>FUSIBLE LIMITADOR CORRIENTE TP. NH TAMANO 1, 500V 80A</v>
          </cell>
        </row>
        <row r="3638">
          <cell r="B3638">
            <v>6114738</v>
          </cell>
          <cell r="C3638" t="str">
            <v>LIN</v>
          </cell>
          <cell r="D3638" t="str">
            <v>FUSIBLE LIMITADOR CORRIENTE TP. NH TAMANO 1, 500V 80A</v>
          </cell>
        </row>
        <row r="3639">
          <cell r="B3639">
            <v>6114738</v>
          </cell>
          <cell r="C3639" t="str">
            <v>SBA</v>
          </cell>
          <cell r="D3639" t="str">
            <v>FUSIBLE LIMITADOR CORRIENTE TP. NH TAMANO 1, 500V 80A</v>
          </cell>
        </row>
        <row r="3640">
          <cell r="B3640">
            <v>6114743</v>
          </cell>
          <cell r="C3640" t="str">
            <v>FES</v>
          </cell>
          <cell r="D3640" t="str">
            <v>FUSIBLE LIM.CTE. TIPO: NH TAMA¤O-1     220V. 125A.</v>
          </cell>
        </row>
        <row r="3641">
          <cell r="B3641">
            <v>6114743</v>
          </cell>
          <cell r="C3641" t="str">
            <v>FES</v>
          </cell>
          <cell r="D3641" t="str">
            <v>FUSIBLE LIM.CTE. TIPO: NH TAMA¤O-1     220V. 125A.</v>
          </cell>
        </row>
        <row r="3642">
          <cell r="B3642">
            <v>6114743</v>
          </cell>
          <cell r="C3642" t="str">
            <v>FES</v>
          </cell>
          <cell r="D3642" t="str">
            <v>FUSIBLE LIM.CTE. TIPO: NH TAMA¤O-1     220V. 125A.</v>
          </cell>
        </row>
        <row r="3643">
          <cell r="B3643">
            <v>6114743</v>
          </cell>
          <cell r="C3643" t="str">
            <v>FES</v>
          </cell>
          <cell r="D3643" t="str">
            <v>FUSIBLE LIM.CTE. TIPO: NH TAMA¤O-1     220V. 125A.</v>
          </cell>
        </row>
        <row r="3644">
          <cell r="B3644">
            <v>6114743</v>
          </cell>
          <cell r="C3644" t="str">
            <v>LIN</v>
          </cell>
          <cell r="D3644" t="str">
            <v>FUSIBLE LIM.CTE. TIPO: NH TAMA¤O-1     220V. 125A.</v>
          </cell>
        </row>
        <row r="3645">
          <cell r="B3645">
            <v>6114743</v>
          </cell>
          <cell r="C3645" t="str">
            <v>SBA</v>
          </cell>
          <cell r="D3645" t="str">
            <v>FUSIBLE LIM.CTE. TIPO: NH TAMA¤O-1     220V. 125A.</v>
          </cell>
        </row>
        <row r="3646">
          <cell r="B3646">
            <v>6114748</v>
          </cell>
          <cell r="C3646" t="str">
            <v>FES</v>
          </cell>
          <cell r="D3646" t="str">
            <v>FUSIBLE LIMITADOR CORRIENTE TP. NH TAMANO 1, 500V 160A</v>
          </cell>
        </row>
        <row r="3647">
          <cell r="B3647">
            <v>6114748</v>
          </cell>
          <cell r="C3647" t="str">
            <v>FES</v>
          </cell>
          <cell r="D3647" t="str">
            <v>FUSIBLE LIMITADOR CORRIENTE TP. NH TAMANO 1, 500V 160A</v>
          </cell>
        </row>
        <row r="3648">
          <cell r="B3648">
            <v>6114748</v>
          </cell>
          <cell r="C3648" t="str">
            <v>FES</v>
          </cell>
          <cell r="D3648" t="str">
            <v>FUSIBLE LIMITADOR CORRIENTE TP. NH TAMANO 1, 500V 160A</v>
          </cell>
        </row>
        <row r="3649">
          <cell r="B3649">
            <v>6114748</v>
          </cell>
          <cell r="C3649" t="str">
            <v>FES</v>
          </cell>
          <cell r="D3649" t="str">
            <v>FUSIBLE LIMITADOR CORRIENTE TP. NH TAMANO 1, 500V 160A</v>
          </cell>
        </row>
        <row r="3650">
          <cell r="B3650">
            <v>6114748</v>
          </cell>
          <cell r="C3650" t="str">
            <v>LIN</v>
          </cell>
          <cell r="D3650" t="str">
            <v>FUSIBLE LIMITADOR CORRIENTE TP. NH TAMANO 1, 500V 160A</v>
          </cell>
        </row>
        <row r="3651">
          <cell r="B3651">
            <v>6114748</v>
          </cell>
          <cell r="C3651" t="str">
            <v>SBA</v>
          </cell>
          <cell r="D3651" t="str">
            <v>FUSIBLE LIMITADOR CORRIENTE TP. NH TAMANO 1, 500V 160A</v>
          </cell>
        </row>
        <row r="3652">
          <cell r="B3652">
            <v>6114752</v>
          </cell>
          <cell r="C3652" t="str">
            <v>FES</v>
          </cell>
          <cell r="D3652" t="str">
            <v>FUSIBLE LIMITADOR CORRIENTE TP. NH TAMAÑO 1, 500V 200A</v>
          </cell>
        </row>
        <row r="3653">
          <cell r="B3653">
            <v>6114752</v>
          </cell>
          <cell r="C3653" t="str">
            <v>FES</v>
          </cell>
          <cell r="D3653" t="str">
            <v>FUSIBLE LIMITADOR CORRIENTE TP. NH TAMAÑO 1, 500V 200A</v>
          </cell>
        </row>
        <row r="3654">
          <cell r="B3654">
            <v>6114752</v>
          </cell>
          <cell r="C3654" t="str">
            <v>FES</v>
          </cell>
          <cell r="D3654" t="str">
            <v>FUSIBLE LIMITADOR CORRIENTE TP. NH TAMAÑO 1, 500V 200A</v>
          </cell>
        </row>
        <row r="3655">
          <cell r="B3655">
            <v>6114752</v>
          </cell>
          <cell r="C3655" t="str">
            <v>FES</v>
          </cell>
          <cell r="D3655" t="str">
            <v>FUSIBLE LIMITADOR CORRIENTE TP. NH TAMAÑO 1, 500V 200A</v>
          </cell>
        </row>
        <row r="3656">
          <cell r="B3656">
            <v>6114752</v>
          </cell>
          <cell r="C3656" t="str">
            <v>SBA</v>
          </cell>
          <cell r="D3656" t="str">
            <v>FUSIBLE LIMITADOR CORRIENTE TP. NH TAMAÑO 1, 500V 200A</v>
          </cell>
        </row>
        <row r="3657">
          <cell r="B3657">
            <v>6114758</v>
          </cell>
          <cell r="C3657" t="str">
            <v>FES</v>
          </cell>
          <cell r="D3657" t="str">
            <v>FUSIBLE LIMITADOR CORRIENTE TP. NH TAMANO 1, 500V 250A</v>
          </cell>
        </row>
        <row r="3658">
          <cell r="B3658">
            <v>6114758</v>
          </cell>
          <cell r="C3658" t="str">
            <v>FES</v>
          </cell>
          <cell r="D3658" t="str">
            <v>FUSIBLE LIMITADOR CORRIENTE TP. NH TAMANO 1, 500V 250A</v>
          </cell>
        </row>
        <row r="3659">
          <cell r="B3659">
            <v>6114758</v>
          </cell>
          <cell r="C3659" t="str">
            <v>FES</v>
          </cell>
          <cell r="D3659" t="str">
            <v>FUSIBLE LIMITADOR CORRIENTE TP. NH TAMANO 1, 500V 250A</v>
          </cell>
        </row>
        <row r="3660">
          <cell r="B3660">
            <v>6114758</v>
          </cell>
          <cell r="C3660" t="str">
            <v>FES</v>
          </cell>
          <cell r="D3660" t="str">
            <v>FUSIBLE LIMITADOR CORRIENTE TP. NH TAMANO 1, 500V 250A</v>
          </cell>
        </row>
        <row r="3661">
          <cell r="B3661">
            <v>6114758</v>
          </cell>
          <cell r="C3661" t="str">
            <v>LIN</v>
          </cell>
          <cell r="D3661" t="str">
            <v>FUSIBLE LIMITADOR CORRIENTE TP. NH TAMANO 1, 500V 250A</v>
          </cell>
        </row>
        <row r="3662">
          <cell r="B3662">
            <v>6114758</v>
          </cell>
          <cell r="C3662" t="str">
            <v>SBA</v>
          </cell>
          <cell r="D3662" t="str">
            <v>FUSIBLE LIMITADOR CORRIENTE TP. NH TAMANO 1, 500V 250A</v>
          </cell>
        </row>
        <row r="3663">
          <cell r="B3663">
            <v>6114822</v>
          </cell>
          <cell r="C3663" t="str">
            <v>FES</v>
          </cell>
          <cell r="D3663" t="str">
            <v>FUSIBLE LIMITADOR CORRIENTE TP. NH TAMAÑO 2, 220V 200A</v>
          </cell>
        </row>
        <row r="3664">
          <cell r="B3664">
            <v>6114822</v>
          </cell>
          <cell r="C3664" t="str">
            <v>FES</v>
          </cell>
          <cell r="D3664" t="str">
            <v>FUSIBLE LIMITADOR CORRIENTE TP. NH TAMAÑO 2, 220V 200A</v>
          </cell>
        </row>
        <row r="3665">
          <cell r="B3665">
            <v>6114822</v>
          </cell>
          <cell r="C3665" t="str">
            <v>FES</v>
          </cell>
          <cell r="D3665" t="str">
            <v>FUSIBLE LIMITADOR CORRIENTE TP. NH TAMAÑO 2, 220V 200A</v>
          </cell>
        </row>
        <row r="3666">
          <cell r="B3666">
            <v>6114822</v>
          </cell>
          <cell r="C3666" t="str">
            <v>FES</v>
          </cell>
          <cell r="D3666" t="str">
            <v>FUSIBLE LIMITADOR CORRIENTE TP. NH TAMAÑO 2, 220V 200A</v>
          </cell>
        </row>
        <row r="3667">
          <cell r="B3667">
            <v>6114822</v>
          </cell>
          <cell r="C3667" t="str">
            <v>SBA</v>
          </cell>
          <cell r="D3667" t="str">
            <v>FUSIBLE LIMITADOR CORRIENTE TP. NH TAMAÑO 2, 220V 200A</v>
          </cell>
        </row>
        <row r="3668">
          <cell r="B3668">
            <v>6114842</v>
          </cell>
          <cell r="C3668" t="str">
            <v>FES</v>
          </cell>
          <cell r="D3668" t="str">
            <v>FUSIBLE LIMITADOR CORRIENTE TP. NH TAMANO 2, 220V 100A 120KA</v>
          </cell>
        </row>
        <row r="3669">
          <cell r="B3669">
            <v>6114842</v>
          </cell>
          <cell r="C3669" t="str">
            <v>FES</v>
          </cell>
          <cell r="D3669" t="str">
            <v>FUSIBLE LIMITADOR CORRIENTE TP. NH TAMANO 2, 220V 100A 120KA</v>
          </cell>
        </row>
        <row r="3670">
          <cell r="B3670">
            <v>6114842</v>
          </cell>
          <cell r="C3670" t="str">
            <v>FES</v>
          </cell>
          <cell r="D3670" t="str">
            <v>FUSIBLE LIMITADOR CORRIENTE TP. NH TAMANO 2, 220V 100A 120KA</v>
          </cell>
        </row>
        <row r="3671">
          <cell r="B3671">
            <v>6114842</v>
          </cell>
          <cell r="C3671" t="str">
            <v>FES</v>
          </cell>
          <cell r="D3671" t="str">
            <v>FUSIBLE LIMITADOR CORRIENTE TP. NH TAMANO 2, 220V 100A 120KA</v>
          </cell>
        </row>
        <row r="3672">
          <cell r="B3672">
            <v>6114842</v>
          </cell>
          <cell r="C3672" t="str">
            <v>SBA</v>
          </cell>
          <cell r="D3672" t="str">
            <v>FUSIBLE LIMITADOR CORRIENTE TP. NH TAMANO 2, 220V 100A 120KA</v>
          </cell>
        </row>
        <row r="3673">
          <cell r="B3673">
            <v>6114843</v>
          </cell>
          <cell r="C3673" t="str">
            <v>FES</v>
          </cell>
          <cell r="D3673" t="str">
            <v>FUSIBLE LIMITADOR CORRIENTE TP. NH TAMANO 2, 220V 125A 120KA</v>
          </cell>
        </row>
        <row r="3674">
          <cell r="B3674">
            <v>6114843</v>
          </cell>
          <cell r="C3674" t="str">
            <v>FES</v>
          </cell>
          <cell r="D3674" t="str">
            <v>FUSIBLE LIMITADOR CORRIENTE TP. NH TAMANO 2, 220V 125A 120KA</v>
          </cell>
        </row>
        <row r="3675">
          <cell r="B3675">
            <v>6114843</v>
          </cell>
          <cell r="C3675" t="str">
            <v>FES</v>
          </cell>
          <cell r="D3675" t="str">
            <v>FUSIBLE LIMITADOR CORRIENTE TP. NH TAMANO 2, 220V 125A 120KA</v>
          </cell>
        </row>
        <row r="3676">
          <cell r="B3676">
            <v>6114843</v>
          </cell>
          <cell r="C3676" t="str">
            <v>FES</v>
          </cell>
          <cell r="D3676" t="str">
            <v>FUSIBLE LIMITADOR CORRIENTE TP. NH TAMANO 2, 220V 125A 120KA</v>
          </cell>
        </row>
        <row r="3677">
          <cell r="B3677">
            <v>6114843</v>
          </cell>
          <cell r="C3677" t="str">
            <v>SBA</v>
          </cell>
          <cell r="D3677" t="str">
            <v>FUSIBLE LIMITADOR CORRIENTE TP. NH TAMANO 2, 220V 125A 120KA</v>
          </cell>
        </row>
        <row r="3678">
          <cell r="B3678">
            <v>6114848</v>
          </cell>
          <cell r="C3678" t="str">
            <v>FES</v>
          </cell>
          <cell r="D3678" t="str">
            <v>FUSIBLE LIMITADOR CORRIENTE TP. NH TAMANO 2, 220V 160A</v>
          </cell>
        </row>
        <row r="3679">
          <cell r="B3679">
            <v>6114848</v>
          </cell>
          <cell r="C3679" t="str">
            <v>FES</v>
          </cell>
          <cell r="D3679" t="str">
            <v>FUSIBLE LIMITADOR CORRIENTE TP. NH TAMANO 2, 220V 160A</v>
          </cell>
        </row>
        <row r="3680">
          <cell r="B3680">
            <v>6114848</v>
          </cell>
          <cell r="C3680" t="str">
            <v>FES</v>
          </cell>
          <cell r="D3680" t="str">
            <v>FUSIBLE LIMITADOR CORRIENTE TP. NH TAMANO 2, 220V 160A</v>
          </cell>
        </row>
        <row r="3681">
          <cell r="B3681">
            <v>6114848</v>
          </cell>
          <cell r="C3681" t="str">
            <v>FES</v>
          </cell>
          <cell r="D3681" t="str">
            <v>FUSIBLE LIMITADOR CORRIENTE TP. NH TAMANO 2, 220V 160A</v>
          </cell>
        </row>
        <row r="3682">
          <cell r="B3682">
            <v>6114848</v>
          </cell>
          <cell r="C3682" t="str">
            <v>LIN</v>
          </cell>
          <cell r="D3682" t="str">
            <v>FUSIBLE LIMITADOR CORRIENTE TP. NH TAMANO 2, 220V 160A</v>
          </cell>
        </row>
        <row r="3683">
          <cell r="B3683">
            <v>6114848</v>
          </cell>
          <cell r="C3683" t="str">
            <v>SBA</v>
          </cell>
          <cell r="D3683" t="str">
            <v>FUSIBLE LIMITADOR CORRIENTE TP. NH TAMANO 2, 220V 160A</v>
          </cell>
        </row>
        <row r="3684">
          <cell r="B3684">
            <v>6114858</v>
          </cell>
          <cell r="C3684" t="str">
            <v>FES</v>
          </cell>
          <cell r="D3684" t="str">
            <v>FUSIBLE LIMITADOR CORRIENTE TP. NH TAMANO 2, 220V 250A</v>
          </cell>
        </row>
        <row r="3685">
          <cell r="B3685">
            <v>6114858</v>
          </cell>
          <cell r="C3685" t="str">
            <v>FES</v>
          </cell>
          <cell r="D3685" t="str">
            <v>FUSIBLE LIMITADOR CORRIENTE TP. NH TAMANO 2, 220V 250A</v>
          </cell>
        </row>
        <row r="3686">
          <cell r="B3686">
            <v>6114858</v>
          </cell>
          <cell r="C3686" t="str">
            <v>FES</v>
          </cell>
          <cell r="D3686" t="str">
            <v>FUSIBLE LIMITADOR CORRIENTE TP. NH TAMANO 2, 220V 250A</v>
          </cell>
        </row>
        <row r="3687">
          <cell r="B3687">
            <v>6114858</v>
          </cell>
          <cell r="C3687" t="str">
            <v>FES</v>
          </cell>
          <cell r="D3687" t="str">
            <v>FUSIBLE LIMITADOR CORRIENTE TP. NH TAMANO 2, 220V 250A</v>
          </cell>
        </row>
        <row r="3688">
          <cell r="B3688">
            <v>6114858</v>
          </cell>
          <cell r="C3688" t="str">
            <v>LIN</v>
          </cell>
          <cell r="D3688" t="str">
            <v>FUSIBLE LIMITADOR CORRIENTE TP. NH TAMANO 2, 220V 250A</v>
          </cell>
        </row>
        <row r="3689">
          <cell r="B3689">
            <v>6114858</v>
          </cell>
          <cell r="C3689" t="str">
            <v>SBA</v>
          </cell>
          <cell r="D3689" t="str">
            <v>FUSIBLE LIMITADOR CORRIENTE TP. NH TAMANO 2, 220V 250A</v>
          </cell>
        </row>
        <row r="3690">
          <cell r="B3690">
            <v>6114861</v>
          </cell>
          <cell r="C3690" t="str">
            <v>FES</v>
          </cell>
          <cell r="D3690" t="str">
            <v>FUSIBLE LIMITADOR CORRIENTE TP. NH TAMANO 2, 220V 315A</v>
          </cell>
        </row>
        <row r="3691">
          <cell r="B3691">
            <v>6114861</v>
          </cell>
          <cell r="C3691" t="str">
            <v>FES</v>
          </cell>
          <cell r="D3691" t="str">
            <v>FUSIBLE LIMITADOR CORRIENTE TP. NH TAMANO 2, 220V 315A</v>
          </cell>
        </row>
        <row r="3692">
          <cell r="B3692">
            <v>6114861</v>
          </cell>
          <cell r="C3692" t="str">
            <v>FES</v>
          </cell>
          <cell r="D3692" t="str">
            <v>FUSIBLE LIMITADOR CORRIENTE TP. NH TAMANO 2, 220V 315A</v>
          </cell>
        </row>
        <row r="3693">
          <cell r="B3693">
            <v>6114861</v>
          </cell>
          <cell r="C3693" t="str">
            <v>FES</v>
          </cell>
          <cell r="D3693" t="str">
            <v>FUSIBLE LIMITADOR CORRIENTE TP. NH TAMANO 2, 220V 315A</v>
          </cell>
        </row>
        <row r="3694">
          <cell r="B3694">
            <v>6114861</v>
          </cell>
          <cell r="C3694" t="str">
            <v>LIN</v>
          </cell>
          <cell r="D3694" t="str">
            <v>FUSIBLE LIMITADOR CORRIENTE TP. NH TAMANO 2, 220V 315A</v>
          </cell>
        </row>
        <row r="3695">
          <cell r="B3695">
            <v>6114861</v>
          </cell>
          <cell r="C3695" t="str">
            <v>SBA</v>
          </cell>
          <cell r="D3695" t="str">
            <v>FUSIBLE LIMITADOR CORRIENTE TP. NH TAMANO 2, 220V 315A</v>
          </cell>
        </row>
        <row r="3696">
          <cell r="B3696">
            <v>6114866</v>
          </cell>
          <cell r="C3696" t="str">
            <v>FES</v>
          </cell>
          <cell r="D3696" t="str">
            <v>FUSIBLE LIMITADOR CORRIENTE TP. NH TAMANO 2, 220V 400A</v>
          </cell>
        </row>
        <row r="3697">
          <cell r="B3697">
            <v>6114866</v>
          </cell>
          <cell r="C3697" t="str">
            <v>FES</v>
          </cell>
          <cell r="D3697" t="str">
            <v>FUSIBLE LIMITADOR CORRIENTE TP. NH TAMANO 2, 220V 400A</v>
          </cell>
        </row>
        <row r="3698">
          <cell r="B3698">
            <v>6114866</v>
          </cell>
          <cell r="C3698" t="str">
            <v>FES</v>
          </cell>
          <cell r="D3698" t="str">
            <v>FUSIBLE LIMITADOR CORRIENTE TP. NH TAMANO 2, 220V 400A</v>
          </cell>
        </row>
        <row r="3699">
          <cell r="B3699">
            <v>6114866</v>
          </cell>
          <cell r="C3699" t="str">
            <v>FES</v>
          </cell>
          <cell r="D3699" t="str">
            <v>FUSIBLE LIMITADOR CORRIENTE TP. NH TAMANO 2, 220V 400A</v>
          </cell>
        </row>
        <row r="3700">
          <cell r="B3700">
            <v>6114866</v>
          </cell>
          <cell r="C3700" t="str">
            <v>LIN</v>
          </cell>
          <cell r="D3700" t="str">
            <v>FUSIBLE LIMITADOR CORRIENTE TP. NH TAMANO 2, 220V 400A</v>
          </cell>
        </row>
        <row r="3701">
          <cell r="B3701">
            <v>6114866</v>
          </cell>
          <cell r="C3701" t="str">
            <v>SBA</v>
          </cell>
          <cell r="D3701" t="str">
            <v>FUSIBLE LIMITADOR CORRIENTE TP. NH TAMANO 2, 220V 400A</v>
          </cell>
        </row>
        <row r="3702">
          <cell r="B3702">
            <v>6114961</v>
          </cell>
          <cell r="C3702" t="str">
            <v>FES</v>
          </cell>
          <cell r="D3702" t="str">
            <v>FUSIBLE LIMITADOR CORRIENTE TP. NH TAMANO 3, 220V 315A</v>
          </cell>
        </row>
        <row r="3703">
          <cell r="B3703">
            <v>6114961</v>
          </cell>
          <cell r="C3703" t="str">
            <v>FES</v>
          </cell>
          <cell r="D3703" t="str">
            <v>FUSIBLE LIMITADOR CORRIENTE TP. NH TAMANO 3, 220V 315A</v>
          </cell>
        </row>
        <row r="3704">
          <cell r="B3704">
            <v>6114961</v>
          </cell>
          <cell r="C3704" t="str">
            <v>FES</v>
          </cell>
          <cell r="D3704" t="str">
            <v>FUSIBLE LIMITADOR CORRIENTE TP. NH TAMANO 3, 220V 315A</v>
          </cell>
        </row>
        <row r="3705">
          <cell r="B3705">
            <v>6114961</v>
          </cell>
          <cell r="C3705" t="str">
            <v>FES</v>
          </cell>
          <cell r="D3705" t="str">
            <v>FUSIBLE LIMITADOR CORRIENTE TP. NH TAMANO 3, 220V 315A</v>
          </cell>
        </row>
        <row r="3706">
          <cell r="B3706">
            <v>6114961</v>
          </cell>
          <cell r="C3706" t="str">
            <v>LIN</v>
          </cell>
          <cell r="D3706" t="str">
            <v>FUSIBLE LIMITADOR CORRIENTE TP. NH TAMANO 3, 220V 315A</v>
          </cell>
        </row>
        <row r="3707">
          <cell r="B3707">
            <v>6114961</v>
          </cell>
          <cell r="C3707" t="str">
            <v>SBA</v>
          </cell>
          <cell r="D3707" t="str">
            <v>FUSIBLE LIMITADOR CORRIENTE TP. NH TAMANO 3, 220V 315A</v>
          </cell>
        </row>
        <row r="3708">
          <cell r="B3708">
            <v>6114966</v>
          </cell>
          <cell r="C3708" t="str">
            <v>FES</v>
          </cell>
          <cell r="D3708" t="str">
            <v>FUSIBLE LIMITADOR CORRIENTE TP. NH TAMANO 3, 220V 400A</v>
          </cell>
        </row>
        <row r="3709">
          <cell r="B3709">
            <v>6114966</v>
          </cell>
          <cell r="C3709" t="str">
            <v>FES</v>
          </cell>
          <cell r="D3709" t="str">
            <v>FUSIBLE LIMITADOR CORRIENTE TP. NH TAMANO 3, 220V 400A</v>
          </cell>
        </row>
        <row r="3710">
          <cell r="B3710">
            <v>6114966</v>
          </cell>
          <cell r="C3710" t="str">
            <v>FES</v>
          </cell>
          <cell r="D3710" t="str">
            <v>FUSIBLE LIMITADOR CORRIENTE TP. NH TAMANO 3, 220V 400A</v>
          </cell>
        </row>
        <row r="3711">
          <cell r="B3711">
            <v>6114966</v>
          </cell>
          <cell r="C3711" t="str">
            <v>FES</v>
          </cell>
          <cell r="D3711" t="str">
            <v>FUSIBLE LIMITADOR CORRIENTE TP. NH TAMANO 3, 220V 400A</v>
          </cell>
        </row>
        <row r="3712">
          <cell r="B3712">
            <v>6114966</v>
          </cell>
          <cell r="C3712" t="str">
            <v>LIN</v>
          </cell>
          <cell r="D3712" t="str">
            <v>FUSIBLE LIMITADOR CORRIENTE TP. NH TAMANO 3, 220V 400A</v>
          </cell>
        </row>
        <row r="3713">
          <cell r="B3713">
            <v>6114966</v>
          </cell>
          <cell r="C3713" t="str">
            <v>SBA</v>
          </cell>
          <cell r="D3713" t="str">
            <v>FUSIBLE LIMITADOR CORRIENTE TP. NH TAMANO 3, 220V 400A</v>
          </cell>
        </row>
        <row r="3714">
          <cell r="B3714">
            <v>6114969</v>
          </cell>
          <cell r="C3714" t="str">
            <v>FES</v>
          </cell>
          <cell r="D3714" t="str">
            <v>FUSIBLE LIMITADOR CORRIENTE TP. NH TAMANO 3, 220V 500A</v>
          </cell>
        </row>
        <row r="3715">
          <cell r="B3715">
            <v>6114969</v>
          </cell>
          <cell r="C3715" t="str">
            <v>FES</v>
          </cell>
          <cell r="D3715" t="str">
            <v>FUSIBLE LIMITADOR CORRIENTE TP. NH TAMANO 3, 220V 500A</v>
          </cell>
        </row>
        <row r="3716">
          <cell r="B3716">
            <v>6114969</v>
          </cell>
          <cell r="C3716" t="str">
            <v>FES</v>
          </cell>
          <cell r="D3716" t="str">
            <v>FUSIBLE LIMITADOR CORRIENTE TP. NH TAMANO 3, 220V 500A</v>
          </cell>
        </row>
        <row r="3717">
          <cell r="B3717">
            <v>6114969</v>
          </cell>
          <cell r="C3717" t="str">
            <v>FES</v>
          </cell>
          <cell r="D3717" t="str">
            <v>FUSIBLE LIMITADOR CORRIENTE TP. NH TAMANO 3, 220V 500A</v>
          </cell>
        </row>
        <row r="3718">
          <cell r="B3718">
            <v>6114969</v>
          </cell>
          <cell r="C3718" t="str">
            <v>LIN</v>
          </cell>
          <cell r="D3718" t="str">
            <v>FUSIBLE LIMITADOR CORRIENTE TP. NH TAMANO 3, 220V 500A</v>
          </cell>
        </row>
        <row r="3719">
          <cell r="B3719">
            <v>6114969</v>
          </cell>
          <cell r="C3719" t="str">
            <v>SBA</v>
          </cell>
          <cell r="D3719" t="str">
            <v>FUSIBLE LIMITADOR CORRIENTE TP. NH TAMANO 3, 220V 500A</v>
          </cell>
        </row>
        <row r="3720">
          <cell r="B3720">
            <v>6114971</v>
          </cell>
          <cell r="C3720" t="str">
            <v>FES</v>
          </cell>
          <cell r="D3720" t="str">
            <v>FUSIBLE LIMITADOR CORRIENTE TP. NH TAMANO 3, 220V 630A</v>
          </cell>
        </row>
        <row r="3721">
          <cell r="B3721">
            <v>6114971</v>
          </cell>
          <cell r="C3721" t="str">
            <v>FES</v>
          </cell>
          <cell r="D3721" t="str">
            <v>FUSIBLE LIMITADOR CORRIENTE TP. NH TAMANO 3, 220V 630A</v>
          </cell>
        </row>
        <row r="3722">
          <cell r="B3722">
            <v>6114971</v>
          </cell>
          <cell r="C3722" t="str">
            <v>FES</v>
          </cell>
          <cell r="D3722" t="str">
            <v>FUSIBLE LIMITADOR CORRIENTE TP. NH TAMANO 3, 220V 630A</v>
          </cell>
        </row>
        <row r="3723">
          <cell r="B3723">
            <v>6114971</v>
          </cell>
          <cell r="C3723" t="str">
            <v>FES</v>
          </cell>
          <cell r="D3723" t="str">
            <v>FUSIBLE LIMITADOR CORRIENTE TP. NH TAMANO 3, 220V 630A</v>
          </cell>
        </row>
        <row r="3724">
          <cell r="B3724">
            <v>6114971</v>
          </cell>
          <cell r="C3724" t="str">
            <v>LIN</v>
          </cell>
          <cell r="D3724" t="str">
            <v>FUSIBLE LIMITADOR CORRIENTE TP. NH TAMANO 3, 220V 630A</v>
          </cell>
        </row>
        <row r="3725">
          <cell r="B3725">
            <v>6114971</v>
          </cell>
          <cell r="C3725" t="str">
            <v>SBA</v>
          </cell>
          <cell r="D3725" t="str">
            <v>FUSIBLE LIMITADOR CORRIENTE TP. NH TAMANO 3, 220V 630A</v>
          </cell>
        </row>
        <row r="3726">
          <cell r="B3726">
            <v>6114980</v>
          </cell>
          <cell r="C3726" t="str">
            <v>DF</v>
          </cell>
          <cell r="D3726" t="str">
            <v>FUSIBLE LIMITADOR.TP- AM.500V.10A.</v>
          </cell>
        </row>
        <row r="3727">
          <cell r="B3727">
            <v>6114980</v>
          </cell>
          <cell r="C3727" t="str">
            <v>FES</v>
          </cell>
          <cell r="D3727" t="str">
            <v>FUSIBLE LIMITADOR.TP- AM.500V.10A.</v>
          </cell>
        </row>
        <row r="3728">
          <cell r="B3728">
            <v>6131320</v>
          </cell>
          <cell r="C3728" t="str">
            <v>FES</v>
          </cell>
          <cell r="D3728" t="str">
            <v>FUSIBLE LIMITADOR CORRIENTE TP.INTERIOR 15A 10KV 30KA CLASE E P.SECCIONADOR UNIPOLAR</v>
          </cell>
        </row>
        <row r="3729">
          <cell r="B3729">
            <v>6131320</v>
          </cell>
          <cell r="C3729" t="str">
            <v>FES</v>
          </cell>
          <cell r="D3729" t="str">
            <v>FUSIBLE LIMITADOR CORRIENTE TP.INTERIOR 15A 10KV 30KA CLASE E P.SECCIONADOR UNIPOLAR</v>
          </cell>
        </row>
        <row r="3730">
          <cell r="B3730">
            <v>6131322</v>
          </cell>
          <cell r="C3730" t="str">
            <v>FES</v>
          </cell>
          <cell r="D3730" t="str">
            <v>FUSIBLE LIMITADOR CORRIENTE TP.INTERIOR 20A 10KV 30KA CLASE E P.SECCIONADOR UNIPOLAR</v>
          </cell>
        </row>
        <row r="3731">
          <cell r="B3731">
            <v>6131322</v>
          </cell>
          <cell r="C3731" t="str">
            <v>FES</v>
          </cell>
          <cell r="D3731" t="str">
            <v>FUSIBLE LIMITADOR CORRIENTE TP.INTERIOR 20A 10KV 30KA CLASE E P.SECCIONADOR UNIPOLAR</v>
          </cell>
        </row>
        <row r="3732">
          <cell r="B3732">
            <v>6131323</v>
          </cell>
          <cell r="C3732" t="str">
            <v>FES</v>
          </cell>
          <cell r="D3732" t="str">
            <v>FUSIBLE LIMITADOR CORRIENTE TP.INTERIOR 25A 10KV 30KA CLASE E P.SECCIONADOR UNIPOLAR</v>
          </cell>
        </row>
        <row r="3733">
          <cell r="B3733">
            <v>6131323</v>
          </cell>
          <cell r="C3733" t="str">
            <v>FES</v>
          </cell>
          <cell r="D3733" t="str">
            <v>FUSIBLE LIMITADOR CORRIENTE TP.INTERIOR 25A 10KV 30KA CLASE E P.SECCIONADOR UNIPOLAR</v>
          </cell>
        </row>
        <row r="3734">
          <cell r="B3734">
            <v>6131324</v>
          </cell>
          <cell r="C3734" t="str">
            <v>FES</v>
          </cell>
          <cell r="D3734" t="str">
            <v>FUSIBLE LIMITADOR CORRIENTE TP.INTERIOR 30A 10KV 30KA CLASE E P.SECCIONADOR UNIPOLAR</v>
          </cell>
        </row>
        <row r="3735">
          <cell r="B3735">
            <v>6131324</v>
          </cell>
          <cell r="C3735" t="str">
            <v>FES</v>
          </cell>
          <cell r="D3735" t="str">
            <v>FUSIBLE LIMITADOR CORRIENTE TP.INTERIOR 30A 10KV 30KA CLASE E P.SECCIONADOR UNIPOLAR</v>
          </cell>
        </row>
        <row r="3736">
          <cell r="B3736">
            <v>6131327</v>
          </cell>
          <cell r="C3736" t="str">
            <v>FES</v>
          </cell>
          <cell r="D3736" t="str">
            <v>FUSIBLE LIMITADOR CORRIENTE TP.INTERIOR 40A 10KV 30KA CLASE E P.SECCIONADOR UNIPOLAR</v>
          </cell>
        </row>
        <row r="3737">
          <cell r="B3737">
            <v>6131327</v>
          </cell>
          <cell r="C3737" t="str">
            <v>FES</v>
          </cell>
          <cell r="D3737" t="str">
            <v>FUSIBLE LIMITADOR CORRIENTE TP.INTERIOR 40A 10KV 30KA CLASE E P.SECCIONADOR UNIPOLAR</v>
          </cell>
        </row>
        <row r="3738">
          <cell r="B3738">
            <v>6131330</v>
          </cell>
          <cell r="C3738" t="str">
            <v>FES</v>
          </cell>
          <cell r="D3738" t="str">
            <v>FUSIBLE LIMITADOR CORRIENTE TP.INTERIOR 50A 10KV 30KA CLASE E P.SECCIONADOR UNIPOLAR</v>
          </cell>
        </row>
        <row r="3739">
          <cell r="B3739">
            <v>6131330</v>
          </cell>
          <cell r="C3739" t="str">
            <v>FES</v>
          </cell>
          <cell r="D3739" t="str">
            <v>FUSIBLE LIMITADOR CORRIENTE TP.INTERIOR 50A 10KV 30KA CLASE E P.SECCIONADOR UNIPOLAR</v>
          </cell>
        </row>
        <row r="3740">
          <cell r="B3740">
            <v>6131334</v>
          </cell>
          <cell r="C3740" t="str">
            <v>FES</v>
          </cell>
          <cell r="D3740" t="str">
            <v>FUSIBLE LIMITADOR CORRIENTE TP.INTERIOR 65A 10KV 30KA CLASE E P.SECCIONADOR UNIPOLAR</v>
          </cell>
        </row>
        <row r="3741">
          <cell r="B3741">
            <v>6131334</v>
          </cell>
          <cell r="C3741" t="str">
            <v>FES</v>
          </cell>
          <cell r="D3741" t="str">
            <v>FUSIBLE LIMITADOR CORRIENTE TP.INTERIOR 65A 10KV 30KA CLASE E P.SECCIONADOR UNIPOLAR</v>
          </cell>
        </row>
        <row r="3742">
          <cell r="B3742">
            <v>6131338</v>
          </cell>
          <cell r="C3742" t="str">
            <v>FES</v>
          </cell>
          <cell r="D3742" t="str">
            <v>FUSIBLE LIMITADOR CORRIENTE TP.INTERIOR 80A 10KV 30KA CLASE E P.SECCIONADOR UNIPOLAR</v>
          </cell>
        </row>
        <row r="3743">
          <cell r="B3743">
            <v>6131338</v>
          </cell>
          <cell r="C3743" t="str">
            <v>FES</v>
          </cell>
          <cell r="D3743" t="str">
            <v>FUSIBLE LIMITADOR CORRIENTE TP.INTERIOR 80A 10KV 30KA CLASE E P.SECCIONADOR UNIPOLAR</v>
          </cell>
        </row>
        <row r="3744">
          <cell r="B3744">
            <v>6131342</v>
          </cell>
          <cell r="C3744" t="str">
            <v>FES</v>
          </cell>
          <cell r="D3744" t="str">
            <v>FUSIBLE LIMITADOR CORRIENTE TP.INTERIOR 100A 10KV 30KA CLASE E P.SECCIONADOR UNIPOLAR</v>
          </cell>
        </row>
        <row r="3745">
          <cell r="B3745">
            <v>6131342</v>
          </cell>
          <cell r="C3745" t="str">
            <v>FES</v>
          </cell>
          <cell r="D3745" t="str">
            <v>FUSIBLE LIMITADOR CORRIENTE TP.INTERIOR 100A 10KV 30KA CLASE E P.SECCIONADOR UNIPOLAR</v>
          </cell>
        </row>
        <row r="3746">
          <cell r="B3746">
            <v>6131411</v>
          </cell>
          <cell r="C3746" t="str">
            <v>COO</v>
          </cell>
          <cell r="D3746" t="str">
            <v>FUSIBLE LIM.CTE.TP.INT. 10KV.  6A.P.PORTFUS.HERMET</v>
          </cell>
        </row>
        <row r="3747">
          <cell r="B3747">
            <v>6131411</v>
          </cell>
          <cell r="C3747" t="str">
            <v>HTE</v>
          </cell>
          <cell r="D3747" t="str">
            <v>FUSIBLE LIM.CTE.TP.INT. 10KV.  6A.P.PORTFUS.HERMET</v>
          </cell>
        </row>
        <row r="3748">
          <cell r="B3748">
            <v>6131413</v>
          </cell>
          <cell r="C3748" t="str">
            <v>COO</v>
          </cell>
          <cell r="D3748" t="str">
            <v>FUSIBLE LIM.CTE.TP.INT. 10KV.  8A.P.PORTFUS.HERMET</v>
          </cell>
        </row>
        <row r="3749">
          <cell r="B3749">
            <v>6131413</v>
          </cell>
          <cell r="C3749" t="str">
            <v>GEL</v>
          </cell>
          <cell r="D3749" t="str">
            <v>FUSIBLE LIM.CTE.TP.INT. 10KV.  8A.P.PORTFUS.HERMET</v>
          </cell>
        </row>
        <row r="3750">
          <cell r="B3750">
            <v>6131416</v>
          </cell>
          <cell r="C3750" t="str">
            <v>COO</v>
          </cell>
          <cell r="D3750" t="str">
            <v>FUSIBLE LIM.CTE.TP.INT.10KV.10AP/PORTAFUS.HERMET.UNIP.</v>
          </cell>
        </row>
        <row r="3751">
          <cell r="B3751">
            <v>6131416</v>
          </cell>
          <cell r="C3751" t="str">
            <v>HTE</v>
          </cell>
          <cell r="D3751" t="str">
            <v>FUSIBLE LIM.CTE.TP.INT.10KV.10AP/PORTAFUS.HERMET.UNIP.</v>
          </cell>
        </row>
        <row r="3752">
          <cell r="B3752">
            <v>6131418</v>
          </cell>
          <cell r="C3752" t="str">
            <v>COO</v>
          </cell>
          <cell r="D3752" t="str">
            <v>FUSIBLE LIM.CTE.TP.INT. 10KV. 12A.P.PORTFUS.HERMET</v>
          </cell>
        </row>
        <row r="3753">
          <cell r="B3753">
            <v>6131418</v>
          </cell>
          <cell r="C3753" t="str">
            <v>GEL</v>
          </cell>
          <cell r="D3753" t="str">
            <v>FUSIBLE LIM.CTE.TP.INT. 10KV. 12A.P.PORTFUS.HERMET</v>
          </cell>
        </row>
        <row r="3754">
          <cell r="B3754">
            <v>6131420</v>
          </cell>
          <cell r="C3754" t="str">
            <v>COO</v>
          </cell>
          <cell r="D3754" t="str">
            <v>FUSIBLE LIM.CTE.TP.INT.10KV.18A.P/PORTAFUS.HERMET.UNIP.</v>
          </cell>
        </row>
        <row r="3755">
          <cell r="B3755">
            <v>6131420</v>
          </cell>
          <cell r="C3755" t="str">
            <v>HTE</v>
          </cell>
          <cell r="D3755" t="str">
            <v>FUSIBLE LIM.CTE.TP.INT.10KV.18A.P/PORTAFUS.HERMET.UNIP.</v>
          </cell>
        </row>
        <row r="3756">
          <cell r="B3756">
            <v>6131422</v>
          </cell>
          <cell r="C3756" t="str">
            <v>COO</v>
          </cell>
          <cell r="D3756" t="str">
            <v>FUSIBLE LIM.CTE.TP.INT. 10KV. 20A.P.PORTFUS.HERMET</v>
          </cell>
        </row>
        <row r="3757">
          <cell r="B3757">
            <v>6131422</v>
          </cell>
          <cell r="C3757" t="str">
            <v>GEL</v>
          </cell>
          <cell r="D3757" t="str">
            <v>FUSIBLE LIM.CTE.TP.INT. 10KV. 20A.P.PORTFUS.HERMET</v>
          </cell>
        </row>
        <row r="3758">
          <cell r="B3758">
            <v>6131422</v>
          </cell>
          <cell r="C3758" t="str">
            <v>HTE</v>
          </cell>
          <cell r="D3758" t="str">
            <v>FUSIBLE LIM.CTE.TP.INT. 10KV. 20A.P.PORTFUS.HERMET</v>
          </cell>
        </row>
        <row r="3759">
          <cell r="B3759">
            <v>6131424</v>
          </cell>
          <cell r="C3759" t="str">
            <v>COO</v>
          </cell>
          <cell r="D3759" t="str">
            <v>FUSIBLE LIM.CTE.TP.INT.10KV.30A.P/PORTAFUS.HERMET.UNIP.</v>
          </cell>
        </row>
        <row r="3760">
          <cell r="B3760">
            <v>6131424</v>
          </cell>
          <cell r="C3760" t="str">
            <v>HTE</v>
          </cell>
          <cell r="D3760" t="str">
            <v>FUSIBLE LIM.CTE.TP.INT.10KV.30A.P/PORTAFUS.HERMET.UNIP.</v>
          </cell>
        </row>
        <row r="3761">
          <cell r="B3761">
            <v>6131428</v>
          </cell>
          <cell r="C3761" t="str">
            <v>COO</v>
          </cell>
          <cell r="D3761" t="str">
            <v>FUSIBLE LIM.CTE.TP.INT. 10KV. 40A.P.PORTFUS.HERMET</v>
          </cell>
        </row>
        <row r="3762">
          <cell r="B3762">
            <v>6131428</v>
          </cell>
          <cell r="C3762" t="str">
            <v>GEL</v>
          </cell>
          <cell r="D3762" t="str">
            <v>FUSIBLE LIM.CTE.TP.INT. 10KV. 40A.P.PORTFUS.HERMET</v>
          </cell>
        </row>
        <row r="3763">
          <cell r="B3763">
            <v>6131428</v>
          </cell>
          <cell r="C3763" t="str">
            <v>HTE</v>
          </cell>
          <cell r="D3763" t="str">
            <v>FUSIBLE LIM.CTE.TP.INT. 10KV. 40A.P.PORTFUS.HERMET</v>
          </cell>
        </row>
        <row r="3764">
          <cell r="B3764">
            <v>6131544</v>
          </cell>
          <cell r="C3764" t="str">
            <v>CHN</v>
          </cell>
          <cell r="D3764" t="str">
            <v>FUSIBLE EXPULSION   2.3/10KV.140A. P.FUS.SECC.UNIP</v>
          </cell>
        </row>
        <row r="3765">
          <cell r="B3765">
            <v>6131544</v>
          </cell>
          <cell r="C3765" t="str">
            <v>COO</v>
          </cell>
          <cell r="D3765" t="str">
            <v>FUSIBLE EXPULSION   2.3/10KV.140A. P.FUS.SECC.UNIP</v>
          </cell>
        </row>
        <row r="3766">
          <cell r="B3766">
            <v>6131544</v>
          </cell>
          <cell r="C3766" t="str">
            <v>KEA</v>
          </cell>
          <cell r="D3766" t="str">
            <v>FUSIBLE EXPULSION   2.3/10KV.140A. P.FUS.SECC.UNIP</v>
          </cell>
        </row>
        <row r="3767">
          <cell r="B3767">
            <v>6131544</v>
          </cell>
          <cell r="C3767" t="str">
            <v>SCE</v>
          </cell>
          <cell r="D3767" t="str">
            <v>FUSIBLE EXPULSION   2.3/10KV.140A. P.FUS.SECC.UNIP</v>
          </cell>
        </row>
        <row r="3768">
          <cell r="B3768">
            <v>6131554</v>
          </cell>
          <cell r="C3768" t="str">
            <v>CHN</v>
          </cell>
          <cell r="D3768" t="str">
            <v>FUSIBLE EXPULSION   2.3/10KV.200A. P.FUS.SECC.UNIP</v>
          </cell>
        </row>
        <row r="3769">
          <cell r="B3769">
            <v>6131554</v>
          </cell>
          <cell r="C3769" t="str">
            <v>COO</v>
          </cell>
          <cell r="D3769" t="str">
            <v>FUSIBLE EXPULSION   2.3/10KV.200A. P.FUS.SECC.UNIP</v>
          </cell>
        </row>
        <row r="3770">
          <cell r="B3770">
            <v>6131554</v>
          </cell>
          <cell r="C3770" t="str">
            <v>KEA</v>
          </cell>
          <cell r="D3770" t="str">
            <v>FUSIBLE EXPULSION   2.3/10KV.200A. P.FUS.SECC.UNIP</v>
          </cell>
        </row>
        <row r="3771">
          <cell r="B3771">
            <v>6131554</v>
          </cell>
          <cell r="C3771" t="str">
            <v>SCE</v>
          </cell>
          <cell r="D3771" t="str">
            <v>FUSIBLE EXPULSION   2.3/10KV.200A. P.FUS.SECC.UNIP</v>
          </cell>
        </row>
        <row r="3772">
          <cell r="B3772">
            <v>6131608</v>
          </cell>
          <cell r="C3772" t="str">
            <v>ABH</v>
          </cell>
          <cell r="D3772" t="str">
            <v>FUSIBLE DE EXPULSION TIPO K - ANSI CABEZA REMOVIBLE 1A 36KV P.SECCIONADOR FUSIBLE UNIPOLAR</v>
          </cell>
        </row>
        <row r="3773">
          <cell r="B3773">
            <v>6131608</v>
          </cell>
          <cell r="C3773" t="str">
            <v>ABH</v>
          </cell>
          <cell r="D3773" t="str">
            <v>FUSIBLE DE EXPULSION TIPO K - ANSI CABEZA REMOVIBLE 1A 36KV P.SECCIONADOR FUSIBLE UNIPOLAR</v>
          </cell>
        </row>
        <row r="3774">
          <cell r="B3774">
            <v>6131608</v>
          </cell>
          <cell r="C3774" t="str">
            <v>KEA</v>
          </cell>
          <cell r="D3774" t="str">
            <v>FUSIBLE DE EXPULSION TIPO K - ANSI CABEZA REMOVIBLE 1A 36KV P.SECCIONADOR FUSIBLE UNIPOLAR</v>
          </cell>
        </row>
        <row r="3775">
          <cell r="B3775">
            <v>6131608</v>
          </cell>
          <cell r="C3775" t="str">
            <v>KEA</v>
          </cell>
          <cell r="D3775" t="str">
            <v>FUSIBLE DE EXPULSION TIPO K - ANSI CABEZA REMOVIBLE 1A 36KV P.SECCIONADOR FUSIBLE UNIPOLAR</v>
          </cell>
        </row>
        <row r="3776">
          <cell r="B3776">
            <v>6131608</v>
          </cell>
          <cell r="C3776" t="str">
            <v>SCE</v>
          </cell>
          <cell r="D3776" t="str">
            <v>FUSIBLE DE EXPULSION TIPO K - ANSI CABEZA REMOVIBLE 1A 36KV P.SECCIONADOR FUSIBLE UNIPOLAR</v>
          </cell>
        </row>
        <row r="3777">
          <cell r="B3777">
            <v>6131610</v>
          </cell>
          <cell r="C3777" t="str">
            <v>ABH</v>
          </cell>
          <cell r="D3777" t="str">
            <v>FUSIBLE DE EXPULSION TIPO K - ANSI CABEZA REMOVIBLE 3A 36KV P.SECCIONADOR FUSIBLE UNIPOLAR</v>
          </cell>
        </row>
        <row r="3778">
          <cell r="B3778">
            <v>6131610</v>
          </cell>
          <cell r="C3778" t="str">
            <v>ABH</v>
          </cell>
          <cell r="D3778" t="str">
            <v>FUSIBLE DE EXPULSION TIPO K - ANSI CABEZA REMOVIBLE 3A 36KV P.SECCIONADOR FUSIBLE UNIPOLAR</v>
          </cell>
        </row>
        <row r="3779">
          <cell r="B3779">
            <v>6131610</v>
          </cell>
          <cell r="C3779" t="str">
            <v>KEA</v>
          </cell>
          <cell r="D3779" t="str">
            <v>FUSIBLE DE EXPULSION TIPO K - ANSI CABEZA REMOVIBLE 3A 36KV P.SECCIONADOR FUSIBLE UNIPOLAR</v>
          </cell>
        </row>
        <row r="3780">
          <cell r="B3780">
            <v>6131610</v>
          </cell>
          <cell r="C3780" t="str">
            <v>KEA</v>
          </cell>
          <cell r="D3780" t="str">
            <v>FUSIBLE DE EXPULSION TIPO K - ANSI CABEZA REMOVIBLE 3A 36KV P.SECCIONADOR FUSIBLE UNIPOLAR</v>
          </cell>
        </row>
        <row r="3781">
          <cell r="B3781">
            <v>6131610</v>
          </cell>
          <cell r="C3781" t="str">
            <v>SCE</v>
          </cell>
          <cell r="D3781" t="str">
            <v>FUSIBLE DE EXPULSION TIPO K - ANSI CABEZA REMOVIBLE 3A 36KV P.SECCIONADOR FUSIBLE UNIPOLAR</v>
          </cell>
        </row>
        <row r="3782">
          <cell r="B3782">
            <v>6131611</v>
          </cell>
          <cell r="C3782" t="str">
            <v>ABH</v>
          </cell>
          <cell r="D3782" t="str">
            <v>FUSIBLE DE EXPULSION TIPO K - ANSI CABEZA REMOVIBLE 6A 36KV P.SECCIONADOR FUSIBLE UNIPOLAR</v>
          </cell>
        </row>
        <row r="3783">
          <cell r="B3783">
            <v>6131611</v>
          </cell>
          <cell r="C3783" t="str">
            <v>ABH</v>
          </cell>
          <cell r="D3783" t="str">
            <v>FUSIBLE DE EXPULSION TIPO K - ANSI CABEZA REMOVIBLE 6A 36KV P.SECCIONADOR FUSIBLE UNIPOLAR</v>
          </cell>
        </row>
        <row r="3784">
          <cell r="B3784">
            <v>6131611</v>
          </cell>
          <cell r="C3784" t="str">
            <v>KEA</v>
          </cell>
          <cell r="D3784" t="str">
            <v>FUSIBLE DE EXPULSION TIPO K - ANSI CABEZA REMOVIBLE 6A 36KV P.SECCIONADOR FUSIBLE UNIPOLAR</v>
          </cell>
        </row>
        <row r="3785">
          <cell r="B3785">
            <v>6131611</v>
          </cell>
          <cell r="C3785" t="str">
            <v>KEA</v>
          </cell>
          <cell r="D3785" t="str">
            <v>FUSIBLE DE EXPULSION TIPO K - ANSI CABEZA REMOVIBLE 6A 36KV P.SECCIONADOR FUSIBLE UNIPOLAR</v>
          </cell>
        </row>
        <row r="3786">
          <cell r="B3786">
            <v>6131611</v>
          </cell>
          <cell r="C3786" t="str">
            <v>SCE</v>
          </cell>
          <cell r="D3786" t="str">
            <v>FUSIBLE DE EXPULSION TIPO K - ANSI CABEZA REMOVIBLE 6A 36KV P.SECCIONADOR FUSIBLE UNIPOLAR</v>
          </cell>
        </row>
        <row r="3787">
          <cell r="B3787">
            <v>6131612</v>
          </cell>
          <cell r="C3787" t="str">
            <v>ABH</v>
          </cell>
          <cell r="D3787" t="str">
            <v>FUSIBLE DE EXPULSION TIPO K - ANSI CABEZA REMOVIBLE 5A 36KV P.SECCIONADOR FUSIBLE UNIPOLAR</v>
          </cell>
        </row>
        <row r="3788">
          <cell r="B3788">
            <v>6131612</v>
          </cell>
          <cell r="C3788" t="str">
            <v>ABH</v>
          </cell>
          <cell r="D3788" t="str">
            <v>FUSIBLE DE EXPULSION TIPO K - ANSI CABEZA REMOVIBLE 5A 36KV P.SECCIONADOR FUSIBLE UNIPOLAR</v>
          </cell>
        </row>
        <row r="3789">
          <cell r="B3789">
            <v>6131612</v>
          </cell>
          <cell r="C3789" t="str">
            <v>KEA</v>
          </cell>
          <cell r="D3789" t="str">
            <v>FUSIBLE DE EXPULSION TIPO K - ANSI CABEZA REMOVIBLE 5A 36KV P.SECCIONADOR FUSIBLE UNIPOLAR</v>
          </cell>
        </row>
        <row r="3790">
          <cell r="B3790">
            <v>6131612</v>
          </cell>
          <cell r="C3790" t="str">
            <v>KEA</v>
          </cell>
          <cell r="D3790" t="str">
            <v>FUSIBLE DE EXPULSION TIPO K - ANSI CABEZA REMOVIBLE 5A 36KV P.SECCIONADOR FUSIBLE UNIPOLAR</v>
          </cell>
        </row>
        <row r="3791">
          <cell r="B3791">
            <v>6131612</v>
          </cell>
          <cell r="C3791" t="str">
            <v>SCE</v>
          </cell>
          <cell r="D3791" t="str">
            <v>FUSIBLE DE EXPULSION TIPO K - ANSI CABEZA REMOVIBLE 5A 36KV P.SECCIONADOR FUSIBLE UNIPOLAR</v>
          </cell>
        </row>
        <row r="3792">
          <cell r="B3792">
            <v>6131615</v>
          </cell>
          <cell r="C3792" t="str">
            <v>ABH</v>
          </cell>
          <cell r="D3792" t="str">
            <v>FUSIBLE DE EXPULSION TIPO K - ANSI CABEZA REMOVIBLE 8A 36KV P.SECCIONADOR FUSIBLE UNIPOLAR</v>
          </cell>
        </row>
        <row r="3793">
          <cell r="B3793">
            <v>6131615</v>
          </cell>
          <cell r="C3793" t="str">
            <v>ABH</v>
          </cell>
          <cell r="D3793" t="str">
            <v>FUSIBLE DE EXPULSION TIPO K - ANSI CABEZA REMOVIBLE 8A 36KV P.SECCIONADOR FUSIBLE UNIPOLAR</v>
          </cell>
        </row>
        <row r="3794">
          <cell r="B3794">
            <v>6131615</v>
          </cell>
          <cell r="C3794" t="str">
            <v>KEA</v>
          </cell>
          <cell r="D3794" t="str">
            <v>FUSIBLE DE EXPULSION TIPO K - ANSI CABEZA REMOVIBLE 8A 36KV P.SECCIONADOR FUSIBLE UNIPOLAR</v>
          </cell>
        </row>
        <row r="3795">
          <cell r="B3795">
            <v>6131615</v>
          </cell>
          <cell r="C3795" t="str">
            <v>KEA</v>
          </cell>
          <cell r="D3795" t="str">
            <v>FUSIBLE DE EXPULSION TIPO K - ANSI CABEZA REMOVIBLE 8A 36KV P.SECCIONADOR FUSIBLE UNIPOLAR</v>
          </cell>
        </row>
        <row r="3796">
          <cell r="B3796">
            <v>6131615</v>
          </cell>
          <cell r="C3796" t="str">
            <v>SCE</v>
          </cell>
          <cell r="D3796" t="str">
            <v>FUSIBLE DE EXPULSION TIPO K - ANSI CABEZA REMOVIBLE 8A 36KV P.SECCIONADOR FUSIBLE UNIPOLAR</v>
          </cell>
        </row>
        <row r="3797">
          <cell r="B3797">
            <v>6131616</v>
          </cell>
          <cell r="C3797" t="str">
            <v>ABH</v>
          </cell>
          <cell r="D3797" t="str">
            <v>FUSIBLE DE EXPULSION TIPO K - ANSI CABEZA REMOVIBLE 10A 36KV P.SECCIONADOR FUSIBLE UNIPOLAR</v>
          </cell>
        </row>
        <row r="3798">
          <cell r="B3798">
            <v>6131616</v>
          </cell>
          <cell r="C3798" t="str">
            <v>ABH</v>
          </cell>
          <cell r="D3798" t="str">
            <v>FUSIBLE DE EXPULSION TIPO K - ANSI CABEZA REMOVIBLE 10A 36KV P.SECCIONADOR FUSIBLE UNIPOLAR</v>
          </cell>
        </row>
        <row r="3799">
          <cell r="B3799">
            <v>6131616</v>
          </cell>
          <cell r="C3799" t="str">
            <v>KEA</v>
          </cell>
          <cell r="D3799" t="str">
            <v>FUSIBLE DE EXPULSION TIPO K - ANSI CABEZA REMOVIBLE 10A 36KV P.SECCIONADOR FUSIBLE UNIPOLAR</v>
          </cell>
        </row>
        <row r="3800">
          <cell r="B3800">
            <v>6131616</v>
          </cell>
          <cell r="C3800" t="str">
            <v>KEA</v>
          </cell>
          <cell r="D3800" t="str">
            <v>FUSIBLE DE EXPULSION TIPO K - ANSI CABEZA REMOVIBLE 10A 36KV P.SECCIONADOR FUSIBLE UNIPOLAR</v>
          </cell>
        </row>
        <row r="3801">
          <cell r="B3801">
            <v>6131616</v>
          </cell>
          <cell r="C3801" t="str">
            <v>SCE</v>
          </cell>
          <cell r="D3801" t="str">
            <v>FUSIBLE DE EXPULSION TIPO K - ANSI CABEZA REMOVIBLE 10A 36KV P.SECCIONADOR FUSIBLE UNIPOLAR</v>
          </cell>
        </row>
        <row r="3802">
          <cell r="B3802">
            <v>6131617</v>
          </cell>
          <cell r="C3802" t="str">
            <v>ABH</v>
          </cell>
          <cell r="D3802" t="str">
            <v>FUSIBLE DE EXPULSION TIPO K - ANSI CABEZA REMOVIBLE 12A 36KV P.SECCIONADOR FUSIBLE UNIPOLAR</v>
          </cell>
        </row>
        <row r="3803">
          <cell r="B3803">
            <v>6131617</v>
          </cell>
          <cell r="C3803" t="str">
            <v>ABH</v>
          </cell>
          <cell r="D3803" t="str">
            <v>FUSIBLE DE EXPULSION TIPO K - ANSI CABEZA REMOVIBLE 12A 36KV P.SECCIONADOR FUSIBLE UNIPOLAR</v>
          </cell>
        </row>
        <row r="3804">
          <cell r="B3804">
            <v>6131617</v>
          </cell>
          <cell r="C3804" t="str">
            <v>KEA</v>
          </cell>
          <cell r="D3804" t="str">
            <v>FUSIBLE DE EXPULSION TIPO K - ANSI CABEZA REMOVIBLE 12A 36KV P.SECCIONADOR FUSIBLE UNIPOLAR</v>
          </cell>
        </row>
        <row r="3805">
          <cell r="B3805">
            <v>6131617</v>
          </cell>
          <cell r="C3805" t="str">
            <v>KEA</v>
          </cell>
          <cell r="D3805" t="str">
            <v>FUSIBLE DE EXPULSION TIPO K - ANSI CABEZA REMOVIBLE 12A 36KV P.SECCIONADOR FUSIBLE UNIPOLAR</v>
          </cell>
        </row>
        <row r="3806">
          <cell r="B3806">
            <v>6131617</v>
          </cell>
          <cell r="C3806" t="str">
            <v>SCE</v>
          </cell>
          <cell r="D3806" t="str">
            <v>FUSIBLE DE EXPULSION TIPO K - ANSI CABEZA REMOVIBLE 12A 36KV P.SECCIONADOR FUSIBLE UNIPOLAR</v>
          </cell>
        </row>
        <row r="3807">
          <cell r="B3807">
            <v>6131619</v>
          </cell>
          <cell r="C3807" t="str">
            <v>ABH</v>
          </cell>
          <cell r="D3807" t="str">
            <v>FUSIBLE DE EXPULSION TIPO K - ANSI CABEZA REMOVIBLE 15A 36KV P.SECCIONADOR FUSIBLE UNIPOLAR</v>
          </cell>
        </row>
        <row r="3808">
          <cell r="B3808">
            <v>6131619</v>
          </cell>
          <cell r="C3808" t="str">
            <v>ABH</v>
          </cell>
          <cell r="D3808" t="str">
            <v>FUSIBLE DE EXPULSION TIPO K - ANSI CABEZA REMOVIBLE 15A 36KV P.SECCIONADOR FUSIBLE UNIPOLAR</v>
          </cell>
        </row>
        <row r="3809">
          <cell r="B3809">
            <v>6131619</v>
          </cell>
          <cell r="C3809" t="str">
            <v>KEA</v>
          </cell>
          <cell r="D3809" t="str">
            <v>FUSIBLE DE EXPULSION TIPO K - ANSI CABEZA REMOVIBLE 15A 36KV P.SECCIONADOR FUSIBLE UNIPOLAR</v>
          </cell>
        </row>
        <row r="3810">
          <cell r="B3810">
            <v>6131619</v>
          </cell>
          <cell r="C3810" t="str">
            <v>KEA</v>
          </cell>
          <cell r="D3810" t="str">
            <v>FUSIBLE DE EXPULSION TIPO K - ANSI CABEZA REMOVIBLE 15A 36KV P.SECCIONADOR FUSIBLE UNIPOLAR</v>
          </cell>
        </row>
        <row r="3811">
          <cell r="B3811">
            <v>6131619</v>
          </cell>
          <cell r="C3811" t="str">
            <v>SCE</v>
          </cell>
          <cell r="D3811" t="str">
            <v>FUSIBLE DE EXPULSION TIPO K - ANSI CABEZA REMOVIBLE 15A 36KV P.SECCIONADOR FUSIBLE UNIPOLAR</v>
          </cell>
        </row>
        <row r="3812">
          <cell r="B3812">
            <v>6131622</v>
          </cell>
          <cell r="C3812" t="str">
            <v>ABH</v>
          </cell>
          <cell r="D3812" t="str">
            <v>FUSIBLE DE EXPULSION TIPO K - ANSI CABEZA REMOVIBLE 20A 36KV P.SECCIONADOR FUSIBLE UNIPOLAR</v>
          </cell>
        </row>
        <row r="3813">
          <cell r="B3813">
            <v>6131622</v>
          </cell>
          <cell r="C3813" t="str">
            <v>ABH</v>
          </cell>
          <cell r="D3813" t="str">
            <v>FUSIBLE DE EXPULSION TIPO K - ANSI CABEZA REMOVIBLE 20A 36KV P.SECCIONADOR FUSIBLE UNIPOLAR</v>
          </cell>
        </row>
        <row r="3814">
          <cell r="B3814">
            <v>6131622</v>
          </cell>
          <cell r="C3814" t="str">
            <v>KEA</v>
          </cell>
          <cell r="D3814" t="str">
            <v>FUSIBLE DE EXPULSION TIPO K - ANSI CABEZA REMOVIBLE 20A 36KV P.SECCIONADOR FUSIBLE UNIPOLAR</v>
          </cell>
        </row>
        <row r="3815">
          <cell r="B3815">
            <v>6131622</v>
          </cell>
          <cell r="C3815" t="str">
            <v>KEA</v>
          </cell>
          <cell r="D3815" t="str">
            <v>FUSIBLE DE EXPULSION TIPO K - ANSI CABEZA REMOVIBLE 20A 36KV P.SECCIONADOR FUSIBLE UNIPOLAR</v>
          </cell>
        </row>
        <row r="3816">
          <cell r="B3816">
            <v>6131622</v>
          </cell>
          <cell r="C3816" t="str">
            <v>SCE</v>
          </cell>
          <cell r="D3816" t="str">
            <v>FUSIBLE DE EXPULSION TIPO K - ANSI CABEZA REMOVIBLE 20A 36KV P.SECCIONADOR FUSIBLE UNIPOLAR</v>
          </cell>
        </row>
        <row r="3817">
          <cell r="B3817">
            <v>6131623</v>
          </cell>
          <cell r="C3817" t="str">
            <v>ABH</v>
          </cell>
          <cell r="D3817" t="str">
            <v>FUSIBLE DE EXPULSION TIPO K - ANSI CABEZA REMOVIBLE 25A 36KV P.SECCIONADOR FUSIBLE UNIPOLAR</v>
          </cell>
        </row>
        <row r="3818">
          <cell r="B3818">
            <v>6131623</v>
          </cell>
          <cell r="C3818" t="str">
            <v>ABH</v>
          </cell>
          <cell r="D3818" t="str">
            <v>FUSIBLE DE EXPULSION TIPO K - ANSI CABEZA REMOVIBLE 25A 36KV P.SECCIONADOR FUSIBLE UNIPOLAR</v>
          </cell>
        </row>
        <row r="3819">
          <cell r="B3819">
            <v>6131623</v>
          </cell>
          <cell r="C3819" t="str">
            <v>KEA</v>
          </cell>
          <cell r="D3819" t="str">
            <v>FUSIBLE DE EXPULSION TIPO K - ANSI CABEZA REMOVIBLE 25A 36KV P.SECCIONADOR FUSIBLE UNIPOLAR</v>
          </cell>
        </row>
        <row r="3820">
          <cell r="B3820">
            <v>6131623</v>
          </cell>
          <cell r="C3820" t="str">
            <v>KEA</v>
          </cell>
          <cell r="D3820" t="str">
            <v>FUSIBLE DE EXPULSION TIPO K - ANSI CABEZA REMOVIBLE 25A 36KV P.SECCIONADOR FUSIBLE UNIPOLAR</v>
          </cell>
        </row>
        <row r="3821">
          <cell r="B3821">
            <v>6131623</v>
          </cell>
          <cell r="C3821" t="str">
            <v>SCE</v>
          </cell>
          <cell r="D3821" t="str">
            <v>FUSIBLE DE EXPULSION TIPO K - ANSI CABEZA REMOVIBLE 25A 36KV P.SECCIONADOR FUSIBLE UNIPOLAR</v>
          </cell>
        </row>
        <row r="3822">
          <cell r="B3822">
            <v>6131624</v>
          </cell>
          <cell r="C3822" t="str">
            <v>ABH</v>
          </cell>
          <cell r="D3822" t="str">
            <v>FUSIBLE DE EXPULSION TIPO K - ANSI CABEZA REMOVIBLE 30A 36KV P.SECCIONADOR FUSIBLE UNIPOLAR</v>
          </cell>
        </row>
        <row r="3823">
          <cell r="B3823">
            <v>6131624</v>
          </cell>
          <cell r="C3823" t="str">
            <v>ABH</v>
          </cell>
          <cell r="D3823" t="str">
            <v>FUSIBLE DE EXPULSION TIPO K - ANSI CABEZA REMOVIBLE 30A 36KV P.SECCIONADOR FUSIBLE UNIPOLAR</v>
          </cell>
        </row>
        <row r="3824">
          <cell r="B3824">
            <v>6131624</v>
          </cell>
          <cell r="C3824" t="str">
            <v>KEA</v>
          </cell>
          <cell r="D3824" t="str">
            <v>FUSIBLE DE EXPULSION TIPO K - ANSI CABEZA REMOVIBLE 30A 36KV P.SECCIONADOR FUSIBLE UNIPOLAR</v>
          </cell>
        </row>
        <row r="3825">
          <cell r="B3825">
            <v>6131624</v>
          </cell>
          <cell r="C3825" t="str">
            <v>KEA</v>
          </cell>
          <cell r="D3825" t="str">
            <v>FUSIBLE DE EXPULSION TIPO K - ANSI CABEZA REMOVIBLE 30A 36KV P.SECCIONADOR FUSIBLE UNIPOLAR</v>
          </cell>
        </row>
        <row r="3826">
          <cell r="B3826">
            <v>6131624</v>
          </cell>
          <cell r="C3826" t="str">
            <v>SCE</v>
          </cell>
          <cell r="D3826" t="str">
            <v>FUSIBLE DE EXPULSION TIPO K - ANSI CABEZA REMOVIBLE 30A 36KV P.SECCIONADOR FUSIBLE UNIPOLAR</v>
          </cell>
        </row>
        <row r="3827">
          <cell r="B3827">
            <v>6131628</v>
          </cell>
          <cell r="C3827" t="str">
            <v>ABH</v>
          </cell>
          <cell r="D3827" t="str">
            <v>FUSIBLE EXPULSION 10KV. 40A.P.FUS.SECC.UNIP.INTEMP</v>
          </cell>
        </row>
        <row r="3828">
          <cell r="B3828">
            <v>6131628</v>
          </cell>
          <cell r="C3828" t="str">
            <v>ABH</v>
          </cell>
          <cell r="D3828" t="str">
            <v>FUSIBLE EXPULSION 10KV. 40A.P.FUS.SECC.UNIP.INTEMP</v>
          </cell>
        </row>
        <row r="3829">
          <cell r="B3829">
            <v>6131628</v>
          </cell>
          <cell r="C3829" t="str">
            <v>KEA</v>
          </cell>
          <cell r="D3829" t="str">
            <v>FUSIBLE EXPULSION 10KV. 40A.P.FUS.SECC.UNIP.INTEMP</v>
          </cell>
        </row>
        <row r="3830">
          <cell r="B3830">
            <v>6131628</v>
          </cell>
          <cell r="C3830" t="str">
            <v>KEA</v>
          </cell>
          <cell r="D3830" t="str">
            <v>FUSIBLE EXPULSION 10KV. 40A.P.FUS.SECC.UNIP.INTEMP</v>
          </cell>
        </row>
        <row r="3831">
          <cell r="B3831">
            <v>6131628</v>
          </cell>
          <cell r="C3831" t="str">
            <v>SCE</v>
          </cell>
          <cell r="D3831" t="str">
            <v>FUSIBLE EXPULSION 10KV. 40A.P.FUS.SECC.UNIP.INTEMP</v>
          </cell>
        </row>
        <row r="3832">
          <cell r="B3832">
            <v>6131630</v>
          </cell>
          <cell r="C3832" t="str">
            <v>CHN</v>
          </cell>
          <cell r="D3832" t="str">
            <v>FUSIBLE EXPULSION 10KV. 50A.P.FUS.SECC.UNIP.INTEMP</v>
          </cell>
        </row>
        <row r="3833">
          <cell r="B3833">
            <v>6131630</v>
          </cell>
          <cell r="C3833" t="str">
            <v>CHN</v>
          </cell>
          <cell r="D3833" t="str">
            <v>FUSIBLE EXPULSION 10KV. 50A.P.FUS.SECC.UNIP.INTEMP</v>
          </cell>
        </row>
        <row r="3834">
          <cell r="B3834">
            <v>6131630</v>
          </cell>
          <cell r="C3834" t="str">
            <v>KEA</v>
          </cell>
          <cell r="D3834" t="str">
            <v>FUSIBLE EXPULSION 10KV. 50A.P.FUS.SECC.UNIP.INTEMP</v>
          </cell>
        </row>
        <row r="3835">
          <cell r="B3835">
            <v>6131630</v>
          </cell>
          <cell r="C3835" t="str">
            <v>SCE</v>
          </cell>
          <cell r="D3835" t="str">
            <v>FUSIBLE EXPULSION 10KV. 50A.P.FUS.SECC.UNIP.INTEMP</v>
          </cell>
        </row>
        <row r="3836">
          <cell r="B3836">
            <v>6131634</v>
          </cell>
          <cell r="C3836" t="str">
            <v>ABH</v>
          </cell>
          <cell r="D3836" t="str">
            <v>FUSIBLE DE EXPULSION TIPO K - ANSI CABEZA REMOVIBLE 65A 36KV P.SECCIONADOR FUSIBLE UNIPOLAR</v>
          </cell>
        </row>
        <row r="3837">
          <cell r="B3837">
            <v>6131634</v>
          </cell>
          <cell r="C3837" t="str">
            <v>ABH</v>
          </cell>
          <cell r="D3837" t="str">
            <v>FUSIBLE DE EXPULSION TIPO K - ANSI CABEZA REMOVIBLE 65A 36KV P.SECCIONADOR FUSIBLE UNIPOLAR</v>
          </cell>
        </row>
        <row r="3838">
          <cell r="B3838">
            <v>6131634</v>
          </cell>
          <cell r="C3838" t="str">
            <v>KEA</v>
          </cell>
          <cell r="D3838" t="str">
            <v>FUSIBLE DE EXPULSION TIPO K - ANSI CABEZA REMOVIBLE 65A 36KV P.SECCIONADOR FUSIBLE UNIPOLAR</v>
          </cell>
        </row>
        <row r="3839">
          <cell r="B3839">
            <v>6131634</v>
          </cell>
          <cell r="C3839" t="str">
            <v>KEA</v>
          </cell>
          <cell r="D3839" t="str">
            <v>FUSIBLE DE EXPULSION TIPO K - ANSI CABEZA REMOVIBLE 65A 36KV P.SECCIONADOR FUSIBLE UNIPOLAR</v>
          </cell>
        </row>
        <row r="3840">
          <cell r="B3840">
            <v>6131634</v>
          </cell>
          <cell r="C3840" t="str">
            <v>SCE</v>
          </cell>
          <cell r="D3840" t="str">
            <v>FUSIBLE DE EXPULSION TIPO K - ANSI CABEZA REMOVIBLE 65A 36KV P.SECCIONADOR FUSIBLE UNIPOLAR</v>
          </cell>
        </row>
        <row r="3841">
          <cell r="B3841">
            <v>6131638</v>
          </cell>
          <cell r="C3841" t="str">
            <v>ABH</v>
          </cell>
          <cell r="D3841" t="str">
            <v>FUSIBLE DE EXPULSION TIPO K - ANSI CABEZA REMOVIBLE 80A 36KV P.SECCIONADOR FUSIBLE UNIPOLAR</v>
          </cell>
        </row>
        <row r="3842">
          <cell r="B3842">
            <v>6131638</v>
          </cell>
          <cell r="C3842" t="str">
            <v>ABH</v>
          </cell>
          <cell r="D3842" t="str">
            <v>FUSIBLE DE EXPULSION TIPO K - ANSI CABEZA REMOVIBLE 80A 36KV P.SECCIONADOR FUSIBLE UNIPOLAR</v>
          </cell>
        </row>
        <row r="3843">
          <cell r="B3843">
            <v>6131638</v>
          </cell>
          <cell r="C3843" t="str">
            <v>KEA</v>
          </cell>
          <cell r="D3843" t="str">
            <v>FUSIBLE DE EXPULSION TIPO K - ANSI CABEZA REMOVIBLE 80A 36KV P.SECCIONADOR FUSIBLE UNIPOLAR</v>
          </cell>
        </row>
        <row r="3844">
          <cell r="B3844">
            <v>6131638</v>
          </cell>
          <cell r="C3844" t="str">
            <v>KEA</v>
          </cell>
          <cell r="D3844" t="str">
            <v>FUSIBLE DE EXPULSION TIPO K - ANSI CABEZA REMOVIBLE 80A 36KV P.SECCIONADOR FUSIBLE UNIPOLAR</v>
          </cell>
        </row>
        <row r="3845">
          <cell r="B3845">
            <v>6131638</v>
          </cell>
          <cell r="C3845" t="str">
            <v>SCE</v>
          </cell>
          <cell r="D3845" t="str">
            <v>FUSIBLE DE EXPULSION TIPO K - ANSI CABEZA REMOVIBLE 80A 36KV P.SECCIONADOR FUSIBLE UNIPOLAR</v>
          </cell>
        </row>
        <row r="3846">
          <cell r="B3846">
            <v>6131642</v>
          </cell>
          <cell r="C3846" t="str">
            <v>ABH</v>
          </cell>
          <cell r="D3846" t="str">
            <v>FUSIBLE DE EXPULSION TIPO K - ANSI CABEZA REMOVIBLE 100A 36KV P.SECCIONADOR FUSIBLE UNIPOLAR</v>
          </cell>
        </row>
        <row r="3847">
          <cell r="B3847">
            <v>6131642</v>
          </cell>
          <cell r="C3847" t="str">
            <v>ABH</v>
          </cell>
          <cell r="D3847" t="str">
            <v>FUSIBLE DE EXPULSION TIPO K - ANSI CABEZA REMOVIBLE 100A 36KV P.SECCIONADOR FUSIBLE UNIPOLAR</v>
          </cell>
        </row>
        <row r="3848">
          <cell r="B3848">
            <v>6131642</v>
          </cell>
          <cell r="C3848" t="str">
            <v>KEA</v>
          </cell>
          <cell r="D3848" t="str">
            <v>FUSIBLE DE EXPULSION TIPO K - ANSI CABEZA REMOVIBLE 100A 36KV P.SECCIONADOR FUSIBLE UNIPOLAR</v>
          </cell>
        </row>
        <row r="3849">
          <cell r="B3849">
            <v>6131642</v>
          </cell>
          <cell r="C3849" t="str">
            <v>KEA</v>
          </cell>
          <cell r="D3849" t="str">
            <v>FUSIBLE DE EXPULSION TIPO K - ANSI CABEZA REMOVIBLE 100A 36KV P.SECCIONADOR FUSIBLE UNIPOLAR</v>
          </cell>
        </row>
        <row r="3850">
          <cell r="B3850">
            <v>6131642</v>
          </cell>
          <cell r="C3850" t="str">
            <v>SCE</v>
          </cell>
          <cell r="D3850" t="str">
            <v>FUSIBLE DE EXPULSION TIPO K - ANSI CABEZA REMOVIBLE 100A 36KV P.SECCIONADOR FUSIBLE UNIPOLAR</v>
          </cell>
        </row>
        <row r="3851">
          <cell r="B3851">
            <v>6131648</v>
          </cell>
          <cell r="C3851" t="str">
            <v>ABH</v>
          </cell>
          <cell r="D3851" t="str">
            <v>FUSIBLE DE EXPULSION TIPO K - ANSI CABEZA REMOVIBLE 200A 36KV P.SECCIONADOR FUSIBLE UNIPOLAR</v>
          </cell>
        </row>
        <row r="3852">
          <cell r="B3852">
            <v>6131648</v>
          </cell>
          <cell r="C3852" t="str">
            <v>ABH</v>
          </cell>
          <cell r="D3852" t="str">
            <v>FUSIBLE DE EXPULSION TIPO K - ANSI CABEZA REMOVIBLE 200A 36KV P.SECCIONADOR FUSIBLE UNIPOLAR</v>
          </cell>
        </row>
        <row r="3853">
          <cell r="B3853">
            <v>6131648</v>
          </cell>
          <cell r="C3853" t="str">
            <v>KEA</v>
          </cell>
          <cell r="D3853" t="str">
            <v>FUSIBLE DE EXPULSION TIPO K - ANSI CABEZA REMOVIBLE 200A 36KV P.SECCIONADOR FUSIBLE UNIPOLAR</v>
          </cell>
        </row>
        <row r="3854">
          <cell r="B3854">
            <v>6131648</v>
          </cell>
          <cell r="C3854" t="str">
            <v>KEA</v>
          </cell>
          <cell r="D3854" t="str">
            <v>FUSIBLE DE EXPULSION TIPO K - ANSI CABEZA REMOVIBLE 200A 36KV P.SECCIONADOR FUSIBLE UNIPOLAR</v>
          </cell>
        </row>
        <row r="3855">
          <cell r="B3855">
            <v>6131648</v>
          </cell>
          <cell r="C3855" t="str">
            <v>SCE</v>
          </cell>
          <cell r="D3855" t="str">
            <v>FUSIBLE DE EXPULSION TIPO K - ANSI CABEZA REMOVIBLE 200A 36KV P.SECCIONADOR FUSIBLE UNIPOLAR</v>
          </cell>
        </row>
        <row r="3856">
          <cell r="B3856">
            <v>6132342</v>
          </cell>
          <cell r="C3856" t="str">
            <v>EFN</v>
          </cell>
          <cell r="D3856" t="str">
            <v>FUSIBLE LIMITADOR DE CORRIENTE TP.INTERIOR 100A 10KV 31,5KA P.SECCIONADOR FUSIBLE DE POTENCIA</v>
          </cell>
        </row>
        <row r="3857">
          <cell r="B3857">
            <v>6132342</v>
          </cell>
          <cell r="C3857" t="str">
            <v>EFN</v>
          </cell>
          <cell r="D3857" t="str">
            <v>FUSIBLE LIMITADOR DE CORRIENTE TP.INTERIOR 100A 10KV 31,5KA P.SECCIONADOR FUSIBLE DE POTENCIA</v>
          </cell>
        </row>
        <row r="3858">
          <cell r="B3858">
            <v>6132342</v>
          </cell>
          <cell r="C3858" t="str">
            <v>SBA</v>
          </cell>
          <cell r="D3858" t="str">
            <v>FUSIBLE LIMITADOR DE CORRIENTE TP.INTERIOR 100A 10KV 31,5KA P.SECCIONADOR FUSIBLE DE POTENCIA</v>
          </cell>
        </row>
        <row r="3859">
          <cell r="B3859">
            <v>6132342</v>
          </cell>
          <cell r="C3859" t="str">
            <v>SCN</v>
          </cell>
          <cell r="D3859" t="str">
            <v>FUSIBLE LIMITADOR DE CORRIENTE TP.INTERIOR 100A 10KV 31,5KA P.SECCIONADOR FUSIBLE DE POTENCIA</v>
          </cell>
        </row>
        <row r="3860">
          <cell r="B3860">
            <v>6132343</v>
          </cell>
          <cell r="C3860" t="str">
            <v>EFN</v>
          </cell>
          <cell r="D3860" t="str">
            <v>FUSIBLE LIMITADOR DE CORRIENTE TP.INTERIOR 125A 10KV 31,5KA P.SECCIONADOR FUSIBLE DE POTENCIA</v>
          </cell>
        </row>
        <row r="3861">
          <cell r="B3861">
            <v>6132343</v>
          </cell>
          <cell r="C3861" t="str">
            <v>EFN</v>
          </cell>
          <cell r="D3861" t="str">
            <v>FUSIBLE LIMITADOR DE CORRIENTE TP.INTERIOR 125A 10KV 31,5KA P.SECCIONADOR FUSIBLE DE POTENCIA</v>
          </cell>
        </row>
        <row r="3862">
          <cell r="B3862">
            <v>6132343</v>
          </cell>
          <cell r="C3862" t="str">
            <v>SBA</v>
          </cell>
          <cell r="D3862" t="str">
            <v>FUSIBLE LIMITADOR DE CORRIENTE TP.INTERIOR 125A 10KV 31,5KA P.SECCIONADOR FUSIBLE DE POTENCIA</v>
          </cell>
        </row>
        <row r="3863">
          <cell r="B3863">
            <v>6133328</v>
          </cell>
          <cell r="C3863" t="str">
            <v>SBA</v>
          </cell>
          <cell r="D3863" t="str">
            <v>FUSIBLE LIM.CTE.TP.INT.   20KV. 40A. SECC.FUS.TRIP</v>
          </cell>
        </row>
        <row r="3864">
          <cell r="B3864">
            <v>6133350</v>
          </cell>
          <cell r="C3864" t="str">
            <v>EFN</v>
          </cell>
          <cell r="D3864" t="str">
            <v>FUSIBLE LIMITADOR DE CORRIENTE TP.INTERIOR 100A 22,9KV 31,5KA P.SECCIONADOR FUSIBLE DE POTENCIA</v>
          </cell>
        </row>
        <row r="3865">
          <cell r="B3865">
            <v>6133350</v>
          </cell>
          <cell r="C3865" t="str">
            <v>EFN</v>
          </cell>
          <cell r="D3865" t="str">
            <v>FUSIBLE LIMITADOR DE CORRIENTE TP.INTERIOR 100A 22,9KV 31,5KA P.SECCIONADOR FUSIBLE DE POTENCIA</v>
          </cell>
        </row>
        <row r="3866">
          <cell r="B3866">
            <v>6133350</v>
          </cell>
          <cell r="C3866" t="str">
            <v>SBA</v>
          </cell>
          <cell r="D3866" t="str">
            <v>FUSIBLE LIMITADOR DE CORRIENTE TP.INTERIOR 100A 22,9KV 31,5KA P.SECCIONADOR FUSIBLE DE POTENCIA</v>
          </cell>
        </row>
        <row r="3867">
          <cell r="B3867">
            <v>6133350</v>
          </cell>
          <cell r="C3867" t="str">
            <v>SCN</v>
          </cell>
          <cell r="D3867" t="str">
            <v>FUSIBLE LIMITADOR DE CORRIENTE TP.INTERIOR 100A 22,9KV 31,5KA P.SECCIONADOR FUSIBLE DE POTENCIA</v>
          </cell>
        </row>
        <row r="3868">
          <cell r="B3868">
            <v>6133354</v>
          </cell>
          <cell r="C3868" t="str">
            <v>EFN</v>
          </cell>
          <cell r="D3868" t="str">
            <v>FUSIBLE LIMITADOR DE CORRIENTE TP.INTERIOR 125A 22,9KV 31,5KA P.SECCIONADOR FUSIBLE DE POTENCIA</v>
          </cell>
        </row>
        <row r="3869">
          <cell r="B3869">
            <v>6133354</v>
          </cell>
          <cell r="C3869" t="str">
            <v>EFN</v>
          </cell>
          <cell r="D3869" t="str">
            <v>FUSIBLE LIMITADOR DE CORRIENTE TP.INTERIOR 125A 22,9KV 31,5KA P.SECCIONADOR FUSIBLE DE POTENCIA</v>
          </cell>
        </row>
        <row r="3870">
          <cell r="B3870">
            <v>6133354</v>
          </cell>
          <cell r="C3870" t="str">
            <v>SBA</v>
          </cell>
          <cell r="D3870" t="str">
            <v>FUSIBLE LIMITADOR DE CORRIENTE TP.INTERIOR 125A 22,9KV 31,5KA P.SECCIONADOR FUSIBLE DE POTENCIA</v>
          </cell>
        </row>
        <row r="3871">
          <cell r="B3871">
            <v>6133706</v>
          </cell>
          <cell r="C3871" t="str">
            <v>FES</v>
          </cell>
          <cell r="D3871" t="str">
            <v>FUSIBLE LIMITADOR CORRIENTE TP.INTERIOR 5A 22,9KV 31,5KA CLASE E P.SECCIONADOR UNIPOLAR</v>
          </cell>
        </row>
        <row r="3872">
          <cell r="B3872">
            <v>6133706</v>
          </cell>
          <cell r="C3872" t="str">
            <v>FES</v>
          </cell>
          <cell r="D3872" t="str">
            <v>FUSIBLE LIMITADOR CORRIENTE TP.INTERIOR 5A 22,9KV 31,5KA CLASE E P.SECCIONADOR UNIPOLAR</v>
          </cell>
        </row>
        <row r="3873">
          <cell r="B3873">
            <v>6133710</v>
          </cell>
          <cell r="C3873" t="str">
            <v>FES</v>
          </cell>
          <cell r="D3873" t="str">
            <v>FUSIBLE LIMITADOR CORRIENTE TP.INTERIOR 10A 22,9KV 31,5KA CLASE E P.SECCIONADOR UNIPOLAR</v>
          </cell>
        </row>
        <row r="3874">
          <cell r="B3874">
            <v>6133710</v>
          </cell>
          <cell r="C3874" t="str">
            <v>FES</v>
          </cell>
          <cell r="D3874" t="str">
            <v>FUSIBLE LIMITADOR CORRIENTE TP.INTERIOR 10A 22,9KV 31,5KA CLASE E P.SECCIONADOR UNIPOLAR</v>
          </cell>
        </row>
        <row r="3875">
          <cell r="B3875">
            <v>6133714</v>
          </cell>
          <cell r="C3875" t="str">
            <v>FES</v>
          </cell>
          <cell r="D3875" t="str">
            <v>FUSIBLE LIMITADOR CORRIENTE TP.INTERIOR 15A 22,9KV 31,5KA CLASE E P.SECCIONADOR UNIPOLAR</v>
          </cell>
        </row>
        <row r="3876">
          <cell r="B3876">
            <v>6133714</v>
          </cell>
          <cell r="C3876" t="str">
            <v>FES</v>
          </cell>
          <cell r="D3876" t="str">
            <v>FUSIBLE LIMITADOR CORRIENTE TP.INTERIOR 15A 22,9KV 31,5KA CLASE E P.SECCIONADOR UNIPOLAR</v>
          </cell>
        </row>
        <row r="3877">
          <cell r="B3877">
            <v>6133722</v>
          </cell>
          <cell r="C3877" t="str">
            <v>FES</v>
          </cell>
          <cell r="D3877" t="str">
            <v>FUSIBLE LIMITADOR CORRIENTE TP.INTERIOR 20A 22,9KV 31,5KA CLASE E P.SECCIONADOR UNIPOLAR</v>
          </cell>
        </row>
        <row r="3878">
          <cell r="B3878">
            <v>6133722</v>
          </cell>
          <cell r="C3878" t="str">
            <v>FES</v>
          </cell>
          <cell r="D3878" t="str">
            <v>FUSIBLE LIMITADOR CORRIENTE TP.INTERIOR 20A 22,9KV 31,5KA CLASE E P.SECCIONADOR UNIPOLAR</v>
          </cell>
        </row>
        <row r="3879">
          <cell r="B3879">
            <v>6133730</v>
          </cell>
          <cell r="C3879" t="str">
            <v>FES</v>
          </cell>
          <cell r="D3879" t="str">
            <v>FUSIBLE LIMITADOR CORRIENTE TP.INTERIOR 30A 22,9KV 31,5KA CLASE E P.SECCIONADOR UNIPOLAR</v>
          </cell>
        </row>
        <row r="3880">
          <cell r="B3880">
            <v>6133730</v>
          </cell>
          <cell r="C3880" t="str">
            <v>FES</v>
          </cell>
          <cell r="D3880" t="str">
            <v>FUSIBLE LIMITADOR CORRIENTE TP.INTERIOR 30A 22,9KV 31,5KA CLASE E P.SECCIONADOR UNIPOLAR</v>
          </cell>
        </row>
        <row r="3881">
          <cell r="B3881">
            <v>6133734</v>
          </cell>
          <cell r="C3881" t="str">
            <v>FES</v>
          </cell>
          <cell r="D3881" t="str">
            <v>FUSIBLE LIMITADOR CORRIENTE TP.INTERIOR 50A 22,9KV 31,5KA CLASE E P.SECCIONADOR UNIPOLAR</v>
          </cell>
        </row>
        <row r="3882">
          <cell r="B3882">
            <v>6133734</v>
          </cell>
          <cell r="C3882" t="str">
            <v>FES</v>
          </cell>
          <cell r="D3882" t="str">
            <v>FUSIBLE LIMITADOR CORRIENTE TP.INTERIOR 50A 22,9KV 31,5KA CLASE E P.SECCIONADOR UNIPOLAR</v>
          </cell>
        </row>
        <row r="3883">
          <cell r="B3883">
            <v>6162112</v>
          </cell>
          <cell r="C3883" t="str">
            <v>FAS</v>
          </cell>
          <cell r="D3883" t="str">
            <v>BASE PORTAFUS.UNIP. TP.F     220V.  450A. PREPAR. FUS. LAM</v>
          </cell>
        </row>
        <row r="3884">
          <cell r="B3884">
            <v>6162112</v>
          </cell>
          <cell r="C3884" t="str">
            <v>IBR</v>
          </cell>
          <cell r="D3884" t="str">
            <v>BASE PORTAFUS.UNIP. TP.F     220V.  450A. PREPAR. FUS. LAM</v>
          </cell>
        </row>
        <row r="3885">
          <cell r="B3885">
            <v>6162112</v>
          </cell>
          <cell r="C3885" t="str">
            <v>IPR</v>
          </cell>
          <cell r="D3885" t="str">
            <v>BASE PORTAFUS.UNIP. TP.F     220V.  450A. PREPAR. FUS. LAM</v>
          </cell>
        </row>
        <row r="3886">
          <cell r="B3886">
            <v>6162213</v>
          </cell>
          <cell r="C3886" t="str">
            <v>FAS</v>
          </cell>
          <cell r="D3886" t="str">
            <v>BASE PORTAFUS.UNIP. TP.TC-30 220V.S/PREPAR.FUS.LAM. 160A.</v>
          </cell>
        </row>
        <row r="3887">
          <cell r="B3887">
            <v>6162312</v>
          </cell>
          <cell r="C3887" t="str">
            <v>FAS</v>
          </cell>
          <cell r="D3887" t="str">
            <v>BASE PORTAFUS.TRIP. TP.T -30 220V. 100A. PREPAR.FUS.LAM</v>
          </cell>
        </row>
        <row r="3888">
          <cell r="B3888">
            <v>6162312</v>
          </cell>
          <cell r="C3888" t="str">
            <v>IAT</v>
          </cell>
          <cell r="D3888" t="str">
            <v>BASE PORTAFUS.TRIP. TP.T -30 220V. 100A. PREPAR.FUS.LAM</v>
          </cell>
        </row>
        <row r="3889">
          <cell r="B3889">
            <v>6162412</v>
          </cell>
          <cell r="C3889" t="str">
            <v>IDS</v>
          </cell>
          <cell r="D3889" t="str">
            <v>BASE PORTAFUSIBLE LOZA BIP.  220V. P.FUSIBLE TP.C</v>
          </cell>
        </row>
        <row r="3890">
          <cell r="B3890">
            <v>6162412</v>
          </cell>
          <cell r="C3890" t="str">
            <v>RNS</v>
          </cell>
          <cell r="D3890" t="str">
            <v>BASE PORTAFUSIBLE LOZA BIP.  220V. P.FUSIBLE TP.C</v>
          </cell>
        </row>
        <row r="3891">
          <cell r="B3891">
            <v>6162412</v>
          </cell>
          <cell r="C3891" t="str">
            <v>TAL</v>
          </cell>
          <cell r="D3891" t="str">
            <v>BASE PORTAFUSIBLE LOZA BIP.  220V. P.FUSIBLE TP.C</v>
          </cell>
        </row>
        <row r="3892">
          <cell r="B3892">
            <v>6162512</v>
          </cell>
          <cell r="C3892" t="str">
            <v>IDS</v>
          </cell>
          <cell r="D3892" t="str">
            <v>BASE PORTAFUSIBLE LOZA TRIP. 220V. P.FUSIBLE TP.C</v>
          </cell>
        </row>
        <row r="3893">
          <cell r="B3893">
            <v>6162512</v>
          </cell>
          <cell r="C3893" t="str">
            <v>RNS</v>
          </cell>
          <cell r="D3893" t="str">
            <v>BASE PORTAFUSIBLE LOZA TRIP. 220V. P.FUSIBLE TP.C</v>
          </cell>
        </row>
        <row r="3894">
          <cell r="B3894">
            <v>6162512</v>
          </cell>
          <cell r="C3894" t="str">
            <v>TAL</v>
          </cell>
          <cell r="D3894" t="str">
            <v>BASE PORTAFUSIBLE LOZA TRIP. 220V. P.FUSIBLE TP.C</v>
          </cell>
        </row>
        <row r="3895">
          <cell r="B3895">
            <v>6164331</v>
          </cell>
          <cell r="C3895" t="str">
            <v>FES</v>
          </cell>
          <cell r="D3895" t="str">
            <v>PORTAFUSIBLE UNIP.EXTERIOR 30A 600V. PARA A.P.</v>
          </cell>
        </row>
        <row r="3896">
          <cell r="B3896">
            <v>6164420</v>
          </cell>
          <cell r="C3896" t="str">
            <v>TIC</v>
          </cell>
          <cell r="D3896" t="str">
            <v>PORTAFUSIBLE BIP. 380V. 16A. FUS.LIM.CTE. T -VERDE</v>
          </cell>
        </row>
        <row r="3897">
          <cell r="B3897">
            <v>6164421</v>
          </cell>
          <cell r="C3897" t="str">
            <v>FES</v>
          </cell>
          <cell r="D3897" t="str">
            <v>PORTAFUSIBLE BIP.INT. 30A. 600V.  PARA A.P.</v>
          </cell>
        </row>
        <row r="3898">
          <cell r="B3898">
            <v>6164421</v>
          </cell>
          <cell r="C3898" t="str">
            <v>LTT</v>
          </cell>
          <cell r="D3898" t="str">
            <v>PORTAFUSIBLE BIP.INT. 30A. 600V.  PARA A.P.</v>
          </cell>
        </row>
        <row r="3899">
          <cell r="B3899">
            <v>6166558</v>
          </cell>
          <cell r="C3899" t="str">
            <v>SBA</v>
          </cell>
          <cell r="D3899" t="str">
            <v>BASE PORTAFUS.UNIP. 600V. 250A.    P.FUS.NH TAM-1</v>
          </cell>
        </row>
        <row r="3900">
          <cell r="B3900">
            <v>6166558</v>
          </cell>
          <cell r="C3900" t="str">
            <v>SIG</v>
          </cell>
          <cell r="D3900" t="str">
            <v>BASE PORTAFUS.UNIP. 600V. 250A.    P.FUS.NH TAM-1</v>
          </cell>
        </row>
        <row r="3901">
          <cell r="B3901">
            <v>6166566</v>
          </cell>
          <cell r="C3901" t="str">
            <v>SBA</v>
          </cell>
          <cell r="D3901" t="str">
            <v>BASE PORTAFUS.UNIP. 600V. 400A.    P.FUS.NH TAM-2</v>
          </cell>
        </row>
        <row r="3902">
          <cell r="B3902">
            <v>6166566</v>
          </cell>
          <cell r="C3902" t="str">
            <v>SIG</v>
          </cell>
          <cell r="D3902" t="str">
            <v>BASE PORTAFUS.UNIP. 600V. 400A.    P.FUS.NH TAM-2</v>
          </cell>
        </row>
        <row r="3903">
          <cell r="B3903">
            <v>6171554</v>
          </cell>
          <cell r="C3903" t="str">
            <v>ABB</v>
          </cell>
          <cell r="D3903" t="str">
            <v>PORTAFUSIBLE UNIP.HERMET. TP.SUMERGIDO  10KV. 200A</v>
          </cell>
        </row>
        <row r="3904">
          <cell r="B3904">
            <v>6171554</v>
          </cell>
          <cell r="C3904" t="str">
            <v>KUL</v>
          </cell>
          <cell r="D3904" t="str">
            <v>PORTAFUSIBLE UNIP.HERMET. TP.SUMERGIDO  10KV. 200A</v>
          </cell>
        </row>
        <row r="3905">
          <cell r="B3905">
            <v>6193354</v>
          </cell>
          <cell r="C3905" t="str">
            <v>FEL</v>
          </cell>
          <cell r="D3905" t="str">
            <v>FUSIBLE SECC.UNIP.TP.INT.10KV.200A.P.TRANSF.CONV.</v>
          </cell>
        </row>
        <row r="3906">
          <cell r="B3906">
            <v>6193354</v>
          </cell>
          <cell r="C3906" t="str">
            <v>TAS</v>
          </cell>
          <cell r="D3906" t="str">
            <v>FUSIBLE SECC.UNIP.TP.INT.10KV.200A.P.TRANSF.CONV.</v>
          </cell>
        </row>
        <row r="3907">
          <cell r="B3907">
            <v>6193441</v>
          </cell>
          <cell r="C3907" t="str">
            <v>ABB</v>
          </cell>
          <cell r="D3907" t="str">
            <v>FUSIBLE SECC.UNIP. AEREO 10KV, 100A, MINIMO 95KV BIL, 12KA</v>
          </cell>
        </row>
        <row r="3908">
          <cell r="B3908">
            <v>6193441</v>
          </cell>
          <cell r="C3908" t="str">
            <v>ABH</v>
          </cell>
          <cell r="D3908" t="str">
            <v>FUSIBLE SECC.UNIP. AEREO 10KV, 100A, MINIMO 95KV BIL, 12KA</v>
          </cell>
        </row>
        <row r="3909">
          <cell r="B3909">
            <v>6193441</v>
          </cell>
          <cell r="C3909" t="str">
            <v>SCE</v>
          </cell>
          <cell r="D3909" t="str">
            <v>FUSIBLE SECC.UNIP. AEREO 10KV, 100A, MINIMO 95KV BIL, 12KA</v>
          </cell>
        </row>
        <row r="3910">
          <cell r="B3910">
            <v>6193441</v>
          </cell>
          <cell r="C3910" t="str">
            <v>SCE</v>
          </cell>
          <cell r="D3910" t="str">
            <v>FUSIBLE SECC.UNIP. AEREO 10KV, 100A, MINIMO 95KV BIL, 12KA</v>
          </cell>
        </row>
        <row r="3911">
          <cell r="B3911">
            <v>6193441</v>
          </cell>
          <cell r="C3911" t="str">
            <v>SIL</v>
          </cell>
          <cell r="D3911" t="str">
            <v>FUSIBLE SECC.UNIP. AEREO 10KV, 100A, MINIMO 95KV BIL, 12KA</v>
          </cell>
        </row>
        <row r="3912">
          <cell r="B3912">
            <v>6193442</v>
          </cell>
          <cell r="C3912" t="str">
            <v>CHN</v>
          </cell>
          <cell r="D3912" t="str">
            <v>FUSIBLE SECC.UNIP.AEREO 100A.10KV.CORR.SEVERA</v>
          </cell>
        </row>
        <row r="3913">
          <cell r="B3913">
            <v>6193442</v>
          </cell>
          <cell r="C3913" t="str">
            <v>SCE</v>
          </cell>
          <cell r="D3913" t="str">
            <v>FUSIBLE SECC.UNIP.AEREO 100A.10KV.CORR.SEVERA</v>
          </cell>
        </row>
        <row r="3914">
          <cell r="B3914">
            <v>6193445</v>
          </cell>
          <cell r="C3914" t="str">
            <v>ABH</v>
          </cell>
          <cell r="D3914" t="str">
            <v>FUSIBLE SECC.UNIP.AEREO 100A.10KV.CORR.MODERADA</v>
          </cell>
        </row>
        <row r="3915">
          <cell r="B3915">
            <v>6193445</v>
          </cell>
          <cell r="C3915" t="str">
            <v>SCE</v>
          </cell>
          <cell r="D3915" t="str">
            <v>FUSIBLE SECC.UNIP.AEREO 100A.10KV.CORR.MODERADA</v>
          </cell>
        </row>
        <row r="3916">
          <cell r="B3916">
            <v>6193454</v>
          </cell>
          <cell r="C3916" t="str">
            <v>ABH</v>
          </cell>
          <cell r="D3916" t="str">
            <v>FUSIBLE SECC. UNIP. AEREO 200A.10KV.CORR.MODERADA</v>
          </cell>
        </row>
        <row r="3917">
          <cell r="B3917">
            <v>6193454</v>
          </cell>
          <cell r="C3917" t="str">
            <v>SCE</v>
          </cell>
          <cell r="D3917" t="str">
            <v>FUSIBLE SECC. UNIP. AEREO 200A.10KV.CORR.MODERADA</v>
          </cell>
        </row>
        <row r="3918">
          <cell r="B3918">
            <v>6193460</v>
          </cell>
          <cell r="C3918" t="str">
            <v>ABH</v>
          </cell>
          <cell r="D3918" t="str">
            <v>FUSIBLE SECC.UNIP.AEREO 200A.10KV.CORR.SEVERA</v>
          </cell>
        </row>
        <row r="3919">
          <cell r="B3919">
            <v>6193460</v>
          </cell>
          <cell r="C3919" t="str">
            <v>SCE</v>
          </cell>
          <cell r="D3919" t="str">
            <v>FUSIBLE SECC.UNIP.AEREO 200A.10KV.CORR.SEVERA</v>
          </cell>
        </row>
        <row r="3920">
          <cell r="B3920">
            <v>6195722</v>
          </cell>
          <cell r="C3920" t="str">
            <v>FEL</v>
          </cell>
          <cell r="D3920" t="str">
            <v>FUSIBLE SECC.UNIP.TP.INT.22,9KV.200A.P.TRANSF.CONV.</v>
          </cell>
        </row>
        <row r="3921">
          <cell r="B3921">
            <v>6195722</v>
          </cell>
          <cell r="C3921" t="str">
            <v>TAS</v>
          </cell>
          <cell r="D3921" t="str">
            <v>FUSIBLE SECC.UNIP.TP.INT.22,9KV.200A.P.TRANSF.CONV.</v>
          </cell>
        </row>
        <row r="3922">
          <cell r="B3922">
            <v>6195750</v>
          </cell>
          <cell r="C3922" t="str">
            <v>ABH</v>
          </cell>
          <cell r="D3922" t="str">
            <v>FUSI.SEC.UNIP.AE.22.9KV.100A.12KA.600MM.L.FUG.MIN</v>
          </cell>
        </row>
        <row r="3923">
          <cell r="B3923">
            <v>6195750</v>
          </cell>
          <cell r="C3923" t="str">
            <v>SCE</v>
          </cell>
          <cell r="D3923" t="str">
            <v>FUSI.SEC.UNIP.AE.22.9KV.100A.12KA.600MM.L.FUG.MIN</v>
          </cell>
        </row>
        <row r="3924">
          <cell r="B3924">
            <v>6195750</v>
          </cell>
          <cell r="C3924" t="str">
            <v>SIL</v>
          </cell>
          <cell r="D3924" t="str">
            <v>FUSI.SEC.UNIP.AE.22.9KV.100A.12KA.600MM.L.FUG.MIN</v>
          </cell>
        </row>
        <row r="3925">
          <cell r="B3925">
            <v>6195752</v>
          </cell>
          <cell r="C3925" t="str">
            <v>ABB</v>
          </cell>
          <cell r="D3925" t="str">
            <v>SECCIONADOR FUSIBLE UNIPOLAR 22,9KV 100A 8KA 150KB BIL EXTERIOR</v>
          </cell>
        </row>
        <row r="3926">
          <cell r="B3926">
            <v>6195752</v>
          </cell>
          <cell r="C3926" t="str">
            <v>CHN</v>
          </cell>
          <cell r="D3926" t="str">
            <v>SECCIONADOR FUSIBLE UNIPOLAR 22,9KV 100A 8KA 150KB BIL EXTERIOR</v>
          </cell>
        </row>
        <row r="3927">
          <cell r="B3927">
            <v>6195752</v>
          </cell>
          <cell r="C3927" t="str">
            <v>SCE</v>
          </cell>
          <cell r="D3927" t="str">
            <v>SECCIONADOR FUSIBLE UNIPOLAR 22,9KV 100A 8KA 150KB BIL EXTERIOR</v>
          </cell>
        </row>
        <row r="3928">
          <cell r="B3928">
            <v>6195752</v>
          </cell>
          <cell r="C3928" t="str">
            <v>SCE</v>
          </cell>
          <cell r="D3928" t="str">
            <v>SECCIONADOR FUSIBLE UNIPOLAR 22,9KV 100A 8KA 150KB BIL EXTERIOR</v>
          </cell>
        </row>
        <row r="3929">
          <cell r="B3929">
            <v>6195760</v>
          </cell>
          <cell r="C3929" t="str">
            <v>ABH</v>
          </cell>
          <cell r="D3929" t="str">
            <v>FUSIBLE DE EXPULSION.TP-"K" 22.9KV. 12KA. 3A.</v>
          </cell>
        </row>
        <row r="3930">
          <cell r="B3930">
            <v>6195760</v>
          </cell>
          <cell r="C3930" t="str">
            <v>KEA</v>
          </cell>
          <cell r="D3930" t="str">
            <v>FUSIBLE DE EXPULSION.TP-"K" 22.9KV. 12KA. 3A.</v>
          </cell>
        </row>
        <row r="3931">
          <cell r="B3931">
            <v>6195760</v>
          </cell>
          <cell r="C3931" t="str">
            <v>SCE</v>
          </cell>
          <cell r="D3931" t="str">
            <v>FUSIBLE DE EXPULSION.TP-"K" 22.9KV. 12KA. 3A.</v>
          </cell>
        </row>
        <row r="3932">
          <cell r="B3932">
            <v>6195762</v>
          </cell>
          <cell r="C3932" t="str">
            <v>ABH</v>
          </cell>
          <cell r="D3932" t="str">
            <v>USAR MATRICULA NRO. &lt;6131611&gt; FUSIBLE  DE EXPULSION  6A. TIPO "K"  22.9KV.</v>
          </cell>
        </row>
        <row r="3933">
          <cell r="B3933">
            <v>6195762</v>
          </cell>
          <cell r="C3933" t="str">
            <v>KEA</v>
          </cell>
          <cell r="D3933" t="str">
            <v>USAR MATRICULA NRO. &lt;6131611&gt; FUSIBLE  DE EXPULSION  6A. TIPO "K"  22.9KV.</v>
          </cell>
        </row>
        <row r="3934">
          <cell r="B3934">
            <v>6195762</v>
          </cell>
          <cell r="C3934" t="str">
            <v>SCE</v>
          </cell>
          <cell r="D3934" t="str">
            <v>USAR MATRICULA NRO. &lt;6131611&gt; FUSIBLE  DE EXPULSION  6A. TIPO "K"  22.9KV.</v>
          </cell>
        </row>
        <row r="3935">
          <cell r="B3935">
            <v>6195764</v>
          </cell>
          <cell r="C3935" t="str">
            <v>ABH</v>
          </cell>
          <cell r="D3935" t="str">
            <v>USAR MATRICULA NRO. &lt;6131616&gt; "FUSIBLE DE EXPULSION 10A TIPO " K"  10/22.9KV."</v>
          </cell>
        </row>
        <row r="3936">
          <cell r="B3936">
            <v>6195764</v>
          </cell>
          <cell r="C3936" t="str">
            <v>KEA</v>
          </cell>
          <cell r="D3936" t="str">
            <v>USAR MATRICULA NRO. &lt;6131616&gt; "FUSIBLE DE EXPULSION 10A TIPO " K"  10/22.9KV."</v>
          </cell>
        </row>
        <row r="3937">
          <cell r="B3937">
            <v>6195764</v>
          </cell>
          <cell r="C3937" t="str">
            <v>SCE</v>
          </cell>
          <cell r="D3937" t="str">
            <v>USAR MATRICULA NRO. &lt;6131616&gt; "FUSIBLE DE EXPULSION 10A TIPO " K"  10/22.9KV."</v>
          </cell>
        </row>
        <row r="3938">
          <cell r="B3938">
            <v>6195766</v>
          </cell>
          <cell r="C3938" t="str">
            <v>ABH</v>
          </cell>
          <cell r="D3938" t="str">
            <v>USAR MATRICULA NRO. &lt;6131619&gt; "FUSIBLE DE EXPULSION 15A TIPO " K"  10/22.9KV."</v>
          </cell>
        </row>
        <row r="3939">
          <cell r="B3939">
            <v>6195766</v>
          </cell>
          <cell r="C3939" t="str">
            <v>KEA</v>
          </cell>
          <cell r="D3939" t="str">
            <v>USAR MATRICULA NRO. &lt;6131619&gt; "FUSIBLE DE EXPULSION 15A TIPO " K"  10/22.9KV."</v>
          </cell>
        </row>
        <row r="3940">
          <cell r="B3940">
            <v>6195766</v>
          </cell>
          <cell r="C3940" t="str">
            <v>SCE</v>
          </cell>
          <cell r="D3940" t="str">
            <v>USAR MATRICULA NRO. &lt;6131619&gt; "FUSIBLE DE EXPULSION 15A TIPO " K"  10/22.9KV."</v>
          </cell>
        </row>
        <row r="3941">
          <cell r="B3941">
            <v>6195768</v>
          </cell>
          <cell r="C3941" t="str">
            <v>ABH</v>
          </cell>
          <cell r="D3941" t="str">
            <v>FUSIBLE  DE EXPULSION  20A. TIPO "K"  22.9KV.</v>
          </cell>
        </row>
        <row r="3942">
          <cell r="B3942">
            <v>6195768</v>
          </cell>
          <cell r="C3942" t="str">
            <v>KEA</v>
          </cell>
          <cell r="D3942" t="str">
            <v>FUSIBLE  DE EXPULSION  20A. TIPO "K"  22.9KV.</v>
          </cell>
        </row>
        <row r="3943">
          <cell r="B3943">
            <v>6195768</v>
          </cell>
          <cell r="C3943" t="str">
            <v>SCE</v>
          </cell>
          <cell r="D3943" t="str">
            <v>FUSIBLE  DE EXPULSION  20A. TIPO "K"  22.9KV.</v>
          </cell>
        </row>
        <row r="3944">
          <cell r="B3944">
            <v>6195770</v>
          </cell>
          <cell r="C3944" t="str">
            <v>ABH</v>
          </cell>
          <cell r="D3944" t="str">
            <v>USAR MATRICULA NRO. &lt;6131624&gt; "FUSIBLE DE EXPULSION 30A TIPO " K"  10/22.9KV."</v>
          </cell>
        </row>
        <row r="3945">
          <cell r="B3945">
            <v>6195770</v>
          </cell>
          <cell r="C3945" t="str">
            <v>KEA</v>
          </cell>
          <cell r="D3945" t="str">
            <v>USAR MATRICULA NRO. &lt;6131624&gt; "FUSIBLE DE EXPULSION 30A TIPO " K"  10/22.9KV."</v>
          </cell>
        </row>
        <row r="3946">
          <cell r="B3946">
            <v>6195770</v>
          </cell>
          <cell r="C3946" t="str">
            <v>SCE</v>
          </cell>
          <cell r="D3946" t="str">
            <v>USAR MATRICULA NRO. &lt;6131624&gt; "FUSIBLE DE EXPULSION 30A TIPO " K"  10/22.9KV."</v>
          </cell>
        </row>
        <row r="3947">
          <cell r="B3947">
            <v>6195771</v>
          </cell>
          <cell r="C3947" t="str">
            <v>ABH</v>
          </cell>
          <cell r="D3947" t="str">
            <v>FUSIBLE DE EXPULSION, 40A. TP.K, 10KV CAB.REMOVI.</v>
          </cell>
        </row>
        <row r="3948">
          <cell r="B3948">
            <v>6195771</v>
          </cell>
          <cell r="C3948" t="str">
            <v>KEA</v>
          </cell>
          <cell r="D3948" t="str">
            <v>FUSIBLE DE EXPULSION, 40A. TP.K, 10KV CAB.REMOVI.</v>
          </cell>
        </row>
        <row r="3949">
          <cell r="B3949">
            <v>6195771</v>
          </cell>
          <cell r="C3949" t="str">
            <v>SCE</v>
          </cell>
          <cell r="D3949" t="str">
            <v>FUSIBLE DE EXPULSION, 40A. TP.K, 10KV CAB.REMOVI.</v>
          </cell>
        </row>
        <row r="3950">
          <cell r="B3950">
            <v>6195772</v>
          </cell>
          <cell r="C3950" t="str">
            <v>ABH</v>
          </cell>
          <cell r="D3950" t="str">
            <v>FUSIBLE  DE EXPULSION  65A. TIPO "K"  22.9KV.</v>
          </cell>
        </row>
        <row r="3951">
          <cell r="B3951">
            <v>6195772</v>
          </cell>
          <cell r="C3951" t="str">
            <v>KEA</v>
          </cell>
          <cell r="D3951" t="str">
            <v>FUSIBLE  DE EXPULSION  65A. TIPO "K"  22.9KV.</v>
          </cell>
        </row>
        <row r="3952">
          <cell r="B3952">
            <v>6195772</v>
          </cell>
          <cell r="C3952" t="str">
            <v>SCE</v>
          </cell>
          <cell r="D3952" t="str">
            <v>FUSIBLE  DE EXPULSION  65A. TIPO "K"  22.9KV.</v>
          </cell>
        </row>
        <row r="3953">
          <cell r="B3953">
            <v>6195774</v>
          </cell>
          <cell r="C3953" t="str">
            <v>ABH</v>
          </cell>
          <cell r="D3953" t="str">
            <v>FUSIBLE  DE EXPULSION  100A. TIPO "K"  22.9KV.</v>
          </cell>
        </row>
        <row r="3954">
          <cell r="B3954">
            <v>6195774</v>
          </cell>
          <cell r="C3954" t="str">
            <v>KEA</v>
          </cell>
          <cell r="D3954" t="str">
            <v>FUSIBLE  DE EXPULSION  100A. TIPO "K"  22.9KV.</v>
          </cell>
        </row>
        <row r="3955">
          <cell r="B3955">
            <v>6195774</v>
          </cell>
          <cell r="C3955" t="str">
            <v>SCE</v>
          </cell>
          <cell r="D3955" t="str">
            <v>FUSIBLE  DE EXPULSION  100A. TIPO "K"  22.9KV.</v>
          </cell>
        </row>
        <row r="3956">
          <cell r="B3956">
            <v>6195780</v>
          </cell>
          <cell r="C3956" t="str">
            <v>ABH</v>
          </cell>
          <cell r="D3956" t="str">
            <v>FUSIBLE DE EXPULSION 140A. TP. K, 10KV.CAB.REMOVI.</v>
          </cell>
        </row>
        <row r="3957">
          <cell r="B3957">
            <v>6195780</v>
          </cell>
          <cell r="C3957" t="str">
            <v>KEA</v>
          </cell>
          <cell r="D3957" t="str">
            <v>FUSIBLE DE EXPULSION 140A. TP. K, 10KV.CAB.REMOVI.</v>
          </cell>
        </row>
        <row r="3958">
          <cell r="B3958">
            <v>6195780</v>
          </cell>
          <cell r="C3958" t="str">
            <v>SCE</v>
          </cell>
          <cell r="D3958" t="str">
            <v>FUSIBLE DE EXPULSION 140A. TP. K, 10KV.CAB.REMOVI.</v>
          </cell>
        </row>
        <row r="3959">
          <cell r="B3959">
            <v>6195790</v>
          </cell>
          <cell r="C3959" t="str">
            <v>ABH</v>
          </cell>
          <cell r="D3959" t="str">
            <v>FUSIBLE DE EXPULSION 200A. TIPO K, 10KV.CAB.REMOV.</v>
          </cell>
        </row>
        <row r="3960">
          <cell r="B3960">
            <v>6195790</v>
          </cell>
          <cell r="C3960" t="str">
            <v>KEA</v>
          </cell>
          <cell r="D3960" t="str">
            <v>FUSIBLE DE EXPULSION 200A. TIPO K, 10KV.CAB.REMOV.</v>
          </cell>
        </row>
        <row r="3961">
          <cell r="B3961">
            <v>6195790</v>
          </cell>
          <cell r="C3961" t="str">
            <v>SCE</v>
          </cell>
          <cell r="D3961" t="str">
            <v>FUSIBLE DE EXPULSION 200A. TIPO K, 10KV.CAB.REMOV.</v>
          </cell>
        </row>
        <row r="3962">
          <cell r="B3962">
            <v>6199103</v>
          </cell>
          <cell r="C3962" t="str">
            <v>TAL</v>
          </cell>
          <cell r="D3962" t="str">
            <v>CONECTOR DERIVACION P/CUT-OUT</v>
          </cell>
        </row>
        <row r="3963">
          <cell r="B3963">
            <v>6199226</v>
          </cell>
          <cell r="C3963" t="str">
            <v>ABH</v>
          </cell>
          <cell r="D3963" t="str">
            <v>TUBO PORTAFUSIBLE PARA SECC. UNIP. AEREO 100A, 10KV, CORR.MODERADA</v>
          </cell>
        </row>
        <row r="3964">
          <cell r="B3964">
            <v>6199226</v>
          </cell>
          <cell r="C3964" t="str">
            <v>CHN</v>
          </cell>
          <cell r="D3964" t="str">
            <v>TUBO PORTAFUSIBLE PARA SECC. UNIP. AEREO 100A, 10KV, CORR.MODERADA</v>
          </cell>
        </row>
        <row r="3965">
          <cell r="B3965">
            <v>6199226</v>
          </cell>
          <cell r="C3965" t="str">
            <v>SCE</v>
          </cell>
          <cell r="D3965" t="str">
            <v>TUBO PORTAFUSIBLE PARA SECC. UNIP. AEREO 100A, 10KV, CORR.MODERADA</v>
          </cell>
        </row>
        <row r="3966">
          <cell r="B3966">
            <v>6199228</v>
          </cell>
          <cell r="C3966" t="str">
            <v>ABH</v>
          </cell>
          <cell r="D3966" t="str">
            <v>TUBO PORTAFUSIBLE PARA SECC. UNIP. AEREO 200A, 10KV, CORR.MODERADA</v>
          </cell>
        </row>
        <row r="3967">
          <cell r="B3967">
            <v>6199228</v>
          </cell>
          <cell r="C3967" t="str">
            <v>CHN</v>
          </cell>
          <cell r="D3967" t="str">
            <v>TUBO PORTAFUSIBLE PARA SECC. UNIP. AEREO 200A, 10KV, CORR.MODERADA</v>
          </cell>
        </row>
        <row r="3968">
          <cell r="B3968">
            <v>6199228</v>
          </cell>
          <cell r="C3968" t="str">
            <v>SCE</v>
          </cell>
          <cell r="D3968" t="str">
            <v>TUBO PORTAFUSIBLE PARA SECC. UNIP. AEREO 200A, 10KV, CORR.MODERADA</v>
          </cell>
        </row>
        <row r="3969">
          <cell r="B3969">
            <v>6199230</v>
          </cell>
          <cell r="C3969" t="str">
            <v>ABB</v>
          </cell>
          <cell r="D3969" t="str">
            <v>TUBO PORTAFUSIBLE PARA SECC. UNIP. AEREO 100A, 10KV, CORR.SEVERA</v>
          </cell>
        </row>
        <row r="3970">
          <cell r="B3970">
            <v>6199230</v>
          </cell>
          <cell r="C3970" t="str">
            <v>CHN</v>
          </cell>
          <cell r="D3970" t="str">
            <v>TUBO PORTAFUSIBLE PARA SECC. UNIP. AEREO 100A, 10KV, CORR.SEVERA</v>
          </cell>
        </row>
        <row r="3971">
          <cell r="B3971">
            <v>6199230</v>
          </cell>
          <cell r="C3971" t="str">
            <v>CHN</v>
          </cell>
          <cell r="D3971" t="str">
            <v>TUBO PORTAFUSIBLE PARA SECC. UNIP. AEREO 100A, 10KV, CORR.SEVERA</v>
          </cell>
        </row>
        <row r="3972">
          <cell r="B3972">
            <v>6199230</v>
          </cell>
          <cell r="C3972" t="str">
            <v>SCE</v>
          </cell>
          <cell r="D3972" t="str">
            <v>TUBO PORTAFUSIBLE PARA SECC. UNIP. AEREO 100A, 10KV, CORR.SEVERA</v>
          </cell>
        </row>
        <row r="3973">
          <cell r="B3973">
            <v>6199232</v>
          </cell>
          <cell r="C3973" t="str">
            <v>ABH</v>
          </cell>
          <cell r="D3973" t="str">
            <v>TUBO PORTAFUSIBLE PARA SECC. UNIP. AEREO 200A, 10KV, CORR.SEVERA</v>
          </cell>
        </row>
        <row r="3974">
          <cell r="B3974">
            <v>6199232</v>
          </cell>
          <cell r="C3974" t="str">
            <v>CHN</v>
          </cell>
          <cell r="D3974" t="str">
            <v>TUBO PORTAFUSIBLE PARA SECC. UNIP. AEREO 200A, 10KV, CORR.SEVERA</v>
          </cell>
        </row>
        <row r="3975">
          <cell r="B3975">
            <v>6199232</v>
          </cell>
          <cell r="C3975" t="str">
            <v>SCE</v>
          </cell>
          <cell r="D3975" t="str">
            <v>TUBO PORTAFUSIBLE PARA SECC. UNIP. AEREO 200A, 10KV, CORR.SEVERA</v>
          </cell>
        </row>
        <row r="3976">
          <cell r="B3976">
            <v>6199236</v>
          </cell>
          <cell r="C3976" t="str">
            <v>ABH</v>
          </cell>
          <cell r="D3976" t="str">
            <v>TUBO PORTAFUSIBLE PARA SECC. UNIP. AEREO 100A, 22,9KV, CORR.MODERADA</v>
          </cell>
        </row>
        <row r="3977">
          <cell r="B3977">
            <v>6199236</v>
          </cell>
          <cell r="C3977" t="str">
            <v>CHN</v>
          </cell>
          <cell r="D3977" t="str">
            <v>TUBO PORTAFUSIBLE PARA SECC. UNIP. AEREO 100A, 22,9KV, CORR.MODERADA</v>
          </cell>
        </row>
        <row r="3978">
          <cell r="B3978">
            <v>6199236</v>
          </cell>
          <cell r="C3978" t="str">
            <v>SCE</v>
          </cell>
          <cell r="D3978" t="str">
            <v>TUBO PORTAFUSIBLE PARA SECC. UNIP. AEREO 100A, 22,9KV, CORR.MODERADA</v>
          </cell>
        </row>
        <row r="3979">
          <cell r="B3979">
            <v>6311152</v>
          </cell>
          <cell r="C3979" t="str">
            <v>ESS</v>
          </cell>
          <cell r="D3979" t="str">
            <v>FUSIBLE SECC.TRIF.(UNIP) TP.COLUMNA DE BT.   1000A</v>
          </cell>
        </row>
        <row r="3980">
          <cell r="B3980">
            <v>6311152</v>
          </cell>
          <cell r="C3980" t="str">
            <v>TAS</v>
          </cell>
          <cell r="D3980" t="str">
            <v>FUSIBLE SECC.TRIF.(UNIP) TP.COLUMNA DE BT.   1000A</v>
          </cell>
        </row>
        <row r="3981">
          <cell r="B3981">
            <v>6311416</v>
          </cell>
          <cell r="C3981" t="str">
            <v>ABB</v>
          </cell>
          <cell r="D3981" t="str">
            <v>BASE PORTAFUSIBLE TRIPOLAR SECCIONADOR P.FUSIBLE NH DISPOSICION HORIZONTAL TAMANO 00 220V 160A AC-23</v>
          </cell>
        </row>
        <row r="3982">
          <cell r="B3982">
            <v>6311416</v>
          </cell>
          <cell r="C3982" t="str">
            <v>ABB</v>
          </cell>
          <cell r="D3982" t="str">
            <v>BASE PORTAFUSIBLE TRIPOLAR SECCIONADOR P.FUSIBLE NH DISPOSICION HORIZONTAL TAMANO 00 220V 160A AC-23</v>
          </cell>
        </row>
        <row r="3983">
          <cell r="B3983">
            <v>6311416</v>
          </cell>
          <cell r="C3983" t="str">
            <v>EFN</v>
          </cell>
          <cell r="D3983" t="str">
            <v>BASE PORTAFUSIBLE TRIPOLAR SECCIONADOR P.FUSIBLE NH DISPOSICION HORIZONTAL TAMANO 00 220V 160A AC-23</v>
          </cell>
        </row>
        <row r="3984">
          <cell r="B3984">
            <v>6311416</v>
          </cell>
          <cell r="C3984" t="str">
            <v>FES</v>
          </cell>
          <cell r="D3984" t="str">
            <v>BASE PORTAFUSIBLE TRIPOLAR SECCIONADOR P.FUSIBLE NH DISPOSICION HORIZONTAL TAMANO 00 220V 160A AC-23</v>
          </cell>
        </row>
        <row r="3985">
          <cell r="B3985">
            <v>6311416</v>
          </cell>
          <cell r="C3985" t="str">
            <v>FES</v>
          </cell>
          <cell r="D3985" t="str">
            <v>BASE PORTAFUSIBLE TRIPOLAR SECCIONADOR P.FUSIBLE NH DISPOSICION HORIZONTAL TAMANO 00 220V 160A AC-23</v>
          </cell>
        </row>
        <row r="3986">
          <cell r="B3986">
            <v>6311416</v>
          </cell>
          <cell r="C3986" t="str">
            <v>FES</v>
          </cell>
          <cell r="D3986" t="str">
            <v>BASE PORTAFUSIBLE TRIPOLAR SECCIONADOR P.FUSIBLE NH DISPOSICION HORIZONTAL TAMANO 00 220V 160A AC-23</v>
          </cell>
        </row>
        <row r="3987">
          <cell r="B3987">
            <v>6311416</v>
          </cell>
          <cell r="C3987" t="str">
            <v>FES</v>
          </cell>
          <cell r="D3987" t="str">
            <v>BASE PORTAFUSIBLE TRIPOLAR SECCIONADOR P.FUSIBLE NH DISPOSICION HORIZONTAL TAMANO 00 220V 160A AC-23</v>
          </cell>
        </row>
        <row r="3988">
          <cell r="B3988">
            <v>6311416</v>
          </cell>
          <cell r="C3988" t="str">
            <v>FES</v>
          </cell>
          <cell r="D3988" t="str">
            <v>BASE PORTAFUSIBLE TRIPOLAR SECCIONADOR P.FUSIBLE NH DISPOSICION HORIZONTAL TAMANO 00 220V 160A AC-23</v>
          </cell>
        </row>
        <row r="3989">
          <cell r="B3989">
            <v>6311416</v>
          </cell>
          <cell r="C3989" t="str">
            <v>FES</v>
          </cell>
          <cell r="D3989" t="str">
            <v>BASE PORTAFUSIBLE TRIPOLAR SECCIONADOR P.FUSIBLE NH DISPOSICION HORIZONTAL TAMANO 00 220V 160A AC-23</v>
          </cell>
        </row>
        <row r="3990">
          <cell r="B3990">
            <v>6311422</v>
          </cell>
          <cell r="C3990" t="str">
            <v>ABB</v>
          </cell>
          <cell r="D3990" t="str">
            <v>BASE PORTAFUSIBLE TRIPOLAR SECCIONADOR P.FUSIBLE NH DISPOSICION HORIZONTAL TAMANO 1 220V 250A AC-23</v>
          </cell>
        </row>
        <row r="3991">
          <cell r="B3991">
            <v>6311422</v>
          </cell>
          <cell r="C3991" t="str">
            <v>ABB</v>
          </cell>
          <cell r="D3991" t="str">
            <v>BASE PORTAFUSIBLE TRIPOLAR SECCIONADOR P.FUSIBLE NH DISPOSICION HORIZONTAL TAMANO 1 220V 250A AC-23</v>
          </cell>
        </row>
        <row r="3992">
          <cell r="B3992">
            <v>6311422</v>
          </cell>
          <cell r="C3992" t="str">
            <v>EFN</v>
          </cell>
          <cell r="D3992" t="str">
            <v>BASE PORTAFUSIBLE TRIPOLAR SECCIONADOR P.FUSIBLE NH DISPOSICION HORIZONTAL TAMANO 1 220V 250A AC-23</v>
          </cell>
        </row>
        <row r="3993">
          <cell r="B3993">
            <v>6311422</v>
          </cell>
          <cell r="C3993" t="str">
            <v>FES</v>
          </cell>
          <cell r="D3993" t="str">
            <v>BASE PORTAFUSIBLE TRIPOLAR SECCIONADOR P.FUSIBLE NH DISPOSICION HORIZONTAL TAMANO 1 220V 250A AC-23</v>
          </cell>
        </row>
        <row r="3994">
          <cell r="B3994">
            <v>6311422</v>
          </cell>
          <cell r="C3994" t="str">
            <v>FES</v>
          </cell>
          <cell r="D3994" t="str">
            <v>BASE PORTAFUSIBLE TRIPOLAR SECCIONADOR P.FUSIBLE NH DISPOSICION HORIZONTAL TAMANO 1 220V 250A AC-23</v>
          </cell>
        </row>
        <row r="3995">
          <cell r="B3995">
            <v>6311422</v>
          </cell>
          <cell r="C3995" t="str">
            <v>FES</v>
          </cell>
          <cell r="D3995" t="str">
            <v>BASE PORTAFUSIBLE TRIPOLAR SECCIONADOR P.FUSIBLE NH DISPOSICION HORIZONTAL TAMANO 1 220V 250A AC-23</v>
          </cell>
        </row>
        <row r="3996">
          <cell r="B3996">
            <v>6311422</v>
          </cell>
          <cell r="C3996" t="str">
            <v>FES</v>
          </cell>
          <cell r="D3996" t="str">
            <v>BASE PORTAFUSIBLE TRIPOLAR SECCIONADOR P.FUSIBLE NH DISPOSICION HORIZONTAL TAMANO 1 220V 250A AC-23</v>
          </cell>
        </row>
        <row r="3997">
          <cell r="B3997">
            <v>6311422</v>
          </cell>
          <cell r="C3997" t="str">
            <v>FES</v>
          </cell>
          <cell r="D3997" t="str">
            <v>BASE PORTAFUSIBLE TRIPOLAR SECCIONADOR P.FUSIBLE NH DISPOSICION HORIZONTAL TAMANO 1 220V 250A AC-23</v>
          </cell>
        </row>
        <row r="3998">
          <cell r="B3998">
            <v>6311422</v>
          </cell>
          <cell r="C3998" t="str">
            <v>FES</v>
          </cell>
          <cell r="D3998" t="str">
            <v>BASE PORTAFUSIBLE TRIPOLAR SECCIONADOR P.FUSIBLE NH DISPOSICION HORIZONTAL TAMANO 1 220V 250A AC-23</v>
          </cell>
        </row>
        <row r="3999">
          <cell r="B3999">
            <v>6311428</v>
          </cell>
          <cell r="C3999" t="str">
            <v>ABB</v>
          </cell>
          <cell r="D3999" t="str">
            <v>BASE PORTAFUSIBLE TRIPOLAR SECCIONADOR P.FUSIBLE NH DISPOSICION HORIZONTAL TAMANO 2 220V 400A AC-23</v>
          </cell>
        </row>
        <row r="4000">
          <cell r="B4000">
            <v>6311428</v>
          </cell>
          <cell r="C4000" t="str">
            <v>ABB</v>
          </cell>
          <cell r="D4000" t="str">
            <v>BASE PORTAFUSIBLE TRIPOLAR SECCIONADOR P.FUSIBLE NH DISPOSICION HORIZONTAL TAMANO 2 220V 400A AC-23</v>
          </cell>
        </row>
        <row r="4001">
          <cell r="B4001">
            <v>6311428</v>
          </cell>
          <cell r="C4001" t="str">
            <v>EFN</v>
          </cell>
          <cell r="D4001" t="str">
            <v>BASE PORTAFUSIBLE TRIPOLAR SECCIONADOR P.FUSIBLE NH DISPOSICION HORIZONTAL TAMANO 2 220V 400A AC-23</v>
          </cell>
        </row>
        <row r="4002">
          <cell r="B4002">
            <v>6311428</v>
          </cell>
          <cell r="C4002" t="str">
            <v>FES</v>
          </cell>
          <cell r="D4002" t="str">
            <v>BASE PORTAFUSIBLE TRIPOLAR SECCIONADOR P.FUSIBLE NH DISPOSICION HORIZONTAL TAMANO 2 220V 400A AC-23</v>
          </cell>
        </row>
        <row r="4003">
          <cell r="B4003">
            <v>6311428</v>
          </cell>
          <cell r="C4003" t="str">
            <v>FES</v>
          </cell>
          <cell r="D4003" t="str">
            <v>BASE PORTAFUSIBLE TRIPOLAR SECCIONADOR P.FUSIBLE NH DISPOSICION HORIZONTAL TAMANO 2 220V 400A AC-23</v>
          </cell>
        </row>
        <row r="4004">
          <cell r="B4004">
            <v>6311428</v>
          </cell>
          <cell r="C4004" t="str">
            <v>FES</v>
          </cell>
          <cell r="D4004" t="str">
            <v>BASE PORTAFUSIBLE TRIPOLAR SECCIONADOR P.FUSIBLE NH DISPOSICION HORIZONTAL TAMANO 2 220V 400A AC-23</v>
          </cell>
        </row>
        <row r="4005">
          <cell r="B4005">
            <v>6311428</v>
          </cell>
          <cell r="C4005" t="str">
            <v>FES</v>
          </cell>
          <cell r="D4005" t="str">
            <v>BASE PORTAFUSIBLE TRIPOLAR SECCIONADOR P.FUSIBLE NH DISPOSICION HORIZONTAL TAMANO 2 220V 400A AC-23</v>
          </cell>
        </row>
        <row r="4006">
          <cell r="B4006">
            <v>6311428</v>
          </cell>
          <cell r="C4006" t="str">
            <v>FES</v>
          </cell>
          <cell r="D4006" t="str">
            <v>BASE PORTAFUSIBLE TRIPOLAR SECCIONADOR P.FUSIBLE NH DISPOSICION HORIZONTAL TAMANO 2 220V 400A AC-23</v>
          </cell>
        </row>
        <row r="4007">
          <cell r="B4007">
            <v>6311428</v>
          </cell>
          <cell r="C4007" t="str">
            <v>FES</v>
          </cell>
          <cell r="D4007" t="str">
            <v>BASE PORTAFUSIBLE TRIPOLAR SECCIONADOR P.FUSIBLE NH DISPOSICION HORIZONTAL TAMANO 2 220V 400A AC-23</v>
          </cell>
        </row>
        <row r="4008">
          <cell r="B4008">
            <v>6311432</v>
          </cell>
          <cell r="C4008" t="str">
            <v>ABB</v>
          </cell>
          <cell r="D4008" t="str">
            <v>BASE PORTAFUSIBLE TRIPOLAR SECCIONADOR P.FUS. NH DISPOSICION VERTICAL TAMANO 2 220V 400A AC-23 60HZ</v>
          </cell>
        </row>
        <row r="4009">
          <cell r="B4009">
            <v>6311432</v>
          </cell>
          <cell r="C4009" t="str">
            <v>ABB</v>
          </cell>
          <cell r="D4009" t="str">
            <v>BASE PORTAFUSIBLE TRIPOLAR SECCIONADOR P.FUS. NH DISPOSICION VERTICAL TAMANO 2 220V 400A AC-23 60HZ</v>
          </cell>
        </row>
        <row r="4010">
          <cell r="B4010">
            <v>6311432</v>
          </cell>
          <cell r="C4010" t="str">
            <v>EFN</v>
          </cell>
          <cell r="D4010" t="str">
            <v>BASE PORTAFUSIBLE TRIPOLAR SECCIONADOR P.FUS. NH DISPOSICION VERTICAL TAMANO 2 220V 400A AC-23 60HZ</v>
          </cell>
        </row>
        <row r="4011">
          <cell r="B4011">
            <v>6311432</v>
          </cell>
          <cell r="C4011" t="str">
            <v>FES</v>
          </cell>
          <cell r="D4011" t="str">
            <v>BASE PORTAFUSIBLE TRIPOLAR SECCIONADOR P.FUS. NH DISPOSICION VERTICAL TAMANO 2 220V 400A AC-23 60HZ</v>
          </cell>
        </row>
        <row r="4012">
          <cell r="B4012">
            <v>6311432</v>
          </cell>
          <cell r="C4012" t="str">
            <v>FES</v>
          </cell>
          <cell r="D4012" t="str">
            <v>BASE PORTAFUSIBLE TRIPOLAR SECCIONADOR P.FUS. NH DISPOSICION VERTICAL TAMANO 2 220V 400A AC-23 60HZ</v>
          </cell>
        </row>
        <row r="4013">
          <cell r="B4013">
            <v>6311432</v>
          </cell>
          <cell r="C4013" t="str">
            <v>FES</v>
          </cell>
          <cell r="D4013" t="str">
            <v>BASE PORTAFUSIBLE TRIPOLAR SECCIONADOR P.FUS. NH DISPOSICION VERTICAL TAMANO 2 220V 400A AC-23 60HZ</v>
          </cell>
        </row>
        <row r="4014">
          <cell r="B4014">
            <v>6311432</v>
          </cell>
          <cell r="C4014" t="str">
            <v>FES</v>
          </cell>
          <cell r="D4014" t="str">
            <v>BASE PORTAFUSIBLE TRIPOLAR SECCIONADOR P.FUS. NH DISPOSICION VERTICAL TAMANO 2 220V 400A AC-23 60HZ</v>
          </cell>
        </row>
        <row r="4015">
          <cell r="B4015">
            <v>6311432</v>
          </cell>
          <cell r="C4015" t="str">
            <v>FES</v>
          </cell>
          <cell r="D4015" t="str">
            <v>BASE PORTAFUSIBLE TRIPOLAR SECCIONADOR P.FUS. NH DISPOSICION VERTICAL TAMANO 2 220V 400A AC-23 60HZ</v>
          </cell>
        </row>
        <row r="4016">
          <cell r="B4016">
            <v>6311432</v>
          </cell>
          <cell r="C4016" t="str">
            <v>FES</v>
          </cell>
          <cell r="D4016" t="str">
            <v>BASE PORTAFUSIBLE TRIPOLAR SECCIONADOR P.FUS. NH DISPOSICION VERTICAL TAMANO 2 220V 400A AC-23 60HZ</v>
          </cell>
        </row>
        <row r="4017">
          <cell r="B4017">
            <v>6311432</v>
          </cell>
          <cell r="C4017" t="str">
            <v>PRT</v>
          </cell>
          <cell r="D4017" t="str">
            <v>BASE PORTAFUSIBLE TRIPOLAR SECCIONADOR P.FUS. NH DISPOSICION VERTICAL TAMANO 2 220V 400A AC-23 60HZ</v>
          </cell>
        </row>
        <row r="4018">
          <cell r="B4018">
            <v>6311448</v>
          </cell>
          <cell r="C4018" t="str">
            <v>ABB</v>
          </cell>
          <cell r="D4018" t="str">
            <v>BASE PORTAFUSIBLE TRIPOLAR SECCIONADOR P.FUS. NH DISPOSICION VERTICAL TAMANO 3 220V 630A AC-23 60HZ</v>
          </cell>
        </row>
        <row r="4019">
          <cell r="B4019">
            <v>6311448</v>
          </cell>
          <cell r="C4019" t="str">
            <v>ABB</v>
          </cell>
          <cell r="D4019" t="str">
            <v>BASE PORTAFUSIBLE TRIPOLAR SECCIONADOR P.FUS. NH DISPOSICION VERTICAL TAMANO 3 220V 630A AC-23 60HZ</v>
          </cell>
        </row>
        <row r="4020">
          <cell r="B4020">
            <v>6311448</v>
          </cell>
          <cell r="C4020" t="str">
            <v>EFN</v>
          </cell>
          <cell r="D4020" t="str">
            <v>BASE PORTAFUSIBLE TRIPOLAR SECCIONADOR P.FUS. NH DISPOSICION VERTICAL TAMANO 3 220V 630A AC-23 60HZ</v>
          </cell>
        </row>
        <row r="4021">
          <cell r="B4021">
            <v>6311448</v>
          </cell>
          <cell r="C4021" t="str">
            <v>FES</v>
          </cell>
          <cell r="D4021" t="str">
            <v>BASE PORTAFUSIBLE TRIPOLAR SECCIONADOR P.FUS. NH DISPOSICION VERTICAL TAMANO 3 220V 630A AC-23 60HZ</v>
          </cell>
        </row>
        <row r="4022">
          <cell r="B4022">
            <v>6311448</v>
          </cell>
          <cell r="C4022" t="str">
            <v>FES</v>
          </cell>
          <cell r="D4022" t="str">
            <v>BASE PORTAFUSIBLE TRIPOLAR SECCIONADOR P.FUS. NH DISPOSICION VERTICAL TAMANO 3 220V 630A AC-23 60HZ</v>
          </cell>
        </row>
        <row r="4023">
          <cell r="B4023">
            <v>6311448</v>
          </cell>
          <cell r="C4023" t="str">
            <v>FES</v>
          </cell>
          <cell r="D4023" t="str">
            <v>BASE PORTAFUSIBLE TRIPOLAR SECCIONADOR P.FUS. NH DISPOSICION VERTICAL TAMANO 3 220V 630A AC-23 60HZ</v>
          </cell>
        </row>
        <row r="4024">
          <cell r="B4024">
            <v>6311448</v>
          </cell>
          <cell r="C4024" t="str">
            <v>FES</v>
          </cell>
          <cell r="D4024" t="str">
            <v>BASE PORTAFUSIBLE TRIPOLAR SECCIONADOR P.FUS. NH DISPOSICION VERTICAL TAMANO 3 220V 630A AC-23 60HZ</v>
          </cell>
        </row>
        <row r="4025">
          <cell r="B4025">
            <v>6311448</v>
          </cell>
          <cell r="C4025" t="str">
            <v>FES</v>
          </cell>
          <cell r="D4025" t="str">
            <v>BASE PORTAFUSIBLE TRIPOLAR SECCIONADOR P.FUS. NH DISPOSICION VERTICAL TAMANO 3 220V 630A AC-23 60HZ</v>
          </cell>
        </row>
        <row r="4026">
          <cell r="B4026">
            <v>6311448</v>
          </cell>
          <cell r="C4026" t="str">
            <v>FES</v>
          </cell>
          <cell r="D4026" t="str">
            <v>BASE PORTAFUSIBLE TRIPOLAR SECCIONADOR P.FUS. NH DISPOSICION VERTICAL TAMANO 3 220V 630A AC-23 60HZ</v>
          </cell>
        </row>
        <row r="4027">
          <cell r="B4027">
            <v>6311448</v>
          </cell>
          <cell r="C4027" t="str">
            <v>PRT</v>
          </cell>
          <cell r="D4027" t="str">
            <v>BASE PORTAFUSIBLE TRIPOLAR SECCIONADOR P.FUS. NH DISPOSICION VERTICAL TAMANO 3 220V 630A AC-23 60HZ</v>
          </cell>
        </row>
        <row r="4028">
          <cell r="B4028">
            <v>6312142</v>
          </cell>
          <cell r="C4028" t="str">
            <v>TAS</v>
          </cell>
          <cell r="D4028" t="str">
            <v>EMPAQUETADURA JEBE 67X24X8MM. P. SECC. TP. COLUMNA</v>
          </cell>
        </row>
        <row r="4029">
          <cell r="B4029">
            <v>6312222</v>
          </cell>
          <cell r="C4029" t="str">
            <v>TAS</v>
          </cell>
          <cell r="D4029" t="str">
            <v>POLO DE FUS.SECC. TRIF. UNIP. TP.COLUMNA BT. 1000A</v>
          </cell>
        </row>
        <row r="4030">
          <cell r="B4030">
            <v>6312228</v>
          </cell>
          <cell r="C4030" t="str">
            <v>TAS</v>
          </cell>
          <cell r="D4030" t="str">
            <v>POLO DE SECCIONADOR TRIF.UNIP.TP.COLUMNA BT. 2000A</v>
          </cell>
        </row>
        <row r="4031">
          <cell r="B4031">
            <v>6331212</v>
          </cell>
          <cell r="C4031" t="str">
            <v>FEL</v>
          </cell>
          <cell r="D4031" t="str">
            <v>SECCIONADOR UNIP.INT.DE BARRA 10KV  400A</v>
          </cell>
        </row>
        <row r="4032">
          <cell r="B4032">
            <v>6331212</v>
          </cell>
          <cell r="C4032" t="str">
            <v>TAS</v>
          </cell>
          <cell r="D4032" t="str">
            <v>SECCIONADOR UNIP.INT.DE BARRA 10KV  400A</v>
          </cell>
        </row>
        <row r="4033">
          <cell r="B4033">
            <v>6331216</v>
          </cell>
          <cell r="C4033" t="str">
            <v>FEL</v>
          </cell>
          <cell r="D4033" t="str">
            <v>SECCIONADOR UNIPOLAR INTERIOR BARRA 10KV. 600A.</v>
          </cell>
        </row>
        <row r="4034">
          <cell r="B4034">
            <v>6331216</v>
          </cell>
          <cell r="C4034" t="str">
            <v>TAS</v>
          </cell>
          <cell r="D4034" t="str">
            <v>SECCIONADOR UNIPOLAR INTERIOR BARRA 10KV. 600A.</v>
          </cell>
        </row>
        <row r="4035">
          <cell r="B4035">
            <v>6331222</v>
          </cell>
          <cell r="C4035" t="str">
            <v>ABB</v>
          </cell>
          <cell r="D4035" t="str">
            <v>SECCION. UNIP.AEREO 10KV.400A.CORR.MOD.L.F.&gt;284MM</v>
          </cell>
        </row>
        <row r="4036">
          <cell r="B4036">
            <v>6331222</v>
          </cell>
          <cell r="C4036" t="str">
            <v>CHN</v>
          </cell>
          <cell r="D4036" t="str">
            <v>SECCION. UNIP.AEREO 10KV.400A.CORR.MOD.L.F.&gt;284MM</v>
          </cell>
        </row>
        <row r="4037">
          <cell r="B4037">
            <v>6331222</v>
          </cell>
          <cell r="C4037" t="str">
            <v>COO</v>
          </cell>
          <cell r="D4037" t="str">
            <v>SECCION. UNIP.AEREO 10KV.400A.CORR.MOD.L.F.&gt;284MM</v>
          </cell>
        </row>
        <row r="4038">
          <cell r="B4038">
            <v>6331222</v>
          </cell>
          <cell r="C4038" t="str">
            <v>FEL</v>
          </cell>
          <cell r="D4038" t="str">
            <v>SECCION. UNIP.AEREO 10KV.400A.CORR.MOD.L.F.&gt;284MM</v>
          </cell>
        </row>
        <row r="4039">
          <cell r="B4039">
            <v>6331222</v>
          </cell>
          <cell r="C4039" t="str">
            <v>SCE</v>
          </cell>
          <cell r="D4039" t="str">
            <v>SECCION. UNIP.AEREO 10KV.400A.CORR.MOD.L.F.&gt;284MM</v>
          </cell>
        </row>
        <row r="4040">
          <cell r="B4040">
            <v>6331223</v>
          </cell>
          <cell r="C4040" t="str">
            <v>ABB</v>
          </cell>
          <cell r="D4040" t="str">
            <v>SECCION. UNIP.AEREO 10 KV 400A.CORR.SEV.&gt;L.F.430MM</v>
          </cell>
        </row>
        <row r="4041">
          <cell r="B4041">
            <v>6331223</v>
          </cell>
          <cell r="C4041" t="str">
            <v>FEL</v>
          </cell>
          <cell r="D4041" t="str">
            <v>SECCION. UNIP.AEREO 10 KV 400A.CORR.SEV.&gt;L.F.430MM</v>
          </cell>
        </row>
        <row r="4042">
          <cell r="B4042">
            <v>6331223</v>
          </cell>
          <cell r="C4042" t="str">
            <v>SCE</v>
          </cell>
          <cell r="D4042" t="str">
            <v>SECCION. UNIP.AEREO 10 KV 400A.CORR.SEV.&gt;L.F.430MM</v>
          </cell>
        </row>
        <row r="4043">
          <cell r="B4043">
            <v>6331228</v>
          </cell>
          <cell r="C4043" t="str">
            <v>ABH</v>
          </cell>
          <cell r="D4043" t="str">
            <v>SECCIONADOR UNIP.EXT.AER. 400 A. 125KV. BIL 22.9 KV.MODER.</v>
          </cell>
        </row>
        <row r="4044">
          <cell r="B4044">
            <v>6331228</v>
          </cell>
          <cell r="C4044" t="str">
            <v>FEL</v>
          </cell>
          <cell r="D4044" t="str">
            <v>SECCIONADOR UNIP.EXT.AER. 400 A. 125KV. BIL 22.9 KV.MODER.</v>
          </cell>
        </row>
        <row r="4045">
          <cell r="B4045">
            <v>6331228</v>
          </cell>
          <cell r="C4045" t="str">
            <v>SCE</v>
          </cell>
          <cell r="D4045" t="str">
            <v>SECCIONADOR UNIP.EXT.AER. 400 A. 125KV. BIL 22.9 KV.MODER.</v>
          </cell>
        </row>
        <row r="4046">
          <cell r="B4046">
            <v>6331229</v>
          </cell>
          <cell r="C4046" t="str">
            <v>ABH</v>
          </cell>
          <cell r="D4046" t="str">
            <v>SECCIONADOR UNIP.EXT AER.400A.150KV.BIL 22,9 KV C.SEVERA</v>
          </cell>
        </row>
        <row r="4047">
          <cell r="B4047">
            <v>6331229</v>
          </cell>
          <cell r="C4047" t="str">
            <v>FEL</v>
          </cell>
          <cell r="D4047" t="str">
            <v>SECCIONADOR UNIP.EXT AER.400A.150KV.BIL 22,9 KV C.SEVERA</v>
          </cell>
        </row>
        <row r="4048">
          <cell r="B4048">
            <v>6331229</v>
          </cell>
          <cell r="C4048" t="str">
            <v>SCE</v>
          </cell>
          <cell r="D4048" t="str">
            <v>SECCIONADOR UNIP.EXT AER.400A.150KV.BIL 22,9 KV C.SEVERA</v>
          </cell>
        </row>
        <row r="4049">
          <cell r="B4049">
            <v>6331270</v>
          </cell>
          <cell r="C4049" t="str">
            <v>ABB</v>
          </cell>
          <cell r="D4049" t="str">
            <v>SECCIONADOR FUS.POT.TRIP.12KV.630A.25KA.C.MECAN.CIERRE RAP.Y APERT.C.RESORTE.USO INTERIOR</v>
          </cell>
        </row>
        <row r="4050">
          <cell r="B4050">
            <v>6331280</v>
          </cell>
          <cell r="C4050" t="str">
            <v>ABB</v>
          </cell>
          <cell r="D4050" t="str">
            <v>SECCIONADOR FUS.POT.TRIP.25KV.630A.16KA.C.MECAN.CIERRE RAP.Y APERT.C.RESORTE.USO INTERIOR</v>
          </cell>
        </row>
        <row r="4051">
          <cell r="B4051">
            <v>6331310</v>
          </cell>
          <cell r="C4051" t="str">
            <v>FEL</v>
          </cell>
          <cell r="D4051" t="str">
            <v>SECCIONADOR UNIPOLAR INTERIOR BARRA 22,9KV. 400A.</v>
          </cell>
        </row>
        <row r="4052">
          <cell r="B4052">
            <v>6331312</v>
          </cell>
          <cell r="C4052" t="str">
            <v>FEL</v>
          </cell>
          <cell r="D4052" t="str">
            <v>SECCIONADOR UNIPOLAR INTERIOR  BARRA 350A.22.9 KV.</v>
          </cell>
        </row>
        <row r="4053">
          <cell r="B4053">
            <v>6331312</v>
          </cell>
          <cell r="C4053" t="str">
            <v>TAS</v>
          </cell>
          <cell r="D4053" t="str">
            <v>SECCIONADOR UNIPOLAR INTERIOR  BARRA 350A.22.9 KV.</v>
          </cell>
        </row>
        <row r="4054">
          <cell r="B4054">
            <v>6331706</v>
          </cell>
          <cell r="C4054" t="str">
            <v>FEL</v>
          </cell>
          <cell r="D4054" t="str">
            <v>SECCIONADOR FUSIBLE DE POTENCIA TRIP.   10KV.400A.</v>
          </cell>
        </row>
        <row r="4055">
          <cell r="B4055">
            <v>6331706</v>
          </cell>
          <cell r="C4055" t="str">
            <v>SOC</v>
          </cell>
          <cell r="D4055" t="str">
            <v>SECCIONADOR FUSIBLE DE POTENCIA TRIP.   10KV.400A.</v>
          </cell>
        </row>
        <row r="4056">
          <cell r="B4056">
            <v>6331714</v>
          </cell>
          <cell r="C4056" t="str">
            <v>ABB</v>
          </cell>
          <cell r="D4056" t="str">
            <v>SECCIONADOR FUSIBLE TRIPOLAR 12KV 400A 25KA 60HZ 210MM MONTAJE INTERIOR C.ACCESORIOS</v>
          </cell>
        </row>
        <row r="4057">
          <cell r="B4057">
            <v>6331715</v>
          </cell>
          <cell r="C4057" t="str">
            <v>ABB</v>
          </cell>
          <cell r="D4057" t="str">
            <v>SECCIONADOR FUS.POT.TRIP.12KV.400A.25KA.C.MECAN.CIERRE RAP.Y APERT.C.RESORTE.USO INTERIOR</v>
          </cell>
        </row>
        <row r="4058">
          <cell r="B4058">
            <v>6331758</v>
          </cell>
          <cell r="C4058" t="str">
            <v>FEL</v>
          </cell>
          <cell r="D4058" t="str">
            <v>SECCIONADOR DE POTENCIA TRIPOLAR 24KV.400A.16KA.EFICAZ</v>
          </cell>
        </row>
        <row r="4059">
          <cell r="B4059">
            <v>6331758</v>
          </cell>
          <cell r="C4059" t="str">
            <v>SOC</v>
          </cell>
          <cell r="D4059" t="str">
            <v>SECCIONADOR DE POTENCIA TRIPOLAR 24KV.400A.16KA.EFICAZ</v>
          </cell>
        </row>
        <row r="4060">
          <cell r="B4060">
            <v>6381106</v>
          </cell>
          <cell r="C4060" t="str">
            <v>ABH</v>
          </cell>
          <cell r="D4060" t="str">
            <v>PERTIGA AISL.RESIN.EPOX.1.2M.P.BORN.P.T.BARRA 10KV</v>
          </cell>
        </row>
        <row r="4061">
          <cell r="B4061">
            <v>6381106</v>
          </cell>
          <cell r="C4061" t="str">
            <v>CAT</v>
          </cell>
          <cell r="D4061" t="str">
            <v>PERTIGA AISL.RESIN.EPOX.1.2M.P.BORN.P.T.BARRA 10KV</v>
          </cell>
        </row>
        <row r="4062">
          <cell r="B4062">
            <v>6381107</v>
          </cell>
          <cell r="C4062" t="str">
            <v>HTG</v>
          </cell>
          <cell r="D4062" t="str">
            <v>PERTIGA DE MANIOBRA AISLADA EXTRACTORA DE FUSIBLES DE FIBRA VIDRIO C.RANGO 1 1/2" - 3 5/8"</v>
          </cell>
        </row>
        <row r="4063">
          <cell r="B4063">
            <v>6381112</v>
          </cell>
          <cell r="C4063" t="str">
            <v>ABH</v>
          </cell>
          <cell r="D4063" t="str">
            <v>PERTIGA UNIVERS.FIBR.VIDRIO 32MMDX1.9M.P.MANIOBRAS</v>
          </cell>
        </row>
        <row r="4064">
          <cell r="B4064">
            <v>6381112</v>
          </cell>
          <cell r="C4064" t="str">
            <v>CAT</v>
          </cell>
          <cell r="D4064" t="str">
            <v>PERTIGA UNIVERS.FIBR.VIDRIO 32MMDX1.9M.P.MANIOBRAS</v>
          </cell>
        </row>
        <row r="4065">
          <cell r="B4065">
            <v>6381112</v>
          </cell>
          <cell r="C4065" t="str">
            <v>SAL</v>
          </cell>
          <cell r="D4065" t="str">
            <v>PERTIGA UNIVERS.FIBR.VIDRIO 32MMDX1.9M.P.MANIOBRAS</v>
          </cell>
        </row>
        <row r="4066">
          <cell r="B4066">
            <v>6381118</v>
          </cell>
          <cell r="C4066" t="str">
            <v>ABH</v>
          </cell>
          <cell r="D4066" t="str">
            <v>PERTIGA  AISL.FIBR.VIDRIO 32MMDX1.8M. 10KV</v>
          </cell>
        </row>
        <row r="4067">
          <cell r="B4067">
            <v>6381118</v>
          </cell>
          <cell r="C4067" t="str">
            <v>CAT</v>
          </cell>
          <cell r="D4067" t="str">
            <v>PERTIGA  AISL.FIBR.VIDRIO 32MMDX1.8M. 10KV</v>
          </cell>
        </row>
        <row r="4068">
          <cell r="B4068">
            <v>6381118</v>
          </cell>
          <cell r="C4068" t="str">
            <v>SAL</v>
          </cell>
          <cell r="D4068" t="str">
            <v>PERTIGA  AISL.FIBR.VIDRIO 32MMDX1.8M. 10KV</v>
          </cell>
        </row>
        <row r="4069">
          <cell r="B4069">
            <v>6381118</v>
          </cell>
          <cell r="C4069" t="str">
            <v>SCE</v>
          </cell>
          <cell r="D4069" t="str">
            <v>PERTIGA  AISL.FIBR.VIDRIO 32MMDX1.8M. 10KV</v>
          </cell>
        </row>
        <row r="4070">
          <cell r="B4070">
            <v>6381136</v>
          </cell>
          <cell r="C4070" t="str">
            <v>ABH</v>
          </cell>
          <cell r="D4070" t="str">
            <v>PERTIGA AISL.FIBR.VIDR.P.MANIOBR.CONECT.CODO  10KV</v>
          </cell>
        </row>
        <row r="4071">
          <cell r="B4071">
            <v>6381136</v>
          </cell>
          <cell r="C4071" t="str">
            <v>HTG</v>
          </cell>
          <cell r="D4071" t="str">
            <v>PERTIGA AISL.FIBR.VIDR.P.MANIOBR.CONECT.CODO  10KV</v>
          </cell>
        </row>
        <row r="4072">
          <cell r="B4072">
            <v>6381160</v>
          </cell>
          <cell r="C4072" t="str">
            <v>ABH</v>
          </cell>
          <cell r="D4072" t="str">
            <v>PERTIGA UNIV.O EXT.P.MANIOB.C/CARGA CUT-OUT 22,9KV</v>
          </cell>
        </row>
        <row r="4073">
          <cell r="B4073">
            <v>6381160</v>
          </cell>
          <cell r="C4073" t="str">
            <v>SCE</v>
          </cell>
          <cell r="D4073" t="str">
            <v>PERTIGA UNIV.O EXT.P.MANIOB.C/CARGA CUT-OUT 22,9KV</v>
          </cell>
        </row>
        <row r="4074">
          <cell r="B4074">
            <v>6381198</v>
          </cell>
          <cell r="C4074" t="str">
            <v>ABH</v>
          </cell>
          <cell r="D4074" t="str">
            <v>PERTIGA AISL.FIBRA VIDRIO 36MM.D.X1.2M.L. 10KV.</v>
          </cell>
        </row>
        <row r="4075">
          <cell r="B4075">
            <v>6381198</v>
          </cell>
          <cell r="C4075" t="str">
            <v>CAT</v>
          </cell>
          <cell r="D4075" t="str">
            <v>PERTIGA AISL.FIBRA VIDRIO 36MM.D.X1.2M.L. 10KV.</v>
          </cell>
        </row>
        <row r="4076">
          <cell r="B4076">
            <v>6381198</v>
          </cell>
          <cell r="C4076" t="str">
            <v>SAL</v>
          </cell>
          <cell r="D4076" t="str">
            <v>PERTIGA AISL.FIBRA VIDRIO 36MM.D.X1.2M.L. 10KV.</v>
          </cell>
        </row>
        <row r="4077">
          <cell r="B4077">
            <v>6383112</v>
          </cell>
          <cell r="C4077" t="str">
            <v>CAT</v>
          </cell>
          <cell r="D4077" t="str">
            <v>DISPOSITIVO TRIP.PUESTA A TIERRA INTERIOR    10KV.</v>
          </cell>
        </row>
        <row r="4078">
          <cell r="B4078">
            <v>6383144</v>
          </cell>
          <cell r="C4078" t="str">
            <v>SIB</v>
          </cell>
          <cell r="D4078" t="str">
            <v>PUESTA A TIERRA TEMPORAL EN CORTO CIRCUITO FASE A FASE 10-22.9KV. ICC 20KA</v>
          </cell>
        </row>
        <row r="4079">
          <cell r="B4079">
            <v>6383146</v>
          </cell>
          <cell r="C4079" t="str">
            <v>SIB</v>
          </cell>
          <cell r="D4079" t="str">
            <v>PUESTA A TIERRA TEMPORAL CABLE DE BAJADA. ICC 20KA</v>
          </cell>
        </row>
        <row r="4080">
          <cell r="B4080">
            <v>6383148</v>
          </cell>
          <cell r="C4080" t="str">
            <v>SIB</v>
          </cell>
          <cell r="D4080" t="str">
            <v>CABLE DE TIERRA DE 35MM2 X 13M CON MORDAZAS DE BRONCE AJUSTE POR TORNILLO Y VASTAGO TIPO T</v>
          </cell>
        </row>
        <row r="4081">
          <cell r="B4081">
            <v>6383150</v>
          </cell>
          <cell r="C4081" t="str">
            <v>SIB</v>
          </cell>
          <cell r="D4081" t="str">
            <v>VARILLA DE TIERRA COPPERWELD, DIAMETRO DE 16MM, LONGITUD 1.2M, CABEZA DE BRONCE</v>
          </cell>
        </row>
        <row r="4082">
          <cell r="B4082">
            <v>6383152</v>
          </cell>
          <cell r="C4082" t="str">
            <v>CAT</v>
          </cell>
          <cell r="D4082" t="str">
            <v>DISPOSITIVO TRIP. P. PUESTA A TIERRA EXT.     60KV</v>
          </cell>
        </row>
        <row r="4083">
          <cell r="B4083">
            <v>6383154</v>
          </cell>
          <cell r="C4083" t="str">
            <v>SIB</v>
          </cell>
          <cell r="D4083" t="str">
            <v>CABALLETE DE ALUMINIO CON CADENA DE 1M, AJUSTE DOBLE (RESORTE Y TORNILLO)</v>
          </cell>
        </row>
        <row r="4084">
          <cell r="B4084">
            <v>6511220</v>
          </cell>
          <cell r="C4084" t="str">
            <v>ABB</v>
          </cell>
          <cell r="D4084" t="str">
            <v>INTERRUPTOR TERMOMAGNETICO BIPOLAR CURVA C 220V 50A 6 / 10KA P.RIEL DIN</v>
          </cell>
        </row>
        <row r="4085">
          <cell r="B4085">
            <v>6511220</v>
          </cell>
          <cell r="C4085" t="str">
            <v>GCA</v>
          </cell>
          <cell r="D4085" t="str">
            <v>INTERRUPTOR TERMOMAGNETICO BIPOLAR CURVA C 220V 50A 6 / 10KA P.RIEL DIN</v>
          </cell>
        </row>
        <row r="4086">
          <cell r="B4086">
            <v>6511220</v>
          </cell>
          <cell r="C4086" t="str">
            <v>GEL</v>
          </cell>
          <cell r="D4086" t="str">
            <v>INTERRUPTOR TERMOMAGNETICO BIPOLAR CURVA C 220V 50A 6 / 10KA P.RIEL DIN</v>
          </cell>
        </row>
        <row r="4087">
          <cell r="B4087">
            <v>6511220</v>
          </cell>
          <cell r="C4087" t="str">
            <v>HYU</v>
          </cell>
          <cell r="D4087" t="str">
            <v>INTERRUPTOR TERMOMAGNETICO BIPOLAR CURVA C 220V 50A 6 / 10KA P.RIEL DIN</v>
          </cell>
        </row>
        <row r="4088">
          <cell r="B4088">
            <v>6511220</v>
          </cell>
          <cell r="C4088" t="str">
            <v>LSI</v>
          </cell>
          <cell r="D4088" t="str">
            <v>INTERRUPTOR TERMOMAGNETICO BIPOLAR CURVA C 220V 50A 6 / 10KA P.RIEL DIN</v>
          </cell>
        </row>
        <row r="4089">
          <cell r="B4089">
            <v>6511220</v>
          </cell>
          <cell r="C4089" t="str">
            <v>SAS</v>
          </cell>
          <cell r="D4089" t="str">
            <v>INTERRUPTOR TERMOMAGNETICO BIPOLAR CURVA C 220V 50A 6 / 10KA P.RIEL DIN</v>
          </cell>
        </row>
        <row r="4090">
          <cell r="B4090">
            <v>6511220</v>
          </cell>
          <cell r="C4090" t="str">
            <v>SCN</v>
          </cell>
          <cell r="D4090" t="str">
            <v>INTERRUPTOR TERMOMAGNETICO BIPOLAR CURVA C 220V 50A 6 / 10KA P.RIEL DIN</v>
          </cell>
        </row>
        <row r="4091">
          <cell r="B4091">
            <v>6511220</v>
          </cell>
          <cell r="C4091" t="str">
            <v>SCN</v>
          </cell>
          <cell r="D4091" t="str">
            <v>INTERRUPTOR TERMOMAGNETICO BIPOLAR CURVA C 220V 50A 6 / 10KA P.RIEL DIN</v>
          </cell>
        </row>
        <row r="4092">
          <cell r="B4092">
            <v>6511250</v>
          </cell>
          <cell r="C4092" t="str">
            <v>ABB</v>
          </cell>
          <cell r="D4092" t="str">
            <v>INTERRUPTOR TERMOMAGNETICO BIPOLAR CURVA C 220V 16A 6 / 10KA P.RIEL DIN</v>
          </cell>
        </row>
        <row r="4093">
          <cell r="B4093">
            <v>6511250</v>
          </cell>
          <cell r="C4093" t="str">
            <v>GCA</v>
          </cell>
          <cell r="D4093" t="str">
            <v>INTERRUPTOR TERMOMAGNETICO BIPOLAR CURVA C 220V 16A 6 / 10KA P.RIEL DIN</v>
          </cell>
        </row>
        <row r="4094">
          <cell r="B4094">
            <v>6511250</v>
          </cell>
          <cell r="C4094" t="str">
            <v>GEL</v>
          </cell>
          <cell r="D4094" t="str">
            <v>INTERRUPTOR TERMOMAGNETICO BIPOLAR CURVA C 220V 16A 6 / 10KA P.RIEL DIN</v>
          </cell>
        </row>
        <row r="4095">
          <cell r="B4095">
            <v>6511250</v>
          </cell>
          <cell r="C4095" t="str">
            <v>HYU</v>
          </cell>
          <cell r="D4095" t="str">
            <v>INTERRUPTOR TERMOMAGNETICO BIPOLAR CURVA C 220V 16A 6 / 10KA P.RIEL DIN</v>
          </cell>
        </row>
        <row r="4096">
          <cell r="B4096">
            <v>6511250</v>
          </cell>
          <cell r="C4096" t="str">
            <v>LSI</v>
          </cell>
          <cell r="D4096" t="str">
            <v>INTERRUPTOR TERMOMAGNETICO BIPOLAR CURVA C 220V 16A 6 / 10KA P.RIEL DIN</v>
          </cell>
        </row>
        <row r="4097">
          <cell r="B4097">
            <v>6511250</v>
          </cell>
          <cell r="C4097" t="str">
            <v>SAS</v>
          </cell>
          <cell r="D4097" t="str">
            <v>INTERRUPTOR TERMOMAGNETICO BIPOLAR CURVA C 220V 16A 6 / 10KA P.RIEL DIN</v>
          </cell>
        </row>
        <row r="4098">
          <cell r="B4098">
            <v>6511250</v>
          </cell>
          <cell r="C4098" t="str">
            <v>SCN</v>
          </cell>
          <cell r="D4098" t="str">
            <v>INTERRUPTOR TERMOMAGNETICO BIPOLAR CURVA C 220V 16A 6 / 10KA P.RIEL DIN</v>
          </cell>
        </row>
        <row r="4099">
          <cell r="B4099">
            <v>6511250</v>
          </cell>
          <cell r="C4099" t="str">
            <v>SCN</v>
          </cell>
          <cell r="D4099" t="str">
            <v>INTERRUPTOR TERMOMAGNETICO BIPOLAR CURVA C 220V 16A 6 / 10KA P.RIEL DIN</v>
          </cell>
        </row>
        <row r="4100">
          <cell r="B4100">
            <v>6512178</v>
          </cell>
          <cell r="C4100" t="str">
            <v>ABB</v>
          </cell>
          <cell r="D4100" t="str">
            <v>INTERRUPTOR TERMOMAGNETICO BIPOLAR CURVA C 220V 32A 6 / 10KA P.RIEL DIN</v>
          </cell>
        </row>
        <row r="4101">
          <cell r="B4101">
            <v>6512178</v>
          </cell>
          <cell r="C4101" t="str">
            <v>GCA</v>
          </cell>
          <cell r="D4101" t="str">
            <v>INTERRUPTOR TERMOMAGNETICO BIPOLAR CURVA C 220V 32A 6 / 10KA P.RIEL DIN</v>
          </cell>
        </row>
        <row r="4102">
          <cell r="B4102">
            <v>6512178</v>
          </cell>
          <cell r="C4102" t="str">
            <v>GEL</v>
          </cell>
          <cell r="D4102" t="str">
            <v>INTERRUPTOR TERMOMAGNETICO BIPOLAR CURVA C 220V 32A 6 / 10KA P.RIEL DIN</v>
          </cell>
        </row>
        <row r="4103">
          <cell r="B4103">
            <v>6512178</v>
          </cell>
          <cell r="C4103" t="str">
            <v>GEL</v>
          </cell>
          <cell r="D4103" t="str">
            <v>INTERRUPTOR TERMOMAGNETICO BIPOLAR CURVA C 220V 32A 6 / 10KA P.RIEL DIN</v>
          </cell>
        </row>
        <row r="4104">
          <cell r="B4104">
            <v>6512178</v>
          </cell>
          <cell r="C4104" t="str">
            <v>HYU</v>
          </cell>
          <cell r="D4104" t="str">
            <v>INTERRUPTOR TERMOMAGNETICO BIPOLAR CURVA C 220V 32A 6 / 10KA P.RIEL DIN</v>
          </cell>
        </row>
        <row r="4105">
          <cell r="B4105">
            <v>6512178</v>
          </cell>
          <cell r="C4105" t="str">
            <v>LSI</v>
          </cell>
          <cell r="D4105" t="str">
            <v>INTERRUPTOR TERMOMAGNETICO BIPOLAR CURVA C 220V 32A 6 / 10KA P.RIEL DIN</v>
          </cell>
        </row>
        <row r="4106">
          <cell r="B4106">
            <v>6512178</v>
          </cell>
          <cell r="C4106" t="str">
            <v>SAS</v>
          </cell>
          <cell r="D4106" t="str">
            <v>INTERRUPTOR TERMOMAGNETICO BIPOLAR CURVA C 220V 32A 6 / 10KA P.RIEL DIN</v>
          </cell>
        </row>
        <row r="4107">
          <cell r="B4107">
            <v>6512178</v>
          </cell>
          <cell r="C4107" t="str">
            <v>SCN</v>
          </cell>
          <cell r="D4107" t="str">
            <v>INTERRUPTOR TERMOMAGNETICO BIPOLAR CURVA C 220V 32A 6 / 10KA P.RIEL DIN</v>
          </cell>
        </row>
        <row r="4108">
          <cell r="B4108">
            <v>6512178</v>
          </cell>
          <cell r="C4108" t="str">
            <v>SCN</v>
          </cell>
          <cell r="D4108" t="str">
            <v>INTERRUPTOR TERMOMAGNETICO BIPOLAR CURVA C 220V 32A 6 / 10KA P.RIEL DIN</v>
          </cell>
        </row>
        <row r="4109">
          <cell r="B4109">
            <v>6512215</v>
          </cell>
          <cell r="C4109" t="str">
            <v>ABB</v>
          </cell>
          <cell r="D4109" t="str">
            <v>INTERRUPTOR TERMOMAGNETICO TRIPOLAR CURVA C 220V 32A 6 / 10KA P.RIEL DIN</v>
          </cell>
        </row>
        <row r="4110">
          <cell r="B4110">
            <v>6512215</v>
          </cell>
          <cell r="C4110" t="str">
            <v>GCA</v>
          </cell>
          <cell r="D4110" t="str">
            <v>INTERRUPTOR TERMOMAGNETICO TRIPOLAR CURVA C 220V 32A 6 / 10KA P.RIEL DIN</v>
          </cell>
        </row>
        <row r="4111">
          <cell r="B4111">
            <v>6512215</v>
          </cell>
          <cell r="C4111" t="str">
            <v>GEL</v>
          </cell>
          <cell r="D4111" t="str">
            <v>INTERRUPTOR TERMOMAGNETICO TRIPOLAR CURVA C 220V 32A 6 / 10KA P.RIEL DIN</v>
          </cell>
        </row>
        <row r="4112">
          <cell r="B4112">
            <v>6512215</v>
          </cell>
          <cell r="C4112" t="str">
            <v>HYU</v>
          </cell>
          <cell r="D4112" t="str">
            <v>INTERRUPTOR TERMOMAGNETICO TRIPOLAR CURVA C 220V 32A 6 / 10KA P.RIEL DIN</v>
          </cell>
        </row>
        <row r="4113">
          <cell r="B4113">
            <v>6512215</v>
          </cell>
          <cell r="C4113" t="str">
            <v>LSI</v>
          </cell>
          <cell r="D4113" t="str">
            <v>INTERRUPTOR TERMOMAGNETICO TRIPOLAR CURVA C 220V 32A 6 / 10KA P.RIEL DIN</v>
          </cell>
        </row>
        <row r="4114">
          <cell r="B4114">
            <v>6512215</v>
          </cell>
          <cell r="C4114" t="str">
            <v>SAS</v>
          </cell>
          <cell r="D4114" t="str">
            <v>INTERRUPTOR TERMOMAGNETICO TRIPOLAR CURVA C 220V 32A 6 / 10KA P.RIEL DIN</v>
          </cell>
        </row>
        <row r="4115">
          <cell r="B4115">
            <v>6512215</v>
          </cell>
          <cell r="C4115" t="str">
            <v>SCN</v>
          </cell>
          <cell r="D4115" t="str">
            <v>INTERRUPTOR TERMOMAGNETICO TRIPOLAR CURVA C 220V 32A 6 / 10KA P.RIEL DIN</v>
          </cell>
        </row>
        <row r="4116">
          <cell r="B4116">
            <v>6512215</v>
          </cell>
          <cell r="C4116" t="str">
            <v>SCN</v>
          </cell>
          <cell r="D4116" t="str">
            <v>INTERRUPTOR TERMOMAGNETICO TRIPOLAR CURVA C 220V 32A 6 / 10KA P.RIEL DIN</v>
          </cell>
        </row>
        <row r="4117">
          <cell r="B4117">
            <v>6512226</v>
          </cell>
          <cell r="C4117" t="str">
            <v>ABB</v>
          </cell>
          <cell r="D4117" t="str">
            <v>INTERRUPTOR TERMOMAGNETICO TRIPOLAR C.CURVA C 220VAC 63A 10KA 50 - 60HZ</v>
          </cell>
        </row>
        <row r="4118">
          <cell r="B4118">
            <v>6512226</v>
          </cell>
          <cell r="C4118" t="str">
            <v>GCA</v>
          </cell>
          <cell r="D4118" t="str">
            <v>INTERRUPTOR TERMOMAGNETICO TRIPOLAR C.CURVA C 220VAC 63A 10KA 50 - 60HZ</v>
          </cell>
        </row>
        <row r="4119">
          <cell r="B4119">
            <v>6512226</v>
          </cell>
          <cell r="C4119" t="str">
            <v>GEL</v>
          </cell>
          <cell r="D4119" t="str">
            <v>INTERRUPTOR TERMOMAGNETICO TRIPOLAR C.CURVA C 220VAC 63A 10KA 50 - 60HZ</v>
          </cell>
        </row>
        <row r="4120">
          <cell r="B4120">
            <v>6512226</v>
          </cell>
          <cell r="C4120" t="str">
            <v>HYU</v>
          </cell>
          <cell r="D4120" t="str">
            <v>INTERRUPTOR TERMOMAGNETICO TRIPOLAR C.CURVA C 220VAC 63A 10KA 50 - 60HZ</v>
          </cell>
        </row>
        <row r="4121">
          <cell r="B4121">
            <v>6512226</v>
          </cell>
          <cell r="C4121" t="str">
            <v>LSI</v>
          </cell>
          <cell r="D4121" t="str">
            <v>INTERRUPTOR TERMOMAGNETICO TRIPOLAR C.CURVA C 220VAC 63A 10KA 50 - 60HZ</v>
          </cell>
        </row>
        <row r="4122">
          <cell r="B4122">
            <v>6512226</v>
          </cell>
          <cell r="C4122" t="str">
            <v>SAS</v>
          </cell>
          <cell r="D4122" t="str">
            <v>INTERRUPTOR TERMOMAGNETICO TRIPOLAR C.CURVA C 220VAC 63A 10KA 50 - 60HZ</v>
          </cell>
        </row>
        <row r="4123">
          <cell r="B4123">
            <v>6512226</v>
          </cell>
          <cell r="C4123" t="str">
            <v>SCN</v>
          </cell>
          <cell r="D4123" t="str">
            <v>INTERRUPTOR TERMOMAGNETICO TRIPOLAR C.CURVA C 220VAC 63A 10KA 50 - 60HZ</v>
          </cell>
        </row>
        <row r="4124">
          <cell r="B4124">
            <v>6512226</v>
          </cell>
          <cell r="C4124" t="str">
            <v>SCN</v>
          </cell>
          <cell r="D4124" t="str">
            <v>INTERRUPTOR TERMOMAGNETICO TRIPOLAR C.CURVA C 220VAC 63A 10KA 50 - 60HZ</v>
          </cell>
        </row>
        <row r="4125">
          <cell r="B4125">
            <v>6512260</v>
          </cell>
          <cell r="C4125" t="str">
            <v>ABB</v>
          </cell>
          <cell r="D4125" t="str">
            <v>INTERRUPTOR TRIP.TERMOMAG.   TP.CJ.MOLD.220V. 500A</v>
          </cell>
        </row>
        <row r="4126">
          <cell r="B4126">
            <v>6512260</v>
          </cell>
          <cell r="C4126" t="str">
            <v>GEL</v>
          </cell>
          <cell r="D4126" t="str">
            <v>INTERRUPTOR TRIP.TERMOMAG.   TP.CJ.MOLD.220V. 500A</v>
          </cell>
        </row>
        <row r="4127">
          <cell r="B4127">
            <v>6512260</v>
          </cell>
          <cell r="C4127" t="str">
            <v>SCN</v>
          </cell>
          <cell r="D4127" t="str">
            <v>INTERRUPTOR TRIP.TERMOMAG.   TP.CJ.MOLD.220V. 500A</v>
          </cell>
        </row>
        <row r="4128">
          <cell r="B4128">
            <v>6512272</v>
          </cell>
          <cell r="C4128" t="str">
            <v>ABB</v>
          </cell>
          <cell r="D4128" t="str">
            <v>INTERRUPTOR TRIP.TERMOMAG.   TP.CJ.MOLD.220V. 800A</v>
          </cell>
        </row>
        <row r="4129">
          <cell r="B4129">
            <v>6512272</v>
          </cell>
          <cell r="C4129" t="str">
            <v>DSM</v>
          </cell>
          <cell r="D4129" t="str">
            <v>INTERRUPTOR TRIP.TERMOMAG.   TP.CJ.MOLD.220V. 800A</v>
          </cell>
        </row>
        <row r="4130">
          <cell r="B4130">
            <v>6512272</v>
          </cell>
          <cell r="C4130" t="str">
            <v>GEL</v>
          </cell>
          <cell r="D4130" t="str">
            <v>INTERRUPTOR TRIP.TERMOMAG.   TP.CJ.MOLD.220V. 800A</v>
          </cell>
        </row>
        <row r="4131">
          <cell r="B4131">
            <v>6512272</v>
          </cell>
          <cell r="C4131" t="str">
            <v>MIT</v>
          </cell>
          <cell r="D4131" t="str">
            <v>INTERRUPTOR TRIP.TERMOMAG.   TP.CJ.MOLD.220V. 800A</v>
          </cell>
        </row>
        <row r="4132">
          <cell r="B4132">
            <v>6512272</v>
          </cell>
          <cell r="C4132" t="str">
            <v>SCN</v>
          </cell>
          <cell r="D4132" t="str">
            <v>INTERRUPTOR TRIP.TERMOMAG.   TP.CJ.MOLD.220V. 800A</v>
          </cell>
        </row>
        <row r="4133">
          <cell r="B4133">
            <v>6512284</v>
          </cell>
          <cell r="C4133" t="str">
            <v>ABB</v>
          </cell>
          <cell r="D4133" t="str">
            <v>INTERRUPTOR TRIP.TERMOMAG.   TP.CJ.MOLD.220V.1250A</v>
          </cell>
        </row>
        <row r="4134">
          <cell r="B4134">
            <v>6512284</v>
          </cell>
          <cell r="C4134" t="str">
            <v>DSM</v>
          </cell>
          <cell r="D4134" t="str">
            <v>INTERRUPTOR TRIP.TERMOMAG.   TP.CJ.MOLD.220V.1250A</v>
          </cell>
        </row>
        <row r="4135">
          <cell r="B4135">
            <v>6512284</v>
          </cell>
          <cell r="C4135" t="str">
            <v>GEL</v>
          </cell>
          <cell r="D4135" t="str">
            <v>INTERRUPTOR TRIP.TERMOMAG.   TP.CJ.MOLD.220V.1250A</v>
          </cell>
        </row>
        <row r="4136">
          <cell r="B4136">
            <v>6512284</v>
          </cell>
          <cell r="C4136" t="str">
            <v>MIT</v>
          </cell>
          <cell r="D4136" t="str">
            <v>INTERRUPTOR TRIP.TERMOMAG.   TP.CJ.MOLD.220V.1250A</v>
          </cell>
        </row>
        <row r="4137">
          <cell r="B4137">
            <v>6512284</v>
          </cell>
          <cell r="C4137" t="str">
            <v>SCN</v>
          </cell>
          <cell r="D4137" t="str">
            <v>INTERRUPTOR TRIP.TERMOMAG.   TP.CJ.MOLD.220V.1250A</v>
          </cell>
        </row>
        <row r="4138">
          <cell r="B4138">
            <v>6512292</v>
          </cell>
          <cell r="C4138" t="str">
            <v>ABB</v>
          </cell>
          <cell r="D4138" t="str">
            <v>INTERRUPTOR TERMOMAGNETICO.3X1600A.220V.CJ-MOLD.</v>
          </cell>
        </row>
        <row r="4139">
          <cell r="B4139">
            <v>6512292</v>
          </cell>
          <cell r="C4139" t="str">
            <v>SCN</v>
          </cell>
          <cell r="D4139" t="str">
            <v>INTERRUPTOR TERMOMAGNETICO.3X1600A.220V.CJ-MOLD.</v>
          </cell>
        </row>
        <row r="4140">
          <cell r="B4140">
            <v>6512296</v>
          </cell>
          <cell r="C4140" t="str">
            <v>ABB</v>
          </cell>
          <cell r="D4140" t="str">
            <v>INTERRUPTOR TRIP.TERMOMAG.   TP.CJ.MOLD.220V.2000A</v>
          </cell>
        </row>
        <row r="4141">
          <cell r="B4141">
            <v>6512296</v>
          </cell>
          <cell r="C4141" t="str">
            <v>GEL</v>
          </cell>
          <cell r="D4141" t="str">
            <v>INTERRUPTOR TRIP.TERMOMAG.   TP.CJ.MOLD.220V.2000A</v>
          </cell>
        </row>
        <row r="4142">
          <cell r="B4142">
            <v>6512296</v>
          </cell>
          <cell r="C4142" t="str">
            <v>MIT</v>
          </cell>
          <cell r="D4142" t="str">
            <v>INTERRUPTOR TRIP.TERMOMAG.   TP.CJ.MOLD.220V.2000A</v>
          </cell>
        </row>
        <row r="4143">
          <cell r="B4143">
            <v>6512296</v>
          </cell>
          <cell r="C4143" t="str">
            <v>SCN</v>
          </cell>
          <cell r="D4143" t="str">
            <v>INTERRUPTOR TRIP.TERMOMAG.   TP.CJ.MOLD.220V.2000A</v>
          </cell>
        </row>
        <row r="4144">
          <cell r="B4144">
            <v>6512498</v>
          </cell>
          <cell r="C4144" t="str">
            <v>ABB</v>
          </cell>
          <cell r="D4144" t="str">
            <v>INTERRUPTOR TERMOMAGNETICO AUTOMATICO TRIPOLAR 690-500V AC/DC 2500A 125KA 60HZ EQUIPADO</v>
          </cell>
        </row>
        <row r="4145">
          <cell r="B4145">
            <v>6512498</v>
          </cell>
          <cell r="C4145" t="str">
            <v>GEL</v>
          </cell>
          <cell r="D4145" t="str">
            <v>INTERRUPTOR TERMOMAGNETICO AUTOMATICO TRIPOLAR 690-500V AC/DC 2500A 125KA 60HZ EQUIPADO</v>
          </cell>
        </row>
        <row r="4146">
          <cell r="B4146">
            <v>6512498</v>
          </cell>
          <cell r="C4146" t="str">
            <v>SCN</v>
          </cell>
          <cell r="D4146" t="str">
            <v>INTERRUPTOR TERMOMAGNETICO AUTOMATICO TRIPOLAR 690-500V AC/DC 2500A 125KA 60HZ EQUIPADO</v>
          </cell>
        </row>
        <row r="4147">
          <cell r="B4147">
            <v>6512510</v>
          </cell>
          <cell r="C4147" t="str">
            <v>SIE</v>
          </cell>
          <cell r="D4147" t="str">
            <v>INTERRUPTOR DIFERENCIAL BIPOLAR 40A.30MA.125-230V.60HZ.USO MONOFASICO</v>
          </cell>
        </row>
        <row r="4148">
          <cell r="B4148">
            <v>6512512</v>
          </cell>
          <cell r="C4148" t="str">
            <v>SIE</v>
          </cell>
          <cell r="D4148" t="str">
            <v>INTERRUPTOR DIFERENCIAL BIPOLAR 63A.30MA.230V.60HZ.10KA MONOFASICO</v>
          </cell>
        </row>
        <row r="4149">
          <cell r="B4149">
            <v>6512952</v>
          </cell>
          <cell r="C4149" t="str">
            <v>ABB</v>
          </cell>
          <cell r="D4149" t="str">
            <v>INTERRUPTOR TERMOMAGNETICO TRIPOLAR CURVA C 220V 125A 6 / 10KA P.RIEL DIN</v>
          </cell>
        </row>
        <row r="4150">
          <cell r="B4150">
            <v>6512952</v>
          </cell>
          <cell r="C4150" t="str">
            <v>GEL</v>
          </cell>
          <cell r="D4150" t="str">
            <v>INTERRUPTOR TERMOMAGNETICO TRIPOLAR CURVA C 220V 125A 6 / 10KA P.RIEL DIN</v>
          </cell>
        </row>
        <row r="4151">
          <cell r="B4151">
            <v>6512952</v>
          </cell>
          <cell r="C4151" t="str">
            <v>SCN</v>
          </cell>
          <cell r="D4151" t="str">
            <v>INTERRUPTOR TERMOMAGNETICO TRIPOLAR CURVA C 220V 125A 6 / 10KA P.RIEL DIN</v>
          </cell>
        </row>
        <row r="4152">
          <cell r="B4152">
            <v>6512952</v>
          </cell>
          <cell r="C4152" t="str">
            <v>SIE</v>
          </cell>
          <cell r="D4152" t="str">
            <v>INTERRUPTOR TERMOMAGNETICO TRIPOLAR CURVA C 220V 125A 6 / 10KA P.RIEL DIN</v>
          </cell>
        </row>
        <row r="4153">
          <cell r="B4153">
            <v>6514110</v>
          </cell>
          <cell r="C4153" t="str">
            <v>ABB</v>
          </cell>
          <cell r="D4153" t="str">
            <v>INTERRUPTOR TERMOMAGNETICO FIJO DE CAJA MOLDEADA TRIPOLAR 63A 25KA 500V</v>
          </cell>
        </row>
        <row r="4154">
          <cell r="B4154">
            <v>6514110</v>
          </cell>
          <cell r="C4154" t="str">
            <v>MIT</v>
          </cell>
          <cell r="D4154" t="str">
            <v>INTERRUPTOR TERMOMAGNETICO FIJO DE CAJA MOLDEADA TRIPOLAR 63A 25KA 500V</v>
          </cell>
        </row>
        <row r="4155">
          <cell r="B4155">
            <v>6514112</v>
          </cell>
          <cell r="C4155" t="str">
            <v>ABB</v>
          </cell>
          <cell r="D4155" t="str">
            <v>INTERRUPTOR TERMOMAGNETICO FIJO DE CAJA MOLDEADA TRIPOLAR 100A 25KA 500V</v>
          </cell>
        </row>
        <row r="4156">
          <cell r="B4156">
            <v>6514112</v>
          </cell>
          <cell r="C4156" t="str">
            <v>MIT</v>
          </cell>
          <cell r="D4156" t="str">
            <v>INTERRUPTOR TERMOMAGNETICO FIJO DE CAJA MOLDEADA TRIPOLAR 100A 25KA 500V</v>
          </cell>
        </row>
        <row r="4157">
          <cell r="B4157">
            <v>6514114</v>
          </cell>
          <cell r="C4157" t="str">
            <v>ABB</v>
          </cell>
          <cell r="D4157" t="str">
            <v>INTERRUPTOR TERMOMAGNETICO FIJO DE CAJA MOLDEADA TRIPOLAR 125A 25KA 500V</v>
          </cell>
        </row>
        <row r="4158">
          <cell r="B4158">
            <v>6514114</v>
          </cell>
          <cell r="C4158" t="str">
            <v>MIT</v>
          </cell>
          <cell r="D4158" t="str">
            <v>INTERRUPTOR TERMOMAGNETICO FIJO DE CAJA MOLDEADA TRIPOLAR 125A 25KA 500V</v>
          </cell>
        </row>
        <row r="4159">
          <cell r="B4159">
            <v>6514116</v>
          </cell>
          <cell r="C4159" t="str">
            <v>ABB</v>
          </cell>
          <cell r="D4159" t="str">
            <v>INTERRUPTOR TERMOMAGNETICO FIJO DE CAJA MOLDEADA TRIPOLAR 175A 25KA 500V</v>
          </cell>
        </row>
        <row r="4160">
          <cell r="B4160">
            <v>6514116</v>
          </cell>
          <cell r="C4160" t="str">
            <v>MIT</v>
          </cell>
          <cell r="D4160" t="str">
            <v>INTERRUPTOR TERMOMAGNETICO FIJO DE CAJA MOLDEADA TRIPOLAR 175A 25KA 500V</v>
          </cell>
        </row>
        <row r="4161">
          <cell r="B4161">
            <v>6514210</v>
          </cell>
          <cell r="C4161" t="str">
            <v>SIE</v>
          </cell>
          <cell r="D4161" t="str">
            <v>INTERRUPTOR DIFERENCIAL TETRAPOLAR 63A.30MA.230-400V.60HZ.USO TRIFASICO</v>
          </cell>
        </row>
        <row r="4162">
          <cell r="B4162">
            <v>6534168</v>
          </cell>
          <cell r="C4162" t="str">
            <v>SCN</v>
          </cell>
          <cell r="D4162" t="str">
            <v>INTERRUPTOR TRIPOLAR SF6 22,9KV.630A.25 KA.</v>
          </cell>
        </row>
        <row r="4163">
          <cell r="B4163">
            <v>6534244</v>
          </cell>
          <cell r="C4163" t="str">
            <v>SCN</v>
          </cell>
          <cell r="D4163" t="str">
            <v>INTERRUPTOR POT.TRIP.AUTONO. SF6 22,9KV 630A 16KA M.MOTORI. M.FIJO</v>
          </cell>
        </row>
        <row r="4164">
          <cell r="B4164">
            <v>6537122</v>
          </cell>
          <cell r="C4164" t="str">
            <v>ABB</v>
          </cell>
          <cell r="D4164" t="str">
            <v>INTERRUPTOR TRIPOLAR EN VACIO 12KV. 630A. 25KA.</v>
          </cell>
        </row>
        <row r="4165">
          <cell r="B4165">
            <v>6537122</v>
          </cell>
          <cell r="C4165" t="str">
            <v>SCN</v>
          </cell>
          <cell r="D4165" t="str">
            <v>INTERRUPTOR TRIPOLAR EN VACIO 12KV. 630A. 25KA.</v>
          </cell>
        </row>
        <row r="4166">
          <cell r="B4166">
            <v>6537127</v>
          </cell>
          <cell r="C4166" t="str">
            <v>SCN</v>
          </cell>
          <cell r="D4166" t="str">
            <v>INTERRUPTOR TRIPOLAR DE VACIO EN 10KV 630A, 31.5KA</v>
          </cell>
        </row>
        <row r="4167">
          <cell r="B4167">
            <v>6537214</v>
          </cell>
          <cell r="C4167" t="str">
            <v>ABB</v>
          </cell>
          <cell r="D4167" t="str">
            <v>INTERRUPTOR  DE POT. TRIP. EN VACIO 22.9KV. 630A. 16KA.</v>
          </cell>
        </row>
        <row r="4168">
          <cell r="B4168">
            <v>6537214</v>
          </cell>
          <cell r="C4168" t="str">
            <v>SCN</v>
          </cell>
          <cell r="D4168" t="str">
            <v>INTERRUPTOR  DE POT. TRIP. EN VACIO 22.9KV. 630A. 16KA.</v>
          </cell>
        </row>
        <row r="4169">
          <cell r="B4169">
            <v>6537226</v>
          </cell>
          <cell r="C4169" t="str">
            <v>ABB</v>
          </cell>
          <cell r="D4169" t="str">
            <v>INTERRUPTOR  DE POT. TRIP. EN VACIO 24KV. 630A. 25KA. EJECUCION FIJA</v>
          </cell>
        </row>
        <row r="4170">
          <cell r="B4170">
            <v>6537226</v>
          </cell>
          <cell r="C4170" t="str">
            <v>SCN</v>
          </cell>
          <cell r="D4170" t="str">
            <v>INTERRUPTOR  DE POT. TRIP. EN VACIO 24KV. 630A. 25KA. EJECUCION FIJA</v>
          </cell>
        </row>
        <row r="4171">
          <cell r="B4171">
            <v>6711260</v>
          </cell>
          <cell r="C4171" t="str">
            <v>ABB</v>
          </cell>
          <cell r="D4171" t="str">
            <v>RELE PRIM.MAX.CTE.10KV.300A.1.2-2.0IN./0.4-2.4SEG.</v>
          </cell>
        </row>
        <row r="4172">
          <cell r="B4172">
            <v>6711260</v>
          </cell>
          <cell r="C4172" t="str">
            <v>ELO</v>
          </cell>
          <cell r="D4172" t="str">
            <v>RELE PRIM.MAX.CTE.10KV.300A.1.2-2.0IN./0.4-2.4SEG.</v>
          </cell>
        </row>
        <row r="4173">
          <cell r="B4173">
            <v>6767215</v>
          </cell>
          <cell r="C4173" t="str">
            <v>COO</v>
          </cell>
          <cell r="D4173" t="str">
            <v>PARARRAYO POLIMERICO OXIDO MET.ZINC C.DESCONECTADOR 10KV 10KA CL.1 INTERIOR</v>
          </cell>
        </row>
        <row r="4174">
          <cell r="B4174">
            <v>6767215</v>
          </cell>
          <cell r="C4174" t="str">
            <v>DLM</v>
          </cell>
          <cell r="D4174" t="str">
            <v>PARARRAYO POLIMERICO OXIDO MET.ZINC C.DESCONECTADOR 10KV 10KA CL.1 INTERIOR</v>
          </cell>
        </row>
        <row r="4175">
          <cell r="B4175">
            <v>6767215</v>
          </cell>
          <cell r="C4175" t="str">
            <v>MPS</v>
          </cell>
          <cell r="D4175" t="str">
            <v>PARARRAYO POLIMERICO OXIDO MET.ZINC C.DESCONECTADOR 10KV 10KA CL.1 INTERIOR</v>
          </cell>
        </row>
        <row r="4176">
          <cell r="B4176">
            <v>6767218</v>
          </cell>
          <cell r="C4176" t="str">
            <v>COO</v>
          </cell>
          <cell r="D4176" t="str">
            <v>PARARRAYO POLIMERICO OXIDO MET.ZINC C.DESCONECTADOR 10KV 10KA CL.1 EXTERIOR</v>
          </cell>
        </row>
        <row r="4177">
          <cell r="B4177">
            <v>6767735</v>
          </cell>
          <cell r="C4177" t="str">
            <v>COO</v>
          </cell>
          <cell r="D4177" t="str">
            <v>PARARRAYO POLIMERICO OXIDO MET.ZINC 21KV 17KV 10KA CL.1 L.F. 625MM INTERIOR</v>
          </cell>
        </row>
        <row r="4178">
          <cell r="B4178">
            <v>6767735</v>
          </cell>
          <cell r="C4178" t="str">
            <v>MPS</v>
          </cell>
          <cell r="D4178" t="str">
            <v>PARARRAYO POLIMERICO OXIDO MET.ZINC 21KV 17KV 10KA CL.1 L.F. 625MM INTERIOR</v>
          </cell>
        </row>
        <row r="4179">
          <cell r="B4179">
            <v>6767735</v>
          </cell>
          <cell r="C4179" t="str">
            <v>OBC</v>
          </cell>
          <cell r="D4179" t="str">
            <v>PARARRAYO POLIMERICO OXIDO MET.ZINC 21KV 17KV 10KA CL.1 L.F. 625MM INTERIOR</v>
          </cell>
        </row>
        <row r="4180">
          <cell r="B4180">
            <v>6767736</v>
          </cell>
          <cell r="C4180" t="str">
            <v>COO</v>
          </cell>
          <cell r="D4180" t="str">
            <v>PARARRAYO POLIMERICO OXIDO MET.ZINC 21KV 17KV 10KA CL.1 L.F. 625MM EXTERIOR</v>
          </cell>
        </row>
        <row r="4181">
          <cell r="B4181">
            <v>6774010</v>
          </cell>
          <cell r="C4181" t="str">
            <v>ADA</v>
          </cell>
          <cell r="D4181" t="str">
            <v>CONVERSOR DE COMUNICACION RS485/RS232. P.RELES</v>
          </cell>
        </row>
        <row r="4182">
          <cell r="B4182">
            <v>6774100</v>
          </cell>
          <cell r="C4182" t="str">
            <v>SEG</v>
          </cell>
          <cell r="D4182" t="str">
            <v>RACK PARA ALOJAR RELE SEC. MULTIF. Y CONVERSOR</v>
          </cell>
        </row>
        <row r="4183">
          <cell r="B4183">
            <v>6782402</v>
          </cell>
          <cell r="C4183" t="str">
            <v>ECN</v>
          </cell>
          <cell r="D4183" t="str">
            <v>RECEPTACULO C.SOPORTE P.CONTROL FOTOELECTRICO DEL ALUMBRADO PUBLICO EN B.T.</v>
          </cell>
        </row>
        <row r="4184">
          <cell r="B4184">
            <v>6782402</v>
          </cell>
          <cell r="C4184" t="str">
            <v>ILU</v>
          </cell>
          <cell r="D4184" t="str">
            <v>RECEPTACULO C.SOPORTE P.CONTROL FOTOELECTRICO DEL ALUMBRADO PUBLICO EN B.T.</v>
          </cell>
        </row>
        <row r="4185">
          <cell r="B4185">
            <v>6782402</v>
          </cell>
          <cell r="C4185" t="str">
            <v>LUM</v>
          </cell>
          <cell r="D4185" t="str">
            <v>RECEPTACULO C.SOPORTE P.CONTROL FOTOELECTRICO DEL ALUMBRADO PUBLICO EN B.T.</v>
          </cell>
        </row>
        <row r="4186">
          <cell r="B4186">
            <v>6782404</v>
          </cell>
          <cell r="C4186" t="str">
            <v>ILU</v>
          </cell>
          <cell r="D4186" t="str">
            <v>CONTROL FOTOELECTRICO TP.ACCIONAMIENTO ELECTROMECANICO (NO BIMETALICO) 220V 1000W - 1800VA 10-30 LUX</v>
          </cell>
        </row>
        <row r="4187">
          <cell r="B4187">
            <v>6782408</v>
          </cell>
          <cell r="C4187" t="str">
            <v>ECN</v>
          </cell>
          <cell r="D4187" t="str">
            <v>CONTROL FOTOELECTRICO TP.ACCIONAMIENTO ELECTRONICO 220V 1000W - 1800VA 10 - 30 LUX</v>
          </cell>
        </row>
        <row r="4188">
          <cell r="B4188">
            <v>6782408</v>
          </cell>
          <cell r="C4188" t="str">
            <v>LUM</v>
          </cell>
          <cell r="D4188" t="str">
            <v>CONTROL FOTOELECTRICO TP.ACCIONAMIENTO ELECTRONICO 220V 1000W - 1800VA 10 - 30 LUX</v>
          </cell>
        </row>
        <row r="4189">
          <cell r="B4189">
            <v>6785020</v>
          </cell>
          <cell r="C4189" t="str">
            <v>CLK</v>
          </cell>
          <cell r="D4189" t="str">
            <v>CANDADO CILINDRICO ELECTRONICO DE ALTA SEGURIDAD, DIAMETRO 73,7 X ESPESOR 38 MM</v>
          </cell>
        </row>
        <row r="4190">
          <cell r="B4190">
            <v>6785021</v>
          </cell>
          <cell r="C4190" t="str">
            <v>CLK</v>
          </cell>
          <cell r="D4190" t="str">
            <v>PROTECTOR DE CANDADO CILINDRICO ELECTRONICO DE ALTA SEGURIDAD, DIAMETRO 82 X ALTURA 47MM</v>
          </cell>
        </row>
        <row r="4191">
          <cell r="B4191">
            <v>6785022</v>
          </cell>
          <cell r="C4191" t="str">
            <v>CLK</v>
          </cell>
          <cell r="D4191" t="str">
            <v>LLAVE ELECTRONICA DE SISTEMA DE ALTA SEGURIDAD CON BATERIA RECAMBIABLE, 73X42X22 MM</v>
          </cell>
        </row>
        <row r="4192">
          <cell r="B4192">
            <v>6785023</v>
          </cell>
          <cell r="C4192" t="str">
            <v>CLK</v>
          </cell>
          <cell r="D4192" t="str">
            <v>CILINDRO TAMBOR ELECTRONICO PARA CERRADURA, DIAMETRO 34,5 X PROFUNDIDAD 35,2 MM</v>
          </cell>
        </row>
        <row r="4193">
          <cell r="B4193">
            <v>6785024</v>
          </cell>
          <cell r="C4193" t="str">
            <v>CLK</v>
          </cell>
          <cell r="D4193" t="str">
            <v>CANDADO ELECTRONICO TIPO GRILLETE 2", CANDADO CERRADO 112,7 X 52,4 X 24 MM</v>
          </cell>
        </row>
        <row r="4194">
          <cell r="B4194">
            <v>6785025</v>
          </cell>
          <cell r="C4194" t="str">
            <v>CLK</v>
          </cell>
          <cell r="D4194" t="str">
            <v>HUB AUTORIZADOR DEL SISTEMA DE CERRADURAS ALTA SEGURIDAD, 36 X105,4 X 180,8 MM</v>
          </cell>
        </row>
        <row r="4195">
          <cell r="B4195">
            <v>6785026</v>
          </cell>
          <cell r="C4195" t="str">
            <v>CLK</v>
          </cell>
          <cell r="D4195" t="str">
            <v>PUERTO KEY RECEPTOR AUTORIZADOR DE LLAVES ELECTRONICAS</v>
          </cell>
        </row>
        <row r="4196">
          <cell r="B4196">
            <v>6785226</v>
          </cell>
          <cell r="C4196" t="str">
            <v>ENT</v>
          </cell>
          <cell r="D4196" t="str">
            <v>PULSADOR P.PRUEBA LAMP.SENALIZ.220VCA.6A.2CONTC.NA</v>
          </cell>
        </row>
        <row r="4197">
          <cell r="B4197">
            <v>6785534</v>
          </cell>
          <cell r="C4197" t="str">
            <v>ENT</v>
          </cell>
          <cell r="D4197" t="str">
            <v>CONMUTADOR MANDO MAN.220V.10A. 3 POS.(O-RS-ST-TR)</v>
          </cell>
        </row>
        <row r="4198">
          <cell r="B4198">
            <v>6785538</v>
          </cell>
          <cell r="C4198" t="str">
            <v>ENT</v>
          </cell>
          <cell r="D4198" t="str">
            <v>CONMUTADOR MANDO MAN.220V.10A. 6 POS.(ORSSTROSOTO)</v>
          </cell>
        </row>
        <row r="4199">
          <cell r="B4199">
            <v>6786124</v>
          </cell>
          <cell r="C4199" t="str">
            <v>ABB</v>
          </cell>
          <cell r="D4199" t="str">
            <v>CONTACTOR TRIP.120VCC.      7NA-1NC. C/BOT.PULS.</v>
          </cell>
        </row>
        <row r="4200">
          <cell r="B4200">
            <v>6786142</v>
          </cell>
          <cell r="C4200" t="str">
            <v>ABB</v>
          </cell>
          <cell r="D4200" t="str">
            <v>CONTACTOR 125VCC.C/BSE AISL. 8NA-8NC. TP.RI16</v>
          </cell>
        </row>
        <row r="4201">
          <cell r="B4201">
            <v>6786144</v>
          </cell>
          <cell r="C4201" t="str">
            <v>ABB</v>
          </cell>
          <cell r="D4201" t="str">
            <v>CONTACTOR 125VCC.C/CUBIERTA PROTEC.8CONTAC.CONMUT.</v>
          </cell>
        </row>
        <row r="4202">
          <cell r="B4202">
            <v>6786154</v>
          </cell>
          <cell r="C4202" t="str">
            <v>ABB</v>
          </cell>
          <cell r="D4202" t="str">
            <v>CONTACTOR 125VCC.C/BAS.AISL.4NA-4NC. TP.RJ8</v>
          </cell>
        </row>
        <row r="4203">
          <cell r="B4203">
            <v>6786218</v>
          </cell>
          <cell r="C4203" t="str">
            <v>ART</v>
          </cell>
          <cell r="D4203" t="str">
            <v>BLOCK DE CONTACTOS 220V. 60HZ. 2NA-2NC.</v>
          </cell>
        </row>
        <row r="4204">
          <cell r="B4204">
            <v>6786854</v>
          </cell>
          <cell r="C4204" t="str">
            <v>AGU</v>
          </cell>
          <cell r="D4204" t="str">
            <v>CONTACTOR ELECTROMAGNETICO TRIPOLAR 50A 220V 60HZ INTERIOR</v>
          </cell>
        </row>
        <row r="4205">
          <cell r="B4205">
            <v>6786854</v>
          </cell>
          <cell r="C4205" t="str">
            <v>MIT</v>
          </cell>
          <cell r="D4205" t="str">
            <v>CONTACTOR ELECTROMAGNETICO TRIPOLAR 50A 220V 60HZ INTERIOR</v>
          </cell>
        </row>
        <row r="4206">
          <cell r="B4206">
            <v>6786854</v>
          </cell>
          <cell r="C4206" t="str">
            <v>SCN</v>
          </cell>
          <cell r="D4206" t="str">
            <v>CONTACTOR ELECTROMAGNETICO TRIPOLAR 50A 220V 60HZ INTERIOR</v>
          </cell>
        </row>
        <row r="4207">
          <cell r="B4207">
            <v>6786856</v>
          </cell>
          <cell r="C4207" t="str">
            <v>AGU</v>
          </cell>
          <cell r="D4207" t="str">
            <v>CONTACTOR ELECTROMAGNETICO TRIPOLAR 63A 220V 60HZ INTERIOR</v>
          </cell>
        </row>
        <row r="4208">
          <cell r="B4208">
            <v>6786856</v>
          </cell>
          <cell r="C4208" t="str">
            <v>SCN</v>
          </cell>
          <cell r="D4208" t="str">
            <v>CONTACTOR ELECTROMAGNETICO TRIPOLAR 63A 220V 60HZ INTERIOR</v>
          </cell>
        </row>
        <row r="4209">
          <cell r="B4209">
            <v>6786858</v>
          </cell>
          <cell r="C4209" t="str">
            <v>AGU</v>
          </cell>
          <cell r="D4209" t="str">
            <v>CONTACTOR ELECTROMAGNETICO TRIPOLAR 80A 220V 60HZ INTERIOR</v>
          </cell>
        </row>
        <row r="4210">
          <cell r="B4210">
            <v>6786858</v>
          </cell>
          <cell r="C4210" t="str">
            <v>SCN</v>
          </cell>
          <cell r="D4210" t="str">
            <v>CONTACTOR ELECTROMAGNETICO TRIPOLAR 80A 220V 60HZ INTERIOR</v>
          </cell>
        </row>
        <row r="4211">
          <cell r="B4211">
            <v>6786860</v>
          </cell>
          <cell r="C4211" t="str">
            <v>AGU</v>
          </cell>
          <cell r="D4211" t="str">
            <v>CONTACTOR ELECTROMAGNETICO TRIPOLAR 125A 220V 60HZ INTERIOR</v>
          </cell>
        </row>
        <row r="4212">
          <cell r="B4212">
            <v>6786860</v>
          </cell>
          <cell r="C4212" t="str">
            <v>MIT</v>
          </cell>
          <cell r="D4212" t="str">
            <v>CONTACTOR ELECTROMAGNETICO TRIPOLAR 125A 220V 60HZ INTERIOR</v>
          </cell>
        </row>
        <row r="4213">
          <cell r="B4213">
            <v>6786860</v>
          </cell>
          <cell r="C4213" t="str">
            <v>SCN</v>
          </cell>
          <cell r="D4213" t="str">
            <v>CONTACTOR ELECTROMAGNETICO TRIPOLAR 125A 220V 60HZ INTERIOR</v>
          </cell>
        </row>
        <row r="4214">
          <cell r="B4214">
            <v>6787026</v>
          </cell>
          <cell r="C4214" t="str">
            <v>ART</v>
          </cell>
          <cell r="D4214" t="str">
            <v>BASE AISLANTE P.CONTACTOR ARTECHE TP.RJ8</v>
          </cell>
        </row>
        <row r="4215">
          <cell r="B4215">
            <v>6787028</v>
          </cell>
          <cell r="C4215" t="str">
            <v>ART</v>
          </cell>
          <cell r="D4215" t="str">
            <v>BASE AISLANTE P.CONTACTOR ARTECHE TP.RI16</v>
          </cell>
        </row>
        <row r="4216">
          <cell r="B4216">
            <v>6787034</v>
          </cell>
          <cell r="C4216" t="str">
            <v>OMR</v>
          </cell>
          <cell r="D4216" t="str">
            <v>BASE AISLANTE P.CONTACTOR OMRON   TP.LY4</v>
          </cell>
        </row>
        <row r="4217">
          <cell r="B4217">
            <v>6787038</v>
          </cell>
          <cell r="C4217" t="str">
            <v>ART</v>
          </cell>
          <cell r="D4217" t="str">
            <v>BASE AISLANTE P.CONTACTOR ARTECHE TP.RF4</v>
          </cell>
        </row>
        <row r="4218">
          <cell r="B4218">
            <v>6910212</v>
          </cell>
          <cell r="C4218" t="str">
            <v>TAS</v>
          </cell>
          <cell r="D4218" t="str">
            <v>ANGULO "C" PORTABARRAS  2"X1/2"X568MM. P.TABLEROS  B.T. EN SS.EE.CONV.</v>
          </cell>
        </row>
        <row r="4219">
          <cell r="B4219">
            <v>6910212</v>
          </cell>
          <cell r="C4219" t="str">
            <v>TNC</v>
          </cell>
          <cell r="D4219" t="str">
            <v>ANGULO "C" PORTABARRAS  2"X1/2"X568MM. P.TABLEROS  B.T. EN SS.EE.CONV.</v>
          </cell>
        </row>
        <row r="4220">
          <cell r="B4220">
            <v>6910360</v>
          </cell>
          <cell r="C4220" t="str">
            <v>CDC</v>
          </cell>
          <cell r="D4220" t="str">
            <v>SEGURO P.INTERRUPTOR TERMOMAGNETICO BIPOLAR B.T.DE 39 X 47MM</v>
          </cell>
        </row>
        <row r="4221">
          <cell r="B4221">
            <v>6910360</v>
          </cell>
          <cell r="C4221" t="str">
            <v>CHA</v>
          </cell>
          <cell r="D4221" t="str">
            <v>SEGURO P.INTERRUPTOR TERMOMAGNETICO BIPOLAR B.T.DE 39 X 47MM</v>
          </cell>
        </row>
        <row r="4222">
          <cell r="B4222">
            <v>6910360</v>
          </cell>
          <cell r="C4222" t="str">
            <v>IAD</v>
          </cell>
          <cell r="D4222" t="str">
            <v>SEGURO P.INTERRUPTOR TERMOMAGNETICO BIPOLAR B.T.DE 39 X 47MM</v>
          </cell>
        </row>
        <row r="4223">
          <cell r="B4223">
            <v>6910360</v>
          </cell>
          <cell r="C4223" t="str">
            <v>PIC</v>
          </cell>
          <cell r="D4223" t="str">
            <v>SEGURO P.INTERRUPTOR TERMOMAGNETICO BIPOLAR B.T.DE 39 X 47MM</v>
          </cell>
        </row>
        <row r="4224">
          <cell r="B4224">
            <v>6910362</v>
          </cell>
          <cell r="C4224" t="str">
            <v>CDC</v>
          </cell>
          <cell r="D4224" t="str">
            <v>SEGURO P.INTERRUPTOR TERMOMAGNETICO TRIPOLAR B.T.DE 57 X 47MM</v>
          </cell>
        </row>
        <row r="4225">
          <cell r="B4225">
            <v>6910362</v>
          </cell>
          <cell r="C4225" t="str">
            <v>CHA</v>
          </cell>
          <cell r="D4225" t="str">
            <v>SEGURO P.INTERRUPTOR TERMOMAGNETICO TRIPOLAR B.T.DE 57 X 47MM</v>
          </cell>
        </row>
        <row r="4226">
          <cell r="B4226">
            <v>6910362</v>
          </cell>
          <cell r="C4226" t="str">
            <v>IAD</v>
          </cell>
          <cell r="D4226" t="str">
            <v>SEGURO P.INTERRUPTOR TERMOMAGNETICO TRIPOLAR B.T.DE 57 X 47MM</v>
          </cell>
        </row>
        <row r="4227">
          <cell r="B4227">
            <v>6910362</v>
          </cell>
          <cell r="C4227" t="str">
            <v>PIC</v>
          </cell>
          <cell r="D4227" t="str">
            <v>SEGURO P.INTERRUPTOR TERMOMAGNETICO TRIPOLAR B.T.DE 57 X 47MM</v>
          </cell>
        </row>
        <row r="4228">
          <cell r="B4228">
            <v>6911004</v>
          </cell>
          <cell r="C4228" t="str">
            <v>TAS</v>
          </cell>
          <cell r="D4228" t="str">
            <v>PUERTA PLEGABLE P.SE.SUBT.VARIANTE     2.02X1.50M.</v>
          </cell>
        </row>
        <row r="4229">
          <cell r="B4229">
            <v>6911004</v>
          </cell>
          <cell r="C4229" t="str">
            <v>TNC</v>
          </cell>
          <cell r="D4229" t="str">
            <v>PUERTA PLEGABLE P.SE.SUBT.VARIANTE     2.02X1.50M.</v>
          </cell>
        </row>
        <row r="4230">
          <cell r="B4230">
            <v>6911134</v>
          </cell>
          <cell r="C4230" t="str">
            <v>CHA</v>
          </cell>
          <cell r="D4230" t="str">
            <v>PUERTA INF.P/CELDA INTERR/SECC.S.E.CONV.10KV.TP.B.0,975X1,80M.</v>
          </cell>
        </row>
        <row r="4231">
          <cell r="B4231">
            <v>6911134</v>
          </cell>
          <cell r="C4231" t="str">
            <v>TAS</v>
          </cell>
          <cell r="D4231" t="str">
            <v>PUERTA INF.P/CELDA INTERR/SECC.S.E.CONV.10KV.TP.B.0,975X1,80M.</v>
          </cell>
        </row>
        <row r="4232">
          <cell r="B4232">
            <v>6911135</v>
          </cell>
          <cell r="C4232" t="str">
            <v>CHA</v>
          </cell>
          <cell r="D4232" t="str">
            <v>PUERTA SUP.P/CELDA INTERR/SECC.S.E.CONV.10KV.TP.B.0,975X0,40M.</v>
          </cell>
        </row>
        <row r="4233">
          <cell r="B4233">
            <v>6911135</v>
          </cell>
          <cell r="C4233" t="str">
            <v>TAS</v>
          </cell>
          <cell r="D4233" t="str">
            <v>PUERTA SUP.P/CELDA INTERR/SECC.S.E.CONV.10KV.TP.B.0,975X0,40M.</v>
          </cell>
        </row>
        <row r="4234">
          <cell r="B4234">
            <v>6911138</v>
          </cell>
          <cell r="C4234" t="str">
            <v>CHA</v>
          </cell>
          <cell r="D4234" t="str">
            <v>PUERTA INF.P/CELDA INTERR/SECC.S.E.CONV.10KV.TP.C.0,92X1,80M.</v>
          </cell>
        </row>
        <row r="4235">
          <cell r="B4235">
            <v>6911138</v>
          </cell>
          <cell r="C4235" t="str">
            <v>TAS</v>
          </cell>
          <cell r="D4235" t="str">
            <v>PUERTA INF.P/CELDA INTERR/SECC.S.E.CONV.10KV.TP.C.0,92X1,80M.</v>
          </cell>
        </row>
        <row r="4236">
          <cell r="B4236">
            <v>6911139</v>
          </cell>
          <cell r="C4236" t="str">
            <v>CHA</v>
          </cell>
          <cell r="D4236" t="str">
            <v>PUERTA SUP.P/CELDA INTERR/SECC.S.E.CONV.10KV.TP.C.0,92X0,40M.</v>
          </cell>
        </row>
        <row r="4237">
          <cell r="B4237">
            <v>6911139</v>
          </cell>
          <cell r="C4237" t="str">
            <v>TAS</v>
          </cell>
          <cell r="D4237" t="str">
            <v>PUERTA SUP.P/CELDA INTERR/SECC.S.E.CONV.10KV.TP.C.0,92X0,40M.</v>
          </cell>
        </row>
        <row r="4238">
          <cell r="B4238">
            <v>6911702</v>
          </cell>
          <cell r="C4238" t="str">
            <v>TAS</v>
          </cell>
          <cell r="D4238" t="str">
            <v>POSTIGO P.SUB ESTACION A NIVEL C/MARCO 0.74X2.32M.</v>
          </cell>
        </row>
        <row r="4239">
          <cell r="B4239">
            <v>6911704</v>
          </cell>
          <cell r="C4239" t="str">
            <v>TAS</v>
          </cell>
          <cell r="D4239" t="str">
            <v>POSTIGO P. SUB ESTACION SUBT.VARIANTE 0.80X1.825M.</v>
          </cell>
        </row>
        <row r="4240">
          <cell r="B4240">
            <v>6913004</v>
          </cell>
          <cell r="C4240" t="str">
            <v>TAS</v>
          </cell>
          <cell r="D4240" t="str">
            <v>ESTRUCTURA MOD.TP."A" 2 CELD.TRANSF. 4 CELD.  10KV</v>
          </cell>
        </row>
        <row r="4241">
          <cell r="B4241">
            <v>6913008</v>
          </cell>
          <cell r="C4241" t="str">
            <v>TAS</v>
          </cell>
          <cell r="D4241" t="str">
            <v>ESTRUCTURA MODULAR TIPO "B"   2 CELDAS DE     10KV</v>
          </cell>
        </row>
        <row r="4242">
          <cell r="B4242">
            <v>6913012</v>
          </cell>
          <cell r="C4242" t="str">
            <v>TAS</v>
          </cell>
          <cell r="D4242" t="str">
            <v>ESTRUCTURA MO. TP."C" 1 CELD. TRANSF. 2 CELD. 10KV</v>
          </cell>
        </row>
        <row r="4243">
          <cell r="B4243">
            <v>6913016</v>
          </cell>
          <cell r="C4243" t="str">
            <v>TAS</v>
          </cell>
          <cell r="D4243" t="str">
            <v>ESTRUCTURA MODULAR TP."C" 3 CELD. 10KV P. SE.SUBT.</v>
          </cell>
        </row>
        <row r="4244">
          <cell r="B4244">
            <v>6913016</v>
          </cell>
          <cell r="C4244" t="str">
            <v>TNC</v>
          </cell>
          <cell r="D4244" t="str">
            <v>ESTRUCTURA MODULAR TP."C" 3 CELD. 10KV P. SE.SUBT.</v>
          </cell>
        </row>
        <row r="4245">
          <cell r="B4245">
            <v>6913024</v>
          </cell>
          <cell r="C4245" t="str">
            <v>TAS</v>
          </cell>
          <cell r="D4245" t="str">
            <v>ESTRUCTURA MOD.TP."A" 1 CELD.TRANSF.  1 CELD. 20KV</v>
          </cell>
        </row>
        <row r="4246">
          <cell r="B4246">
            <v>6913024</v>
          </cell>
          <cell r="C4246" t="str">
            <v>TNC</v>
          </cell>
          <cell r="D4246" t="str">
            <v>ESTRUCTURA MOD.TP."A" 1 CELD.TRANSF.  1 CELD. 20KV</v>
          </cell>
        </row>
        <row r="4247">
          <cell r="B4247">
            <v>6913028</v>
          </cell>
          <cell r="C4247" t="str">
            <v>TAS</v>
          </cell>
          <cell r="D4247" t="str">
            <v>ESTRUCTURA MODULAR TIPO "B"   2 CELDAS  DE    20KV</v>
          </cell>
        </row>
        <row r="4248">
          <cell r="B4248">
            <v>6913028</v>
          </cell>
          <cell r="C4248" t="str">
            <v>TNC</v>
          </cell>
          <cell r="D4248" t="str">
            <v>ESTRUCTURA MODULAR TIPO "B"   2 CELDAS  DE    20KV</v>
          </cell>
        </row>
        <row r="4249">
          <cell r="B4249">
            <v>6913032</v>
          </cell>
          <cell r="C4249" t="str">
            <v>TAS</v>
          </cell>
          <cell r="D4249" t="str">
            <v>ESTRUCTURA MOD. TP."C" 2 CELD.TRANSF. 1 CELD. 20KV</v>
          </cell>
        </row>
        <row r="4250">
          <cell r="B4250">
            <v>6913032</v>
          </cell>
          <cell r="C4250" t="str">
            <v>TNC</v>
          </cell>
          <cell r="D4250" t="str">
            <v>ESTRUCTURA MOD. TP."C" 2 CELD.TRANSF. 1 CELD. 20KV</v>
          </cell>
        </row>
        <row r="4251">
          <cell r="B4251">
            <v>6913080</v>
          </cell>
          <cell r="C4251" t="str">
            <v>TAS</v>
          </cell>
          <cell r="D4251" t="str">
            <v>ESTRUCTURA SOPORTE P. INTERR. AUTOMAT. SF6 10KV M.</v>
          </cell>
        </row>
        <row r="4252">
          <cell r="B4252">
            <v>6913080</v>
          </cell>
          <cell r="C4252" t="str">
            <v>TNC</v>
          </cell>
          <cell r="D4252" t="str">
            <v>ESTRUCTURA SOPORTE P. INTERR. AUTOMAT. SF6 10KV M.</v>
          </cell>
        </row>
        <row r="4253">
          <cell r="B4253">
            <v>6913090</v>
          </cell>
          <cell r="C4253" t="str">
            <v>TAS</v>
          </cell>
          <cell r="D4253" t="str">
            <v>ESTRUCTURA SOPORTE P. INTERR. AUTOMAT. SF6 22,9KV</v>
          </cell>
        </row>
        <row r="4254">
          <cell r="B4254">
            <v>6913090</v>
          </cell>
          <cell r="C4254" t="str">
            <v>TNC</v>
          </cell>
          <cell r="D4254" t="str">
            <v>ESTRUCTURA SOPORTE P. INTERR. AUTOMAT. SF6 22,9KV</v>
          </cell>
        </row>
        <row r="4255">
          <cell r="B4255">
            <v>6913114</v>
          </cell>
          <cell r="C4255" t="str">
            <v>TAS</v>
          </cell>
          <cell r="D4255" t="str">
            <v>REJA DE BARROTES C/MALLA 1.70X0.4M P.S.E.CONV.20KV</v>
          </cell>
        </row>
        <row r="4256">
          <cell r="B4256">
            <v>6913114</v>
          </cell>
          <cell r="C4256" t="str">
            <v>TNC</v>
          </cell>
          <cell r="D4256" t="str">
            <v>REJA DE BARROTES C/MALLA 1.70X0.4M P.S.E.CONV.20KV</v>
          </cell>
        </row>
        <row r="4257">
          <cell r="B4257">
            <v>6913115</v>
          </cell>
          <cell r="C4257" t="str">
            <v>TAS</v>
          </cell>
          <cell r="D4257" t="str">
            <v>REJA DE BARROTES PARA SS.EE.CONVENCIONAL     20KV.</v>
          </cell>
        </row>
        <row r="4258">
          <cell r="B4258">
            <v>6913115</v>
          </cell>
          <cell r="C4258" t="str">
            <v>TNC</v>
          </cell>
          <cell r="D4258" t="str">
            <v>REJA DE BARROTES PARA SS.EE.CONVENCIONAL     20KV.</v>
          </cell>
        </row>
        <row r="4259">
          <cell r="B4259">
            <v>6913116</v>
          </cell>
          <cell r="C4259" t="str">
            <v>TAS</v>
          </cell>
          <cell r="D4259" t="str">
            <v>REJA PISO PARA AIRE SS.EE.CONVENCIONAL      20KV.</v>
          </cell>
        </row>
        <row r="4260">
          <cell r="B4260">
            <v>6913116</v>
          </cell>
          <cell r="C4260" t="str">
            <v>TNC</v>
          </cell>
          <cell r="D4260" t="str">
            <v>REJA PISO PARA AIRE SS.EE.CONVENCIONAL      20KV.</v>
          </cell>
        </row>
        <row r="4261">
          <cell r="B4261">
            <v>6913214</v>
          </cell>
          <cell r="C4261" t="str">
            <v>TAS</v>
          </cell>
          <cell r="D4261" t="str">
            <v>REJA P.VENTILACION EN SE.COMPACTA SUBT.1200X1500MM</v>
          </cell>
        </row>
        <row r="4262">
          <cell r="B4262">
            <v>6913282</v>
          </cell>
          <cell r="C4262" t="str">
            <v>FBP</v>
          </cell>
          <cell r="D4262" t="str">
            <v>REFUERZO DE POLIESTER REFORZADO C.FIBRA DE VIDRIO PRFV DE 339MM X 1,59M P.POSTE C.A.C. 11,5/300-400</v>
          </cell>
        </row>
        <row r="4263">
          <cell r="B4263">
            <v>6913283</v>
          </cell>
          <cell r="C4263" t="str">
            <v>CCF</v>
          </cell>
          <cell r="D4263" t="str">
            <v>REFUERZO DE POLIESTER REFORZADO C.FIBRA DE VIDRIO PRFV DE 348MM X 1,59M P.POSTE C.A.C. 11,5/300-400</v>
          </cell>
        </row>
        <row r="4264">
          <cell r="B4264">
            <v>6913283</v>
          </cell>
          <cell r="C4264" t="str">
            <v>FBL</v>
          </cell>
          <cell r="D4264" t="str">
            <v>REFUERZO DE POLIESTER REFORZADO C.FIBRA DE VIDRIO PRFV DE 348MM X 1,59M P.POSTE C.A.C. 11,5/300-400</v>
          </cell>
        </row>
        <row r="4265">
          <cell r="B4265">
            <v>6913283</v>
          </cell>
          <cell r="C4265" t="str">
            <v>FBP</v>
          </cell>
          <cell r="D4265" t="str">
            <v>REFUERZO DE POLIESTER REFORZADO C.FIBRA DE VIDRIO PRFV DE 348MM X 1,59M P.POSTE C.A.C. 11,5/300-400</v>
          </cell>
        </row>
        <row r="4266">
          <cell r="B4266">
            <v>6913283</v>
          </cell>
          <cell r="C4266" t="str">
            <v>FPK</v>
          </cell>
          <cell r="D4266" t="str">
            <v>REFUERZO DE POLIESTER REFORZADO C.FIBRA DE VIDRIO PRFV DE 348MM X 1,59M P.POSTE C.A.C. 11,5/300-400</v>
          </cell>
        </row>
        <row r="4267">
          <cell r="B4267">
            <v>6913284</v>
          </cell>
          <cell r="C4267" t="str">
            <v>CCF</v>
          </cell>
          <cell r="D4267" t="str">
            <v>REFUERZO DE POLIESTER REFORZADO C.FIBRA DE VIDRIO PRFV 365MM X 1,59M P.POSTE C.A.C. 13 / 300-400-500</v>
          </cell>
        </row>
        <row r="4268">
          <cell r="B4268">
            <v>6913284</v>
          </cell>
          <cell r="C4268" t="str">
            <v>FBL</v>
          </cell>
          <cell r="D4268" t="str">
            <v>REFUERZO DE POLIESTER REFORZADO C.FIBRA DE VIDRIO PRFV 365MM X 1,59M P.POSTE C.A.C. 13 / 300-400-500</v>
          </cell>
        </row>
        <row r="4269">
          <cell r="B4269">
            <v>6913284</v>
          </cell>
          <cell r="C4269" t="str">
            <v>FBP</v>
          </cell>
          <cell r="D4269" t="str">
            <v>REFUERZO DE POLIESTER REFORZADO C.FIBRA DE VIDRIO PRFV 365MM X 1,59M P.POSTE C.A.C. 13 / 300-400-500</v>
          </cell>
        </row>
        <row r="4270">
          <cell r="B4270">
            <v>6913284</v>
          </cell>
          <cell r="C4270" t="str">
            <v>FPK</v>
          </cell>
          <cell r="D4270" t="str">
            <v>REFUERZO DE POLIESTER REFORZADO C.FIBRA DE VIDRIO PRFV 365MM X 1,59M P.POSTE C.A.C. 13 / 300-400-500</v>
          </cell>
        </row>
        <row r="4271">
          <cell r="B4271">
            <v>6913285</v>
          </cell>
          <cell r="C4271" t="str">
            <v>CCF</v>
          </cell>
          <cell r="D4271" t="str">
            <v>REFUERZO DE POLIESTER REFORZADO C.FIBRA DE VIDRIO PRFV 375MM X 1,59M P.POSTE C.A.C. 13 / 300-400-500</v>
          </cell>
        </row>
        <row r="4272">
          <cell r="B4272">
            <v>6913285</v>
          </cell>
          <cell r="C4272" t="str">
            <v>FBL</v>
          </cell>
          <cell r="D4272" t="str">
            <v>REFUERZO DE POLIESTER REFORZADO C.FIBRA DE VIDRIO PRFV 375MM X 1,59M P.POSTE C.A.C. 13 / 300-400-500</v>
          </cell>
        </row>
        <row r="4273">
          <cell r="B4273">
            <v>6913285</v>
          </cell>
          <cell r="C4273" t="str">
            <v>FBP</v>
          </cell>
          <cell r="D4273" t="str">
            <v>REFUERZO DE POLIESTER REFORZADO C.FIBRA DE VIDRIO PRFV 375MM X 1,59M P.POSTE C.A.C. 13 / 300-400-500</v>
          </cell>
        </row>
        <row r="4274">
          <cell r="B4274">
            <v>6913285</v>
          </cell>
          <cell r="C4274" t="str">
            <v>FPK</v>
          </cell>
          <cell r="D4274" t="str">
            <v>REFUERZO DE POLIESTER REFORZADO C.FIBRA DE VIDRIO PRFV 375MM X 1,59M P.POSTE C.A.C. 13 / 300-400-500</v>
          </cell>
        </row>
        <row r="4275">
          <cell r="B4275">
            <v>6913286</v>
          </cell>
          <cell r="C4275" t="str">
            <v>CCF</v>
          </cell>
          <cell r="D4275" t="str">
            <v>REFUERZO DE POLIESTER REFORZADO C.FIBRA DE VIDRIO PRFV DE 425MM X 1,59M P.POSTE C.A.C. 15 / 400-500</v>
          </cell>
        </row>
        <row r="4276">
          <cell r="B4276">
            <v>6913286</v>
          </cell>
          <cell r="C4276" t="str">
            <v>FBL</v>
          </cell>
          <cell r="D4276" t="str">
            <v>REFUERZO DE POLIESTER REFORZADO C.FIBRA DE VIDRIO PRFV DE 425MM X 1,59M P.POSTE C.A.C. 15 / 400-500</v>
          </cell>
        </row>
        <row r="4277">
          <cell r="B4277">
            <v>6913286</v>
          </cell>
          <cell r="C4277" t="str">
            <v>FBP</v>
          </cell>
          <cell r="D4277" t="str">
            <v>REFUERZO DE POLIESTER REFORZADO C.FIBRA DE VIDRIO PRFV DE 425MM X 1,59M P.POSTE C.A.C. 15 / 400-500</v>
          </cell>
        </row>
        <row r="4278">
          <cell r="B4278">
            <v>6913286</v>
          </cell>
          <cell r="C4278" t="str">
            <v>FPK</v>
          </cell>
          <cell r="D4278" t="str">
            <v>REFUERZO DE POLIESTER REFORZADO C.FIBRA DE VIDRIO PRFV DE 425MM X 1,59M P.POSTE C.A.C. 15 / 400-500</v>
          </cell>
        </row>
        <row r="4279">
          <cell r="B4279">
            <v>6913287</v>
          </cell>
          <cell r="C4279" t="str">
            <v>CCF</v>
          </cell>
          <cell r="D4279" t="str">
            <v>REFUERZO DE POLIESTER REFORZADO C.FIBRA DE VIDRIO PRFV DE 435MM X 1,59M P.POSTE C.A.C. 15 / 400-500</v>
          </cell>
        </row>
        <row r="4280">
          <cell r="B4280">
            <v>6913287</v>
          </cell>
          <cell r="C4280" t="str">
            <v>FBL</v>
          </cell>
          <cell r="D4280" t="str">
            <v>REFUERZO DE POLIESTER REFORZADO C.FIBRA DE VIDRIO PRFV DE 435MM X 1,59M P.POSTE C.A.C. 15 / 400-500</v>
          </cell>
        </row>
        <row r="4281">
          <cell r="B4281">
            <v>6913287</v>
          </cell>
          <cell r="C4281" t="str">
            <v>FBP</v>
          </cell>
          <cell r="D4281" t="str">
            <v>REFUERZO DE POLIESTER REFORZADO C.FIBRA DE VIDRIO PRFV DE 435MM X 1,59M P.POSTE C.A.C. 15 / 400-500</v>
          </cell>
        </row>
        <row r="4282">
          <cell r="B4282">
            <v>6913287</v>
          </cell>
          <cell r="C4282" t="str">
            <v>FPK</v>
          </cell>
          <cell r="D4282" t="str">
            <v>REFUERZO DE POLIESTER REFORZADO C.FIBRA DE VIDRIO PRFV DE 435MM X 1,59M P.POSTE C.A.C. 15 / 400-500</v>
          </cell>
        </row>
        <row r="4283">
          <cell r="B4283">
            <v>6913290</v>
          </cell>
          <cell r="C4283" t="str">
            <v>CCF</v>
          </cell>
          <cell r="D4283" t="str">
            <v>REFUERZO DE POLIESTER REFORZADO C.FIBRA DE VIDRIO PRFV DE 186MM X 1,22M P.POSTE C.A.C. 7 / 100</v>
          </cell>
        </row>
        <row r="4284">
          <cell r="B4284">
            <v>6913290</v>
          </cell>
          <cell r="C4284" t="str">
            <v>FBL</v>
          </cell>
          <cell r="D4284" t="str">
            <v>REFUERZO DE POLIESTER REFORZADO C.FIBRA DE VIDRIO PRFV DE 186MM X 1,22M P.POSTE C.A.C. 7 / 100</v>
          </cell>
        </row>
        <row r="4285">
          <cell r="B4285">
            <v>6913290</v>
          </cell>
          <cell r="C4285" t="str">
            <v>FBP</v>
          </cell>
          <cell r="D4285" t="str">
            <v>REFUERZO DE POLIESTER REFORZADO C.FIBRA DE VIDRIO PRFV DE 186MM X 1,22M P.POSTE C.A.C. 7 / 100</v>
          </cell>
        </row>
        <row r="4286">
          <cell r="B4286">
            <v>6913291</v>
          </cell>
          <cell r="C4286" t="str">
            <v>CCF</v>
          </cell>
          <cell r="D4286" t="str">
            <v>REFUERZO DE POLIESTER REFORZADO C.FIBRA DE VIDRIO PRFV DE 224MM X 1,24M P.POSTE C.A.C. 7 / 200</v>
          </cell>
        </row>
        <row r="4287">
          <cell r="B4287">
            <v>6913291</v>
          </cell>
          <cell r="C4287" t="str">
            <v>FBL</v>
          </cell>
          <cell r="D4287" t="str">
            <v>REFUERZO DE POLIESTER REFORZADO C.FIBRA DE VIDRIO PRFV DE 224MM X 1,24M P.POSTE C.A.C. 7 / 200</v>
          </cell>
        </row>
        <row r="4288">
          <cell r="B4288">
            <v>6913291</v>
          </cell>
          <cell r="C4288" t="str">
            <v>FBP</v>
          </cell>
          <cell r="D4288" t="str">
            <v>REFUERZO DE POLIESTER REFORZADO C.FIBRA DE VIDRIO PRFV DE 224MM X 1,24M P.POSTE C.A.C. 7 / 200</v>
          </cell>
        </row>
        <row r="4289">
          <cell r="B4289">
            <v>6913292</v>
          </cell>
          <cell r="C4289" t="str">
            <v>CCF</v>
          </cell>
          <cell r="D4289" t="str">
            <v>REFUERZO DE POLIESTER REFORZADO C.FIBRA DE VIDRIO PRFV DE 242MM X 1,41M P.POSTE C.A.C. 8,7 / 200</v>
          </cell>
        </row>
        <row r="4290">
          <cell r="B4290">
            <v>6913292</v>
          </cell>
          <cell r="C4290" t="str">
            <v>FBL</v>
          </cell>
          <cell r="D4290" t="str">
            <v>REFUERZO DE POLIESTER REFORZADO C.FIBRA DE VIDRIO PRFV DE 242MM X 1,41M P.POSTE C.A.C. 8,7 / 200</v>
          </cell>
        </row>
        <row r="4291">
          <cell r="B4291">
            <v>6913292</v>
          </cell>
          <cell r="C4291" t="str">
            <v>FBP</v>
          </cell>
          <cell r="D4291" t="str">
            <v>REFUERZO DE POLIESTER REFORZADO C.FIBRA DE VIDRIO PRFV DE 242MM X 1,41M P.POSTE C.A.C. 8,7 / 200</v>
          </cell>
        </row>
        <row r="4292">
          <cell r="B4292">
            <v>6913293</v>
          </cell>
          <cell r="C4292" t="str">
            <v>CCF</v>
          </cell>
          <cell r="D4292" t="str">
            <v>REFUERZO DE POLIESTER REFORZADO C.FIBRA DE VIDRIO PRFV DE 250MM X 1,39M P.POSTE C.A.C. 8,7 / 300</v>
          </cell>
        </row>
        <row r="4293">
          <cell r="B4293">
            <v>6913293</v>
          </cell>
          <cell r="C4293" t="str">
            <v>FBL</v>
          </cell>
          <cell r="D4293" t="str">
            <v>REFUERZO DE POLIESTER REFORZADO C.FIBRA DE VIDRIO PRFV DE 250MM X 1,39M P.POSTE C.A.C. 8,7 / 300</v>
          </cell>
        </row>
        <row r="4294">
          <cell r="B4294">
            <v>6913293</v>
          </cell>
          <cell r="C4294" t="str">
            <v>FBP</v>
          </cell>
          <cell r="D4294" t="str">
            <v>REFUERZO DE POLIESTER REFORZADO C.FIBRA DE VIDRIO PRFV DE 250MM X 1,39M P.POSTE C.A.C. 8,7 / 300</v>
          </cell>
        </row>
        <row r="4295">
          <cell r="B4295">
            <v>6913294</v>
          </cell>
          <cell r="C4295" t="str">
            <v>CCF</v>
          </cell>
          <cell r="D4295" t="str">
            <v>REFUERZO DE POLIESTER REFORZADO C.FIBRA DE VIDRIO PRFV DE 337MM X 1,50M P.POSTE C.A.C. 11,5 / 300</v>
          </cell>
        </row>
        <row r="4296">
          <cell r="B4296">
            <v>6913294</v>
          </cell>
          <cell r="C4296" t="str">
            <v>FBL</v>
          </cell>
          <cell r="D4296" t="str">
            <v>REFUERZO DE POLIESTER REFORZADO C.FIBRA DE VIDRIO PRFV DE 337MM X 1,50M P.POSTE C.A.C. 11,5 / 300</v>
          </cell>
        </row>
        <row r="4297">
          <cell r="B4297">
            <v>6913294</v>
          </cell>
          <cell r="C4297" t="str">
            <v>FBP</v>
          </cell>
          <cell r="D4297" t="str">
            <v>REFUERZO DE POLIESTER REFORZADO C.FIBRA DE VIDRIO PRFV DE 337MM X 1,50M P.POSTE C.A.C. 11,5 / 300</v>
          </cell>
        </row>
        <row r="4298">
          <cell r="B4298">
            <v>6913295</v>
          </cell>
          <cell r="C4298" t="str">
            <v>CCF</v>
          </cell>
          <cell r="D4298" t="str">
            <v>REFUERZO DE POLIESTER REFORZADO C.FIBRA DE VIDRIO PRFV DE 117MM X 1,40M P.POSTE DE ACERO 7M</v>
          </cell>
        </row>
        <row r="4299">
          <cell r="B4299">
            <v>6913295</v>
          </cell>
          <cell r="C4299" t="str">
            <v>FBL</v>
          </cell>
          <cell r="D4299" t="str">
            <v>REFUERZO DE POLIESTER REFORZADO C.FIBRA DE VIDRIO PRFV DE 117MM X 1,40M P.POSTE DE ACERO 7M</v>
          </cell>
        </row>
        <row r="4300">
          <cell r="B4300">
            <v>6913295</v>
          </cell>
          <cell r="C4300" t="str">
            <v>FBP</v>
          </cell>
          <cell r="D4300" t="str">
            <v>REFUERZO DE POLIESTER REFORZADO C.FIBRA DE VIDRIO PRFV DE 117MM X 1,40M P.POSTE DE ACERO 7M</v>
          </cell>
        </row>
        <row r="4301">
          <cell r="B4301">
            <v>6913296</v>
          </cell>
          <cell r="C4301" t="str">
            <v>CCF</v>
          </cell>
          <cell r="D4301" t="str">
            <v>REFUERZO DE POLIESTER REFORZADO C.FIBRA DE VIDRIO PRFV DE 141MM X 1,40M P.POSTE DE ACERO 9M</v>
          </cell>
        </row>
        <row r="4302">
          <cell r="B4302">
            <v>6913296</v>
          </cell>
          <cell r="C4302" t="str">
            <v>FBL</v>
          </cell>
          <cell r="D4302" t="str">
            <v>REFUERZO DE POLIESTER REFORZADO C.FIBRA DE VIDRIO PRFV DE 141MM X 1,40M P.POSTE DE ACERO 9M</v>
          </cell>
        </row>
        <row r="4303">
          <cell r="B4303">
            <v>6913296</v>
          </cell>
          <cell r="C4303" t="str">
            <v>FBP</v>
          </cell>
          <cell r="D4303" t="str">
            <v>REFUERZO DE POLIESTER REFORZADO C.FIBRA DE VIDRIO PRFV DE 141MM X 1,40M P.POSTE DE ACERO 9M</v>
          </cell>
        </row>
        <row r="4304">
          <cell r="B4304">
            <v>6913297</v>
          </cell>
          <cell r="C4304" t="str">
            <v>CCF</v>
          </cell>
          <cell r="D4304" t="str">
            <v>REFUERZO DE POLIESTER REFORZADO C.FIBRA DE VIDRIO PRFV DE 309MM X 1,59M P.POSTE C.A.C. 11,5 / 200</v>
          </cell>
        </row>
        <row r="4305">
          <cell r="B4305">
            <v>6913297</v>
          </cell>
          <cell r="C4305" t="str">
            <v>FBL</v>
          </cell>
          <cell r="D4305" t="str">
            <v>REFUERZO DE POLIESTER REFORZADO C.FIBRA DE VIDRIO PRFV DE 309MM X 1,59M P.POSTE C.A.C. 11,5 / 200</v>
          </cell>
        </row>
        <row r="4306">
          <cell r="B4306">
            <v>6913297</v>
          </cell>
          <cell r="C4306" t="str">
            <v>FBP</v>
          </cell>
          <cell r="D4306" t="str">
            <v>REFUERZO DE POLIESTER REFORZADO C.FIBRA DE VIDRIO PRFV DE 309MM X 1,59M P.POSTE C.A.C. 11,5 / 200</v>
          </cell>
        </row>
        <row r="4307">
          <cell r="B4307">
            <v>6913297</v>
          </cell>
          <cell r="C4307" t="str">
            <v>FPK</v>
          </cell>
          <cell r="D4307" t="str">
            <v>REFUERZO DE POLIESTER REFORZADO C.FIBRA DE VIDRIO PRFV DE 309MM X 1,59M P.POSTE C.A.C. 11,5 / 200</v>
          </cell>
        </row>
        <row r="4308">
          <cell r="B4308">
            <v>6913298</v>
          </cell>
          <cell r="C4308" t="str">
            <v>CCF</v>
          </cell>
          <cell r="D4308" t="str">
            <v>REFUERZO DE POLIESTER REFORZADO C.FIBRA DE VIDRIO PRFV DE 318MM X 1,59M P.POSTE C.A.C. 11,5 / 200</v>
          </cell>
        </row>
        <row r="4309">
          <cell r="B4309">
            <v>6913298</v>
          </cell>
          <cell r="C4309" t="str">
            <v>FBL</v>
          </cell>
          <cell r="D4309" t="str">
            <v>REFUERZO DE POLIESTER REFORZADO C.FIBRA DE VIDRIO PRFV DE 318MM X 1,59M P.POSTE C.A.C. 11,5 / 200</v>
          </cell>
        </row>
        <row r="4310">
          <cell r="B4310">
            <v>6913298</v>
          </cell>
          <cell r="C4310" t="str">
            <v>FBP</v>
          </cell>
          <cell r="D4310" t="str">
            <v>REFUERZO DE POLIESTER REFORZADO C.FIBRA DE VIDRIO PRFV DE 318MM X 1,59M P.POSTE C.A.C. 11,5 / 200</v>
          </cell>
        </row>
        <row r="4311">
          <cell r="B4311">
            <v>6913298</v>
          </cell>
          <cell r="C4311" t="str">
            <v>FPK</v>
          </cell>
          <cell r="D4311" t="str">
            <v>REFUERZO DE POLIESTER REFORZADO C.FIBRA DE VIDRIO PRFV DE 318MM X 1,59M P.POSTE C.A.C. 11,5 / 200</v>
          </cell>
        </row>
        <row r="4312">
          <cell r="B4312">
            <v>6913301</v>
          </cell>
          <cell r="C4312" t="str">
            <v>DBE</v>
          </cell>
          <cell r="D4312" t="str">
            <v>PROTECTOR DIELECT.P/CELDAS SECCIONADOR - INTERRUPTOR, TRANSFORMADOR DISTRIB.EN 10KV</v>
          </cell>
        </row>
        <row r="4313">
          <cell r="B4313">
            <v>6913301</v>
          </cell>
          <cell r="C4313" t="str">
            <v>ESS</v>
          </cell>
          <cell r="D4313" t="str">
            <v>PROTECTOR DIELECT.P/CELDAS SECCIONADOR - INTERRUPTOR, TRANSFORMADOR DISTRIB.EN 10KV</v>
          </cell>
        </row>
        <row r="4314">
          <cell r="B4314">
            <v>6913302</v>
          </cell>
          <cell r="C4314" t="str">
            <v>DBE</v>
          </cell>
          <cell r="D4314" t="str">
            <v>PROTECTOR DIELECT.P/CELDAS SECCIONADOR - INTERRUPTOR, TRANSFORMADOR DISTRIB EN 22,9KV</v>
          </cell>
        </row>
        <row r="4315">
          <cell r="B4315">
            <v>6913302</v>
          </cell>
          <cell r="C4315" t="str">
            <v>ESS</v>
          </cell>
          <cell r="D4315" t="str">
            <v>PROTECTOR DIELECT.P/CELDAS SECCIONADOR - INTERRUPTOR, TRANSFORMADOR DISTRIB EN 22,9KV</v>
          </cell>
        </row>
        <row r="4316">
          <cell r="B4316">
            <v>6913303</v>
          </cell>
          <cell r="C4316" t="str">
            <v>ESS</v>
          </cell>
          <cell r="D4316" t="str">
            <v>PROTECTOR DIELECT.P.CELDAS SECCIONADOR - INTERRUPTOR, TRANSFORMADOR DISTRIB.EN 10KV</v>
          </cell>
        </row>
        <row r="4317">
          <cell r="B4317">
            <v>6913304</v>
          </cell>
          <cell r="C4317" t="str">
            <v>ESS</v>
          </cell>
          <cell r="D4317" t="str">
            <v>PROTECTOR DIELECT.P/CELDAS DE TRANSFORMADOR TIPO FMG Y PREFABRIC - 10 KV (FIBRA VIDRIO REFORZ)</v>
          </cell>
        </row>
        <row r="4318">
          <cell r="B4318">
            <v>6913305</v>
          </cell>
          <cell r="C4318" t="str">
            <v>ESS</v>
          </cell>
          <cell r="D4318" t="str">
            <v>PROTECTOR DIELECT.P/CELDAS DE SECCIONADOR O  INTERRUPTOR PREFABRIC - 22.9 KV (FIBRA VIDRIO REFORZ)</v>
          </cell>
        </row>
        <row r="4319">
          <cell r="B4319">
            <v>6913306</v>
          </cell>
          <cell r="C4319" t="str">
            <v>ESS</v>
          </cell>
          <cell r="D4319" t="str">
            <v>PROTECTOR DIELECT.P/CELDAS DE TRANSFORMADOR TIPO PREFABRIC - 22.9  KV (FIBRA VIDRIO REFORZ)</v>
          </cell>
        </row>
        <row r="4320">
          <cell r="B4320">
            <v>6913390</v>
          </cell>
          <cell r="C4320" t="str">
            <v>ITC</v>
          </cell>
          <cell r="D4320" t="str">
            <v>CELDA EXTERIOR DE PROTECCION Y SECCIONAMIENTO (CEPS) DE 10KV EQUIPADA</v>
          </cell>
        </row>
        <row r="4321">
          <cell r="B4321">
            <v>6913390</v>
          </cell>
          <cell r="C4321" t="str">
            <v>JYW</v>
          </cell>
          <cell r="D4321" t="str">
            <v>CELDA EXTERIOR DE PROTECCION Y SECCIONAMIENTO (CEPS) DE 10KV EQUIPADA</v>
          </cell>
        </row>
        <row r="4322">
          <cell r="B4322">
            <v>6913390</v>
          </cell>
          <cell r="C4322" t="str">
            <v>SGC</v>
          </cell>
          <cell r="D4322" t="str">
            <v>CELDA EXTERIOR DE PROTECCION Y SECCIONAMIENTO (CEPS) DE 10KV EQUIPADA</v>
          </cell>
        </row>
        <row r="4323">
          <cell r="B4323">
            <v>6913434</v>
          </cell>
          <cell r="C4323" t="str">
            <v>ITC</v>
          </cell>
          <cell r="D4323" t="str">
            <v>GABINETE METALICO P.EQUIPOS DE PROTECCION 800 X 2000 X 600MM EQUIPADO P.SED CONVENCIONAL</v>
          </cell>
        </row>
        <row r="4324">
          <cell r="B4324">
            <v>6913434</v>
          </cell>
          <cell r="C4324" t="str">
            <v>JYW</v>
          </cell>
          <cell r="D4324" t="str">
            <v>GABINETE METALICO P.EQUIPOS DE PROTECCION 800 X 2000 X 600MM EQUIPADO P.SED CONVENCIONAL</v>
          </cell>
        </row>
        <row r="4325">
          <cell r="B4325">
            <v>6913434</v>
          </cell>
          <cell r="C4325" t="str">
            <v>SGC</v>
          </cell>
          <cell r="D4325" t="str">
            <v>GABINETE METALICO P.EQUIPOS DE PROTECCION 800 X 2000 X 600MM EQUIPADO P.SED CONVENCIONAL</v>
          </cell>
        </row>
        <row r="4326">
          <cell r="B4326">
            <v>6914254</v>
          </cell>
          <cell r="C4326" t="str">
            <v>ESS</v>
          </cell>
          <cell r="D4326" t="str">
            <v>SELLO DE BRONCE P.IDENTIFICACION EMPALME SUBTERRANEO MT</v>
          </cell>
        </row>
        <row r="4327">
          <cell r="B4327">
            <v>6914254</v>
          </cell>
          <cell r="C4327" t="str">
            <v>JYN</v>
          </cell>
          <cell r="D4327" t="str">
            <v>SELLO DE BRONCE P.IDENTIFICACION EMPALME SUBTERRANEO MT</v>
          </cell>
        </row>
        <row r="4328">
          <cell r="B4328">
            <v>6931004</v>
          </cell>
          <cell r="C4328" t="str">
            <v>CDC</v>
          </cell>
          <cell r="D4328" t="str">
            <v>CAJA TOMA TP."L" CON TABLERO, VIDRIO Y CERRADURA</v>
          </cell>
        </row>
        <row r="4329">
          <cell r="B4329">
            <v>6931004</v>
          </cell>
          <cell r="C4329" t="str">
            <v>IAT</v>
          </cell>
          <cell r="D4329" t="str">
            <v>CAJA TOMA TP."L" CON TABLERO, VIDRIO Y CERRADURA</v>
          </cell>
        </row>
        <row r="4330">
          <cell r="B4330">
            <v>6931004</v>
          </cell>
          <cell r="C4330" t="str">
            <v>IDS</v>
          </cell>
          <cell r="D4330" t="str">
            <v>CAJA TOMA TP."L" CON TABLERO, VIDRIO Y CERRADURA</v>
          </cell>
        </row>
        <row r="4331">
          <cell r="B4331">
            <v>6931004</v>
          </cell>
          <cell r="C4331" t="str">
            <v>PIC</v>
          </cell>
          <cell r="D4331" t="str">
            <v>CAJA TOMA TP."L" CON TABLERO, VIDRIO Y CERRADURA</v>
          </cell>
        </row>
        <row r="4332">
          <cell r="B4332">
            <v>6931008</v>
          </cell>
          <cell r="C4332" t="str">
            <v>IAT</v>
          </cell>
          <cell r="D4332" t="str">
            <v>CAJA TOMA TP. "L" EMBUTIDA C/VISOR Y CERRADURA</v>
          </cell>
        </row>
        <row r="4333">
          <cell r="B4333">
            <v>6931020</v>
          </cell>
          <cell r="C4333" t="str">
            <v>CDC</v>
          </cell>
          <cell r="D4333" t="str">
            <v>CAJA DE TOMA Y MEDICION TP. LR DE 183X380X175MM C.TABLERO Y TAPA METALICA</v>
          </cell>
        </row>
        <row r="4334">
          <cell r="B4334">
            <v>6931020</v>
          </cell>
          <cell r="C4334" t="str">
            <v>IAD</v>
          </cell>
          <cell r="D4334" t="str">
            <v>CAJA DE TOMA Y MEDICION TP. LR DE 183X380X175MM C.TABLERO Y TAPA METALICA</v>
          </cell>
        </row>
        <row r="4335">
          <cell r="B4335">
            <v>6931020</v>
          </cell>
          <cell r="C4335" t="str">
            <v>IAT</v>
          </cell>
          <cell r="D4335" t="str">
            <v>CAJA DE TOMA Y MEDICION TP. LR DE 183X380X175MM C.TABLERO Y TAPA METALICA</v>
          </cell>
        </row>
        <row r="4336">
          <cell r="B4336">
            <v>6931020</v>
          </cell>
          <cell r="C4336" t="str">
            <v>PIC</v>
          </cell>
          <cell r="D4336" t="str">
            <v>CAJA DE TOMA Y MEDICION TP. LR DE 183X380X175MM C.TABLERO Y TAPA METALICA</v>
          </cell>
        </row>
        <row r="4337">
          <cell r="B4337">
            <v>6931020</v>
          </cell>
          <cell r="C4337" t="str">
            <v>STL</v>
          </cell>
          <cell r="D4337" t="str">
            <v>CAJA DE TOMA Y MEDICION TP. LR DE 183X380X175MM C.TABLERO Y TAPA METALICA</v>
          </cell>
        </row>
        <row r="4338">
          <cell r="B4338">
            <v>6931021</v>
          </cell>
          <cell r="C4338" t="str">
            <v>CDC</v>
          </cell>
          <cell r="D4338" t="str">
            <v>CAJA DE TOMA Y MEDICION TP. LTR DE 243X450X200MM C.TABLERO Y TAPA METALICA</v>
          </cell>
        </row>
        <row r="4339">
          <cell r="B4339">
            <v>6931021</v>
          </cell>
          <cell r="C4339" t="str">
            <v>IAT</v>
          </cell>
          <cell r="D4339" t="str">
            <v>CAJA DE TOMA Y MEDICION TP. LTR DE 243X450X200MM C.TABLERO Y TAPA METALICA</v>
          </cell>
        </row>
        <row r="4340">
          <cell r="B4340">
            <v>6931021</v>
          </cell>
          <cell r="C4340" t="str">
            <v>IDS</v>
          </cell>
          <cell r="D4340" t="str">
            <v>CAJA DE TOMA Y MEDICION TP. LTR DE 243X450X200MM C.TABLERO Y TAPA METALICA</v>
          </cell>
        </row>
        <row r="4341">
          <cell r="B4341">
            <v>6931021</v>
          </cell>
          <cell r="C4341" t="str">
            <v>PIC</v>
          </cell>
          <cell r="D4341" t="str">
            <v>CAJA DE TOMA Y MEDICION TP. LTR DE 243X450X200MM C.TABLERO Y TAPA METALICA</v>
          </cell>
        </row>
        <row r="4342">
          <cell r="B4342">
            <v>6931021</v>
          </cell>
          <cell r="C4342" t="str">
            <v>STL</v>
          </cell>
          <cell r="D4342" t="str">
            <v>CAJA DE TOMA Y MEDICION TP. LTR DE 243X450X200MM C.TABLERO Y TAPA METALICA</v>
          </cell>
        </row>
        <row r="4343">
          <cell r="B4343">
            <v>6931022</v>
          </cell>
          <cell r="C4343" t="str">
            <v>CCF</v>
          </cell>
          <cell r="D4343" t="str">
            <v>CAJA DE TOMA Y MEDICION TP. LRP DE 183X380X120MM C.TABLERO Y TAPA DE POLIESTER REFORZADA</v>
          </cell>
        </row>
        <row r="4344">
          <cell r="B4344">
            <v>6931022</v>
          </cell>
          <cell r="C4344" t="str">
            <v>FBR</v>
          </cell>
          <cell r="D4344" t="str">
            <v>CAJA DE TOMA Y MEDICION TP. LRP DE 183X380X120MM C.TABLERO Y TAPA DE POLIESTER REFORZADA</v>
          </cell>
        </row>
        <row r="4345">
          <cell r="B4345">
            <v>6931023</v>
          </cell>
          <cell r="C4345" t="str">
            <v>IAD</v>
          </cell>
          <cell r="D4345" t="str">
            <v>CAJA DE TOMA Y MEDICION TP. LRM DE 183X380X135MM C.TABLERO Y TAPA METALICA</v>
          </cell>
        </row>
        <row r="4346">
          <cell r="B4346">
            <v>6931023</v>
          </cell>
          <cell r="C4346" t="str">
            <v>IAT</v>
          </cell>
          <cell r="D4346" t="str">
            <v>CAJA DE TOMA Y MEDICION TP. LRM DE 183X380X135MM C.TABLERO Y TAPA METALICA</v>
          </cell>
        </row>
        <row r="4347">
          <cell r="B4347">
            <v>6931024</v>
          </cell>
          <cell r="C4347" t="str">
            <v>CIC</v>
          </cell>
          <cell r="D4347" t="str">
            <v>CAJA DE MEDICION MONOFASICA TP. LRM - F DE PRFV 180X380X135MM C.TABLERO Y TAPA</v>
          </cell>
        </row>
        <row r="4348">
          <cell r="B4348">
            <v>6931025</v>
          </cell>
          <cell r="C4348" t="str">
            <v>CIC</v>
          </cell>
          <cell r="D4348" t="str">
            <v>CAJA DE MEDICION TRIFASICA TP. LTRM - FR DE PRFV 240X450X160MM C.TABLERO Y TAPA</v>
          </cell>
        </row>
        <row r="4349">
          <cell r="B4349">
            <v>6931026</v>
          </cell>
          <cell r="C4349" t="str">
            <v>CIC</v>
          </cell>
          <cell r="D4349" t="str">
            <v>CAJA DE MEDICION TRIFASICA TP. LTRM - FR DE PRFV 240X450X200MM C.TABLERO Y TAPA</v>
          </cell>
        </row>
        <row r="4350">
          <cell r="B4350">
            <v>6931028</v>
          </cell>
          <cell r="C4350" t="str">
            <v>GGG</v>
          </cell>
          <cell r="D4350" t="str">
            <v>CAJA DE MEDICION MONOFASICA  FABRICADO CON MATERIAL POLIMERICO DE 183 X 380 X 110 MM</v>
          </cell>
        </row>
        <row r="4351">
          <cell r="B4351">
            <v>6931031</v>
          </cell>
          <cell r="C4351" t="str">
            <v>CDC</v>
          </cell>
          <cell r="D4351" t="str">
            <v>CAJA TOMA TP. "LTT" 200X245X525MM C/TABL. Y CERRAD. S/VISOR</v>
          </cell>
        </row>
        <row r="4352">
          <cell r="B4352">
            <v>6931031</v>
          </cell>
          <cell r="C4352" t="str">
            <v>FLX</v>
          </cell>
          <cell r="D4352" t="str">
            <v>CAJA TOMA TP. "LTT" 200X245X525MM C/TABL. Y CERRAD. S/VISOR</v>
          </cell>
        </row>
        <row r="4353">
          <cell r="B4353">
            <v>6931031</v>
          </cell>
          <cell r="C4353" t="str">
            <v>IAT</v>
          </cell>
          <cell r="D4353" t="str">
            <v>CAJA TOMA TP. "LTT" 200X245X525MM C/TABL. Y CERRAD. S/VISOR</v>
          </cell>
        </row>
        <row r="4354">
          <cell r="B4354">
            <v>6931031</v>
          </cell>
          <cell r="C4354" t="str">
            <v>IDS</v>
          </cell>
          <cell r="D4354" t="str">
            <v>CAJA TOMA TP. "LTT" 200X245X525MM C/TABL. Y CERRAD. S/VISOR</v>
          </cell>
        </row>
        <row r="4355">
          <cell r="B4355">
            <v>6931031</v>
          </cell>
          <cell r="C4355" t="str">
            <v>PIC</v>
          </cell>
          <cell r="D4355" t="str">
            <v>CAJA TOMA TP. "LTT" 200X245X525MM C/TABL. Y CERRAD. S/VISOR</v>
          </cell>
        </row>
        <row r="4356">
          <cell r="B4356">
            <v>6931033</v>
          </cell>
          <cell r="C4356" t="str">
            <v>CDC</v>
          </cell>
          <cell r="D4356" t="str">
            <v>CAJA MEDICION TP."LTM" 20OX245X525MM C/TABL.,VISOR Y CERRAD.</v>
          </cell>
        </row>
        <row r="4357">
          <cell r="B4357">
            <v>6931033</v>
          </cell>
          <cell r="C4357" t="str">
            <v>FLX</v>
          </cell>
          <cell r="D4357" t="str">
            <v>CAJA MEDICION TP."LTM" 20OX245X525MM C/TABL.,VISOR Y CERRAD.</v>
          </cell>
        </row>
        <row r="4358">
          <cell r="B4358">
            <v>6931033</v>
          </cell>
          <cell r="C4358" t="str">
            <v>IAT</v>
          </cell>
          <cell r="D4358" t="str">
            <v>CAJA MEDICION TP."LTM" 20OX245X525MM C/TABL.,VISOR Y CERRAD.</v>
          </cell>
        </row>
        <row r="4359">
          <cell r="B4359">
            <v>6931033</v>
          </cell>
          <cell r="C4359" t="str">
            <v>IDS</v>
          </cell>
          <cell r="D4359" t="str">
            <v>CAJA MEDICION TP."LTM" 20OX245X525MM C/TABL.,VISOR Y CERRAD.</v>
          </cell>
        </row>
        <row r="4360">
          <cell r="B4360">
            <v>6931033</v>
          </cell>
          <cell r="C4360" t="str">
            <v>PIC</v>
          </cell>
          <cell r="D4360" t="str">
            <v>CAJA MEDICION TP."LTM" 20OX245X525MM C/TABL.,VISOR Y CERRAD.</v>
          </cell>
        </row>
        <row r="4361">
          <cell r="B4361">
            <v>6931034</v>
          </cell>
          <cell r="C4361" t="str">
            <v>CDC</v>
          </cell>
          <cell r="D4361" t="str">
            <v>CAJA TOMA TP."LT" C/TABLERO,  VIDRIO Y CERRADURA</v>
          </cell>
        </row>
        <row r="4362">
          <cell r="B4362">
            <v>6931034</v>
          </cell>
          <cell r="C4362" t="str">
            <v>IAT</v>
          </cell>
          <cell r="D4362" t="str">
            <v>CAJA TOMA TP."LT" C/TABLERO,  VIDRIO Y CERRADURA</v>
          </cell>
        </row>
        <row r="4363">
          <cell r="B4363">
            <v>6931034</v>
          </cell>
          <cell r="C4363" t="str">
            <v>IDS</v>
          </cell>
          <cell r="D4363" t="str">
            <v>CAJA TOMA TP."LT" C/TABLERO,  VIDRIO Y CERRADURA</v>
          </cell>
        </row>
        <row r="4364">
          <cell r="B4364">
            <v>6931034</v>
          </cell>
          <cell r="C4364" t="str">
            <v>PIC</v>
          </cell>
          <cell r="D4364" t="str">
            <v>CAJA TOMA TP."LT" C/TABLERO,  VIDRIO Y CERRADURA</v>
          </cell>
        </row>
        <row r="4365">
          <cell r="B4365">
            <v>6931055</v>
          </cell>
          <cell r="C4365" t="str">
            <v>CIC</v>
          </cell>
          <cell r="D4365" t="str">
            <v>CAJA DE MEDICION TRIFASICA MULTIFUNCION TP. LTMM-F DE 240X525X200MM EN PRFV 2,50MM C.TABLERO Y TAPA</v>
          </cell>
        </row>
        <row r="4366">
          <cell r="B4366">
            <v>6931066</v>
          </cell>
          <cell r="C4366" t="str">
            <v>CCH</v>
          </cell>
          <cell r="D4366" t="str">
            <v>CAJA METALICA PORTAMEDIDOR TRIFASICA TP. 3B 505 X 410 X 262MM</v>
          </cell>
        </row>
        <row r="4367">
          <cell r="B4367">
            <v>6931066</v>
          </cell>
          <cell r="C4367" t="str">
            <v>IAT</v>
          </cell>
          <cell r="D4367" t="str">
            <v>CAJA METALICA PORTAMEDIDOR TRIFASICA TP. 3B 505 X 410 X 262MM</v>
          </cell>
        </row>
        <row r="4368">
          <cell r="B4368">
            <v>6931066</v>
          </cell>
          <cell r="C4368" t="str">
            <v>IDS</v>
          </cell>
          <cell r="D4368" t="str">
            <v>CAJA METALICA PORTAMEDIDOR TRIFASICA TP. 3B 505 X 410 X 262MM</v>
          </cell>
        </row>
        <row r="4369">
          <cell r="B4369">
            <v>6931066</v>
          </cell>
          <cell r="C4369" t="str">
            <v>PIC</v>
          </cell>
          <cell r="D4369" t="str">
            <v>CAJA METALICA PORTAMEDIDOR TRIFASICA TP. 3B 505 X 410 X 262MM</v>
          </cell>
        </row>
        <row r="4370">
          <cell r="B4370">
            <v>6931069</v>
          </cell>
          <cell r="C4370" t="str">
            <v>IAT</v>
          </cell>
          <cell r="D4370" t="str">
            <v>CAJA PORTAEQUIPO.PARA.MEDICION.C.P.-EQUIPADA.</v>
          </cell>
        </row>
        <row r="4371">
          <cell r="B4371">
            <v>6931084</v>
          </cell>
          <cell r="C4371" t="str">
            <v>CDC</v>
          </cell>
          <cell r="D4371" t="str">
            <v>CAJA P/ACOMETIDA A PENSION FIJA 184X135X143MM.C/CERRAD.</v>
          </cell>
        </row>
        <row r="4372">
          <cell r="B4372">
            <v>6931084</v>
          </cell>
          <cell r="C4372" t="str">
            <v>CHA</v>
          </cell>
          <cell r="D4372" t="str">
            <v>CAJA P/ACOMETIDA A PENSION FIJA 184X135X143MM.C/CERRAD.</v>
          </cell>
        </row>
        <row r="4373">
          <cell r="B4373">
            <v>6931084</v>
          </cell>
          <cell r="C4373" t="str">
            <v>IAT</v>
          </cell>
          <cell r="D4373" t="str">
            <v>CAJA P/ACOMETIDA A PENSION FIJA 184X135X143MM.C/CERRAD.</v>
          </cell>
        </row>
        <row r="4374">
          <cell r="B4374">
            <v>6931084</v>
          </cell>
          <cell r="C4374" t="str">
            <v>IDS</v>
          </cell>
          <cell r="D4374" t="str">
            <v>CAJA P/ACOMETIDA A PENSION FIJA 184X135X143MM.C/CERRAD.</v>
          </cell>
        </row>
        <row r="4375">
          <cell r="B4375">
            <v>6931084</v>
          </cell>
          <cell r="C4375" t="str">
            <v>PIC</v>
          </cell>
          <cell r="D4375" t="str">
            <v>CAJA P/ACOMETIDA A PENSION FIJA 184X135X143MM.C/CERRAD.</v>
          </cell>
        </row>
        <row r="4376">
          <cell r="B4376">
            <v>6931101</v>
          </cell>
          <cell r="C4376" t="str">
            <v>CIC</v>
          </cell>
          <cell r="D4376" t="str">
            <v>TAPA DE POLIESTER REFORZADO C.FIBRA DE VIDRIO P.CAJA CPV TP. "L" 154X421X4MM 3 VENTANAS</v>
          </cell>
        </row>
        <row r="4377">
          <cell r="B4377">
            <v>6931107</v>
          </cell>
          <cell r="C4377" t="str">
            <v>CIC</v>
          </cell>
          <cell r="D4377" t="str">
            <v>TAPA DE POLIESTER REFORZADO CON FIBRA DE VIDRIO PARA CAJA CPV TIPO " L" ANTIGUA DE 154 X 474 X 4MM</v>
          </cell>
        </row>
        <row r="4378">
          <cell r="B4378">
            <v>6931111</v>
          </cell>
          <cell r="C4378" t="str">
            <v>CIC</v>
          </cell>
          <cell r="D4378" t="str">
            <v>TAPA DE POLIESTER REFORZADO CON FIBRA DE VIDRIO PARA CAJA CPV TIPO "L" DE 154 X 421 X 4MM</v>
          </cell>
        </row>
        <row r="4379">
          <cell r="B4379">
            <v>6931114</v>
          </cell>
          <cell r="C4379" t="str">
            <v>FLX</v>
          </cell>
          <cell r="D4379" t="str">
            <v>TAPA P.CJ.TP."L" DE MED./CORTACIRC. 154X421X2MM</v>
          </cell>
        </row>
        <row r="4380">
          <cell r="B4380">
            <v>6931114</v>
          </cell>
          <cell r="C4380" t="str">
            <v>IAT</v>
          </cell>
          <cell r="D4380" t="str">
            <v>TAPA P.CJ.TP."L" DE MED./CORTACIRC. 154X421X2MM</v>
          </cell>
        </row>
        <row r="4381">
          <cell r="B4381">
            <v>6931114</v>
          </cell>
          <cell r="C4381" t="str">
            <v>IDS</v>
          </cell>
          <cell r="D4381" t="str">
            <v>TAPA P.CJ.TP."L" DE MED./CORTACIRC. 154X421X2MM</v>
          </cell>
        </row>
        <row r="4382">
          <cell r="B4382">
            <v>6931114</v>
          </cell>
          <cell r="C4382" t="str">
            <v>PIC</v>
          </cell>
          <cell r="D4382" t="str">
            <v>TAPA P.CJ.TP."L" DE MED./CORTACIRC. 154X421X2MM</v>
          </cell>
        </row>
        <row r="4383">
          <cell r="B4383">
            <v>6931114</v>
          </cell>
          <cell r="C4383" t="str">
            <v>TNC</v>
          </cell>
          <cell r="D4383" t="str">
            <v>TAPA P.CJ.TP."L" DE MED./CORTACIRC. 154X421X2MM</v>
          </cell>
        </row>
        <row r="4384">
          <cell r="B4384">
            <v>6931115</v>
          </cell>
          <cell r="C4384" t="str">
            <v>FLX</v>
          </cell>
          <cell r="D4384" t="str">
            <v>TAPA PARA CAJA TP. "L" ANTIGUA DE 154X474X2MM</v>
          </cell>
        </row>
        <row r="4385">
          <cell r="B4385">
            <v>6931115</v>
          </cell>
          <cell r="C4385" t="str">
            <v>IAT</v>
          </cell>
          <cell r="D4385" t="str">
            <v>TAPA PARA CAJA TP. "L" ANTIGUA DE 154X474X2MM</v>
          </cell>
        </row>
        <row r="4386">
          <cell r="B4386">
            <v>6931115</v>
          </cell>
          <cell r="C4386" t="str">
            <v>IDS</v>
          </cell>
          <cell r="D4386" t="str">
            <v>TAPA PARA CAJA TP. "L" ANTIGUA DE 154X474X2MM</v>
          </cell>
        </row>
        <row r="4387">
          <cell r="B4387">
            <v>6931115</v>
          </cell>
          <cell r="C4387" t="str">
            <v>PIC</v>
          </cell>
          <cell r="D4387" t="str">
            <v>TAPA PARA CAJA TP. "L" ANTIGUA DE 154X474X2MM</v>
          </cell>
        </row>
        <row r="4388">
          <cell r="B4388">
            <v>6931115</v>
          </cell>
          <cell r="C4388" t="str">
            <v>TNC</v>
          </cell>
          <cell r="D4388" t="str">
            <v>TAPA PARA CAJA TP. "L" ANTIGUA DE 154X474X2MM</v>
          </cell>
        </row>
        <row r="4389">
          <cell r="B4389">
            <v>6931116</v>
          </cell>
          <cell r="C4389" t="str">
            <v>FLX</v>
          </cell>
          <cell r="D4389" t="str">
            <v>TAPA P. CAJA TP."MT" DE MEDIDOR  413X252X2,5MM</v>
          </cell>
        </row>
        <row r="4390">
          <cell r="B4390">
            <v>6931116</v>
          </cell>
          <cell r="C4390" t="str">
            <v>IAT</v>
          </cell>
          <cell r="D4390" t="str">
            <v>TAPA P. CAJA TP."MT" DE MEDIDOR  413X252X2,5MM</v>
          </cell>
        </row>
        <row r="4391">
          <cell r="B4391">
            <v>6931116</v>
          </cell>
          <cell r="C4391" t="str">
            <v>TNC</v>
          </cell>
          <cell r="D4391" t="str">
            <v>TAPA P. CAJA TP."MT" DE MEDIDOR  413X252X2,5MM</v>
          </cell>
        </row>
        <row r="4392">
          <cell r="B4392">
            <v>6931117</v>
          </cell>
          <cell r="C4392" t="str">
            <v>CDC</v>
          </cell>
          <cell r="D4392" t="str">
            <v>TAPA P.CAJA TIP."L"MEDI/CORTOC.154X421X2MM C/HUE.P/TERMOMAG.C/AGUJ.LATERAL P/CERRAD.</v>
          </cell>
        </row>
        <row r="4393">
          <cell r="B4393">
            <v>6931117</v>
          </cell>
          <cell r="C4393" t="str">
            <v>FLX</v>
          </cell>
          <cell r="D4393" t="str">
            <v>TAPA P.CAJA TIP."L"MEDI/CORTOC.154X421X2MM C/HUE.P/TERMOMAG.C/AGUJ.LATERAL P/CERRAD.</v>
          </cell>
        </row>
        <row r="4394">
          <cell r="B4394">
            <v>6931117</v>
          </cell>
          <cell r="C4394" t="str">
            <v>IAT</v>
          </cell>
          <cell r="D4394" t="str">
            <v>TAPA P.CAJA TIP."L"MEDI/CORTOC.154X421X2MM C/HUE.P/TERMOMAG.C/AGUJ.LATERAL P/CERRAD.</v>
          </cell>
        </row>
        <row r="4395">
          <cell r="B4395">
            <v>6931117</v>
          </cell>
          <cell r="C4395" t="str">
            <v>IDS</v>
          </cell>
          <cell r="D4395" t="str">
            <v>TAPA P.CAJA TIP."L"MEDI/CORTOC.154X421X2MM C/HUE.P/TERMOMAG.C/AGUJ.LATERAL P/CERRAD.</v>
          </cell>
        </row>
        <row r="4396">
          <cell r="B4396">
            <v>6931117</v>
          </cell>
          <cell r="C4396" t="str">
            <v>PIC</v>
          </cell>
          <cell r="D4396" t="str">
            <v>TAPA P.CAJA TIP."L"MEDI/CORTOC.154X421X2MM C/HUE.P/TERMOMAG.C/AGUJ.LATERAL P/CERRAD.</v>
          </cell>
        </row>
        <row r="4397">
          <cell r="B4397">
            <v>6931117</v>
          </cell>
          <cell r="C4397" t="str">
            <v>TNC</v>
          </cell>
          <cell r="D4397" t="str">
            <v>TAPA P.CAJA TIP."L"MEDI/CORTOC.154X421X2MM C/HUE.P/TERMOMAG.C/AGUJ.LATERAL P/CERRAD.</v>
          </cell>
        </row>
        <row r="4398">
          <cell r="B4398">
            <v>6931118</v>
          </cell>
          <cell r="C4398" t="str">
            <v>CDC</v>
          </cell>
          <cell r="D4398" t="str">
            <v>TAPA P.CAJA TIP."L"ANTIGUA 154X474X2MM C/HUECO P/TERMOMAG.C/AGUJ.SUP.P/CERRADURA</v>
          </cell>
        </row>
        <row r="4399">
          <cell r="B4399">
            <v>6931118</v>
          </cell>
          <cell r="C4399" t="str">
            <v>FLX</v>
          </cell>
          <cell r="D4399" t="str">
            <v>TAPA P.CAJA TIP."L"ANTIGUA 154X474X2MM C/HUECO P/TERMOMAG.C/AGUJ.SUP.P/CERRADURA</v>
          </cell>
        </row>
        <row r="4400">
          <cell r="B4400">
            <v>6931118</v>
          </cell>
          <cell r="C4400" t="str">
            <v>IAT</v>
          </cell>
          <cell r="D4400" t="str">
            <v>TAPA P.CAJA TIP."L"ANTIGUA 154X474X2MM C/HUECO P/TERMOMAG.C/AGUJ.SUP.P/CERRADURA</v>
          </cell>
        </row>
        <row r="4401">
          <cell r="B4401">
            <v>6931118</v>
          </cell>
          <cell r="C4401" t="str">
            <v>IDS</v>
          </cell>
          <cell r="D4401" t="str">
            <v>TAPA P.CAJA TIP."L"ANTIGUA 154X474X2MM C/HUECO P/TERMOMAG.C/AGUJ.SUP.P/CERRADURA</v>
          </cell>
        </row>
        <row r="4402">
          <cell r="B4402">
            <v>6931118</v>
          </cell>
          <cell r="C4402" t="str">
            <v>PIC</v>
          </cell>
          <cell r="D4402" t="str">
            <v>TAPA P.CAJA TIP."L"ANTIGUA 154X474X2MM C/HUECO P/TERMOMAG.C/AGUJ.SUP.P/CERRADURA</v>
          </cell>
        </row>
        <row r="4403">
          <cell r="B4403">
            <v>6931118</v>
          </cell>
          <cell r="C4403" t="str">
            <v>TNC</v>
          </cell>
          <cell r="D4403" t="str">
            <v>TAPA P.CAJA TIP."L"ANTIGUA 154X474X2MM C/HUECO P/TERMOMAG.C/AGUJ.SUP.P/CERRADURA</v>
          </cell>
        </row>
        <row r="4404">
          <cell r="B4404">
            <v>6931132</v>
          </cell>
          <cell r="C4404" t="str">
            <v>FLX</v>
          </cell>
          <cell r="D4404" t="str">
            <v>TAPA P.CAJA TP. LT DE 216X496X2MM C.CERRADURA, VISOR, AGUJERO P.TERMICO</v>
          </cell>
        </row>
        <row r="4405">
          <cell r="B4405">
            <v>6931132</v>
          </cell>
          <cell r="C4405" t="str">
            <v>IAT</v>
          </cell>
          <cell r="D4405" t="str">
            <v>TAPA P.CAJA TP. LT DE 216X496X2MM C.CERRADURA, VISOR, AGUJERO P.TERMICO</v>
          </cell>
        </row>
        <row r="4406">
          <cell r="B4406">
            <v>6931132</v>
          </cell>
          <cell r="C4406" t="str">
            <v>IDS</v>
          </cell>
          <cell r="D4406" t="str">
            <v>TAPA P.CAJA TP. LT DE 216X496X2MM C.CERRADURA, VISOR, AGUJERO P.TERMICO</v>
          </cell>
        </row>
        <row r="4407">
          <cell r="B4407">
            <v>6931132</v>
          </cell>
          <cell r="C4407" t="str">
            <v>PIC</v>
          </cell>
          <cell r="D4407" t="str">
            <v>TAPA P.CAJA TP. LT DE 216X496X2MM C.CERRADURA, VISOR, AGUJERO P.TERMICO</v>
          </cell>
        </row>
        <row r="4408">
          <cell r="B4408">
            <v>6931132</v>
          </cell>
          <cell r="C4408" t="str">
            <v>TNC</v>
          </cell>
          <cell r="D4408" t="str">
            <v>TAPA P.CAJA TP. LT DE 216X496X2MM C.CERRADURA, VISOR, AGUJERO P.TERMICO</v>
          </cell>
        </row>
        <row r="4409">
          <cell r="B4409">
            <v>6931145</v>
          </cell>
          <cell r="C4409" t="str">
            <v>CIC</v>
          </cell>
          <cell r="D4409" t="str">
            <v>TAPA DE POLIESTER REFORZADO CON FIBRA DE VIDRIO PARA CAJA CPV TIPO "LT" DE 214 X 495 X 4MM</v>
          </cell>
        </row>
        <row r="4410">
          <cell r="B4410">
            <v>6931147</v>
          </cell>
          <cell r="C4410" t="str">
            <v>CIC</v>
          </cell>
          <cell r="D4410" t="str">
            <v>TAPA DE POLIESTER REFORZADO CON FIBRA DE VIDRIO PARA CAJA CPV TIPO "LT" REDUCIDA DE 183 X 421 X 4MM</v>
          </cell>
        </row>
        <row r="4411">
          <cell r="B4411">
            <v>6931150</v>
          </cell>
          <cell r="C4411" t="str">
            <v>PIC</v>
          </cell>
          <cell r="D4411" t="str">
            <v>TAPA P.CAJA TP. LT DE 189X419X2MM C.CERRADURA, PUERTA VISOR, AGUJERO P.TERMICO</v>
          </cell>
        </row>
        <row r="4412">
          <cell r="B4412">
            <v>6931160</v>
          </cell>
          <cell r="C4412" t="str">
            <v>CCF</v>
          </cell>
          <cell r="D4412" t="str">
            <v>TAPA DE FIBRA DE VIDRIO P.CAJA TP. L DE 154 X 421 X 3MM C.CERRADURA ANTI HURTO, PUERTA VISOR</v>
          </cell>
        </row>
        <row r="4413">
          <cell r="B4413">
            <v>6931160</v>
          </cell>
          <cell r="C4413" t="str">
            <v>ESS</v>
          </cell>
          <cell r="D4413" t="str">
            <v>TAPA DE FIBRA DE VIDRIO P.CAJA TP. L DE 154 X 421 X 3MM C.CERRADURA ANTI HURTO, PUERTA VISOR</v>
          </cell>
        </row>
        <row r="4414">
          <cell r="B4414">
            <v>6931161</v>
          </cell>
          <cell r="C4414" t="str">
            <v>CCF</v>
          </cell>
          <cell r="D4414" t="str">
            <v>TAPA DE FIBRA DE VIDRIO P.CAJA TP. L DE 154 X 474 X 3MM C.CERRADURA ANTI HURTO, PUERTA VISOR</v>
          </cell>
        </row>
        <row r="4415">
          <cell r="B4415">
            <v>6931161</v>
          </cell>
          <cell r="C4415" t="str">
            <v>ESS</v>
          </cell>
          <cell r="D4415" t="str">
            <v>TAPA DE FIBRA DE VIDRIO P.CAJA TP. L DE 154 X 474 X 3MM C.CERRADURA ANTI HURTO, PUERTA VISOR</v>
          </cell>
        </row>
        <row r="4416">
          <cell r="B4416">
            <v>6931162</v>
          </cell>
          <cell r="C4416" t="str">
            <v>CCF</v>
          </cell>
          <cell r="D4416" t="str">
            <v>TAPA DE FIBRA DE VIDRIO P.CAJA TP.L DE 154 X 474 X 3MM C.CERRADURA ANTIHURTO, AGUJERO, PUERTA VISOR</v>
          </cell>
        </row>
        <row r="4417">
          <cell r="B4417">
            <v>6931162</v>
          </cell>
          <cell r="C4417" t="str">
            <v>ESS</v>
          </cell>
          <cell r="D4417" t="str">
            <v>TAPA DE FIBRA DE VIDRIO P.CAJA TP.L DE 154 X 474 X 3MM C.CERRADURA ANTIHURTO, AGUJERO, PUERTA VISOR</v>
          </cell>
        </row>
        <row r="4418">
          <cell r="B4418">
            <v>6931163</v>
          </cell>
          <cell r="C4418" t="str">
            <v>CCF</v>
          </cell>
          <cell r="D4418" t="str">
            <v>TAPA DE FIBRA DE VIDRIO P.CAJA TP. LT DE 216 X 496 X 3MM C.CERRADURA ANTI HURTO, PUERTA VISOR</v>
          </cell>
        </row>
        <row r="4419">
          <cell r="B4419">
            <v>6931163</v>
          </cell>
          <cell r="C4419" t="str">
            <v>ESS</v>
          </cell>
          <cell r="D4419" t="str">
            <v>TAPA DE FIBRA DE VIDRIO P.CAJA TP. LT DE 216 X 496 X 3MM C.CERRADURA ANTI HURTO, PUERTA VISOR</v>
          </cell>
        </row>
        <row r="4420">
          <cell r="B4420">
            <v>6931202</v>
          </cell>
          <cell r="C4420" t="str">
            <v>CDC</v>
          </cell>
          <cell r="D4420" t="str">
            <v>CAJA TOMA TP. F1 EQ. BT 75KW. 200X320X670MM</v>
          </cell>
        </row>
        <row r="4421">
          <cell r="B4421">
            <v>6931202</v>
          </cell>
          <cell r="C4421" t="str">
            <v>IAT</v>
          </cell>
          <cell r="D4421" t="str">
            <v>CAJA TOMA TP. F1 EQ. BT 75KW. 200X320X670MM</v>
          </cell>
        </row>
        <row r="4422">
          <cell r="B4422">
            <v>6931202</v>
          </cell>
          <cell r="C4422" t="str">
            <v>IDS</v>
          </cell>
          <cell r="D4422" t="str">
            <v>CAJA TOMA TP. F1 EQ. BT 75KW. 200X320X670MM</v>
          </cell>
        </row>
        <row r="4423">
          <cell r="B4423">
            <v>6931222</v>
          </cell>
          <cell r="C4423" t="str">
            <v>IAT</v>
          </cell>
          <cell r="D4423" t="str">
            <v>CAJA TOMA TP. F2  S/EQUIPAR 205X599X650MM</v>
          </cell>
        </row>
        <row r="4424">
          <cell r="B4424">
            <v>6931222</v>
          </cell>
          <cell r="C4424" t="str">
            <v>IDS</v>
          </cell>
          <cell r="D4424" t="str">
            <v>CAJA TOMA TP. F2  S/EQUIPAR 205X599X650MM</v>
          </cell>
        </row>
        <row r="4425">
          <cell r="B4425">
            <v>6931224</v>
          </cell>
          <cell r="C4425" t="str">
            <v>CDC</v>
          </cell>
          <cell r="D4425" t="str">
            <v>CAJA TOMA TP. F2 C/EQ. 205X599X650MM</v>
          </cell>
        </row>
        <row r="4426">
          <cell r="B4426">
            <v>6931224</v>
          </cell>
          <cell r="C4426" t="str">
            <v>IAT</v>
          </cell>
          <cell r="D4426" t="str">
            <v>CAJA TOMA TP. F2 C/EQ. 205X599X650MM</v>
          </cell>
        </row>
        <row r="4427">
          <cell r="B4427">
            <v>6931224</v>
          </cell>
          <cell r="C4427" t="str">
            <v>IDS</v>
          </cell>
          <cell r="D4427" t="str">
            <v>CAJA TOMA TP. F2 C/EQ. 205X599X650MM</v>
          </cell>
        </row>
        <row r="4428">
          <cell r="B4428">
            <v>6931246</v>
          </cell>
          <cell r="C4428" t="str">
            <v>IAT</v>
          </cell>
          <cell r="D4428" t="str">
            <v>CAJA TOMA TP. F3 C/EQ. 205X650X880MM</v>
          </cell>
        </row>
        <row r="4429">
          <cell r="B4429">
            <v>6931246</v>
          </cell>
          <cell r="C4429" t="str">
            <v>IDS</v>
          </cell>
          <cell r="D4429" t="str">
            <v>CAJA TOMA TP. F3 C/EQ. 205X650X880MM</v>
          </cell>
        </row>
        <row r="4430">
          <cell r="B4430">
            <v>6931246</v>
          </cell>
          <cell r="C4430" t="str">
            <v>PIC</v>
          </cell>
          <cell r="D4430" t="str">
            <v>CAJA TOMA TP. F3 C/EQ. 205X650X880MM</v>
          </cell>
        </row>
        <row r="4431">
          <cell r="B4431">
            <v>6931254</v>
          </cell>
          <cell r="C4431" t="str">
            <v>IAT</v>
          </cell>
          <cell r="D4431" t="str">
            <v>CAJA F4 C/TABLERO ACOMET.INT.(ZONA COMERC/INDUSTR)</v>
          </cell>
        </row>
        <row r="4432">
          <cell r="B4432">
            <v>6931272</v>
          </cell>
          <cell r="C4432" t="str">
            <v>IAT</v>
          </cell>
          <cell r="D4432" t="str">
            <v>CAJA P/LLAVE DIFERENCIAL CLIENTE B.T. MET. 0.9X144X200X75MM PINT.</v>
          </cell>
        </row>
        <row r="4433">
          <cell r="B4433">
            <v>6931382</v>
          </cell>
          <cell r="C4433" t="str">
            <v>IDS</v>
          </cell>
          <cell r="D4433" t="str">
            <v>CAJA METAL. P.AUTOTRANSFORMADOR  B.T. 700X950X300MM</v>
          </cell>
        </row>
        <row r="4434">
          <cell r="B4434">
            <v>6931401</v>
          </cell>
          <cell r="C4434" t="str">
            <v>CIC</v>
          </cell>
          <cell r="D4434" t="str">
            <v>TAPA DE POLIESTER REFORZADO CON FIBRA DE VIDRIO PARA CAJA TOMA TIPO F1 DE 645 X 295 X 5MM</v>
          </cell>
        </row>
        <row r="4435">
          <cell r="B4435">
            <v>6931402</v>
          </cell>
          <cell r="C4435" t="str">
            <v>CDC</v>
          </cell>
          <cell r="D4435" t="str">
            <v>TAPA PARA CAJA TOMA TP. F1 2X295X645MM</v>
          </cell>
        </row>
        <row r="4436">
          <cell r="B4436">
            <v>6931402</v>
          </cell>
          <cell r="C4436" t="str">
            <v>IAT</v>
          </cell>
          <cell r="D4436" t="str">
            <v>TAPA PARA CAJA TOMA TP. F1 2X295X645MM</v>
          </cell>
        </row>
        <row r="4437">
          <cell r="B4437">
            <v>6931402</v>
          </cell>
          <cell r="C4437" t="str">
            <v>IDS</v>
          </cell>
          <cell r="D4437" t="str">
            <v>TAPA PARA CAJA TOMA TP. F1 2X295X645MM</v>
          </cell>
        </row>
        <row r="4438">
          <cell r="B4438">
            <v>6931402</v>
          </cell>
          <cell r="C4438" t="str">
            <v>TNC</v>
          </cell>
          <cell r="D4438" t="str">
            <v>TAPA PARA CAJA TOMA TP. F1 2X295X645MM</v>
          </cell>
        </row>
        <row r="4439">
          <cell r="B4439">
            <v>6931408</v>
          </cell>
          <cell r="C4439" t="str">
            <v>IAT</v>
          </cell>
          <cell r="D4439" t="str">
            <v>TAPA INFERIOR P.CJ.TOMA TP.F1 ANTIGUA  2X295X455MM</v>
          </cell>
        </row>
        <row r="4440">
          <cell r="B4440">
            <v>6931408</v>
          </cell>
          <cell r="C4440" t="str">
            <v>TNC</v>
          </cell>
          <cell r="D4440" t="str">
            <v>TAPA INFERIOR P.CJ.TOMA TP.F1 ANTIGUA  2X295X455MM</v>
          </cell>
        </row>
        <row r="4441">
          <cell r="B4441">
            <v>6931561</v>
          </cell>
          <cell r="C4441" t="str">
            <v>CCF</v>
          </cell>
          <cell r="D4441" t="str">
            <v>SOPORTE P.CAJA PORTAMEDIDOR MONOFASICO RECUBIERTA POLIESTER Y FIBRA DE VIDRIO TUBO DE PVC 4" 1602MM</v>
          </cell>
        </row>
        <row r="4442">
          <cell r="B4442">
            <v>6931561</v>
          </cell>
          <cell r="C4442" t="str">
            <v>FBP</v>
          </cell>
          <cell r="D4442" t="str">
            <v>SOPORTE P.CAJA PORTAMEDIDOR MONOFASICO RECUBIERTA POLIESTER Y FIBRA DE VIDRIO TUBO DE PVC 4" 1602MM</v>
          </cell>
        </row>
        <row r="4443">
          <cell r="B4443">
            <v>6931561</v>
          </cell>
          <cell r="C4443" t="str">
            <v>FBR</v>
          </cell>
          <cell r="D4443" t="str">
            <v>SOPORTE P.CAJA PORTAMEDIDOR MONOFASICO RECUBIERTA POLIESTER Y FIBRA DE VIDRIO TUBO DE PVC 4" 1602MM</v>
          </cell>
        </row>
        <row r="4444">
          <cell r="B4444">
            <v>6931812</v>
          </cell>
          <cell r="C4444" t="str">
            <v>EMS</v>
          </cell>
          <cell r="D4444" t="str">
            <v>CERRADURA TRIANGULAR PARA CAJA TP. L - LT</v>
          </cell>
        </row>
        <row r="4445">
          <cell r="B4445">
            <v>6931812</v>
          </cell>
          <cell r="C4445" t="str">
            <v>FAS</v>
          </cell>
          <cell r="D4445" t="str">
            <v>CERRADURA TRIANGULAR PARA CAJA TP. L - LT</v>
          </cell>
        </row>
        <row r="4446">
          <cell r="B4446">
            <v>6931812</v>
          </cell>
          <cell r="C4446" t="str">
            <v>IBR</v>
          </cell>
          <cell r="D4446" t="str">
            <v>CERRADURA TRIANGULAR PARA CAJA TP. L - LT</v>
          </cell>
        </row>
        <row r="4447">
          <cell r="B4447">
            <v>6931812</v>
          </cell>
          <cell r="C4447" t="str">
            <v>MAQ</v>
          </cell>
          <cell r="D4447" t="str">
            <v>CERRADURA TRIANGULAR PARA CAJA TP. L - LT</v>
          </cell>
        </row>
        <row r="4448">
          <cell r="B4448">
            <v>6931812</v>
          </cell>
          <cell r="C4448" t="str">
            <v>TAL</v>
          </cell>
          <cell r="D4448" t="str">
            <v>CERRADURA TRIANGULAR PARA CAJA TP. L - LT</v>
          </cell>
        </row>
        <row r="4449">
          <cell r="B4449">
            <v>6931816</v>
          </cell>
          <cell r="C4449" t="str">
            <v>TAL</v>
          </cell>
          <cell r="D4449" t="str">
            <v>PERNO DE CABEZA TRIANGULAR DE BRONCE P.CERRADURA</v>
          </cell>
        </row>
        <row r="4450">
          <cell r="B4450">
            <v>6931827</v>
          </cell>
          <cell r="C4450" t="str">
            <v>FLK</v>
          </cell>
          <cell r="D4450" t="str">
            <v>PRECINTO DE SEGURIDAD TP.TRIPLE ANCLA P.BORNERAS DE MEDIDOR C.INSERTO DE COLOR AZUL</v>
          </cell>
        </row>
        <row r="4451">
          <cell r="B4451">
            <v>6931827</v>
          </cell>
          <cell r="C4451" t="str">
            <v>MCS</v>
          </cell>
          <cell r="D4451" t="str">
            <v>PRECINTO DE SEGURIDAD TP.TRIPLE ANCLA P.BORNERAS DE MEDIDOR C.INSERTO DE COLOR AZUL</v>
          </cell>
        </row>
        <row r="4452">
          <cell r="B4452">
            <v>6931828</v>
          </cell>
          <cell r="C4452" t="str">
            <v>FLK</v>
          </cell>
          <cell r="D4452" t="str">
            <v>PRECINTO DE SEGURIDAD TP.TRIPLE ANCLA P.BORNERAS DE MEDIDOR C.INSERTO DE COLOR ROJO</v>
          </cell>
        </row>
        <row r="4453">
          <cell r="B4453">
            <v>6931828</v>
          </cell>
          <cell r="C4453" t="str">
            <v>MCS</v>
          </cell>
          <cell r="D4453" t="str">
            <v>PRECINTO DE SEGURIDAD TP.TRIPLE ANCLA P.BORNERAS DE MEDIDOR C.INSERTO DE COLOR ROJO</v>
          </cell>
        </row>
        <row r="4454">
          <cell r="B4454">
            <v>6931841</v>
          </cell>
          <cell r="C4454" t="str">
            <v>FLK</v>
          </cell>
          <cell r="D4454" t="str">
            <v>PRECINTO DE SEGURIDAD TP.DOBLE ANCLA P.BORNERAS DE MEDIDOR C.INSERTO DE COLOR AZUL</v>
          </cell>
        </row>
        <row r="4455">
          <cell r="B4455">
            <v>6931841</v>
          </cell>
          <cell r="C4455" t="str">
            <v>MCS</v>
          </cell>
          <cell r="D4455" t="str">
            <v>PRECINTO DE SEGURIDAD TP.DOBLE ANCLA P.BORNERAS DE MEDIDOR C.INSERTO DE COLOR AZUL</v>
          </cell>
        </row>
        <row r="4456">
          <cell r="B4456">
            <v>6931842</v>
          </cell>
          <cell r="C4456" t="str">
            <v>FLK</v>
          </cell>
          <cell r="D4456" t="str">
            <v>PRECINTO DE SEGURIDAD TP.DOBLE ANCLA P.BORNERAS DE MEDIDOR C.INSERTO DE COLOR ROJO</v>
          </cell>
        </row>
        <row r="4457">
          <cell r="B4457">
            <v>6931842</v>
          </cell>
          <cell r="C4457" t="str">
            <v>MCS</v>
          </cell>
          <cell r="D4457" t="str">
            <v>PRECINTO DE SEGURIDAD TP.DOBLE ANCLA P.BORNERAS DE MEDIDOR C.INSERTO DE COLOR ROJO</v>
          </cell>
        </row>
        <row r="4458">
          <cell r="B4458">
            <v>6933144</v>
          </cell>
          <cell r="C4458" t="str">
            <v>AMP</v>
          </cell>
          <cell r="D4458" t="str">
            <v>CAJA POLICARB.P/ACOMET.AEREAS B.T.220V .SMALL (AMP-TYCO).</v>
          </cell>
        </row>
        <row r="4459">
          <cell r="B4459">
            <v>6933144</v>
          </cell>
          <cell r="C4459" t="str">
            <v>P3M</v>
          </cell>
          <cell r="D4459" t="str">
            <v>CAJA POLICARB.P/ACOMET.AEREAS B.T.220V .SMALL (AMP-TYCO).</v>
          </cell>
        </row>
        <row r="4460">
          <cell r="B4460">
            <v>6933194</v>
          </cell>
          <cell r="C4460" t="str">
            <v>AMP</v>
          </cell>
          <cell r="D4460" t="str">
            <v>CAJA NO METALICA DE DERIVACION Y ACOMETIDA EN REDES AEREAS DE BAJA TENSION</v>
          </cell>
        </row>
        <row r="4461">
          <cell r="B4461">
            <v>6933194</v>
          </cell>
          <cell r="C4461" t="str">
            <v>TNC</v>
          </cell>
          <cell r="D4461" t="str">
            <v>CAJA NO METALICA DE DERIVACION Y ACOMETIDA EN REDES AEREAS DE BAJA TENSION</v>
          </cell>
        </row>
        <row r="4462">
          <cell r="B4462">
            <v>6936006</v>
          </cell>
          <cell r="C4462" t="str">
            <v>IAT</v>
          </cell>
          <cell r="D4462" t="str">
            <v>CAJA P.TABLERO DE DISTRIBUCION SECUNDARIA Y A.P. P.SAM Y SCB, TAMANO 2 S.EQUIPAMIENTO</v>
          </cell>
        </row>
        <row r="4463">
          <cell r="B4463">
            <v>6936011</v>
          </cell>
          <cell r="C4463" t="str">
            <v>FEL</v>
          </cell>
          <cell r="D4463" t="str">
            <v>ESTRUCTURA METALICA P.DERIV.TRIF.10KV TP.PEDESTAL</v>
          </cell>
        </row>
        <row r="4464">
          <cell r="B4464">
            <v>6936016</v>
          </cell>
          <cell r="C4464" t="str">
            <v>CDC</v>
          </cell>
          <cell r="D4464" t="str">
            <v>CAJA P.TABLERO DE DISTRIBUCION SECUNDARIA Y A.P. P.SAM Y SAS, TAMANO 3 S.EQUIPAMIENTO</v>
          </cell>
        </row>
        <row r="4465">
          <cell r="B4465">
            <v>6936016</v>
          </cell>
          <cell r="C4465" t="str">
            <v>IDS</v>
          </cell>
          <cell r="D4465" t="str">
            <v>CAJA P.TABLERO DE DISTRIBUCION SECUNDARIA Y A.P. P.SAM Y SAS, TAMANO 3 S.EQUIPAMIENTO</v>
          </cell>
        </row>
        <row r="4466">
          <cell r="B4466">
            <v>6936016</v>
          </cell>
          <cell r="C4466" t="str">
            <v>SML</v>
          </cell>
          <cell r="D4466" t="str">
            <v>CAJA P.TABLERO DE DISTRIBUCION SECUNDARIA Y A.P. P.SAM Y SAS, TAMANO 3 S.EQUIPAMIENTO</v>
          </cell>
        </row>
        <row r="4467">
          <cell r="B4467">
            <v>6936018</v>
          </cell>
          <cell r="C4467" t="str">
            <v>CDC</v>
          </cell>
          <cell r="D4467" t="str">
            <v>CAJA P.TABLERO DE DISTRIBUCION SECUNDARIA Y A.P. P.SAB Y SCB, TAMANO 4 S.EQUIPAMIENTO</v>
          </cell>
        </row>
        <row r="4468">
          <cell r="B4468">
            <v>6936018</v>
          </cell>
          <cell r="C4468" t="str">
            <v>IAD</v>
          </cell>
          <cell r="D4468" t="str">
            <v>CAJA P.TABLERO DE DISTRIBUCION SECUNDARIA Y A.P. P.SAB Y SCB, TAMANO 4 S.EQUIPAMIENTO</v>
          </cell>
        </row>
        <row r="4469">
          <cell r="B4469">
            <v>6936018</v>
          </cell>
          <cell r="C4469" t="str">
            <v>IAT</v>
          </cell>
          <cell r="D4469" t="str">
            <v>CAJA P.TABLERO DE DISTRIBUCION SECUNDARIA Y A.P. P.SAB Y SCB, TAMANO 4 S.EQUIPAMIENTO</v>
          </cell>
        </row>
        <row r="4470">
          <cell r="B4470">
            <v>6936018</v>
          </cell>
          <cell r="C4470" t="str">
            <v>IDS</v>
          </cell>
          <cell r="D4470" t="str">
            <v>CAJA P.TABLERO DE DISTRIBUCION SECUNDARIA Y A.P. P.SAB Y SCB, TAMANO 4 S.EQUIPAMIENTO</v>
          </cell>
        </row>
        <row r="4471">
          <cell r="B4471">
            <v>6936018</v>
          </cell>
          <cell r="C4471" t="str">
            <v>SML</v>
          </cell>
          <cell r="D4471" t="str">
            <v>CAJA P.TABLERO DE DISTRIBUCION SECUNDARIA Y A.P. P.SAB Y SCB, TAMANO 4 S.EQUIPAMIENTO</v>
          </cell>
        </row>
        <row r="4472">
          <cell r="B4472">
            <v>6936020</v>
          </cell>
          <cell r="C4472" t="str">
            <v>IAT</v>
          </cell>
          <cell r="D4472" t="str">
            <v>TABLERO DE DISTRIB.SEC.Y A.P. SISTEMA ANTIHURTO</v>
          </cell>
        </row>
        <row r="4473">
          <cell r="B4473">
            <v>6936027</v>
          </cell>
          <cell r="C4473" t="str">
            <v>CCF</v>
          </cell>
          <cell r="D4473" t="str">
            <v>CAJA DE MADERA AUTOSOPORTADA SOBRE PEDESTAL Y BASE 1602MM C.POLIESTER, FIBRA VIDRIO, GELCOAT Y GEL</v>
          </cell>
        </row>
        <row r="4474">
          <cell r="B4474">
            <v>6936027</v>
          </cell>
          <cell r="C4474" t="str">
            <v>FBR</v>
          </cell>
          <cell r="D4474" t="str">
            <v>CAJA DE MADERA AUTOSOPORTADA SOBRE PEDESTAL Y BASE 1602MM C.POLIESTER, FIBRA VIDRIO, GELCOAT Y GEL</v>
          </cell>
        </row>
        <row r="4475">
          <cell r="B4475">
            <v>6936027</v>
          </cell>
          <cell r="C4475" t="str">
            <v>FPA</v>
          </cell>
          <cell r="D4475" t="str">
            <v>CAJA DE MADERA AUTOSOPORTADA SOBRE PEDESTAL Y BASE 1602MM C.POLIESTER, FIBRA VIDRIO, GELCOAT Y GEL</v>
          </cell>
        </row>
        <row r="4476">
          <cell r="B4476">
            <v>6936508</v>
          </cell>
          <cell r="C4476" t="str">
            <v>IAT</v>
          </cell>
          <cell r="D4476" t="str">
            <v>CAJA F2 MODIF.C/TABL.DISTR.SEC,AP.MAY/IGUAL 100KVA</v>
          </cell>
        </row>
        <row r="4477">
          <cell r="B4477">
            <v>6936508</v>
          </cell>
          <cell r="C4477" t="str">
            <v>MNL</v>
          </cell>
          <cell r="D4477" t="str">
            <v>CAJA F2 MODIF.C/TABL.DISTR.SEC,AP.MAY/IGUAL 100KVA</v>
          </cell>
        </row>
        <row r="4478">
          <cell r="B4478">
            <v>6936510</v>
          </cell>
          <cell r="C4478" t="str">
            <v>IAT</v>
          </cell>
          <cell r="D4478" t="str">
            <v>CAJA P. ACOMETIDA DOMICILIARIA MONOF.C/ACCESORIOS</v>
          </cell>
        </row>
        <row r="4479">
          <cell r="B4479">
            <v>6936522</v>
          </cell>
          <cell r="C4479" t="str">
            <v>RAY</v>
          </cell>
          <cell r="D4479" t="str">
            <v>CAJA NO METAL.S/GEL DERIV/ACOM.AEREAS 3 BARRAS HASTA 6 SUM.MONOF.</v>
          </cell>
        </row>
        <row r="4480">
          <cell r="B4480">
            <v>6936525</v>
          </cell>
          <cell r="C4480" t="str">
            <v>RAY</v>
          </cell>
          <cell r="D4480" t="str">
            <v>CAJA NO METAL.S/GEL DERIV/ACOM.AEREAS 3 BARRAS HASTA 9 SUM.MONOF.</v>
          </cell>
        </row>
        <row r="4481">
          <cell r="B4481">
            <v>6936614</v>
          </cell>
          <cell r="C4481" t="str">
            <v>IAT</v>
          </cell>
          <cell r="D4481" t="str">
            <v>TABLERO P. SECCIONADOR TRIPOLAR  AP.  100A   S/EQ.</v>
          </cell>
        </row>
        <row r="4482">
          <cell r="B4482">
            <v>6941002</v>
          </cell>
          <cell r="C4482" t="str">
            <v>ELD</v>
          </cell>
          <cell r="D4482" t="str">
            <v>ABRAZADERA P.PAST.SIMP.1  AC.48MMD.POST.AC. 62MMD.</v>
          </cell>
        </row>
        <row r="4483">
          <cell r="B4483">
            <v>6941002</v>
          </cell>
          <cell r="C4483" t="str">
            <v>MEG</v>
          </cell>
          <cell r="D4483" t="str">
            <v>ABRAZADERA P.PAST.SIMP.1  AC.48MMD.POST.AC. 62MMD.</v>
          </cell>
        </row>
        <row r="4484">
          <cell r="B4484">
            <v>6941004</v>
          </cell>
          <cell r="C4484" t="str">
            <v>ELD</v>
          </cell>
          <cell r="D4484" t="str">
            <v>ABRAZADERA P.PAST.SIMP.1A AC.60MMD.POST.AC. 62MMD.</v>
          </cell>
        </row>
        <row r="4485">
          <cell r="B4485">
            <v>6941006</v>
          </cell>
          <cell r="C4485" t="str">
            <v>ELD</v>
          </cell>
          <cell r="D4485" t="str">
            <v>ABRAZADERA P.PAST.SIMP.2  AC.48MMD.POST.AC. 80MMD.</v>
          </cell>
        </row>
        <row r="4486">
          <cell r="B4486">
            <v>6941010</v>
          </cell>
          <cell r="C4486" t="str">
            <v>ELD</v>
          </cell>
          <cell r="D4486" t="str">
            <v>ABRAZADERA P.PAST.SIMP.3  AC.48MMD.POST.AC.132MMD.</v>
          </cell>
        </row>
        <row r="4487">
          <cell r="B4487">
            <v>6941010</v>
          </cell>
          <cell r="C4487" t="str">
            <v>MEG</v>
          </cell>
          <cell r="D4487" t="str">
            <v>ABRAZADERA P.PAST.SIMP.3  AC.48MMD.POST.AC.132MMD.</v>
          </cell>
        </row>
        <row r="4488">
          <cell r="B4488">
            <v>6941010</v>
          </cell>
          <cell r="C4488" t="str">
            <v>PIC</v>
          </cell>
          <cell r="D4488" t="str">
            <v>ABRAZADERA P.PAST.SIMP.3  AC.48MMD.POST.AC.132MMD.</v>
          </cell>
        </row>
        <row r="4489">
          <cell r="B4489">
            <v>6941012</v>
          </cell>
          <cell r="C4489" t="str">
            <v>ELD</v>
          </cell>
          <cell r="D4489" t="str">
            <v>ABRAZADERA P.PAST.SIMP.3A AC.60MMD.POST.AC.132MMD.</v>
          </cell>
        </row>
        <row r="4490">
          <cell r="B4490">
            <v>6941012</v>
          </cell>
          <cell r="C4490" t="str">
            <v>MEG</v>
          </cell>
          <cell r="D4490" t="str">
            <v>ABRAZADERA P.PAST.SIMP.3A AC.60MMD.POST.AC.132MMD.</v>
          </cell>
        </row>
        <row r="4491">
          <cell r="B4491">
            <v>6941012</v>
          </cell>
          <cell r="C4491" t="str">
            <v>PIC</v>
          </cell>
          <cell r="D4491" t="str">
            <v>ABRAZADERA P.PAST.SIMP.3A AC.60MMD.POST.AC.132MMD.</v>
          </cell>
        </row>
        <row r="4492">
          <cell r="B4492">
            <v>6941014</v>
          </cell>
          <cell r="C4492" t="str">
            <v>ELD</v>
          </cell>
          <cell r="D4492" t="str">
            <v>ABRAZADERA P.PAST.SIMP.4  AC.48MMD.POST.AC.152MMD.</v>
          </cell>
        </row>
        <row r="4493">
          <cell r="B4493">
            <v>6941014</v>
          </cell>
          <cell r="C4493" t="str">
            <v>MEG</v>
          </cell>
          <cell r="D4493" t="str">
            <v>ABRAZADERA P.PAST.SIMP.4  AC.48MMD.POST.AC.152MMD.</v>
          </cell>
        </row>
        <row r="4494">
          <cell r="B4494">
            <v>6941014</v>
          </cell>
          <cell r="C4494" t="str">
            <v>PIC</v>
          </cell>
          <cell r="D4494" t="str">
            <v>ABRAZADERA P.PAST.SIMP.4  AC.48MMD.POST.AC.152MMD.</v>
          </cell>
        </row>
        <row r="4495">
          <cell r="B4495">
            <v>6941018</v>
          </cell>
          <cell r="C4495" t="str">
            <v>APW</v>
          </cell>
          <cell r="D4495" t="str">
            <v>ABRAZADERA P.PAST.SIMP.5  AC.48MMD.POST.AC.172MMD.</v>
          </cell>
        </row>
        <row r="4496">
          <cell r="B4496">
            <v>6941018</v>
          </cell>
          <cell r="C4496" t="str">
            <v>ELD</v>
          </cell>
          <cell r="D4496" t="str">
            <v>ABRAZADERA P.PAST.SIMP.5  AC.48MMD.POST.AC.172MMD.</v>
          </cell>
        </row>
        <row r="4497">
          <cell r="B4497">
            <v>6941018</v>
          </cell>
          <cell r="C4497" t="str">
            <v>MAD</v>
          </cell>
          <cell r="D4497" t="str">
            <v>ABRAZADERA P.PAST.SIMP.5  AC.48MMD.POST.AC.172MMD.</v>
          </cell>
        </row>
        <row r="4498">
          <cell r="B4498">
            <v>6941018</v>
          </cell>
          <cell r="C4498" t="str">
            <v>MEG</v>
          </cell>
          <cell r="D4498" t="str">
            <v>ABRAZADERA P.PAST.SIMP.5  AC.48MMD.POST.AC.172MMD.</v>
          </cell>
        </row>
        <row r="4499">
          <cell r="B4499">
            <v>6941018</v>
          </cell>
          <cell r="C4499" t="str">
            <v>MIM</v>
          </cell>
          <cell r="D4499" t="str">
            <v>ABRAZADERA P.PAST.SIMP.5  AC.48MMD.POST.AC.172MMD.</v>
          </cell>
        </row>
        <row r="4500">
          <cell r="B4500">
            <v>6941018</v>
          </cell>
          <cell r="C4500" t="str">
            <v>PIC</v>
          </cell>
          <cell r="D4500" t="str">
            <v>ABRAZADERA P.PAST.SIMP.5  AC.48MMD.POST.AC.172MMD.</v>
          </cell>
        </row>
        <row r="4501">
          <cell r="B4501">
            <v>6941020</v>
          </cell>
          <cell r="C4501" t="str">
            <v>ELD</v>
          </cell>
          <cell r="D4501" t="str">
            <v>ABRAZADERA P.PAST.SIMP.5A AC.60MMD.POST.AC.172MMD.</v>
          </cell>
        </row>
        <row r="4502">
          <cell r="B4502">
            <v>6941020</v>
          </cell>
          <cell r="C4502" t="str">
            <v>MEG</v>
          </cell>
          <cell r="D4502" t="str">
            <v>ABRAZADERA P.PAST.SIMP.5A AC.60MMD.POST.AC.172MMD.</v>
          </cell>
        </row>
        <row r="4503">
          <cell r="B4503">
            <v>6941020</v>
          </cell>
          <cell r="C4503" t="str">
            <v>PIC</v>
          </cell>
          <cell r="D4503" t="str">
            <v>ABRAZADERA P.PAST.SIMP.5A AC.60MMD.POST.AC.172MMD.</v>
          </cell>
        </row>
        <row r="4504">
          <cell r="B4504">
            <v>6941026</v>
          </cell>
          <cell r="C4504" t="str">
            <v>MEG</v>
          </cell>
          <cell r="D4504" t="str">
            <v>ABRAZADERA P.PAST.SIMP.6 AC.48MMD.POST.AC.192MMD.</v>
          </cell>
        </row>
        <row r="4505">
          <cell r="B4505">
            <v>6941026</v>
          </cell>
          <cell r="C4505" t="str">
            <v>PIC</v>
          </cell>
          <cell r="D4505" t="str">
            <v>ABRAZADERA P.PAST.SIMP.6 AC.48MMD.POST.AC.192MMD.</v>
          </cell>
        </row>
        <row r="4506">
          <cell r="B4506">
            <v>6941028</v>
          </cell>
          <cell r="C4506" t="str">
            <v>MEG</v>
          </cell>
          <cell r="D4506" t="str">
            <v>ABRAZADERA P.PAST.SIMP.6A AC.60MMD.POST.AC.192MMD.</v>
          </cell>
        </row>
        <row r="4507">
          <cell r="B4507">
            <v>6941028</v>
          </cell>
          <cell r="C4507" t="str">
            <v>PIC</v>
          </cell>
          <cell r="D4507" t="str">
            <v>ABRAZADERA P.PAST.SIMP.6A AC.60MMD.POST.AC.192MMD.</v>
          </cell>
        </row>
        <row r="4508">
          <cell r="B4508">
            <v>6941030</v>
          </cell>
          <cell r="C4508" t="str">
            <v>MEG</v>
          </cell>
          <cell r="D4508" t="str">
            <v>ABRAZADERA P.PAST.SIMP.7 AC.48MMD.POST.AC.222MMD.</v>
          </cell>
        </row>
        <row r="4509">
          <cell r="B4509">
            <v>6941030</v>
          </cell>
          <cell r="C4509" t="str">
            <v>PIC</v>
          </cell>
          <cell r="D4509" t="str">
            <v>ABRAZADERA P.PAST.SIMP.7 AC.48MMD.POST.AC.222MMD.</v>
          </cell>
        </row>
        <row r="4510">
          <cell r="B4510">
            <v>6941032</v>
          </cell>
          <cell r="C4510" t="str">
            <v>MEG</v>
          </cell>
          <cell r="D4510" t="str">
            <v>ABRAZADERA P.PAST.SIMP.7A AC.60MMD.POST.AC.222MMD.</v>
          </cell>
        </row>
        <row r="4511">
          <cell r="B4511">
            <v>6941032</v>
          </cell>
          <cell r="C4511" t="str">
            <v>PIC</v>
          </cell>
          <cell r="D4511" t="str">
            <v>ABRAZADERA P.PAST.SIMP.7A AC.60MMD.POST.AC.222MMD.</v>
          </cell>
        </row>
        <row r="4512">
          <cell r="B4512">
            <v>6941036</v>
          </cell>
          <cell r="C4512" t="str">
            <v>MEG</v>
          </cell>
          <cell r="D4512" t="str">
            <v>ABRAZADERA AC.GALV. SIMP.TP.8A DE 3/16" X 3" P.PAST.60MM / 324MM DIAMETRO</v>
          </cell>
        </row>
        <row r="4513">
          <cell r="B4513">
            <v>6941036</v>
          </cell>
          <cell r="C4513" t="str">
            <v>PIC</v>
          </cell>
          <cell r="D4513" t="str">
            <v>ABRAZADERA AC.GALV. SIMP.TP.8A DE 3/16" X 3" P.PAST.60MM / 324MM DIAMETRO</v>
          </cell>
        </row>
        <row r="4514">
          <cell r="B4514">
            <v>6941110</v>
          </cell>
          <cell r="C4514" t="str">
            <v>ELD</v>
          </cell>
          <cell r="D4514" t="str">
            <v>ABRAZADERA P.PAST.SIMP. 90MMD. POST. CA.AP.102MMD.</v>
          </cell>
        </row>
        <row r="4515">
          <cell r="B4515">
            <v>6941110</v>
          </cell>
          <cell r="C4515" t="str">
            <v>PIC</v>
          </cell>
          <cell r="D4515" t="str">
            <v>ABRAZADERA P.PAST.SIMP. 90MMD. POST. CA.AP.102MMD.</v>
          </cell>
        </row>
        <row r="4516">
          <cell r="B4516">
            <v>6941112</v>
          </cell>
          <cell r="C4516" t="str">
            <v>ELD</v>
          </cell>
          <cell r="D4516" t="str">
            <v>ABRAZADERA P.PAST.SIMP.AC.50MMD.POST.AC.AP.116MMD.</v>
          </cell>
        </row>
        <row r="4517">
          <cell r="B4517">
            <v>6941112</v>
          </cell>
          <cell r="C4517" t="str">
            <v>TAS</v>
          </cell>
          <cell r="D4517" t="str">
            <v>ABRAZADERA P.PAST.SIMP.AC.50MMD.POST.AC.AP.116MMD.</v>
          </cell>
        </row>
        <row r="4518">
          <cell r="B4518">
            <v>6941124</v>
          </cell>
          <cell r="C4518" t="str">
            <v>ELD</v>
          </cell>
          <cell r="D4518" t="str">
            <v>ABRAZADERA P. 2 PAST. AC.50MMD.POST.AC.     65MMD</v>
          </cell>
        </row>
        <row r="4519">
          <cell r="B4519">
            <v>6941124</v>
          </cell>
          <cell r="C4519" t="str">
            <v>TAS</v>
          </cell>
          <cell r="D4519" t="str">
            <v>ABRAZADERA P. 2 PAST. AC.50MMD.POST.AC.     65MMD</v>
          </cell>
        </row>
        <row r="4520">
          <cell r="B4520">
            <v>6941128</v>
          </cell>
          <cell r="C4520" t="str">
            <v>ELD</v>
          </cell>
          <cell r="D4520" t="str">
            <v>ABRAZADERA P. 2 PAST. AC.50MMD.POST.AC.     90MMD</v>
          </cell>
        </row>
        <row r="4521">
          <cell r="B4521">
            <v>6941128</v>
          </cell>
          <cell r="C4521" t="str">
            <v>TAS</v>
          </cell>
          <cell r="D4521" t="str">
            <v>ABRAZADERA P. 2 PAST. AC.50MMD.POST.AC.     90MMD</v>
          </cell>
        </row>
        <row r="4522">
          <cell r="B4522">
            <v>6941152</v>
          </cell>
          <cell r="C4522" t="str">
            <v>ELD</v>
          </cell>
          <cell r="D4522" t="str">
            <v>ABRAZADERA P. 3 PAST. AC.45MMD.POST.AC.     85MMD</v>
          </cell>
        </row>
        <row r="4523">
          <cell r="B4523">
            <v>6941152</v>
          </cell>
          <cell r="C4523" t="str">
            <v>TAS</v>
          </cell>
          <cell r="D4523" t="str">
            <v>ABRAZADERA P. 3 PAST. AC.45MMD.POST.AC.     85MMD</v>
          </cell>
        </row>
        <row r="4524">
          <cell r="B4524">
            <v>6941170</v>
          </cell>
          <cell r="C4524" t="str">
            <v>ELD</v>
          </cell>
          <cell r="D4524" t="str">
            <v>ABRAZADERA DE ACERO GALV. 160 - 190MM DIAM. C.4 PERNOS DE AJUSTE P.SOPORTE DEL BRAZO DE APOYO</v>
          </cell>
        </row>
        <row r="4525">
          <cell r="B4525">
            <v>6941170</v>
          </cell>
          <cell r="C4525" t="str">
            <v>MEG</v>
          </cell>
          <cell r="D4525" t="str">
            <v>ABRAZADERA DE ACERO GALV. 160 - 190MM DIAM. C.4 PERNOS DE AJUSTE P.SOPORTE DEL BRAZO DE APOYO</v>
          </cell>
        </row>
        <row r="4526">
          <cell r="B4526">
            <v>6941170</v>
          </cell>
          <cell r="C4526" t="str">
            <v>PIC</v>
          </cell>
          <cell r="D4526" t="str">
            <v>ABRAZADERA DE ACERO GALV. 160 - 190MM DIAM. C.4 PERNOS DE AJUSTE P.SOPORTE DEL BRAZO DE APOYO</v>
          </cell>
        </row>
        <row r="4527">
          <cell r="B4527">
            <v>6941170</v>
          </cell>
          <cell r="C4527" t="str">
            <v>TAS</v>
          </cell>
          <cell r="D4527" t="str">
            <v>ABRAZADERA DE ACERO GALV. 160 - 190MM DIAM. C.4 PERNOS DE AJUSTE P.SOPORTE DEL BRAZO DE APOYO</v>
          </cell>
        </row>
        <row r="4528">
          <cell r="B4528">
            <v>6941172</v>
          </cell>
          <cell r="C4528" t="str">
            <v>ELD</v>
          </cell>
          <cell r="D4528" t="str">
            <v>ABRAZADERA DE ACERO GALV. 230 - 267MM DIAM. C.4 PERNOS DE AJUSTE P.SOPORTE DEL BRAZO DE APOYO</v>
          </cell>
        </row>
        <row r="4529">
          <cell r="B4529">
            <v>6941172</v>
          </cell>
          <cell r="C4529" t="str">
            <v>MEG</v>
          </cell>
          <cell r="D4529" t="str">
            <v>ABRAZADERA DE ACERO GALV. 230 - 267MM DIAM. C.4 PERNOS DE AJUSTE P.SOPORTE DEL BRAZO DE APOYO</v>
          </cell>
        </row>
        <row r="4530">
          <cell r="B4530">
            <v>6941172</v>
          </cell>
          <cell r="C4530" t="str">
            <v>PIC</v>
          </cell>
          <cell r="D4530" t="str">
            <v>ABRAZADERA DE ACERO GALV. 230 - 267MM DIAM. C.4 PERNOS DE AJUSTE P.SOPORTE DEL BRAZO DE APOYO</v>
          </cell>
        </row>
        <row r="4531">
          <cell r="B4531">
            <v>6941172</v>
          </cell>
          <cell r="C4531" t="str">
            <v>TAS</v>
          </cell>
          <cell r="D4531" t="str">
            <v>ABRAZADERA DE ACERO GALV. 230 - 267MM DIAM. C.4 PERNOS DE AJUSTE P.SOPORTE DEL BRAZO DE APOYO</v>
          </cell>
        </row>
        <row r="4532">
          <cell r="B4532">
            <v>6941174</v>
          </cell>
          <cell r="C4532" t="str">
            <v>ELD</v>
          </cell>
          <cell r="D4532" t="str">
            <v>ABRAZADERA DE ACERO GALV. 190 - 225MM DIAM. C.4 PERNOS DE AJUSTE P.SOPORTE DEL BRAZO DE APOYO</v>
          </cell>
        </row>
        <row r="4533">
          <cell r="B4533">
            <v>6941174</v>
          </cell>
          <cell r="C4533" t="str">
            <v>MEG</v>
          </cell>
          <cell r="D4533" t="str">
            <v>ABRAZADERA DE ACERO GALV. 190 - 225MM DIAM. C.4 PERNOS DE AJUSTE P.SOPORTE DEL BRAZO DE APOYO</v>
          </cell>
        </row>
        <row r="4534">
          <cell r="B4534">
            <v>6941174</v>
          </cell>
          <cell r="C4534" t="str">
            <v>PIC</v>
          </cell>
          <cell r="D4534" t="str">
            <v>ABRAZADERA DE ACERO GALV. 190 - 225MM DIAM. C.4 PERNOS DE AJUSTE P.SOPORTE DEL BRAZO DE APOYO</v>
          </cell>
        </row>
        <row r="4535">
          <cell r="B4535">
            <v>6941174</v>
          </cell>
          <cell r="C4535" t="str">
            <v>TAS</v>
          </cell>
          <cell r="D4535" t="str">
            <v>ABRAZADERA DE ACERO GALV. 190 - 225MM DIAM. C.4 PERNOS DE AJUSTE P.SOPORTE DEL BRAZO DE APOYO</v>
          </cell>
        </row>
        <row r="4536">
          <cell r="B4536">
            <v>6941185</v>
          </cell>
          <cell r="C4536" t="str">
            <v>ELD</v>
          </cell>
          <cell r="D4536" t="str">
            <v>ABRAZADERA POSTE C.A.120MMD.C/GANCHO ACOMET.DOMIC.</v>
          </cell>
        </row>
        <row r="4537">
          <cell r="B4537">
            <v>6941185</v>
          </cell>
          <cell r="C4537" t="str">
            <v>MEG</v>
          </cell>
          <cell r="D4537" t="str">
            <v>ABRAZADERA POSTE C.A.120MMD.C/GANCHO ACOMET.DOMIC.</v>
          </cell>
        </row>
        <row r="4538">
          <cell r="B4538">
            <v>6941185</v>
          </cell>
          <cell r="C4538" t="str">
            <v>PIC</v>
          </cell>
          <cell r="D4538" t="str">
            <v>ABRAZADERA POSTE C.A.120MMD.C/GANCHO ACOMET.DOMIC.</v>
          </cell>
        </row>
        <row r="4539">
          <cell r="B4539">
            <v>6941185</v>
          </cell>
          <cell r="C4539" t="str">
            <v>TAS</v>
          </cell>
          <cell r="D4539" t="str">
            <v>ABRAZADERA POSTE C.A.120MMD.C/GANCHO ACOMET.DOMIC.</v>
          </cell>
        </row>
        <row r="4540">
          <cell r="B4540">
            <v>6941188</v>
          </cell>
          <cell r="C4540" t="str">
            <v>ELD</v>
          </cell>
          <cell r="D4540" t="str">
            <v>ABRAZADERA POSTE C.A.150MMD.C/GANCHO ACOMET.DOMIC.</v>
          </cell>
        </row>
        <row r="4541">
          <cell r="B4541">
            <v>6941188</v>
          </cell>
          <cell r="C4541" t="str">
            <v>MEG</v>
          </cell>
          <cell r="D4541" t="str">
            <v>ABRAZADERA POSTE C.A.150MMD.C/GANCHO ACOMET.DOMIC.</v>
          </cell>
        </row>
        <row r="4542">
          <cell r="B4542">
            <v>6941188</v>
          </cell>
          <cell r="C4542" t="str">
            <v>PIC</v>
          </cell>
          <cell r="D4542" t="str">
            <v>ABRAZADERA POSTE C.A.150MMD.C/GANCHO ACOMET.DOMIC.</v>
          </cell>
        </row>
        <row r="4543">
          <cell r="B4543">
            <v>6941188</v>
          </cell>
          <cell r="C4543" t="str">
            <v>SMP</v>
          </cell>
          <cell r="D4543" t="str">
            <v>ABRAZADERA POSTE C.A.150MMD.C/GANCHO ACOMET.DOMIC.</v>
          </cell>
        </row>
        <row r="4544">
          <cell r="B4544">
            <v>6941188</v>
          </cell>
          <cell r="C4544" t="str">
            <v>TAS</v>
          </cell>
          <cell r="D4544" t="str">
            <v>ABRAZADERA POSTE C.A.150MMD.C/GANCHO ACOMET.DOMIC.</v>
          </cell>
        </row>
        <row r="4545">
          <cell r="B4545">
            <v>6941190</v>
          </cell>
          <cell r="C4545" t="str">
            <v>ELD</v>
          </cell>
          <cell r="D4545" t="str">
            <v>ABRAZADERA DE ACERO GALV. 160 - 190MM DIAM. P.SOPORTE DEL BRAZO DE APOYO</v>
          </cell>
        </row>
        <row r="4546">
          <cell r="B4546">
            <v>6941190</v>
          </cell>
          <cell r="C4546" t="str">
            <v>MEG</v>
          </cell>
          <cell r="D4546" t="str">
            <v>ABRAZADERA DE ACERO GALV. 160 - 190MM DIAM. P.SOPORTE DEL BRAZO DE APOYO</v>
          </cell>
        </row>
        <row r="4547">
          <cell r="B4547">
            <v>6941190</v>
          </cell>
          <cell r="C4547" t="str">
            <v>PIC</v>
          </cell>
          <cell r="D4547" t="str">
            <v>ABRAZADERA DE ACERO GALV. 160 - 190MM DIAM. P.SOPORTE DEL BRAZO DE APOYO</v>
          </cell>
        </row>
        <row r="4548">
          <cell r="B4548">
            <v>6941190</v>
          </cell>
          <cell r="C4548" t="str">
            <v>TAS</v>
          </cell>
          <cell r="D4548" t="str">
            <v>ABRAZADERA DE ACERO GALV. 160 - 190MM DIAM. P.SOPORTE DEL BRAZO DE APOYO</v>
          </cell>
        </row>
        <row r="4549">
          <cell r="B4549">
            <v>6941192</v>
          </cell>
          <cell r="C4549" t="str">
            <v>ELD</v>
          </cell>
          <cell r="D4549" t="str">
            <v>ABRAZADERA POSTE C.A.210MMD.C/GANCHO ACOMET.DOMIC.</v>
          </cell>
        </row>
        <row r="4550">
          <cell r="B4550">
            <v>6941192</v>
          </cell>
          <cell r="C4550" t="str">
            <v>TAS</v>
          </cell>
          <cell r="D4550" t="str">
            <v>ABRAZADERA POSTE C.A.210MMD.C/GANCHO ACOMET.DOMIC.</v>
          </cell>
        </row>
        <row r="4551">
          <cell r="B4551">
            <v>6941196</v>
          </cell>
          <cell r="C4551" t="str">
            <v>ELD</v>
          </cell>
          <cell r="D4551" t="str">
            <v>ABRAZADERA DE ACERO GALV. 230 - 267MM DIAM. P.SOPORTE DEL BRAZO DE APOYO</v>
          </cell>
        </row>
        <row r="4552">
          <cell r="B4552">
            <v>6941196</v>
          </cell>
          <cell r="C4552" t="str">
            <v>MEG</v>
          </cell>
          <cell r="D4552" t="str">
            <v>ABRAZADERA DE ACERO GALV. 230 - 267MM DIAM. P.SOPORTE DEL BRAZO DE APOYO</v>
          </cell>
        </row>
        <row r="4553">
          <cell r="B4553">
            <v>6941196</v>
          </cell>
          <cell r="C4553" t="str">
            <v>PIC</v>
          </cell>
          <cell r="D4553" t="str">
            <v>ABRAZADERA DE ACERO GALV. 230 - 267MM DIAM. P.SOPORTE DEL BRAZO DE APOYO</v>
          </cell>
        </row>
        <row r="4554">
          <cell r="B4554">
            <v>6941196</v>
          </cell>
          <cell r="C4554" t="str">
            <v>TAS</v>
          </cell>
          <cell r="D4554" t="str">
            <v>ABRAZADERA DE ACERO GALV. 230 - 267MM DIAM. P.SOPORTE DEL BRAZO DE APOYO</v>
          </cell>
        </row>
        <row r="4555">
          <cell r="B4555">
            <v>6941270</v>
          </cell>
          <cell r="C4555" t="str">
            <v>APW</v>
          </cell>
          <cell r="D4555" t="str">
            <v>ABRAZADERA ACERO GALV.SIMPLE 3/16" X 1 1/2" P.PASTORAL 48MM / POSTE 62MM DIAM.</v>
          </cell>
        </row>
        <row r="4556">
          <cell r="B4556">
            <v>6941270</v>
          </cell>
          <cell r="C4556" t="str">
            <v>ELD</v>
          </cell>
          <cell r="D4556" t="str">
            <v>ABRAZADERA ACERO GALV.SIMPLE 3/16" X 1 1/2" P.PASTORAL 48MM / POSTE 62MM DIAM.</v>
          </cell>
        </row>
        <row r="4557">
          <cell r="B4557">
            <v>6941270</v>
          </cell>
          <cell r="C4557" t="str">
            <v>MEG</v>
          </cell>
          <cell r="D4557" t="str">
            <v>ABRAZADERA ACERO GALV.SIMPLE 3/16" X 1 1/2" P.PASTORAL 48MM / POSTE 62MM DIAM.</v>
          </cell>
        </row>
        <row r="4558">
          <cell r="B4558">
            <v>6941270</v>
          </cell>
          <cell r="C4558" t="str">
            <v>MIM</v>
          </cell>
          <cell r="D4558" t="str">
            <v>ABRAZADERA ACERO GALV.SIMPLE 3/16" X 1 1/2" P.PASTORAL 48MM / POSTE 62MM DIAM.</v>
          </cell>
        </row>
        <row r="4559">
          <cell r="B4559">
            <v>6941270</v>
          </cell>
          <cell r="C4559" t="str">
            <v>PIC</v>
          </cell>
          <cell r="D4559" t="str">
            <v>ABRAZADERA ACERO GALV.SIMPLE 3/16" X 1 1/2" P.PASTORAL 48MM / POSTE 62MM DIAM.</v>
          </cell>
        </row>
        <row r="4560">
          <cell r="B4560">
            <v>6941270</v>
          </cell>
          <cell r="C4560" t="str">
            <v>TNC</v>
          </cell>
          <cell r="D4560" t="str">
            <v>ABRAZADERA ACERO GALV.SIMPLE 3/16" X 1 1/2" P.PASTORAL 48MM / POSTE 62MM DIAM.</v>
          </cell>
        </row>
        <row r="4561">
          <cell r="B4561">
            <v>6941271</v>
          </cell>
          <cell r="C4561" t="str">
            <v>APW</v>
          </cell>
          <cell r="D4561" t="str">
            <v>ABRAZADERA ACERO GALV.SIMPLE 3/16" X 1 1/2" P.PASTORAL 48MM / POSTE 80MM DIAM.</v>
          </cell>
        </row>
        <row r="4562">
          <cell r="B4562">
            <v>6941271</v>
          </cell>
          <cell r="C4562" t="str">
            <v>MIM</v>
          </cell>
          <cell r="D4562" t="str">
            <v>ABRAZADERA ACERO GALV.SIMPLE 3/16" X 1 1/2" P.PASTORAL 48MM / POSTE 80MM DIAM.</v>
          </cell>
        </row>
        <row r="4563">
          <cell r="B4563">
            <v>6941272</v>
          </cell>
          <cell r="C4563" t="str">
            <v>APW</v>
          </cell>
          <cell r="D4563" t="str">
            <v>ABRAZADERA ACERO GALV.SIMPLE 3/16" X 1 1/2" P.PASTORAL 48MM / POSTE 102MM DIAM.</v>
          </cell>
        </row>
        <row r="4564">
          <cell r="B4564">
            <v>6941272</v>
          </cell>
          <cell r="C4564" t="str">
            <v>MIM</v>
          </cell>
          <cell r="D4564" t="str">
            <v>ABRAZADERA ACERO GALV.SIMPLE 3/16" X 1 1/2" P.PASTORAL 48MM / POSTE 102MM DIAM.</v>
          </cell>
        </row>
        <row r="4565">
          <cell r="B4565">
            <v>6941273</v>
          </cell>
          <cell r="C4565" t="str">
            <v>APW</v>
          </cell>
          <cell r="D4565" t="str">
            <v>ABRAZADERA ACERO GALV.SIMPLE 3/16" X 1 1/2" P.PASTORAL 48MM / POSTE 132MM DIAM.</v>
          </cell>
        </row>
        <row r="4566">
          <cell r="B4566">
            <v>6941273</v>
          </cell>
          <cell r="C4566" t="str">
            <v>ELD</v>
          </cell>
          <cell r="D4566" t="str">
            <v>ABRAZADERA ACERO GALV.SIMPLE 3/16" X 1 1/2" P.PASTORAL 48MM / POSTE 132MM DIAM.</v>
          </cell>
        </row>
        <row r="4567">
          <cell r="B4567">
            <v>6941273</v>
          </cell>
          <cell r="C4567" t="str">
            <v>MEG</v>
          </cell>
          <cell r="D4567" t="str">
            <v>ABRAZADERA ACERO GALV.SIMPLE 3/16" X 1 1/2" P.PASTORAL 48MM / POSTE 132MM DIAM.</v>
          </cell>
        </row>
        <row r="4568">
          <cell r="B4568">
            <v>6941273</v>
          </cell>
          <cell r="C4568" t="str">
            <v>MIM</v>
          </cell>
          <cell r="D4568" t="str">
            <v>ABRAZADERA ACERO GALV.SIMPLE 3/16" X 1 1/2" P.PASTORAL 48MM / POSTE 132MM DIAM.</v>
          </cell>
        </row>
        <row r="4569">
          <cell r="B4569">
            <v>6941273</v>
          </cell>
          <cell r="C4569" t="str">
            <v>PIC</v>
          </cell>
          <cell r="D4569" t="str">
            <v>ABRAZADERA ACERO GALV.SIMPLE 3/16" X 1 1/2" P.PASTORAL 48MM / POSTE 132MM DIAM.</v>
          </cell>
        </row>
        <row r="4570">
          <cell r="B4570">
            <v>6941273</v>
          </cell>
          <cell r="C4570" t="str">
            <v>TNC</v>
          </cell>
          <cell r="D4570" t="str">
            <v>ABRAZADERA ACERO GALV.SIMPLE 3/16" X 1 1/2" P.PASTORAL 48MM / POSTE 132MM DIAM.</v>
          </cell>
        </row>
        <row r="4571">
          <cell r="B4571">
            <v>6941274</v>
          </cell>
          <cell r="C4571" t="str">
            <v>APW</v>
          </cell>
          <cell r="D4571" t="str">
            <v>ABRAZADERA ACERO GALV.SIMPLE 3/16" X 1 1/2" P.PASTORAL 48MM / POSTE 152MM DIAM.</v>
          </cell>
        </row>
        <row r="4572">
          <cell r="B4572">
            <v>6941274</v>
          </cell>
          <cell r="C4572" t="str">
            <v>ELD</v>
          </cell>
          <cell r="D4572" t="str">
            <v>ABRAZADERA ACERO GALV.SIMPLE 3/16" X 1 1/2" P.PASTORAL 48MM / POSTE 152MM DIAM.</v>
          </cell>
        </row>
        <row r="4573">
          <cell r="B4573">
            <v>6941274</v>
          </cell>
          <cell r="C4573" t="str">
            <v>MEG</v>
          </cell>
          <cell r="D4573" t="str">
            <v>ABRAZADERA ACERO GALV.SIMPLE 3/16" X 1 1/2" P.PASTORAL 48MM / POSTE 152MM DIAM.</v>
          </cell>
        </row>
        <row r="4574">
          <cell r="B4574">
            <v>6941274</v>
          </cell>
          <cell r="C4574" t="str">
            <v>MIM</v>
          </cell>
          <cell r="D4574" t="str">
            <v>ABRAZADERA ACERO GALV.SIMPLE 3/16" X 1 1/2" P.PASTORAL 48MM / POSTE 152MM DIAM.</v>
          </cell>
        </row>
        <row r="4575">
          <cell r="B4575">
            <v>6941274</v>
          </cell>
          <cell r="C4575" t="str">
            <v>PIC</v>
          </cell>
          <cell r="D4575" t="str">
            <v>ABRAZADERA ACERO GALV.SIMPLE 3/16" X 1 1/2" P.PASTORAL 48MM / POSTE 152MM DIAM.</v>
          </cell>
        </row>
        <row r="4576">
          <cell r="B4576">
            <v>6941274</v>
          </cell>
          <cell r="C4576" t="str">
            <v>TNC</v>
          </cell>
          <cell r="D4576" t="str">
            <v>ABRAZADERA ACERO GALV.SIMPLE 3/16" X 1 1/2" P.PASTORAL 48MM / POSTE 152MM DIAM.</v>
          </cell>
        </row>
        <row r="4577">
          <cell r="B4577">
            <v>6941276</v>
          </cell>
          <cell r="C4577" t="str">
            <v>APW</v>
          </cell>
          <cell r="D4577" t="str">
            <v>ABRAZADERA ACERO GALV.SIMPLE 3/16" X 1 1/2" P.PASTORAL 1 1/2" / POSTE 3" DIAM.</v>
          </cell>
        </row>
        <row r="4578">
          <cell r="B4578">
            <v>6941276</v>
          </cell>
          <cell r="C4578" t="str">
            <v>MIM</v>
          </cell>
          <cell r="D4578" t="str">
            <v>ABRAZADERA ACERO GALV.SIMPLE 3/16" X 1 1/2" P.PASTORAL 1 1/2" / POSTE 3" DIAM.</v>
          </cell>
        </row>
        <row r="4579">
          <cell r="B4579">
            <v>6941279</v>
          </cell>
          <cell r="C4579" t="str">
            <v>APW</v>
          </cell>
          <cell r="D4579" t="str">
            <v>ABRAZADERA ACERO GALV.SIMPLE 3/16" X 2 1/2" P.PASTORAL 48MM / POSTE 152MM DIAM.</v>
          </cell>
        </row>
        <row r="4580">
          <cell r="B4580">
            <v>6941279</v>
          </cell>
          <cell r="C4580" t="str">
            <v>MIM</v>
          </cell>
          <cell r="D4580" t="str">
            <v>ABRAZADERA ACERO GALV.SIMPLE 3/16" X 2 1/2" P.PASTORAL 48MM / POSTE 152MM DIAM.</v>
          </cell>
        </row>
        <row r="4581">
          <cell r="B4581">
            <v>6941281</v>
          </cell>
          <cell r="C4581" t="str">
            <v>APW</v>
          </cell>
          <cell r="D4581" t="str">
            <v>ABRAZADERA ACERO GALV.SIMPLE 3/16" X 2 1/2" P.PASTORAL 48MM / POSTE 192MM DIAM.</v>
          </cell>
        </row>
        <row r="4582">
          <cell r="B4582">
            <v>6941281</v>
          </cell>
          <cell r="C4582" t="str">
            <v>MIM</v>
          </cell>
          <cell r="D4582" t="str">
            <v>ABRAZADERA ACERO GALV.SIMPLE 3/16" X 2 1/2" P.PASTORAL 48MM / POSTE 192MM DIAM.</v>
          </cell>
        </row>
        <row r="4583">
          <cell r="B4583">
            <v>6941282</v>
          </cell>
          <cell r="C4583" t="str">
            <v>APW</v>
          </cell>
          <cell r="D4583" t="str">
            <v>ABRAZADERA ACERO GALV.SIMPLE 3/16" X 2 1/2" P.PASTORAL 48MM / POSTE 222MM DIAM.</v>
          </cell>
        </row>
        <row r="4584">
          <cell r="B4584">
            <v>6941282</v>
          </cell>
          <cell r="C4584" t="str">
            <v>MIM</v>
          </cell>
          <cell r="D4584" t="str">
            <v>ABRAZADERA ACERO GALV.SIMPLE 3/16" X 2 1/2" P.PASTORAL 48MM / POSTE 222MM DIAM.</v>
          </cell>
        </row>
        <row r="4585">
          <cell r="B4585">
            <v>6941288</v>
          </cell>
          <cell r="C4585" t="str">
            <v>APW</v>
          </cell>
          <cell r="D4585" t="str">
            <v>ABRAZADERA ACERO GALV.SIMPLE 3/16" X 2 1/2" P.PASTORAL 60MM / POSTE 152MM DIAM.</v>
          </cell>
        </row>
        <row r="4586">
          <cell r="B4586">
            <v>6941288</v>
          </cell>
          <cell r="C4586" t="str">
            <v>MIM</v>
          </cell>
          <cell r="D4586" t="str">
            <v>ABRAZADERA ACERO GALV.SIMPLE 3/16" X 2 1/2" P.PASTORAL 60MM / POSTE 152MM DIAM.</v>
          </cell>
        </row>
        <row r="4587">
          <cell r="B4587">
            <v>6941291</v>
          </cell>
          <cell r="C4587" t="str">
            <v>APW</v>
          </cell>
          <cell r="D4587" t="str">
            <v>ABRAZADERA ACERO GALV.SIMPLE 3/16" X 2 1/2" P.PASTORAL 60MM / POSTE 192MM DIAM.</v>
          </cell>
        </row>
        <row r="4588">
          <cell r="B4588">
            <v>6941291</v>
          </cell>
          <cell r="C4588" t="str">
            <v>MIM</v>
          </cell>
          <cell r="D4588" t="str">
            <v>ABRAZADERA ACERO GALV.SIMPLE 3/16" X 2 1/2" P.PASTORAL 60MM / POSTE 192MM DIAM.</v>
          </cell>
        </row>
        <row r="4589">
          <cell r="B4589">
            <v>6941292</v>
          </cell>
          <cell r="C4589" t="str">
            <v>APW</v>
          </cell>
          <cell r="D4589" t="str">
            <v>ABRAZADERA ACERO GALV.SIMPLE 3/16" X 2 1/2" P.PASTORAL 60MM / POSTE 222MM DIAM.</v>
          </cell>
        </row>
        <row r="4590">
          <cell r="B4590">
            <v>6941292</v>
          </cell>
          <cell r="C4590" t="str">
            <v>MIM</v>
          </cell>
          <cell r="D4590" t="str">
            <v>ABRAZADERA ACERO GALV.SIMPLE 3/16" X 2 1/2" P.PASTORAL 60MM / POSTE 222MM DIAM.</v>
          </cell>
        </row>
        <row r="4591">
          <cell r="B4591">
            <v>6941408</v>
          </cell>
          <cell r="C4591" t="str">
            <v>ELD</v>
          </cell>
          <cell r="D4591" t="str">
            <v>ABRAZADERA P.MENSULA VERT. EN POST. A.C.   150MMD.</v>
          </cell>
        </row>
        <row r="4592">
          <cell r="B4592">
            <v>6941464</v>
          </cell>
          <cell r="C4592" t="str">
            <v>ELD</v>
          </cell>
          <cell r="D4592" t="str">
            <v>ABRAZADERA PARA VIENTO AC.GALV. 120-160MMD.M.T.</v>
          </cell>
        </row>
        <row r="4593">
          <cell r="B4593">
            <v>6941464</v>
          </cell>
          <cell r="C4593" t="str">
            <v>MEG</v>
          </cell>
          <cell r="D4593" t="str">
            <v>ABRAZADERA PARA VIENTO AC.GALV. 120-160MMD.M.T.</v>
          </cell>
        </row>
        <row r="4594">
          <cell r="B4594">
            <v>6941464</v>
          </cell>
          <cell r="C4594" t="str">
            <v>PIC</v>
          </cell>
          <cell r="D4594" t="str">
            <v>ABRAZADERA PARA VIENTO AC.GALV. 120-160MMD.M.T.</v>
          </cell>
        </row>
        <row r="4595">
          <cell r="B4595">
            <v>6941464</v>
          </cell>
          <cell r="C4595" t="str">
            <v>TAS</v>
          </cell>
          <cell r="D4595" t="str">
            <v>ABRAZADERA PARA VIENTO AC.GALV. 120-160MMD.M.T.</v>
          </cell>
        </row>
        <row r="4596">
          <cell r="B4596">
            <v>6941466</v>
          </cell>
          <cell r="C4596" t="str">
            <v>ELD</v>
          </cell>
          <cell r="D4596" t="str">
            <v>ABRAZADERA PARA VIENTO AC.GALV. 170-245MMD.  M.T.</v>
          </cell>
        </row>
        <row r="4597">
          <cell r="B4597">
            <v>6941466</v>
          </cell>
          <cell r="C4597" t="str">
            <v>MEG</v>
          </cell>
          <cell r="D4597" t="str">
            <v>ABRAZADERA PARA VIENTO AC.GALV. 170-245MMD.  M.T.</v>
          </cell>
        </row>
        <row r="4598">
          <cell r="B4598">
            <v>6941466</v>
          </cell>
          <cell r="C4598" t="str">
            <v>PIC</v>
          </cell>
          <cell r="D4598" t="str">
            <v>ABRAZADERA PARA VIENTO AC.GALV. 170-245MMD.  M.T.</v>
          </cell>
        </row>
        <row r="4599">
          <cell r="B4599">
            <v>6941466</v>
          </cell>
          <cell r="C4599" t="str">
            <v>TAS</v>
          </cell>
          <cell r="D4599" t="str">
            <v>ABRAZADERA PARA VIENTO AC.GALV. 170-245MMD.  M.T.</v>
          </cell>
        </row>
        <row r="4600">
          <cell r="B4600">
            <v>6947006</v>
          </cell>
          <cell r="C4600" t="str">
            <v>ELC</v>
          </cell>
          <cell r="D4600" t="str">
            <v>ABRAZADERA DE ACERO GALV. P.CABLE 25MM2 C.ARCO CENTRAL 36MM DIAM. EN PLATINA DE ACERO 90X130X6,35MM</v>
          </cell>
        </row>
        <row r="4601">
          <cell r="B4601">
            <v>6947006</v>
          </cell>
          <cell r="C4601" t="str">
            <v>ELD</v>
          </cell>
          <cell r="D4601" t="str">
            <v>ABRAZADERA DE ACERO GALV. P.CABLE 25MM2 C.ARCO CENTRAL 36MM DIAM. EN PLATINA DE ACERO 90X130X6,35MM</v>
          </cell>
        </row>
        <row r="4602">
          <cell r="B4602">
            <v>6947006</v>
          </cell>
          <cell r="C4602" t="str">
            <v>MEG</v>
          </cell>
          <cell r="D4602" t="str">
            <v>ABRAZADERA DE ACERO GALV. P.CABLE 25MM2 C.ARCO CENTRAL 36MM DIAM. EN PLATINA DE ACERO 90X130X6,35MM</v>
          </cell>
        </row>
        <row r="4603">
          <cell r="B4603">
            <v>6947006</v>
          </cell>
          <cell r="C4603" t="str">
            <v>PIC</v>
          </cell>
          <cell r="D4603" t="str">
            <v>ABRAZADERA DE ACERO GALV. P.CABLE 25MM2 C.ARCO CENTRAL 36MM DIAM. EN PLATINA DE ACERO 90X130X6,35MM</v>
          </cell>
        </row>
        <row r="4604">
          <cell r="B4604">
            <v>6947006</v>
          </cell>
          <cell r="C4604" t="str">
            <v>TAS</v>
          </cell>
          <cell r="D4604" t="str">
            <v>ABRAZADERA DE ACERO GALV. P.CABLE 25MM2 C.ARCO CENTRAL 36MM DIAM. EN PLATINA DE ACERO 90X130X6,35MM</v>
          </cell>
        </row>
        <row r="4605">
          <cell r="B4605">
            <v>6947034</v>
          </cell>
          <cell r="C4605" t="str">
            <v>ELC</v>
          </cell>
          <cell r="D4605" t="str">
            <v>ABRAZADERA P.FIJ.CABLE P.TIE. 67MM2 SE.CONV.10MMD.</v>
          </cell>
        </row>
        <row r="4606">
          <cell r="B4606">
            <v>6947034</v>
          </cell>
          <cell r="C4606" t="str">
            <v>ELD</v>
          </cell>
          <cell r="D4606" t="str">
            <v>ABRAZADERA P.FIJ.CABLE P.TIE. 67MM2 SE.CONV.10MMD.</v>
          </cell>
        </row>
        <row r="4607">
          <cell r="B4607">
            <v>6951016</v>
          </cell>
          <cell r="C4607" t="str">
            <v>EMS</v>
          </cell>
          <cell r="D4607" t="str">
            <v>PORTABARRA P. BARRA TP. PLETINA  80MM. P.AISL.SOP.</v>
          </cell>
        </row>
        <row r="4608">
          <cell r="B4608">
            <v>6951016</v>
          </cell>
          <cell r="C4608" t="str">
            <v>IAT</v>
          </cell>
          <cell r="D4608" t="str">
            <v>PORTABARRA P. BARRA TP. PLETINA  80MM. P.AISL.SOP.</v>
          </cell>
        </row>
        <row r="4609">
          <cell r="B4609">
            <v>6951016</v>
          </cell>
          <cell r="C4609" t="str">
            <v>TAS</v>
          </cell>
          <cell r="D4609" t="str">
            <v>PORTABARRA P. BARRA TP. PLETINA  80MM. P.AISL.SOP.</v>
          </cell>
        </row>
        <row r="4610">
          <cell r="B4610">
            <v>6951104</v>
          </cell>
          <cell r="C4610" t="str">
            <v>TAS</v>
          </cell>
          <cell r="D4610" t="str">
            <v>PORTA LLAVE BRC.1396X112MM.P.SECC.*DN-321 POS.1-1A</v>
          </cell>
        </row>
        <row r="4611">
          <cell r="B4611">
            <v>6951118</v>
          </cell>
          <cell r="C4611" t="str">
            <v>ELD</v>
          </cell>
          <cell r="D4611" t="str">
            <v>SOPORTE METAL.P.PLATAFORMA DE SS.EE. AEREA 250KVA</v>
          </cell>
        </row>
        <row r="4612">
          <cell r="B4612">
            <v>6951118</v>
          </cell>
          <cell r="C4612" t="str">
            <v>TAS</v>
          </cell>
          <cell r="D4612" t="str">
            <v>SOPORTE METAL.P.PLATAFORMA DE SS.EE. AEREA 250KVA</v>
          </cell>
        </row>
        <row r="4613">
          <cell r="B4613">
            <v>6951164</v>
          </cell>
          <cell r="C4613" t="str">
            <v>EMS</v>
          </cell>
          <cell r="D4613" t="str">
            <v>RECEPTACULO P/CONDENSADOR EN CAJA MEDICION MONOFA.</v>
          </cell>
        </row>
        <row r="4614">
          <cell r="B4614">
            <v>6951164</v>
          </cell>
          <cell r="C4614" t="str">
            <v>FAS</v>
          </cell>
          <cell r="D4614" t="str">
            <v>RECEPTACULO P/CONDENSADOR EN CAJA MEDICION MONOFA.</v>
          </cell>
        </row>
        <row r="4615">
          <cell r="B4615">
            <v>6951872</v>
          </cell>
          <cell r="C4615" t="str">
            <v>CIN</v>
          </cell>
          <cell r="D4615" t="str">
            <v>TORNILLO ADAPT.PORTABARRA/AISLADOR 1/2" M16  10KV.</v>
          </cell>
        </row>
        <row r="4616">
          <cell r="B4616">
            <v>6951872</v>
          </cell>
          <cell r="C4616" t="str">
            <v>FAS</v>
          </cell>
          <cell r="D4616" t="str">
            <v>TORNILLO ADAPT.PORTABARRA/AISLADOR 1/2" M16  10KV.</v>
          </cell>
        </row>
        <row r="4617">
          <cell r="B4617">
            <v>6951872</v>
          </cell>
          <cell r="C4617" t="str">
            <v>MDP</v>
          </cell>
          <cell r="D4617" t="str">
            <v>TORNILLO ADAPT.PORTABARRA/AISLADOR 1/2" M16  10KV.</v>
          </cell>
        </row>
        <row r="4618">
          <cell r="B4618">
            <v>6951872</v>
          </cell>
          <cell r="C4618" t="str">
            <v>TAL</v>
          </cell>
          <cell r="D4618" t="str">
            <v>TORNILLO ADAPT.PORTABARRA/AISLADOR 1/2" M16  10KV.</v>
          </cell>
        </row>
        <row r="4619">
          <cell r="B4619">
            <v>6954004</v>
          </cell>
          <cell r="C4619" t="str">
            <v>ELD</v>
          </cell>
          <cell r="D4619" t="str">
            <v>SOPORTE P. CAJA TERMINAL P.CABLE  NKY 10KV. TAM. 1</v>
          </cell>
        </row>
        <row r="4620">
          <cell r="B4620">
            <v>6954004</v>
          </cell>
          <cell r="C4620" t="str">
            <v>MEG</v>
          </cell>
          <cell r="D4620" t="str">
            <v>SOPORTE P. CAJA TERMINAL P.CABLE  NKY 10KV. TAM. 1</v>
          </cell>
        </row>
        <row r="4621">
          <cell r="B4621">
            <v>6954004</v>
          </cell>
          <cell r="C4621" t="str">
            <v>PFJ</v>
          </cell>
          <cell r="D4621" t="str">
            <v>SOPORTE P. CAJA TERMINAL P.CABLE  NKY 10KV. TAM. 1</v>
          </cell>
        </row>
        <row r="4622">
          <cell r="B4622">
            <v>6954004</v>
          </cell>
          <cell r="C4622" t="str">
            <v>SML</v>
          </cell>
          <cell r="D4622" t="str">
            <v>SOPORTE P. CAJA TERMINAL P.CABLE  NKY 10KV. TAM. 1</v>
          </cell>
        </row>
        <row r="4623">
          <cell r="B4623">
            <v>6954004</v>
          </cell>
          <cell r="C4623" t="str">
            <v>TAS</v>
          </cell>
          <cell r="D4623" t="str">
            <v>SOPORTE P. CAJA TERMINAL P.CABLE  NKY 10KV. TAM. 1</v>
          </cell>
        </row>
        <row r="4624">
          <cell r="B4624">
            <v>6954030</v>
          </cell>
          <cell r="C4624" t="str">
            <v>PFJ</v>
          </cell>
          <cell r="D4624" t="str">
            <v>SOPORTE P. CJ.TERM.10KV EN NIVEL    240/240X120MM.</v>
          </cell>
        </row>
        <row r="4625">
          <cell r="B4625">
            <v>6954030</v>
          </cell>
          <cell r="C4625" t="str">
            <v>PIC</v>
          </cell>
          <cell r="D4625" t="str">
            <v>SOPORTE P. CJ.TERM.10KV EN NIVEL    240/240X120MM.</v>
          </cell>
        </row>
        <row r="4626">
          <cell r="B4626">
            <v>6954030</v>
          </cell>
          <cell r="C4626" t="str">
            <v>TAS</v>
          </cell>
          <cell r="D4626" t="str">
            <v>SOPORTE P. CJ.TERM.10KV EN NIVEL    240/240X120MM.</v>
          </cell>
        </row>
        <row r="4627">
          <cell r="B4627">
            <v>6954206</v>
          </cell>
          <cell r="C4627" t="str">
            <v>ELD</v>
          </cell>
          <cell r="D4627" t="str">
            <v>SOPORTE P.1 TERM.TERMOR/ELASTOM.CAB.NKY  16-70MM2</v>
          </cell>
        </row>
        <row r="4628">
          <cell r="B4628">
            <v>6954206</v>
          </cell>
          <cell r="C4628" t="str">
            <v>MDP</v>
          </cell>
          <cell r="D4628" t="str">
            <v>SOPORTE P.1 TERM.TERMOR/ELASTOM.CAB.NKY  16-70MM2</v>
          </cell>
        </row>
        <row r="4629">
          <cell r="B4629">
            <v>6954206</v>
          </cell>
          <cell r="C4629" t="str">
            <v>MEG</v>
          </cell>
          <cell r="D4629" t="str">
            <v>SOPORTE P.1 TERM.TERMOR/ELASTOM.CAB.NKY  16-70MM2</v>
          </cell>
        </row>
        <row r="4630">
          <cell r="B4630">
            <v>6954206</v>
          </cell>
          <cell r="C4630" t="str">
            <v>SML</v>
          </cell>
          <cell r="D4630" t="str">
            <v>SOPORTE P.1 TERM.TERMOR/ELASTOM.CAB.NKY  16-70MM2</v>
          </cell>
        </row>
        <row r="4631">
          <cell r="B4631">
            <v>6954214</v>
          </cell>
          <cell r="C4631" t="str">
            <v>ELD</v>
          </cell>
          <cell r="D4631" t="str">
            <v>SOPORTE P.1 TERM.TERMOREST.ELAST.NKY MT.120X240MM2</v>
          </cell>
        </row>
        <row r="4632">
          <cell r="B4632">
            <v>6954214</v>
          </cell>
          <cell r="C4632" t="str">
            <v>MDP</v>
          </cell>
          <cell r="D4632" t="str">
            <v>SOPORTE P.1 TERM.TERMOREST.ELAST.NKY MT.120X240MM2</v>
          </cell>
        </row>
        <row r="4633">
          <cell r="B4633">
            <v>6954214</v>
          </cell>
          <cell r="C4633" t="str">
            <v>MEG</v>
          </cell>
          <cell r="D4633" t="str">
            <v>SOPORTE P.1 TERM.TERMOREST.ELAST.NKY MT.120X240MM2</v>
          </cell>
        </row>
        <row r="4634">
          <cell r="B4634">
            <v>6954214</v>
          </cell>
          <cell r="C4634" t="str">
            <v>SML</v>
          </cell>
          <cell r="D4634" t="str">
            <v>SOPORTE P.1 TERM.TERMOREST.ELAST.NKY MT.120X240MM2</v>
          </cell>
        </row>
        <row r="4635">
          <cell r="B4635">
            <v>6955820</v>
          </cell>
          <cell r="C4635" t="str">
            <v>ELD</v>
          </cell>
          <cell r="D4635" t="str">
            <v>PLETINA DE REGUL. P.SOP. TERM. INT. CABLE NKY 10KV</v>
          </cell>
        </row>
        <row r="4636">
          <cell r="B4636">
            <v>6955820</v>
          </cell>
          <cell r="C4636" t="str">
            <v>MDP</v>
          </cell>
          <cell r="D4636" t="str">
            <v>PLETINA DE REGUL. P.SOP. TERM. INT. CABLE NKY 10KV</v>
          </cell>
        </row>
        <row r="4637">
          <cell r="B4637">
            <v>6955820</v>
          </cell>
          <cell r="C4637" t="str">
            <v>MEG</v>
          </cell>
          <cell r="D4637" t="str">
            <v>PLETINA DE REGUL. P.SOP. TERM. INT. CABLE NKY 10KV</v>
          </cell>
        </row>
        <row r="4638">
          <cell r="B4638">
            <v>6955820</v>
          </cell>
          <cell r="C4638" t="str">
            <v>SML</v>
          </cell>
          <cell r="D4638" t="str">
            <v>PLETINA DE REGUL. P.SOP. TERM. INT. CABLE NKY 10KV</v>
          </cell>
        </row>
        <row r="4639">
          <cell r="B4639">
            <v>6955820</v>
          </cell>
          <cell r="C4639" t="str">
            <v>TAS</v>
          </cell>
          <cell r="D4639" t="str">
            <v>PLETINA DE REGUL. P.SOP. TERM. INT. CABLE NKY 10KV</v>
          </cell>
        </row>
        <row r="4640">
          <cell r="B4640">
            <v>6955832</v>
          </cell>
          <cell r="C4640" t="str">
            <v>CDC</v>
          </cell>
          <cell r="D4640" t="str">
            <v>PERFILES SIMETRICOS (RIEL DIN) P. INTERRUP. BIP. Y TRIP.</v>
          </cell>
        </row>
        <row r="4641">
          <cell r="B4641">
            <v>6955832</v>
          </cell>
          <cell r="C4641" t="str">
            <v>IAT</v>
          </cell>
          <cell r="D4641" t="str">
            <v>PERFILES SIMETRICOS (RIEL DIN) P. INTERRUP. BIP. Y TRIP.</v>
          </cell>
        </row>
        <row r="4642">
          <cell r="B4642">
            <v>6955832</v>
          </cell>
          <cell r="C4642" t="str">
            <v>TNC</v>
          </cell>
          <cell r="D4642" t="str">
            <v>PERFILES SIMETRICOS (RIEL DIN) P. INTERRUP. BIP. Y TRIP.</v>
          </cell>
        </row>
        <row r="4643">
          <cell r="B4643">
            <v>6961002</v>
          </cell>
          <cell r="C4643" t="str">
            <v>ELD</v>
          </cell>
          <cell r="D4643" t="str">
            <v>SOPORTE P.TRANSF. EN SE.DE SUPERF.   50X152X1300MM</v>
          </cell>
        </row>
        <row r="4644">
          <cell r="B4644">
            <v>6961002</v>
          </cell>
          <cell r="C4644" t="str">
            <v>PIC</v>
          </cell>
          <cell r="D4644" t="str">
            <v>SOPORTE P.TRANSF. EN SE.DE SUPERF.   50X152X1300MM</v>
          </cell>
        </row>
        <row r="4645">
          <cell r="B4645">
            <v>6961002</v>
          </cell>
          <cell r="C4645" t="str">
            <v>TAS</v>
          </cell>
          <cell r="D4645" t="str">
            <v>SOPORTE P.TRANSF. EN SE.DE SUPERF.   50X152X1300MM</v>
          </cell>
        </row>
        <row r="4646">
          <cell r="B4646">
            <v>6961006</v>
          </cell>
          <cell r="C4646" t="str">
            <v>ELD</v>
          </cell>
          <cell r="D4646" t="str">
            <v>PLETINA P.SOP.DE TRANSF.EN SAB  (2)63.5X9.52X405MM</v>
          </cell>
        </row>
        <row r="4647">
          <cell r="B4647">
            <v>6961006</v>
          </cell>
          <cell r="C4647" t="str">
            <v>MEG</v>
          </cell>
          <cell r="D4647" t="str">
            <v>PLETINA P.SOP.DE TRANSF.EN SAB  (2)63.5X9.52X405MM</v>
          </cell>
        </row>
        <row r="4648">
          <cell r="B4648">
            <v>6961006</v>
          </cell>
          <cell r="C4648" t="str">
            <v>PFJ</v>
          </cell>
          <cell r="D4648" t="str">
            <v>PLETINA P.SOP.DE TRANSF.EN SAB  (2)63.5X9.52X405MM</v>
          </cell>
        </row>
        <row r="4649">
          <cell r="B4649">
            <v>6961006</v>
          </cell>
          <cell r="C4649" t="str">
            <v>PIC</v>
          </cell>
          <cell r="D4649" t="str">
            <v>PLETINA P.SOP.DE TRANSF.EN SAB  (2)63.5X9.52X405MM</v>
          </cell>
        </row>
        <row r="4650">
          <cell r="B4650">
            <v>6961006</v>
          </cell>
          <cell r="C4650" t="str">
            <v>SML</v>
          </cell>
          <cell r="D4650" t="str">
            <v>PLETINA P.SOP.DE TRANSF.EN SAB  (2)63.5X9.52X405MM</v>
          </cell>
        </row>
        <row r="4651">
          <cell r="B4651">
            <v>6961006</v>
          </cell>
          <cell r="C4651" t="str">
            <v>TAS</v>
          </cell>
          <cell r="D4651" t="str">
            <v>PLETINA P.SOP.DE TRANSF.EN SAB  (2)63.5X9.52X405MM</v>
          </cell>
        </row>
        <row r="4652">
          <cell r="B4652">
            <v>6961012</v>
          </cell>
          <cell r="C4652" t="str">
            <v>ELD</v>
          </cell>
          <cell r="D4652" t="str">
            <v>SOPORTE P.TRANSF.MONOF.AEREO  10/0.22KV.   250MMD.</v>
          </cell>
        </row>
        <row r="4653">
          <cell r="B4653">
            <v>6961012</v>
          </cell>
          <cell r="C4653" t="str">
            <v>MDP</v>
          </cell>
          <cell r="D4653" t="str">
            <v>SOPORTE P.TRANSF.MONOF.AEREO  10/0.22KV.   250MMD.</v>
          </cell>
        </row>
        <row r="4654">
          <cell r="B4654">
            <v>6961012</v>
          </cell>
          <cell r="C4654" t="str">
            <v>MEG</v>
          </cell>
          <cell r="D4654" t="str">
            <v>SOPORTE P.TRANSF.MONOF.AEREO  10/0.22KV.   250MMD.</v>
          </cell>
        </row>
        <row r="4655">
          <cell r="B4655">
            <v>6961012</v>
          </cell>
          <cell r="C4655" t="str">
            <v>PIC</v>
          </cell>
          <cell r="D4655" t="str">
            <v>SOPORTE P.TRANSF.MONOF.AEREO  10/0.22KV.   250MMD.</v>
          </cell>
        </row>
        <row r="4656">
          <cell r="B4656">
            <v>6961012</v>
          </cell>
          <cell r="C4656" t="str">
            <v>SML</v>
          </cell>
          <cell r="D4656" t="str">
            <v>SOPORTE P.TRANSF.MONOF.AEREO  10/0.22KV.   250MMD.</v>
          </cell>
        </row>
        <row r="4657">
          <cell r="B4657">
            <v>6961012</v>
          </cell>
          <cell r="C4657" t="str">
            <v>TAS</v>
          </cell>
          <cell r="D4657" t="str">
            <v>SOPORTE P.TRANSF.MONOF.AEREO  10/0.22KV.   250MMD.</v>
          </cell>
        </row>
        <row r="4658">
          <cell r="B4658">
            <v>6961102</v>
          </cell>
          <cell r="C4658" t="str">
            <v>ELD</v>
          </cell>
          <cell r="D4658" t="str">
            <v>ACCESORIO P/ANCLAJE TRANSF.AC.GAL.CAL.10X60X320MM</v>
          </cell>
        </row>
        <row r="4659">
          <cell r="B4659">
            <v>6961102</v>
          </cell>
          <cell r="C4659" t="str">
            <v>MDP</v>
          </cell>
          <cell r="D4659" t="str">
            <v>ACCESORIO P/ANCLAJE TRANSF.AC.GAL.CAL.10X60X320MM</v>
          </cell>
        </row>
        <row r="4660">
          <cell r="B4660">
            <v>6961102</v>
          </cell>
          <cell r="C4660" t="str">
            <v>MEG</v>
          </cell>
          <cell r="D4660" t="str">
            <v>ACCESORIO P/ANCLAJE TRANSF.AC.GAL.CAL.10X60X320MM</v>
          </cell>
        </row>
        <row r="4661">
          <cell r="B4661">
            <v>6961102</v>
          </cell>
          <cell r="C4661" t="str">
            <v>PFJ</v>
          </cell>
          <cell r="D4661" t="str">
            <v>ACCESORIO P/ANCLAJE TRANSF.AC.GAL.CAL.10X60X320MM</v>
          </cell>
        </row>
        <row r="4662">
          <cell r="B4662">
            <v>6961102</v>
          </cell>
          <cell r="C4662" t="str">
            <v>PIC</v>
          </cell>
          <cell r="D4662" t="str">
            <v>ACCESORIO P/ANCLAJE TRANSF.AC.GAL.CAL.10X60X320MM</v>
          </cell>
        </row>
        <row r="4663">
          <cell r="B4663">
            <v>6961102</v>
          </cell>
          <cell r="C4663" t="str">
            <v>SML</v>
          </cell>
          <cell r="D4663" t="str">
            <v>ACCESORIO P/ANCLAJE TRANSF.AC.GAL.CAL.10X60X320MM</v>
          </cell>
        </row>
        <row r="4664">
          <cell r="B4664">
            <v>6961104</v>
          </cell>
          <cell r="C4664" t="str">
            <v>ELD</v>
          </cell>
          <cell r="D4664" t="str">
            <v>ACCESORIO P/ANCLAJE TRANSF. AC.GAL.CAL.10X60X420MM</v>
          </cell>
        </row>
        <row r="4665">
          <cell r="B4665">
            <v>6961104</v>
          </cell>
          <cell r="C4665" t="str">
            <v>MDP</v>
          </cell>
          <cell r="D4665" t="str">
            <v>ACCESORIO P/ANCLAJE TRANSF. AC.GAL.CAL.10X60X420MM</v>
          </cell>
        </row>
        <row r="4666">
          <cell r="B4666">
            <v>6961104</v>
          </cell>
          <cell r="C4666" t="str">
            <v>MEG</v>
          </cell>
          <cell r="D4666" t="str">
            <v>ACCESORIO P/ANCLAJE TRANSF. AC.GAL.CAL.10X60X420MM</v>
          </cell>
        </row>
        <row r="4667">
          <cell r="B4667">
            <v>6961104</v>
          </cell>
          <cell r="C4667" t="str">
            <v>PFJ</v>
          </cell>
          <cell r="D4667" t="str">
            <v>ACCESORIO P/ANCLAJE TRANSF. AC.GAL.CAL.10X60X420MM</v>
          </cell>
        </row>
        <row r="4668">
          <cell r="B4668">
            <v>6961104</v>
          </cell>
          <cell r="C4668" t="str">
            <v>PIC</v>
          </cell>
          <cell r="D4668" t="str">
            <v>ACCESORIO P/ANCLAJE TRANSF. AC.GAL.CAL.10X60X420MM</v>
          </cell>
        </row>
        <row r="4669">
          <cell r="B4669">
            <v>6961104</v>
          </cell>
          <cell r="C4669" t="str">
            <v>SML</v>
          </cell>
          <cell r="D4669" t="str">
            <v>ACCESORIO P/ANCLAJE TRANSF. AC.GAL.CAL.10X60X420MM</v>
          </cell>
        </row>
        <row r="4670">
          <cell r="B4670">
            <v>6961104</v>
          </cell>
          <cell r="C4670" t="str">
            <v>TAS</v>
          </cell>
          <cell r="D4670" t="str">
            <v>ACCESORIO P/ANCLAJE TRANSF. AC.GAL.CAL.10X60X420MM</v>
          </cell>
        </row>
        <row r="4671">
          <cell r="B4671">
            <v>6961110</v>
          </cell>
          <cell r="C4671" t="str">
            <v>TAS</v>
          </cell>
          <cell r="D4671" t="str">
            <v>PLATAFORMA SOPORTE  FO.GO. PARA TRANSFORMADOR EN SAM/SAS.</v>
          </cell>
        </row>
        <row r="4672">
          <cell r="B4672">
            <v>6961120</v>
          </cell>
          <cell r="C4672" t="str">
            <v>TAS</v>
          </cell>
          <cell r="D4672" t="str">
            <v>PLATAFORMA SOPORTE  FO.GO. PARA TRANSFORMADOR SAB.</v>
          </cell>
        </row>
        <row r="4673">
          <cell r="B4673">
            <v>6961140</v>
          </cell>
          <cell r="C4673" t="str">
            <v>ELD</v>
          </cell>
          <cell r="D4673" t="str">
            <v>SOPORTE PTA.POSTE P.AISL.PIN PORCELANA 10KV.</v>
          </cell>
        </row>
        <row r="4674">
          <cell r="B4674">
            <v>6961140</v>
          </cell>
          <cell r="C4674" t="str">
            <v>TAS</v>
          </cell>
          <cell r="D4674" t="str">
            <v>SOPORTE PTA.POSTE P.AISL.PIN PORCELANA 10KV.</v>
          </cell>
        </row>
        <row r="4675">
          <cell r="B4675">
            <v>6961150</v>
          </cell>
          <cell r="C4675" t="str">
            <v>ELD</v>
          </cell>
          <cell r="D4675" t="str">
            <v>SOPORTE DE ACERO GALV. P.AISLADOR TP.PIN HIBRIDO 10KV</v>
          </cell>
        </row>
        <row r="4676">
          <cell r="B4676">
            <v>6961150</v>
          </cell>
          <cell r="C4676" t="str">
            <v>TAS</v>
          </cell>
          <cell r="D4676" t="str">
            <v>SOPORTE DE ACERO GALV. P.AISLADOR TP.PIN HIBRIDO 10KV</v>
          </cell>
        </row>
        <row r="4677">
          <cell r="B4677">
            <v>6961160</v>
          </cell>
          <cell r="C4677" t="str">
            <v>ELD</v>
          </cell>
          <cell r="D4677" t="str">
            <v>SOPORTE DE ACERO GALV. P.AISLADOR TP.PIN POLIMERICO 22,9KV</v>
          </cell>
        </row>
        <row r="4678">
          <cell r="B4678">
            <v>6961160</v>
          </cell>
          <cell r="C4678" t="str">
            <v>MDP</v>
          </cell>
          <cell r="D4678" t="str">
            <v>SOPORTE DE ACERO GALV. P.AISLADOR TP.PIN POLIMERICO 22,9KV</v>
          </cell>
        </row>
        <row r="4679">
          <cell r="B4679">
            <v>6961160</v>
          </cell>
          <cell r="C4679" t="str">
            <v>MEG</v>
          </cell>
          <cell r="D4679" t="str">
            <v>SOPORTE DE ACERO GALV. P.AISLADOR TP.PIN POLIMERICO 22,9KV</v>
          </cell>
        </row>
        <row r="4680">
          <cell r="B4680">
            <v>6961160</v>
          </cell>
          <cell r="C4680" t="str">
            <v>SML</v>
          </cell>
          <cell r="D4680" t="str">
            <v>SOPORTE DE ACERO GALV. P.AISLADOR TP.PIN POLIMERICO 22,9KV</v>
          </cell>
        </row>
        <row r="4681">
          <cell r="B4681">
            <v>6961160</v>
          </cell>
          <cell r="C4681" t="str">
            <v>TAS</v>
          </cell>
          <cell r="D4681" t="str">
            <v>SOPORTE DE ACERO GALV. P.AISLADOR TP.PIN POLIMERICO 22,9KV</v>
          </cell>
        </row>
        <row r="4682">
          <cell r="B4682">
            <v>6961204</v>
          </cell>
          <cell r="C4682" t="str">
            <v>TAS</v>
          </cell>
          <cell r="D4682" t="str">
            <v>SOPORTE P.SECC. TABL.DISTRIB.SECUND. AP. SAM TAM.1</v>
          </cell>
        </row>
        <row r="4683">
          <cell r="B4683">
            <v>6962004</v>
          </cell>
          <cell r="C4683" t="str">
            <v>TAS</v>
          </cell>
          <cell r="D4683" t="str">
            <v>PORTACOLUMNA P.TABL. DE SE. CONV. BT. 50X50X2550MM</v>
          </cell>
        </row>
        <row r="4684">
          <cell r="B4684">
            <v>6962006</v>
          </cell>
          <cell r="C4684" t="str">
            <v>TAS</v>
          </cell>
          <cell r="D4684" t="str">
            <v>PORTACOLUMNA P.TABL.ESP.SE.CONV.BT.   50X50X1000MM</v>
          </cell>
        </row>
        <row r="4685">
          <cell r="B4685">
            <v>6962008</v>
          </cell>
          <cell r="C4685" t="str">
            <v>TAS</v>
          </cell>
          <cell r="D4685" t="str">
            <v>SOPORTE P.COLUMNA TABL.DISTRIB.SECUND.SE.CONV.</v>
          </cell>
        </row>
        <row r="4686">
          <cell r="B4686">
            <v>6962030</v>
          </cell>
          <cell r="C4686" t="str">
            <v>CHA</v>
          </cell>
          <cell r="D4686" t="str">
            <v>SOPORTE P.CAJA LTR / LR DE 165X60X170X0,8MM COLOR GRIS P.ACERCAR MEDIDOR HACIA TAPA DE CAJA</v>
          </cell>
        </row>
        <row r="4687">
          <cell r="B4687">
            <v>6962030</v>
          </cell>
          <cell r="C4687" t="str">
            <v>IDS</v>
          </cell>
          <cell r="D4687" t="str">
            <v>SOPORTE P.CAJA LTR / LR DE 165X60X170X0,8MM COLOR GRIS P.ACERCAR MEDIDOR HACIA TAPA DE CAJA</v>
          </cell>
        </row>
        <row r="4688">
          <cell r="B4688">
            <v>6962202</v>
          </cell>
          <cell r="C4688" t="str">
            <v>ELD</v>
          </cell>
          <cell r="D4688" t="str">
            <v>SOPORTE P.MODUL.DISTRIB.SECUND.AP. SAB-SCP-SCB T.1</v>
          </cell>
        </row>
        <row r="4689">
          <cell r="B4689">
            <v>6962202</v>
          </cell>
          <cell r="C4689" t="str">
            <v>MDP</v>
          </cell>
          <cell r="D4689" t="str">
            <v>SOPORTE P.MODUL.DISTRIB.SECUND.AP. SAB-SCP-SCB T.1</v>
          </cell>
        </row>
        <row r="4690">
          <cell r="B4690">
            <v>6962202</v>
          </cell>
          <cell r="C4690" t="str">
            <v>MEG</v>
          </cell>
          <cell r="D4690" t="str">
            <v>SOPORTE P.MODUL.DISTRIB.SECUND.AP. SAB-SCP-SCB T.1</v>
          </cell>
        </row>
        <row r="4691">
          <cell r="B4691">
            <v>6962202</v>
          </cell>
          <cell r="C4691" t="str">
            <v>SML</v>
          </cell>
          <cell r="D4691" t="str">
            <v>SOPORTE P.MODUL.DISTRIB.SECUND.AP. SAB-SCP-SCB T.1</v>
          </cell>
        </row>
        <row r="4692">
          <cell r="B4692">
            <v>6962202</v>
          </cell>
          <cell r="C4692" t="str">
            <v>TAS</v>
          </cell>
          <cell r="D4692" t="str">
            <v>SOPORTE P.MODUL.DISTRIB.SECUND.AP. SAB-SCP-SCB T.1</v>
          </cell>
        </row>
        <row r="4693">
          <cell r="B4693">
            <v>6962204</v>
          </cell>
          <cell r="C4693" t="str">
            <v>CHA</v>
          </cell>
          <cell r="D4693" t="str">
            <v>SOPORTE P.MODUL.DISTRIB.SECUND.AP. SAB-SCP-SCB T.2</v>
          </cell>
        </row>
        <row r="4694">
          <cell r="B4694">
            <v>6962204</v>
          </cell>
          <cell r="C4694" t="str">
            <v>ELD</v>
          </cell>
          <cell r="D4694" t="str">
            <v>SOPORTE P.MODUL.DISTRIB.SECUND.AP. SAB-SCP-SCB T.2</v>
          </cell>
        </row>
        <row r="4695">
          <cell r="B4695">
            <v>6962208</v>
          </cell>
          <cell r="C4695" t="str">
            <v>TAS</v>
          </cell>
          <cell r="D4695" t="str">
            <v>SOPORTE COMPL.MODUL.DISTRIB.SECUND.SAB-SCB-SCP T.2</v>
          </cell>
        </row>
        <row r="4696">
          <cell r="B4696">
            <v>6962220</v>
          </cell>
          <cell r="C4696" t="str">
            <v>TAS</v>
          </cell>
          <cell r="D4696" t="str">
            <v>SOPORTE P.TABL.DISTRIB.SECUND.AP.SE.CONV. 5 X7.5M.</v>
          </cell>
        </row>
        <row r="4697">
          <cell r="B4697">
            <v>6981012</v>
          </cell>
          <cell r="C4697" t="str">
            <v>IAT</v>
          </cell>
          <cell r="D4697" t="str">
            <v>BARRA COLECTORA BT.SE.CONV. 100/250KVA 8X60X1030MM</v>
          </cell>
        </row>
        <row r="4698">
          <cell r="B4698">
            <v>6981014</v>
          </cell>
          <cell r="C4698" t="str">
            <v>IAT</v>
          </cell>
          <cell r="D4698" t="str">
            <v>BARRA COLECTORA BT.SE.CONV.    400KVA. 8X80X1110MM</v>
          </cell>
        </row>
        <row r="4699">
          <cell r="B4699">
            <v>6981016</v>
          </cell>
          <cell r="C4699" t="str">
            <v>IAT</v>
          </cell>
          <cell r="D4699" t="str">
            <v>BARRA COLECTORA BT.SE.CONV.    630KVA  8X80X1190MM</v>
          </cell>
        </row>
        <row r="4700">
          <cell r="B4700">
            <v>6981045</v>
          </cell>
          <cell r="C4700" t="str">
            <v>IBR</v>
          </cell>
          <cell r="D4700" t="str">
            <v>BARRA DE DERIVACION DE COBRE O BRONCE 144MM2 AISLADA 12 SALIDAS 75KW 220V 200A P.SUB ACOMETIDAS</v>
          </cell>
        </row>
        <row r="4701">
          <cell r="B4701">
            <v>6981045</v>
          </cell>
          <cell r="C4701" t="str">
            <v>TNC</v>
          </cell>
          <cell r="D4701" t="str">
            <v>BARRA DE DERIVACION DE COBRE O BRONCE 144MM2 AISLADA 12 SALIDAS 75KW 220V 200A P.SUB ACOMETIDAS</v>
          </cell>
        </row>
        <row r="4702">
          <cell r="B4702">
            <v>6981436</v>
          </cell>
          <cell r="C4702" t="str">
            <v>TAL</v>
          </cell>
          <cell r="D4702" t="str">
            <v>SUPLE DE CU ESTAÑADO 30X88X5MM 5350KG P. LOS TERMINALES DEL SECCIONADOR VERTICAL NH</v>
          </cell>
        </row>
        <row r="4703">
          <cell r="B4703">
            <v>6984010</v>
          </cell>
          <cell r="C4703" t="str">
            <v>ELD</v>
          </cell>
          <cell r="D4703" t="str">
            <v>MASTIL ACERO GALV. 1 1/2" DIAM. 3,5M ALTURA P.ACOMETIDA AEREA</v>
          </cell>
        </row>
        <row r="4704">
          <cell r="B4704">
            <v>6984010</v>
          </cell>
          <cell r="C4704" t="str">
            <v>MEG</v>
          </cell>
          <cell r="D4704" t="str">
            <v>MASTIL ACERO GALV. 1 1/2" DIAM. 3,5M ALTURA P.ACOMETIDA AEREA</v>
          </cell>
        </row>
        <row r="4705">
          <cell r="B4705">
            <v>6984010</v>
          </cell>
          <cell r="C4705" t="str">
            <v>PIC</v>
          </cell>
          <cell r="D4705" t="str">
            <v>MASTIL ACERO GALV. 1 1/2" DIAM. 3,5M ALTURA P.ACOMETIDA AEREA</v>
          </cell>
        </row>
        <row r="4706">
          <cell r="B4706">
            <v>6984010</v>
          </cell>
          <cell r="C4706" t="str">
            <v>TMI</v>
          </cell>
          <cell r="D4706" t="str">
            <v>MASTIL ACERO GALV. 1 1/2" DIAM. 3,5M ALTURA P.ACOMETIDA AEREA</v>
          </cell>
        </row>
        <row r="4707">
          <cell r="B4707">
            <v>6984012</v>
          </cell>
          <cell r="C4707" t="str">
            <v>ELD</v>
          </cell>
          <cell r="D4707" t="str">
            <v>MASTIL ACERO GALV. 1 1/2" DIAM. 6M ALTURA P.ACOMETIDA AEREA</v>
          </cell>
        </row>
        <row r="4708">
          <cell r="B4708">
            <v>6984012</v>
          </cell>
          <cell r="C4708" t="str">
            <v>MEG</v>
          </cell>
          <cell r="D4708" t="str">
            <v>MASTIL ACERO GALV. 1 1/2" DIAM. 6M ALTURA P.ACOMETIDA AEREA</v>
          </cell>
        </row>
        <row r="4709">
          <cell r="B4709">
            <v>6984012</v>
          </cell>
          <cell r="C4709" t="str">
            <v>PIC</v>
          </cell>
          <cell r="D4709" t="str">
            <v>MASTIL ACERO GALV. 1 1/2" DIAM. 6M ALTURA P.ACOMETIDA AEREA</v>
          </cell>
        </row>
        <row r="4710">
          <cell r="B4710">
            <v>6984012</v>
          </cell>
          <cell r="C4710" t="str">
            <v>TMI</v>
          </cell>
          <cell r="D4710" t="str">
            <v>MASTIL ACERO GALV. 1 1/2" DIAM. 6M ALTURA P.ACOMETIDA AEREA</v>
          </cell>
        </row>
        <row r="4711">
          <cell r="B4711">
            <v>6984014</v>
          </cell>
          <cell r="C4711" t="str">
            <v>ELD</v>
          </cell>
          <cell r="D4711" t="str">
            <v>MASTIL ACERO GALV. 1 1/2" DIAM. 6M ALTURA CONSTITUIDO P.2 TUBOS EMBONABLES P.ACOMETIDA AEREA</v>
          </cell>
        </row>
        <row r="4712">
          <cell r="B4712">
            <v>6984014</v>
          </cell>
          <cell r="C4712" t="str">
            <v>MEG</v>
          </cell>
          <cell r="D4712" t="str">
            <v>MASTIL ACERO GALV. 1 1/2" DIAM. 6M ALTURA CONSTITUIDO P.2 TUBOS EMBONABLES P.ACOMETIDA AEREA</v>
          </cell>
        </row>
        <row r="4713">
          <cell r="B4713">
            <v>6984014</v>
          </cell>
          <cell r="C4713" t="str">
            <v>PIC</v>
          </cell>
          <cell r="D4713" t="str">
            <v>MASTIL ACERO GALV. 1 1/2" DIAM. 6M ALTURA CONSTITUIDO P.2 TUBOS EMBONABLES P.ACOMETIDA AEREA</v>
          </cell>
        </row>
        <row r="4714">
          <cell r="B4714">
            <v>6984014</v>
          </cell>
          <cell r="C4714" t="str">
            <v>TMI</v>
          </cell>
          <cell r="D4714" t="str">
            <v>MASTIL ACERO GALV. 1 1/2" DIAM. 6M ALTURA CONSTITUIDO P.2 TUBOS EMBONABLES P.ACOMETIDA AEREA</v>
          </cell>
        </row>
        <row r="4715">
          <cell r="B4715">
            <v>6984019</v>
          </cell>
          <cell r="C4715" t="str">
            <v>FBL</v>
          </cell>
          <cell r="D4715" t="str">
            <v>MASTIL ACERO 1 1/2" DIAM. 6M ALTURA RECUBIERTO DE PRFV 3MM P. CAJA AUTOSOPORTADA</v>
          </cell>
        </row>
        <row r="4716">
          <cell r="B4716">
            <v>6984019</v>
          </cell>
          <cell r="C4716" t="str">
            <v>FBP</v>
          </cell>
          <cell r="D4716" t="str">
            <v>MASTIL ACERO 1 1/2" DIAM. 6M ALTURA RECUBIERTO DE PRFV 3MM P. CAJA AUTOSOPORTADA</v>
          </cell>
        </row>
        <row r="4717">
          <cell r="B4717">
            <v>6984020</v>
          </cell>
          <cell r="C4717" t="str">
            <v>FBL</v>
          </cell>
          <cell r="D4717" t="str">
            <v>MASTIL ACERO 1 1/4" DIAM. 3,5M ALTURA RECUBIERTO DE PRFV 2,5MM P.ACOMETIDA AEREA</v>
          </cell>
        </row>
        <row r="4718">
          <cell r="B4718">
            <v>6984020</v>
          </cell>
          <cell r="C4718" t="str">
            <v>FBP</v>
          </cell>
          <cell r="D4718" t="str">
            <v>MASTIL ACERO 1 1/4" DIAM. 3,5M ALTURA RECUBIERTO DE PRFV 2,5MM P.ACOMETIDA AEREA</v>
          </cell>
        </row>
        <row r="4719">
          <cell r="B4719">
            <v>6984023</v>
          </cell>
          <cell r="C4719" t="str">
            <v>FBL</v>
          </cell>
          <cell r="D4719" t="str">
            <v>MASTIL ACERO 1 1/2" DIAM. 6M ALTURA RECUBIERTO DE PRFV 3MM P.ACOMETIDA AEREA A MURETE</v>
          </cell>
        </row>
        <row r="4720">
          <cell r="B4720">
            <v>6984023</v>
          </cell>
          <cell r="C4720" t="str">
            <v>FBP</v>
          </cell>
          <cell r="D4720" t="str">
            <v>MASTIL ACERO 1 1/2" DIAM. 6M ALTURA RECUBIERTO DE PRFV 3MM P.ACOMETIDA AEREA A MURETE</v>
          </cell>
        </row>
        <row r="4721">
          <cell r="B4721">
            <v>6984025</v>
          </cell>
          <cell r="C4721" t="str">
            <v>FBR</v>
          </cell>
          <cell r="D4721" t="str">
            <v>MASTIL DE POLIESTER REFORZADO C.FIBRA DE VIDRIO 3,5M ALTURA P.ACOMETIDA AEREA</v>
          </cell>
        </row>
        <row r="4722">
          <cell r="B4722">
            <v>6984025</v>
          </cell>
          <cell r="C4722" t="str">
            <v>FPK</v>
          </cell>
          <cell r="D4722" t="str">
            <v>MASTIL DE POLIESTER REFORZADO C.FIBRA DE VIDRIO 3,5M ALTURA P.ACOMETIDA AEREA</v>
          </cell>
        </row>
        <row r="4723">
          <cell r="B4723">
            <v>6984027</v>
          </cell>
          <cell r="C4723" t="str">
            <v>FBL</v>
          </cell>
          <cell r="D4723" t="str">
            <v>MASTIL ACERO 1 1/4" DIAM. 3,5M ALTURA RECUBIERTO PRFV 2,5MM P.CAJA AUTOSOPORTADA PRFV EN ACOMETIDA</v>
          </cell>
        </row>
        <row r="4724">
          <cell r="B4724">
            <v>6984027</v>
          </cell>
          <cell r="C4724" t="str">
            <v>FBP</v>
          </cell>
          <cell r="D4724" t="str">
            <v>MASTIL ACERO 1 1/4" DIAM. 3,5M ALTURA RECUBIERTO PRFV 2,5MM P.CAJA AUTOSOPORTADA PRFV EN ACOMETIDA</v>
          </cell>
        </row>
        <row r="4725">
          <cell r="B4725">
            <v>6986012</v>
          </cell>
          <cell r="C4725" t="str">
            <v>FAS</v>
          </cell>
          <cell r="D4725" t="str">
            <v>BORNE PORTAFUSIBLE IZQUIERDO P.CAJA TOMA  TP.TC-30</v>
          </cell>
        </row>
        <row r="4726">
          <cell r="B4726">
            <v>6986022</v>
          </cell>
          <cell r="C4726" t="str">
            <v>ELC</v>
          </cell>
          <cell r="D4726" t="str">
            <v>BORNE TP.F P.BASE PORTAFUS. DE CJ. F1-F2-F3   350A</v>
          </cell>
        </row>
        <row r="4727">
          <cell r="B4727">
            <v>6986108</v>
          </cell>
          <cell r="C4727" t="str">
            <v>ELC</v>
          </cell>
          <cell r="D4727" t="str">
            <v>CONECTOR BR.P.ELECTRODO PUESTA A TIERRA *SID-ET-46</v>
          </cell>
        </row>
        <row r="4728">
          <cell r="B4728">
            <v>6986108</v>
          </cell>
          <cell r="C4728" t="str">
            <v>EMS</v>
          </cell>
          <cell r="D4728" t="str">
            <v>CONECTOR BR.P.ELECTRODO PUESTA A TIERRA *SID-ET-46</v>
          </cell>
        </row>
        <row r="4729">
          <cell r="B4729">
            <v>6986108</v>
          </cell>
          <cell r="C4729" t="str">
            <v>FAS</v>
          </cell>
          <cell r="D4729" t="str">
            <v>CONECTOR BR.P.ELECTRODO PUESTA A TIERRA *SID-ET-46</v>
          </cell>
        </row>
        <row r="4730">
          <cell r="B4730">
            <v>6986108</v>
          </cell>
          <cell r="C4730" t="str">
            <v>TAL</v>
          </cell>
          <cell r="D4730" t="str">
            <v>CONECTOR BR.P.ELECTRODO PUESTA A TIERRA *SID-ET-46</v>
          </cell>
        </row>
        <row r="4731">
          <cell r="B4731">
            <v>6986214</v>
          </cell>
          <cell r="C4731" t="str">
            <v>CPW</v>
          </cell>
          <cell r="D4731" t="str">
            <v>BORNE DE CONEXION ENTRE BARRA Y CABLE   107-120MM2</v>
          </cell>
        </row>
        <row r="4732">
          <cell r="B4732">
            <v>6986214</v>
          </cell>
          <cell r="C4732" t="str">
            <v>FAS</v>
          </cell>
          <cell r="D4732" t="str">
            <v>BORNE DE CONEXION ENTRE BARRA Y CABLE   107-120MM2</v>
          </cell>
        </row>
        <row r="4733">
          <cell r="B4733">
            <v>6986214</v>
          </cell>
          <cell r="C4733" t="str">
            <v>JSY</v>
          </cell>
          <cell r="D4733" t="str">
            <v>BORNE DE CONEXION ENTRE BARRA Y CABLE   107-120MM2</v>
          </cell>
        </row>
        <row r="4734">
          <cell r="B4734">
            <v>6986214</v>
          </cell>
          <cell r="C4734" t="str">
            <v>SCS</v>
          </cell>
          <cell r="D4734" t="str">
            <v>BORNE DE CONEXION ENTRE BARRA Y CABLE   107-120MM2</v>
          </cell>
        </row>
        <row r="4735">
          <cell r="B4735">
            <v>6986218</v>
          </cell>
          <cell r="C4735" t="str">
            <v>CPW</v>
          </cell>
          <cell r="D4735" t="str">
            <v>BORNE DE CONEXION ENTRE BARRA Y CABLE   150-185MM2</v>
          </cell>
        </row>
        <row r="4736">
          <cell r="B4736">
            <v>6986218</v>
          </cell>
          <cell r="C4736" t="str">
            <v>FAS</v>
          </cell>
          <cell r="D4736" t="str">
            <v>BORNE DE CONEXION ENTRE BARRA Y CABLE   150-185MM2</v>
          </cell>
        </row>
        <row r="4737">
          <cell r="B4737">
            <v>6986218</v>
          </cell>
          <cell r="C4737" t="str">
            <v>JSY</v>
          </cell>
          <cell r="D4737" t="str">
            <v>BORNE DE CONEXION ENTRE BARRA Y CABLE   150-185MM2</v>
          </cell>
        </row>
        <row r="4738">
          <cell r="B4738">
            <v>6986218</v>
          </cell>
          <cell r="C4738" t="str">
            <v>SCS</v>
          </cell>
          <cell r="D4738" t="str">
            <v>BORNE DE CONEXION ENTRE BARRA Y CABLE   150-185MM2</v>
          </cell>
        </row>
        <row r="4739">
          <cell r="B4739">
            <v>6986222</v>
          </cell>
          <cell r="C4739" t="str">
            <v>CPW</v>
          </cell>
          <cell r="D4739" t="str">
            <v>BORNE CONEX./ BARRA Y CABLE 240-300MM2.P.TRANSF.</v>
          </cell>
        </row>
        <row r="4740">
          <cell r="B4740">
            <v>6986222</v>
          </cell>
          <cell r="C4740" t="str">
            <v>FAS</v>
          </cell>
          <cell r="D4740" t="str">
            <v>BORNE CONEX./ BARRA Y CABLE 240-300MM2.P.TRANSF.</v>
          </cell>
        </row>
        <row r="4741">
          <cell r="B4741">
            <v>6986222</v>
          </cell>
          <cell r="C4741" t="str">
            <v>JSY</v>
          </cell>
          <cell r="D4741" t="str">
            <v>BORNE CONEX./ BARRA Y CABLE 240-300MM2.P.TRANSF.</v>
          </cell>
        </row>
        <row r="4742">
          <cell r="B4742">
            <v>6986222</v>
          </cell>
          <cell r="C4742" t="str">
            <v>SCS</v>
          </cell>
          <cell r="D4742" t="str">
            <v>BORNE CONEX./ BARRA Y CABLE 240-300MM2.P.TRANSF.</v>
          </cell>
        </row>
        <row r="4743">
          <cell r="B4743">
            <v>6986224</v>
          </cell>
          <cell r="C4743" t="str">
            <v>FAS</v>
          </cell>
          <cell r="D4743" t="str">
            <v>BORNE DE CONEXION ENTRE BARRA Y CABLE 240-300MM2.P/CAJA TER.</v>
          </cell>
        </row>
        <row r="4744">
          <cell r="B4744">
            <v>6986226</v>
          </cell>
          <cell r="C4744" t="str">
            <v>CPW</v>
          </cell>
          <cell r="D4744" t="str">
            <v>BORNE DE CONEXION ENTRE BARRA Y CABLE       500MM2</v>
          </cell>
        </row>
        <row r="4745">
          <cell r="B4745">
            <v>6986226</v>
          </cell>
          <cell r="C4745" t="str">
            <v>FAS</v>
          </cell>
          <cell r="D4745" t="str">
            <v>BORNE DE CONEXION ENTRE BARRA Y CABLE       500MM2</v>
          </cell>
        </row>
        <row r="4746">
          <cell r="B4746">
            <v>6986226</v>
          </cell>
          <cell r="C4746" t="str">
            <v>JSY</v>
          </cell>
          <cell r="D4746" t="str">
            <v>BORNE DE CONEXION ENTRE BARRA Y CABLE       500MM2</v>
          </cell>
        </row>
        <row r="4747">
          <cell r="B4747">
            <v>6986226</v>
          </cell>
          <cell r="C4747" t="str">
            <v>SCS</v>
          </cell>
          <cell r="D4747" t="str">
            <v>BORNE DE CONEXION ENTRE BARRA Y CABLE       500MM2</v>
          </cell>
        </row>
        <row r="4748">
          <cell r="B4748">
            <v>6986226</v>
          </cell>
          <cell r="C4748" t="str">
            <v>TAL</v>
          </cell>
          <cell r="D4748" t="str">
            <v>BORNE DE CONEXION ENTRE BARRA Y CABLE       500MM2</v>
          </cell>
        </row>
        <row r="4749">
          <cell r="B4749">
            <v>8412118</v>
          </cell>
          <cell r="C4749" t="str">
            <v>ABB</v>
          </cell>
          <cell r="D4749" t="str">
            <v>BATERIA ESTACIONARIA 12V 35 AH LIBRE MANTENIMIENTO</v>
          </cell>
        </row>
        <row r="4750">
          <cell r="B4750">
            <v>8412118</v>
          </cell>
          <cell r="C4750" t="str">
            <v>BOS</v>
          </cell>
          <cell r="D4750" t="str">
            <v>BATERIA ESTACIONARIA 12V 35 AH LIBRE MANTENIMIENTO</v>
          </cell>
        </row>
        <row r="4751">
          <cell r="B4751">
            <v>8412118</v>
          </cell>
          <cell r="C4751" t="str">
            <v>BOS</v>
          </cell>
          <cell r="D4751" t="str">
            <v>BATERIA ESTACIONARIA 12V 35 AH LIBRE MANTENIMIENTO</v>
          </cell>
        </row>
        <row r="4752">
          <cell r="B4752">
            <v>8412210</v>
          </cell>
          <cell r="C4752" t="str">
            <v>MEI</v>
          </cell>
          <cell r="D4752" t="str">
            <v>CARGADOR MONOFASICO AUTOMATICO ELECTRONICO DE BATERIAS 4A 90W 220V AC / 24V DC</v>
          </cell>
        </row>
        <row r="4753">
          <cell r="B4753">
            <v>8412210</v>
          </cell>
          <cell r="C4753" t="str">
            <v>SEG</v>
          </cell>
          <cell r="D4753" t="str">
            <v>CARGADOR MONOFASICO AUTOMATICO ELECTRONICO DE BATERIAS 4A 90W 220V AC / 24V DC</v>
          </cell>
        </row>
        <row r="4754">
          <cell r="B4754">
            <v>8412214</v>
          </cell>
          <cell r="C4754" t="str">
            <v>AEE</v>
          </cell>
          <cell r="D4754" t="str">
            <v>CARGADOR-RECTIFICADOR BATERIAS, MONO.230VAC/24-27,5VDC</v>
          </cell>
        </row>
        <row r="4755">
          <cell r="B4755">
            <v>8412214</v>
          </cell>
          <cell r="C4755" t="str">
            <v>MEI</v>
          </cell>
          <cell r="D4755" t="str">
            <v>CARGADOR-RECTIFICADOR BATERIAS, MONO.230VAC/24-27,5VDC</v>
          </cell>
        </row>
        <row r="4756">
          <cell r="B4756">
            <v>8412214</v>
          </cell>
          <cell r="C4756" t="str">
            <v>SEG</v>
          </cell>
          <cell r="D4756" t="str">
            <v>CARGADOR-RECTIFICADOR BATERIAS, MONO.230VAC/24-27,5VDC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 refreshError="1">
        <row r="2">
          <cell r="A2">
            <v>661011</v>
          </cell>
          <cell r="B2" t="str">
            <v>BOTIN DE SEGURIDAD DE CUERO BOX CALF COLOR NEGRO PUNTA REFORZADA PLANTA COMBINADA 14KV TALLA 42</v>
          </cell>
          <cell r="C2" t="str">
            <v>PR</v>
          </cell>
          <cell r="D2">
            <v>80.513000000000005</v>
          </cell>
        </row>
        <row r="3">
          <cell r="A3">
            <v>711250</v>
          </cell>
          <cell r="B3" t="str">
            <v>GUANTE DE CAUCHO, M.T.CL2, TL9-14",MAX.17,0KV</v>
          </cell>
          <cell r="C3" t="str">
            <v>PR</v>
          </cell>
          <cell r="D3">
            <v>440.05</v>
          </cell>
        </row>
        <row r="4">
          <cell r="A4">
            <v>711468</v>
          </cell>
          <cell r="B4" t="str">
            <v>GUANTE PROTECTOR DE GUANTE DIELECTRICO P.BAJA TENSION TALLA 10 - 10 1/2</v>
          </cell>
          <cell r="C4" t="str">
            <v>PR</v>
          </cell>
          <cell r="D4">
            <v>11.941000000000001</v>
          </cell>
        </row>
        <row r="5">
          <cell r="A5">
            <v>712812</v>
          </cell>
          <cell r="B5" t="str">
            <v>SOPORTE UNIVERSAL P.PANTALLA FACIAL.ANTI IMPACTOS CON ACCESORIOS, ADAPTABLE A CASCO, COLOR NEGRO</v>
          </cell>
          <cell r="C5" t="str">
            <v>UN</v>
          </cell>
          <cell r="D5">
            <v>24.094999999999999</v>
          </cell>
        </row>
        <row r="6">
          <cell r="A6">
            <v>715111</v>
          </cell>
          <cell r="B6" t="str">
            <v>CASCO SEGURIDAD BLANCO, SIN LOGO,CLASE E,TIPO 1</v>
          </cell>
          <cell r="C6" t="str">
            <v>UN</v>
          </cell>
          <cell r="D6">
            <v>19.225000000000001</v>
          </cell>
        </row>
        <row r="7">
          <cell r="A7">
            <v>715847</v>
          </cell>
          <cell r="B7" t="str">
            <v>PANTALLA FACIAL (CARETA) P/PROTECCION ANTIIMPACTO, POLICARBONATO TRANSP. PROTECC.ANTI UV</v>
          </cell>
          <cell r="C7" t="str">
            <v>UN</v>
          </cell>
          <cell r="D7">
            <v>5.8789999999999996</v>
          </cell>
        </row>
        <row r="8">
          <cell r="A8">
            <v>716520</v>
          </cell>
          <cell r="B8" t="str">
            <v>BANCO AISLANTE TP.INTERIOR 50X50CM C.NIVEL DE AISLAMIENTO 24KV</v>
          </cell>
          <cell r="C8" t="str">
            <v>UN</v>
          </cell>
          <cell r="D8">
            <v>274.12</v>
          </cell>
        </row>
        <row r="9">
          <cell r="A9">
            <v>768081</v>
          </cell>
          <cell r="B9" t="str">
            <v>CINTA SEÑALIZADORA DE SEGURIDAD.</v>
          </cell>
          <cell r="C9" t="str">
            <v>M</v>
          </cell>
          <cell r="D9">
            <v>0.16600000000000001</v>
          </cell>
        </row>
        <row r="10">
          <cell r="A10">
            <v>768085</v>
          </cell>
          <cell r="B10" t="str">
            <v>CINTA SEÑALIZADORA ADHESIVA AZUL 50,8MM X 32,9M</v>
          </cell>
          <cell r="C10" t="str">
            <v>RO</v>
          </cell>
          <cell r="D10">
            <v>46.131</v>
          </cell>
        </row>
        <row r="11">
          <cell r="A11">
            <v>823207</v>
          </cell>
          <cell r="B11" t="str">
            <v>TOCUYO DE ALGODON 100%  0.60/0.80 X 1 M.</v>
          </cell>
          <cell r="C11" t="str">
            <v>KG</v>
          </cell>
          <cell r="D11">
            <v>12</v>
          </cell>
        </row>
        <row r="12">
          <cell r="A12">
            <v>911051</v>
          </cell>
          <cell r="B12" t="str">
            <v>PERNO HO.GALV.CAB. HEXAG. 1/4  X 1"  C/TUERCA."</v>
          </cell>
          <cell r="C12" t="str">
            <v>UN</v>
          </cell>
          <cell r="D12">
            <v>9.1999999999999998E-2</v>
          </cell>
        </row>
        <row r="13">
          <cell r="A13">
            <v>911052</v>
          </cell>
          <cell r="B13" t="str">
            <v>PERNO HO.GALV.CAB.HEXAG. 1/4  X 1.1/2"  C/TUERCA."</v>
          </cell>
          <cell r="C13" t="str">
            <v>UN</v>
          </cell>
          <cell r="D13">
            <v>7.4999999999999997E-2</v>
          </cell>
        </row>
        <row r="14">
          <cell r="A14">
            <v>911062</v>
          </cell>
          <cell r="B14" t="str">
            <v>PERNO HO.GALV.CAB.HEXAG. 5/16  X 1.1/2"  C/TUERCA."</v>
          </cell>
          <cell r="C14" t="str">
            <v>UN</v>
          </cell>
          <cell r="D14">
            <v>0.65</v>
          </cell>
        </row>
        <row r="15">
          <cell r="A15">
            <v>911065</v>
          </cell>
          <cell r="B15" t="str">
            <v>PERNO HO GO HEXA 5/16 X2 1/2 CON TUERCA</v>
          </cell>
          <cell r="C15" t="str">
            <v>UN</v>
          </cell>
          <cell r="D15">
            <v>0.25800000000000001</v>
          </cell>
        </row>
        <row r="16">
          <cell r="A16">
            <v>911070</v>
          </cell>
          <cell r="B16" t="str">
            <v>PERNO HO.GALV.CAB.HEXAG. 3/8  X 1"  C/TUERCA."</v>
          </cell>
          <cell r="C16" t="str">
            <v>UN</v>
          </cell>
          <cell r="D16">
            <v>0.14099999999999999</v>
          </cell>
        </row>
        <row r="17">
          <cell r="A17">
            <v>911071</v>
          </cell>
          <cell r="B17" t="str">
            <v>PERNO HO.GALV.CAB.HEXAG. 3/8  X 1.1/2"  C/TUERCA."</v>
          </cell>
          <cell r="C17" t="str">
            <v>UN</v>
          </cell>
          <cell r="D17">
            <v>0.184</v>
          </cell>
        </row>
        <row r="18">
          <cell r="A18">
            <v>911072</v>
          </cell>
          <cell r="B18" t="str">
            <v>PERNO HO.GALV.CAB.HEXAG. 3/8  X 2"  C/TUERCA."</v>
          </cell>
          <cell r="C18" t="str">
            <v>UN</v>
          </cell>
          <cell r="D18">
            <v>0.23100000000000001</v>
          </cell>
        </row>
        <row r="19">
          <cell r="A19">
            <v>911073</v>
          </cell>
          <cell r="B19" t="str">
            <v>PERNO HO.GALV.CAB.HEXAG. 3/8  X 2.1/2"  C/TUERCA."</v>
          </cell>
          <cell r="C19" t="str">
            <v>UN</v>
          </cell>
          <cell r="D19">
            <v>0.26200000000000001</v>
          </cell>
        </row>
        <row r="20">
          <cell r="A20">
            <v>911074</v>
          </cell>
          <cell r="B20" t="str">
            <v>PERNO HO.GALV.CAB.EXAG.   3/8" X 3"       C/TUERCA</v>
          </cell>
          <cell r="C20" t="str">
            <v>UN</v>
          </cell>
          <cell r="D20">
            <v>0.33300000000000002</v>
          </cell>
        </row>
        <row r="21">
          <cell r="A21">
            <v>911083</v>
          </cell>
          <cell r="B21" t="str">
            <v>PERNO HO.GALV.CAB.EXAG.   1/2" X 1"       C/TUERCA</v>
          </cell>
          <cell r="C21" t="str">
            <v>UN</v>
          </cell>
          <cell r="D21">
            <v>0.39</v>
          </cell>
        </row>
        <row r="22">
          <cell r="A22">
            <v>911084</v>
          </cell>
          <cell r="B22" t="str">
            <v>PERNO D/HO GALV CAB EXAGONA D/1/2X1 1/4</v>
          </cell>
          <cell r="C22" t="str">
            <v>UN</v>
          </cell>
          <cell r="D22">
            <v>0.51400000000000001</v>
          </cell>
        </row>
        <row r="23">
          <cell r="A23">
            <v>911087</v>
          </cell>
          <cell r="B23" t="str">
            <v>PERNO HO.GALV.CAB.EXAG.   1/2" X 2"       C/TUERCA</v>
          </cell>
          <cell r="C23" t="str">
            <v>UN</v>
          </cell>
          <cell r="D23">
            <v>0.54800000000000004</v>
          </cell>
        </row>
        <row r="24">
          <cell r="A24">
            <v>911088</v>
          </cell>
          <cell r="B24" t="str">
            <v>PERNO HO.GALV.CAB.HEXAG. 1/2  X 2.1/2"  C/TUERCA."</v>
          </cell>
          <cell r="C24" t="str">
            <v>UN</v>
          </cell>
          <cell r="D24">
            <v>0.73099999999999998</v>
          </cell>
        </row>
        <row r="25">
          <cell r="A25">
            <v>911092</v>
          </cell>
          <cell r="B25" t="str">
            <v>PERNO HO.GALV.CAB.HEXAG. 1/2  X 4"  C/TUERCA."</v>
          </cell>
          <cell r="C25" t="str">
            <v>UN</v>
          </cell>
          <cell r="D25">
            <v>1.3540000000000001</v>
          </cell>
        </row>
        <row r="26">
          <cell r="A26">
            <v>911094</v>
          </cell>
          <cell r="B26" t="str">
            <v>PERNO HO.GALV.CAB.HEXAG. 1/2  X 6"  C/TUERCA."</v>
          </cell>
          <cell r="C26" t="str">
            <v>UN</v>
          </cell>
          <cell r="D26">
            <v>1.863</v>
          </cell>
        </row>
        <row r="27">
          <cell r="A27">
            <v>911108</v>
          </cell>
          <cell r="B27" t="str">
            <v>PERNO HO.GALV.CAB.HEXAG. 5/8  X 2"  C/TUERCA."</v>
          </cell>
          <cell r="C27" t="str">
            <v>UN</v>
          </cell>
          <cell r="D27">
            <v>5.29</v>
          </cell>
        </row>
        <row r="28">
          <cell r="A28">
            <v>911113</v>
          </cell>
          <cell r="B28" t="str">
            <v>PERNO D/HO GALV CAB EXAG 5/8X4</v>
          </cell>
          <cell r="C28" t="str">
            <v>UN</v>
          </cell>
          <cell r="D28">
            <v>2.1739999999999999</v>
          </cell>
        </row>
        <row r="29">
          <cell r="A29">
            <v>911115</v>
          </cell>
          <cell r="B29" t="str">
            <v>PERNO HO.GO CABEZA HEXAGONAL 5/8 X5 1/2 CON TUERCA.</v>
          </cell>
          <cell r="C29" t="str">
            <v>UN</v>
          </cell>
          <cell r="D29">
            <v>1.145</v>
          </cell>
        </row>
        <row r="30">
          <cell r="A30">
            <v>911118</v>
          </cell>
          <cell r="B30" t="str">
            <v>PERNO HO.GALV.CAB.HEXAG. 5/8  X 8"   C/TUERCA"</v>
          </cell>
          <cell r="C30" t="str">
            <v>UN</v>
          </cell>
          <cell r="D30">
            <v>3.5339999999999998</v>
          </cell>
        </row>
        <row r="31">
          <cell r="A31">
            <v>911133</v>
          </cell>
          <cell r="B31" t="str">
            <v>PERNO D/HO GALV CAB EXAGO DE 3/4 X 1 1/2</v>
          </cell>
          <cell r="C31" t="str">
            <v>UN</v>
          </cell>
          <cell r="D31">
            <v>1.276</v>
          </cell>
        </row>
        <row r="32">
          <cell r="A32">
            <v>911170</v>
          </cell>
          <cell r="B32" t="str">
            <v>PERNO HO.GALV.CAB.HEXAG. 5/16"  X 1"  P.C/TUERCA</v>
          </cell>
          <cell r="C32" t="str">
            <v>UN</v>
          </cell>
          <cell r="D32">
            <v>0.111</v>
          </cell>
        </row>
        <row r="33">
          <cell r="A33">
            <v>911171</v>
          </cell>
          <cell r="B33" t="str">
            <v>PERNO HO.GALV.CAB.HEXAG. 1/2  X 1.1/2"  C/TUERCA."</v>
          </cell>
          <cell r="C33" t="str">
            <v>UN</v>
          </cell>
          <cell r="D33">
            <v>0.48299999999999998</v>
          </cell>
        </row>
        <row r="34">
          <cell r="A34">
            <v>911172</v>
          </cell>
          <cell r="B34" t="str">
            <v>PERNO HO.GALV.CAB.HEXAG. 1/2" D. X 3" L. C/TUERCA.</v>
          </cell>
          <cell r="C34" t="str">
            <v>UN</v>
          </cell>
          <cell r="D34">
            <v>1.5149999999999999</v>
          </cell>
        </row>
        <row r="35">
          <cell r="A35">
            <v>911611</v>
          </cell>
          <cell r="B35" t="str">
            <v>PERNO AC.GALV.CAB.HEXAG. 25MML. M16 RSC.CORRIENTE</v>
          </cell>
          <cell r="C35" t="str">
            <v>UN</v>
          </cell>
          <cell r="D35">
            <v>0.99299999999999999</v>
          </cell>
        </row>
        <row r="36">
          <cell r="A36">
            <v>961905</v>
          </cell>
          <cell r="B36" t="str">
            <v>TORNILLO AUTOROSCANTE DE ACERO GALV. C.CABEZA REDONDA 1/8" / NUMERO 6 X 3/4"</v>
          </cell>
          <cell r="C36" t="str">
            <v>UN</v>
          </cell>
          <cell r="D36">
            <v>5.1999999999999998E-2</v>
          </cell>
        </row>
        <row r="37">
          <cell r="A37">
            <v>961911</v>
          </cell>
          <cell r="B37" t="str">
            <v>TORNILLO AUTOROSCANTE DE ACERO GALV. C.CABEZA REDONDA 11/32" / NUMERO 10 X 1/2"</v>
          </cell>
          <cell r="C37" t="str">
            <v>UN</v>
          </cell>
          <cell r="D37">
            <v>3.7999999999999999E-2</v>
          </cell>
        </row>
        <row r="38">
          <cell r="A38">
            <v>961912</v>
          </cell>
          <cell r="B38" t="str">
            <v>TORNILLO AUTOROSCANTE DE ACERO GALV. C.CABEZA REDONDA 11/32" / NUMERO 10 X 3/4"</v>
          </cell>
          <cell r="C38" t="str">
            <v>UN</v>
          </cell>
          <cell r="D38">
            <v>5.0999999999999997E-2</v>
          </cell>
        </row>
        <row r="39">
          <cell r="A39">
            <v>978090</v>
          </cell>
          <cell r="B39" t="str">
            <v>TORNILLO AUTOROSCANTE DE ACERO TROPICALIZADO CABEZA ESPECIAL ANTI - ROBO 1/8" / NUMERO 6 X 1"</v>
          </cell>
          <cell r="C39" t="str">
            <v>UN</v>
          </cell>
          <cell r="D39">
            <v>0.255</v>
          </cell>
        </row>
        <row r="40">
          <cell r="A40">
            <v>978091</v>
          </cell>
          <cell r="B40" t="str">
            <v>TORNILLO AUTOROSCANTE DE ACERO TROPICALIZADO CABEZA ESPECIAL ANTI - ROBO 1/8" / NUMERO 6 X 5/8"</v>
          </cell>
          <cell r="C40" t="str">
            <v>UN</v>
          </cell>
          <cell r="D40">
            <v>0.17100000000000001</v>
          </cell>
        </row>
        <row r="41">
          <cell r="A41">
            <v>978098</v>
          </cell>
          <cell r="B41" t="str">
            <v>TORNILLO AUTOROSCANTE DE ACERO TROPICALIZADO CABEZA ESPECIAL ANTI - ROBO 11/32" / NUMERO 10 X 1/2"</v>
          </cell>
          <cell r="C41" t="str">
            <v>UN</v>
          </cell>
          <cell r="D41">
            <v>0.11899999999999999</v>
          </cell>
        </row>
        <row r="42">
          <cell r="A42">
            <v>978101</v>
          </cell>
          <cell r="B42" t="str">
            <v>TORNILLO AUTOROSCANTE DE ACERO TROPICALIZADO CABEZA ESPECIAL ANTI - ROBO 11/32" / NUMERO 10 X 3/4"</v>
          </cell>
          <cell r="C42" t="str">
            <v>UN</v>
          </cell>
          <cell r="D42">
            <v>0.125</v>
          </cell>
        </row>
        <row r="43">
          <cell r="A43">
            <v>979015</v>
          </cell>
          <cell r="B43" t="str">
            <v>TIRAFONDO HO.GALV.  3/8  X 1.1/2"</v>
          </cell>
          <cell r="C43" t="str">
            <v>UN</v>
          </cell>
          <cell r="D43">
            <v>0.108</v>
          </cell>
        </row>
        <row r="44">
          <cell r="A44">
            <v>979016</v>
          </cell>
          <cell r="B44" t="str">
            <v>TIRAFONDO HO.GALV.  3/8  X 2"</v>
          </cell>
          <cell r="C44" t="str">
            <v>UN</v>
          </cell>
          <cell r="D44">
            <v>0.14599999999999999</v>
          </cell>
        </row>
        <row r="45">
          <cell r="A45">
            <v>979017</v>
          </cell>
          <cell r="B45" t="str">
            <v>TIRAFONDO HO.GALV.  3/8  X 2.1/2"</v>
          </cell>
          <cell r="C45" t="str">
            <v>UN</v>
          </cell>
          <cell r="D45">
            <v>0.16300000000000001</v>
          </cell>
        </row>
        <row r="46">
          <cell r="A46">
            <v>979018</v>
          </cell>
          <cell r="B46" t="str">
            <v>TIRAFONDO HO.GALV.  3/8  X 3"</v>
          </cell>
          <cell r="C46" t="str">
            <v>UN</v>
          </cell>
          <cell r="D46">
            <v>0.19700000000000001</v>
          </cell>
        </row>
        <row r="47">
          <cell r="A47">
            <v>979102</v>
          </cell>
          <cell r="B47" t="str">
            <v>TIRAFONDO HO.GALV. 5/16  X 2"</v>
          </cell>
          <cell r="C47" t="str">
            <v>UN</v>
          </cell>
          <cell r="D47">
            <v>0.111</v>
          </cell>
        </row>
        <row r="48">
          <cell r="A48">
            <v>989032</v>
          </cell>
          <cell r="B48" t="str">
            <v>TUERCA CONICA DE BRONCE P.SISTEMA ANTIRROBO 5/16" X 5/8" X 3/8"</v>
          </cell>
          <cell r="C48" t="str">
            <v>UN</v>
          </cell>
          <cell r="D48">
            <v>0.81399999999999995</v>
          </cell>
        </row>
        <row r="49">
          <cell r="A49">
            <v>991112</v>
          </cell>
          <cell r="B49" t="str">
            <v>ARANDELA PLANA AC.GALV. PERNO 5/16 ."</v>
          </cell>
          <cell r="C49" t="str">
            <v>UN</v>
          </cell>
          <cell r="D49">
            <v>0.125</v>
          </cell>
        </row>
        <row r="50">
          <cell r="A50">
            <v>991113</v>
          </cell>
          <cell r="B50" t="str">
            <v>ARANDELA PLANA AC.GALV. PERNO 3/8 ."</v>
          </cell>
          <cell r="C50" t="str">
            <v>UN</v>
          </cell>
          <cell r="D50">
            <v>0.35699999999999998</v>
          </cell>
        </row>
        <row r="51">
          <cell r="A51">
            <v>991115</v>
          </cell>
          <cell r="B51" t="str">
            <v>ARANDELA PLANA AC.GALV. PERNO 1/2 ."</v>
          </cell>
          <cell r="C51" t="str">
            <v>UN</v>
          </cell>
          <cell r="D51">
            <v>0.23100000000000001</v>
          </cell>
        </row>
        <row r="52">
          <cell r="A52">
            <v>991117</v>
          </cell>
          <cell r="B52" t="str">
            <v>ARANDELA PLANA AC.GALV. PERNO 5/8 ."</v>
          </cell>
          <cell r="C52" t="str">
            <v>UN</v>
          </cell>
          <cell r="D52">
            <v>0.32600000000000001</v>
          </cell>
        </row>
        <row r="53">
          <cell r="A53">
            <v>991118</v>
          </cell>
          <cell r="B53" t="str">
            <v>ARAND.PLANA AO.GO.P/PER.3/4".</v>
          </cell>
          <cell r="C53" t="str">
            <v>UN</v>
          </cell>
          <cell r="D53">
            <v>7.9000000000000001E-2</v>
          </cell>
        </row>
        <row r="54">
          <cell r="A54">
            <v>991121</v>
          </cell>
          <cell r="B54" t="str">
            <v>ARANDELA PLANA AC.GALV. ANCHO 1/4</v>
          </cell>
          <cell r="C54" t="str">
            <v>UN</v>
          </cell>
          <cell r="D54">
            <v>5.8000000000000003E-2</v>
          </cell>
        </row>
        <row r="55">
          <cell r="A55">
            <v>992115</v>
          </cell>
          <cell r="B55" t="str">
            <v>ARANDELA PRESION AC.GALV. P.PERNO DE 1/2 ."</v>
          </cell>
          <cell r="C55" t="str">
            <v>UN</v>
          </cell>
          <cell r="D55">
            <v>0.19</v>
          </cell>
        </row>
        <row r="56">
          <cell r="A56">
            <v>1014207</v>
          </cell>
          <cell r="B56" t="str">
            <v>FLEJE AC. INOX. ANCHO 13MM.</v>
          </cell>
          <cell r="C56" t="str">
            <v>M</v>
          </cell>
          <cell r="D56">
            <v>2.117</v>
          </cell>
        </row>
        <row r="57">
          <cell r="A57">
            <v>1014214</v>
          </cell>
          <cell r="B57" t="str">
            <v>FLEJE AC. INOX. ANCHO 19MM.</v>
          </cell>
          <cell r="C57" t="str">
            <v>M</v>
          </cell>
          <cell r="D57">
            <v>2.4569999999999999</v>
          </cell>
        </row>
        <row r="58">
          <cell r="A58">
            <v>1014307</v>
          </cell>
          <cell r="B58" t="str">
            <v>GRAPA (HEBILLA) AC. INOX. P.FLEJE 13MM ANCHO.</v>
          </cell>
          <cell r="C58" t="str">
            <v>UN</v>
          </cell>
          <cell r="D58">
            <v>0.65400000000000003</v>
          </cell>
        </row>
        <row r="59">
          <cell r="A59">
            <v>1014309</v>
          </cell>
          <cell r="B59" t="str">
            <v>GRAPA (HEBILLA) AC. INOX. P.FLEJE 19MM ANCHO.</v>
          </cell>
          <cell r="C59" t="str">
            <v>UN</v>
          </cell>
          <cell r="D59">
            <v>0.69</v>
          </cell>
        </row>
        <row r="60">
          <cell r="A60">
            <v>1015413</v>
          </cell>
          <cell r="B60" t="str">
            <v>GUARDACABO DE ACERO GALV. P.CABLE 13MM DIAM. 1,5MM ESPESOR P.PROTEGER CABLE PORTANTE</v>
          </cell>
          <cell r="C60" t="str">
            <v>UN</v>
          </cell>
          <cell r="D60">
            <v>0.81599999999999995</v>
          </cell>
        </row>
        <row r="61">
          <cell r="A61">
            <v>1021120</v>
          </cell>
          <cell r="B61" t="str">
            <v>CANDADO DE BRONCE TP.SERIADO 50MM LONG. C.ROTULADO P.SUBESTACIONES DE DISTRIBUCION</v>
          </cell>
          <cell r="C61" t="str">
            <v>UN</v>
          </cell>
          <cell r="D61">
            <v>33.344999999999999</v>
          </cell>
        </row>
        <row r="62">
          <cell r="A62">
            <v>1021123</v>
          </cell>
          <cell r="B62" t="str">
            <v>CANDADO DE BRONCE TP.SERIADO 50MM LONG. C.ROTULADO P.MAXIMETRO</v>
          </cell>
          <cell r="C62" t="str">
            <v>UN</v>
          </cell>
          <cell r="D62">
            <v>33.204000000000001</v>
          </cell>
        </row>
        <row r="63">
          <cell r="A63">
            <v>1021405</v>
          </cell>
          <cell r="B63" t="str">
            <v>LLAVE DE ACERO P. CERRADURA DE CABEZA CIRCULAR P.TAPA DE CAJA DE MEDICION ANTI HURTO</v>
          </cell>
          <cell r="C63" t="str">
            <v>UN</v>
          </cell>
          <cell r="D63">
            <v>16.151</v>
          </cell>
        </row>
        <row r="64">
          <cell r="A64">
            <v>1021431</v>
          </cell>
          <cell r="B64" t="str">
            <v>LLAVE TRIANGULAR DE ACERO CROMADO PARA CERRADURA</v>
          </cell>
          <cell r="C64" t="str">
            <v>UN</v>
          </cell>
          <cell r="D64">
            <v>8.8369999999999997</v>
          </cell>
        </row>
        <row r="65">
          <cell r="A65">
            <v>1022910</v>
          </cell>
          <cell r="B65" t="str">
            <v>ARMELLA DE ACERO GALV. 1/4" X 2"</v>
          </cell>
          <cell r="C65" t="str">
            <v>UN</v>
          </cell>
          <cell r="D65">
            <v>0.54500000000000004</v>
          </cell>
        </row>
        <row r="66">
          <cell r="A66">
            <v>1035121</v>
          </cell>
          <cell r="B66" t="str">
            <v>CURVA PVC TP. SAP 90 GRADOS 3/4" DIAM. P.INSTALACIONES ELECTRICAS</v>
          </cell>
          <cell r="C66" t="str">
            <v>UN</v>
          </cell>
          <cell r="D66">
            <v>0.47099999999999997</v>
          </cell>
        </row>
        <row r="67">
          <cell r="A67">
            <v>1035123</v>
          </cell>
          <cell r="B67" t="str">
            <v>CURVA PVC TP. SAP 90 GRADOS 1" DIAM. P.INSTALACIONES ELECTRICAS</v>
          </cell>
          <cell r="C67" t="str">
            <v>UN</v>
          </cell>
          <cell r="D67">
            <v>0.79700000000000004</v>
          </cell>
        </row>
        <row r="68">
          <cell r="A68">
            <v>1035124</v>
          </cell>
          <cell r="B68" t="str">
            <v>CURVA PVC TP. SAP 90 GRADOS 1 1/2" DIAM. P.INSTALACIONES ELECTRICAS</v>
          </cell>
          <cell r="C68" t="str">
            <v>UN</v>
          </cell>
          <cell r="D68">
            <v>2.3340000000000001</v>
          </cell>
        </row>
        <row r="69">
          <cell r="A69">
            <v>1035125</v>
          </cell>
          <cell r="B69" t="str">
            <v>CURVA PVC TP. SAP 90 GRADOS 2" DIAM. P.INSTALACIONES ELECTRICAS</v>
          </cell>
          <cell r="C69" t="str">
            <v>UN</v>
          </cell>
          <cell r="D69">
            <v>7.085</v>
          </cell>
        </row>
        <row r="70">
          <cell r="A70">
            <v>1035127</v>
          </cell>
          <cell r="B70" t="str">
            <v>CURVA PVC TP. SAP DE 90 GRADOS, 3" DIAM. P.INSTALACIONES ELECTRICAS</v>
          </cell>
          <cell r="C70" t="str">
            <v>UN</v>
          </cell>
          <cell r="D70">
            <v>11.872999999999999</v>
          </cell>
        </row>
        <row r="71">
          <cell r="A71">
            <v>1035128</v>
          </cell>
          <cell r="B71" t="str">
            <v>CURVA PVC TP. SAP 90 GRADOS 4" DIAM. P.INSTALACIONES ELECTRICAS</v>
          </cell>
          <cell r="C71" t="str">
            <v>UN</v>
          </cell>
          <cell r="D71">
            <v>21.027999999999999</v>
          </cell>
        </row>
        <row r="72">
          <cell r="A72">
            <v>1035712</v>
          </cell>
          <cell r="B72" t="str">
            <v>TUBO DE PVC TIPO SAP DE 3/4" / 20MM DIAM.P.INSTALACION ELECTRICA</v>
          </cell>
          <cell r="C72" t="str">
            <v>M</v>
          </cell>
          <cell r="D72">
            <v>0.92700000000000005</v>
          </cell>
        </row>
        <row r="73">
          <cell r="A73">
            <v>1035714</v>
          </cell>
          <cell r="B73" t="str">
            <v>TUBO DE PVC TIPO SAP DE 1" / 25MM DIAM.P.INSTALACION ELECTRICA</v>
          </cell>
          <cell r="C73" t="str">
            <v>M</v>
          </cell>
          <cell r="D73">
            <v>1.1870000000000001</v>
          </cell>
        </row>
        <row r="74">
          <cell r="A74">
            <v>1035716</v>
          </cell>
          <cell r="B74" t="str">
            <v>TUBO DE PVC TIPO SAP DE 1 1/2" / 40MM DIAM.P.INSTALACION ELECTRICA</v>
          </cell>
          <cell r="C74" t="str">
            <v>M</v>
          </cell>
          <cell r="D74">
            <v>2.2909999999999999</v>
          </cell>
        </row>
        <row r="75">
          <cell r="A75">
            <v>1035718</v>
          </cell>
          <cell r="B75" t="str">
            <v>TUBO DE PVC TIPO SAP DE 2" / 50MM DIAM.P.INSTALACION ELECTRICA</v>
          </cell>
          <cell r="C75" t="str">
            <v>M</v>
          </cell>
          <cell r="D75">
            <v>3.391</v>
          </cell>
        </row>
        <row r="76">
          <cell r="A76">
            <v>1035719</v>
          </cell>
          <cell r="B76" t="str">
            <v>TUBO DE PVC TIPO SAP DE 2 1/2" / 65MM DIAM.P.INSTALACION ELECTRICA</v>
          </cell>
          <cell r="C76" t="str">
            <v>M</v>
          </cell>
          <cell r="D76">
            <v>5.1120000000000001</v>
          </cell>
        </row>
        <row r="77">
          <cell r="A77">
            <v>1035721</v>
          </cell>
          <cell r="B77" t="str">
            <v>TUBO DE PVC TIPO SAP DE 3" / 80MM DIAM.P.INSTALACION ELECTRICA</v>
          </cell>
          <cell r="C77" t="str">
            <v>M</v>
          </cell>
          <cell r="D77">
            <v>6.851</v>
          </cell>
        </row>
        <row r="78">
          <cell r="A78">
            <v>1035722</v>
          </cell>
          <cell r="B78" t="str">
            <v>TUBO DE PVC DE 6" DIAM. CL.5 P.CONDUCCION DE FLUIDOS A PRESION</v>
          </cell>
          <cell r="C78" t="str">
            <v>M</v>
          </cell>
          <cell r="D78">
            <v>14.935</v>
          </cell>
        </row>
        <row r="79">
          <cell r="A79">
            <v>1035732</v>
          </cell>
          <cell r="B79" t="str">
            <v>TUBO DE PVC TIPO SAP DE 4" / 100MM DIAM.P.INSTALACION ELECTRICA</v>
          </cell>
          <cell r="C79" t="str">
            <v>M</v>
          </cell>
          <cell r="D79">
            <v>9.3369999999999997</v>
          </cell>
        </row>
        <row r="80">
          <cell r="A80">
            <v>1074121</v>
          </cell>
          <cell r="B80" t="str">
            <v>BORNE RESINA TERMOPLASTICA.TETRAPOLAR 500V, 10A, 6 MM2.</v>
          </cell>
          <cell r="C80" t="str">
            <v>UN</v>
          </cell>
          <cell r="D80">
            <v>1.899</v>
          </cell>
        </row>
        <row r="81">
          <cell r="A81">
            <v>1074122</v>
          </cell>
          <cell r="B81" t="str">
            <v>BORNE RESINA TERMOPLAST.TETRAP. 10A. 500V.   10MM2</v>
          </cell>
          <cell r="C81" t="str">
            <v>UN</v>
          </cell>
          <cell r="D81">
            <v>3.153</v>
          </cell>
        </row>
        <row r="82">
          <cell r="A82">
            <v>1074123</v>
          </cell>
          <cell r="B82" t="str">
            <v>BORNE DE RESINA TERMOPLAST.TETRAP. 30A 500V 16MM2.</v>
          </cell>
          <cell r="C82" t="str">
            <v>UN</v>
          </cell>
          <cell r="D82">
            <v>1.631</v>
          </cell>
        </row>
        <row r="83">
          <cell r="A83">
            <v>1257196</v>
          </cell>
          <cell r="B83" t="str">
            <v>TACO DE NYLON HUD-12   12X60X80MM.</v>
          </cell>
          <cell r="C83" t="str">
            <v>UN</v>
          </cell>
          <cell r="D83">
            <v>0.67900000000000005</v>
          </cell>
        </row>
        <row r="84">
          <cell r="A84">
            <v>1611112</v>
          </cell>
          <cell r="B84" t="str">
            <v>VARILLA PLOMO 60% ESTAÑO 40% PARA UNION DE COBRE.</v>
          </cell>
          <cell r="C84" t="str">
            <v>UN</v>
          </cell>
          <cell r="D84">
            <v>3.6589999999999998</v>
          </cell>
        </row>
        <row r="85">
          <cell r="A85">
            <v>1611424</v>
          </cell>
          <cell r="B85" t="str">
            <v>ESTEARINA SOLIDA</v>
          </cell>
          <cell r="C85" t="str">
            <v>KG</v>
          </cell>
          <cell r="D85">
            <v>34.999000000000002</v>
          </cell>
        </row>
        <row r="86">
          <cell r="A86">
            <v>1611462</v>
          </cell>
          <cell r="B86" t="str">
            <v>PASTA P.SOLDAR EN BLANDO Y P.ESTAÑAR</v>
          </cell>
          <cell r="C86" t="str">
            <v>KG</v>
          </cell>
          <cell r="D86">
            <v>40.317</v>
          </cell>
        </row>
        <row r="87">
          <cell r="A87">
            <v>1771911</v>
          </cell>
          <cell r="B87" t="str">
            <v>RIEL TIPO H DE ACERO C.RESISTENCIA 65 - 85 LB/YD2 P.PROTEGER A POSTES Y ESTRUCTURAS M.T.</v>
          </cell>
          <cell r="C87" t="str">
            <v>M</v>
          </cell>
          <cell r="D87">
            <v>118.429</v>
          </cell>
        </row>
        <row r="88">
          <cell r="A88">
            <v>1817108</v>
          </cell>
          <cell r="B88" t="str">
            <v>PLATINA DE COBRE 30 X 3MM</v>
          </cell>
          <cell r="C88" t="str">
            <v>M</v>
          </cell>
          <cell r="D88">
            <v>20.437999999999999</v>
          </cell>
        </row>
        <row r="89">
          <cell r="A89">
            <v>1817110</v>
          </cell>
          <cell r="B89" t="str">
            <v>PLATINA DE COBRE 40 X 3MM</v>
          </cell>
          <cell r="C89" t="str">
            <v>M</v>
          </cell>
          <cell r="D89">
            <v>29.292999999999999</v>
          </cell>
        </row>
        <row r="90">
          <cell r="A90">
            <v>1817113</v>
          </cell>
          <cell r="B90" t="str">
            <v>PLATINA DE COBRE 40 X 5MM</v>
          </cell>
          <cell r="C90" t="str">
            <v>M</v>
          </cell>
          <cell r="D90">
            <v>45.140999999999998</v>
          </cell>
        </row>
        <row r="91">
          <cell r="A91">
            <v>1817114</v>
          </cell>
          <cell r="B91" t="str">
            <v>PLATINA DE COBRE 50 X 5MM</v>
          </cell>
          <cell r="C91" t="str">
            <v>M</v>
          </cell>
          <cell r="D91">
            <v>56.470999999999997</v>
          </cell>
        </row>
        <row r="92">
          <cell r="A92">
            <v>1817115</v>
          </cell>
          <cell r="B92" t="str">
            <v>PLATINA DE COBRE 60 X 5MM</v>
          </cell>
          <cell r="C92" t="str">
            <v>M</v>
          </cell>
          <cell r="D92">
            <v>68.396000000000001</v>
          </cell>
        </row>
        <row r="93">
          <cell r="A93">
            <v>1817117</v>
          </cell>
          <cell r="B93" t="str">
            <v>PLATINA DE COBRE 60 X8MM</v>
          </cell>
          <cell r="C93" t="str">
            <v>M</v>
          </cell>
          <cell r="D93">
            <v>108.172</v>
          </cell>
        </row>
        <row r="94">
          <cell r="A94">
            <v>1817118</v>
          </cell>
          <cell r="B94" t="str">
            <v>PLATINA DE COBRE 80 X 8MM</v>
          </cell>
          <cell r="C94" t="str">
            <v>M</v>
          </cell>
          <cell r="D94">
            <v>141.79599999999999</v>
          </cell>
        </row>
        <row r="95">
          <cell r="A95">
            <v>1817174</v>
          </cell>
          <cell r="B95" t="str">
            <v>PLATINA DE COBRE 100 X 10MM</v>
          </cell>
          <cell r="C95" t="str">
            <v>M</v>
          </cell>
          <cell r="D95">
            <v>233.821</v>
          </cell>
        </row>
        <row r="96">
          <cell r="A96">
            <v>2111109</v>
          </cell>
          <cell r="B96" t="str">
            <v>PINTURA ESMALTE COL.AMARILLO ENVASE 1/16 GL.</v>
          </cell>
          <cell r="C96" t="str">
            <v>UN</v>
          </cell>
          <cell r="D96">
            <v>3.089</v>
          </cell>
        </row>
        <row r="97">
          <cell r="A97">
            <v>2111111</v>
          </cell>
          <cell r="B97" t="str">
            <v>PINTURA ESMALTE AMARILLO.1/8GL.</v>
          </cell>
          <cell r="C97" t="str">
            <v>UN</v>
          </cell>
          <cell r="D97">
            <v>6.9850000000000003</v>
          </cell>
        </row>
        <row r="98">
          <cell r="A98">
            <v>2111312</v>
          </cell>
          <cell r="B98" t="str">
            <v>PINTURA ESMALTE COL.BLANCO ENVASE 1/8 GL.</v>
          </cell>
          <cell r="C98" t="str">
            <v>UN</v>
          </cell>
          <cell r="D98">
            <v>7.1070000000000002</v>
          </cell>
        </row>
        <row r="99">
          <cell r="A99">
            <v>2111508</v>
          </cell>
          <cell r="B99" t="str">
            <v>PINTURA ESMALTE COL.GRIS ENVASE 1 GL.</v>
          </cell>
          <cell r="C99" t="str">
            <v>UN</v>
          </cell>
          <cell r="D99">
            <v>39.093000000000004</v>
          </cell>
        </row>
        <row r="100">
          <cell r="A100">
            <v>2112208</v>
          </cell>
          <cell r="B100" t="str">
            <v>PINTURA ESMALTE COL.NEGRO ENVASE 1 GL.</v>
          </cell>
          <cell r="C100" t="str">
            <v>UN</v>
          </cell>
          <cell r="D100">
            <v>33.387</v>
          </cell>
        </row>
        <row r="101">
          <cell r="A101">
            <v>2112310</v>
          </cell>
          <cell r="B101" t="str">
            <v>PINTURA ESMALTE.ROJO MANDARIN.1/8GL.</v>
          </cell>
          <cell r="C101" t="str">
            <v>UN</v>
          </cell>
          <cell r="D101">
            <v>6.99</v>
          </cell>
        </row>
        <row r="102">
          <cell r="A102">
            <v>2112511</v>
          </cell>
          <cell r="B102" t="str">
            <v>PINTURA ESMALTE VERDE.1/4 GL.</v>
          </cell>
          <cell r="C102" t="str">
            <v>UN</v>
          </cell>
          <cell r="D102">
            <v>12.65</v>
          </cell>
        </row>
        <row r="103">
          <cell r="A103">
            <v>2112512</v>
          </cell>
          <cell r="B103" t="str">
            <v>PINTURA ESMALTE VERDE.1/8GL.</v>
          </cell>
          <cell r="C103" t="str">
            <v>UN</v>
          </cell>
          <cell r="D103">
            <v>7.0270000000000001</v>
          </cell>
        </row>
        <row r="104">
          <cell r="A104">
            <v>2133330</v>
          </cell>
          <cell r="B104" t="str">
            <v>SOLVENTE DIELECTRICO ECOLOGICO NO CLORADO M.T.</v>
          </cell>
          <cell r="C104" t="str">
            <v>GL</v>
          </cell>
          <cell r="D104">
            <v>38.168999999999997</v>
          </cell>
        </row>
        <row r="105">
          <cell r="A105">
            <v>2139134</v>
          </cell>
          <cell r="B105" t="str">
            <v>ADHESIVO ESPECIAL P.PEGADO ELASTICO DE METALES MONOCOMPONENTE EN ENVASE 300ML</v>
          </cell>
          <cell r="C105" t="str">
            <v>UN</v>
          </cell>
          <cell r="D105">
            <v>22.277000000000001</v>
          </cell>
        </row>
        <row r="106">
          <cell r="A106">
            <v>2139148</v>
          </cell>
          <cell r="B106" t="str">
            <v>PEGAMENTO EN GEL DE RESINA ISOFTALICA EN ENVASE DE 1 GALON</v>
          </cell>
          <cell r="C106" t="str">
            <v>UN</v>
          </cell>
          <cell r="D106">
            <v>45.219000000000001</v>
          </cell>
        </row>
        <row r="107">
          <cell r="A107">
            <v>2143162</v>
          </cell>
          <cell r="B107" t="str">
            <v>BENTONITA SODICA P/POZOS DE TIERRA</v>
          </cell>
          <cell r="C107" t="str">
            <v>KG</v>
          </cell>
          <cell r="D107">
            <v>0.36</v>
          </cell>
        </row>
        <row r="108">
          <cell r="A108">
            <v>2143170</v>
          </cell>
          <cell r="B108" t="str">
            <v>SAL GRANO INDUSTRIAL PARA POZOS DE TIERRA CLORURO DE SODIO</v>
          </cell>
          <cell r="C108" t="str">
            <v>KG</v>
          </cell>
          <cell r="D108">
            <v>0.191</v>
          </cell>
        </row>
        <row r="109">
          <cell r="A109">
            <v>2144602</v>
          </cell>
          <cell r="B109" t="str">
            <v>SILICONA EN ENVASE DE TUBO 310 ML TRANSPARENTE</v>
          </cell>
          <cell r="C109" t="str">
            <v>UN</v>
          </cell>
          <cell r="D109">
            <v>7.0949999999999998</v>
          </cell>
        </row>
        <row r="110">
          <cell r="A110">
            <v>2521163</v>
          </cell>
          <cell r="B110" t="str">
            <v>DUCTO DE CONCRETO ALIGERADO DE 4 VIAS 90MM DIAM. X 1M LONG.</v>
          </cell>
          <cell r="C110" t="str">
            <v>UN</v>
          </cell>
          <cell r="D110">
            <v>26.994</v>
          </cell>
        </row>
        <row r="111">
          <cell r="A111">
            <v>2552205</v>
          </cell>
          <cell r="B111" t="str">
            <v>MASTIL DE MADERA TP.TORNILLO 48 X 73MM 3,6M ALTURA P.ACOMETIDA AEREA</v>
          </cell>
          <cell r="C111" t="str">
            <v>UN</v>
          </cell>
          <cell r="D111">
            <v>38.725000000000001</v>
          </cell>
        </row>
        <row r="112">
          <cell r="A112">
            <v>2552206</v>
          </cell>
          <cell r="B112" t="str">
            <v>MASTIL DE MADERA TP.TORNILLO 48 X 73MM 6,1M ALTURA P.ACOMETIDA AEREA</v>
          </cell>
          <cell r="C112" t="str">
            <v>UN</v>
          </cell>
          <cell r="D112">
            <v>65.424999999999997</v>
          </cell>
        </row>
        <row r="113">
          <cell r="A113">
            <v>2552221</v>
          </cell>
          <cell r="B113" t="str">
            <v>TABLERO S/PREP.MADERA P.CJ.MET.TP.L   10X145X415MM</v>
          </cell>
          <cell r="C113" t="str">
            <v>UN</v>
          </cell>
          <cell r="D113">
            <v>4.2</v>
          </cell>
        </row>
        <row r="114">
          <cell r="A114">
            <v>2552223</v>
          </cell>
          <cell r="B114" t="str">
            <v>TABLERO S/PREP.MADERA P.CJ.MET.TP.LT  13X200X490MM</v>
          </cell>
          <cell r="C114" t="str">
            <v>UN</v>
          </cell>
          <cell r="D114">
            <v>8.7349999999999994</v>
          </cell>
        </row>
        <row r="115">
          <cell r="A115">
            <v>2552939</v>
          </cell>
          <cell r="B115" t="str">
            <v>SOPORTE DE MADERA PARA CABLE SECO UNIPOLAR DE 100 X 700MM</v>
          </cell>
          <cell r="C115" t="str">
            <v>UN</v>
          </cell>
          <cell r="D115">
            <v>14.603</v>
          </cell>
        </row>
        <row r="116">
          <cell r="A116">
            <v>2552947</v>
          </cell>
          <cell r="B116" t="str">
            <v>TARUGO MADERA CEDRO 1/2  DIAM. 3"  LONG."</v>
          </cell>
          <cell r="C116" t="str">
            <v>UN</v>
          </cell>
          <cell r="D116">
            <v>0.106</v>
          </cell>
        </row>
        <row r="117">
          <cell r="A117">
            <v>4191181</v>
          </cell>
          <cell r="B117" t="str">
            <v>CINTILLO DE NYLON DE 5 1/2" (140MM.)LONG. P. CABLES</v>
          </cell>
          <cell r="C117" t="str">
            <v>UN</v>
          </cell>
          <cell r="D117">
            <v>2.7E-2</v>
          </cell>
        </row>
        <row r="118">
          <cell r="A118">
            <v>4191182</v>
          </cell>
          <cell r="B118" t="str">
            <v>CINTILLO DE NYLON DE 7 7/8" (200MM.) LONG. PARA CAB</v>
          </cell>
          <cell r="C118" t="str">
            <v>UN</v>
          </cell>
          <cell r="D118">
            <v>5.1999999999999998E-2</v>
          </cell>
        </row>
        <row r="119">
          <cell r="A119">
            <v>4191189</v>
          </cell>
          <cell r="B119" t="str">
            <v>CINTILLO DE NYLON DE 14 1/2" (368MM) LONG. P. CABLES</v>
          </cell>
          <cell r="C119" t="str">
            <v>UN</v>
          </cell>
          <cell r="D119">
            <v>0.13900000000000001</v>
          </cell>
        </row>
        <row r="120">
          <cell r="A120">
            <v>5011346</v>
          </cell>
          <cell r="B120" t="str">
            <v>CONDUCTOR CABLEADO DESNUDO CU TEMPLE DURO 16MM2 7 HILOS</v>
          </cell>
          <cell r="C120" t="str">
            <v>M</v>
          </cell>
          <cell r="D120">
            <v>4.0679999999999996</v>
          </cell>
        </row>
        <row r="121">
          <cell r="A121">
            <v>5014356</v>
          </cell>
          <cell r="B121" t="str">
            <v>CONDUCTOR CABLEADO DESNUDO ALEACION ALUMINIO 35MM2 7 HILOS C.GRASA</v>
          </cell>
          <cell r="C121" t="str">
            <v>M</v>
          </cell>
          <cell r="D121">
            <v>1.0549999999999999</v>
          </cell>
        </row>
        <row r="122">
          <cell r="A122">
            <v>5014366</v>
          </cell>
          <cell r="B122" t="str">
            <v>CONDUCTOR CABLEADO DESNUDO ALEACION ALUMINIO 70MM2 7 HILOS C.GRASA</v>
          </cell>
          <cell r="C122" t="str">
            <v>M</v>
          </cell>
          <cell r="D122">
            <v>1.9039999999999999</v>
          </cell>
        </row>
        <row r="123">
          <cell r="A123">
            <v>5014573</v>
          </cell>
          <cell r="B123" t="str">
            <v>CONDUCTOR CABLEADO DESNUDO ALEACION ALUMINIO 120MM2 19 HILOS C.GRASA</v>
          </cell>
          <cell r="C123" t="str">
            <v>M</v>
          </cell>
          <cell r="D123">
            <v>3.4060000000000001</v>
          </cell>
        </row>
        <row r="124">
          <cell r="A124">
            <v>5014582</v>
          </cell>
          <cell r="B124" t="str">
            <v>CONDUCTOR CABLEADO DESNUDO ALEACION ALUMINIO 185MM2 37 HILOS C.GRASA</v>
          </cell>
          <cell r="C124" t="str">
            <v>M</v>
          </cell>
          <cell r="D124">
            <v>5.1479999999999997</v>
          </cell>
        </row>
        <row r="125">
          <cell r="A125">
            <v>5016361</v>
          </cell>
          <cell r="B125" t="str">
            <v>CABLE AO.GO.TIPO "B" DE 5/16".5080KG.MANO IZQ.7 HILOS.P.RETENIDA</v>
          </cell>
          <cell r="C125" t="str">
            <v>M</v>
          </cell>
          <cell r="D125">
            <v>1.92</v>
          </cell>
        </row>
        <row r="126">
          <cell r="A126">
            <v>5017001</v>
          </cell>
          <cell r="B126" t="str">
            <v>ELECTRODO P.PUESTA A TIERRA TP.COPPERWELD 9/16" X 2400MM</v>
          </cell>
          <cell r="C126" t="str">
            <v>UN</v>
          </cell>
          <cell r="D126">
            <v>25.311</v>
          </cell>
        </row>
        <row r="127">
          <cell r="A127">
            <v>5017003</v>
          </cell>
          <cell r="B127" t="str">
            <v>ELECTRODO P.PUESTA A TIERRA DE COBRE 9/16" X 2400MM</v>
          </cell>
          <cell r="C127" t="str">
            <v>UN</v>
          </cell>
          <cell r="D127">
            <v>79.061999999999998</v>
          </cell>
        </row>
        <row r="128">
          <cell r="A128">
            <v>5021081</v>
          </cell>
          <cell r="B128" t="str">
            <v>CONDUCTOR SOLIDO TW 750V UNIP.AZUL 1 X 2.5MM2.</v>
          </cell>
          <cell r="C128" t="str">
            <v>M</v>
          </cell>
          <cell r="D128">
            <v>0.60399999999999998</v>
          </cell>
        </row>
        <row r="129">
          <cell r="A129">
            <v>5021083</v>
          </cell>
          <cell r="B129" t="str">
            <v>CONDUCTOR SOLIDO TW 750V UNIP.AMARI. 1 X 2.5MM2.</v>
          </cell>
          <cell r="C129" t="str">
            <v>M</v>
          </cell>
          <cell r="D129">
            <v>0.68500000000000005</v>
          </cell>
        </row>
        <row r="130">
          <cell r="A130">
            <v>5021085</v>
          </cell>
          <cell r="B130" t="str">
            <v>CONDUCTOR SOLIDO TW 750V UNIP.NEGRO 1 X 2.5M2.</v>
          </cell>
          <cell r="C130" t="str">
            <v>M</v>
          </cell>
          <cell r="D130">
            <v>0.61699999999999999</v>
          </cell>
        </row>
        <row r="131">
          <cell r="A131">
            <v>5021087</v>
          </cell>
          <cell r="B131" t="str">
            <v>CONDUCTOR SOLIDO TW 750V UNIP.ROJO 1X 2.5MM2.</v>
          </cell>
          <cell r="C131" t="str">
            <v>M</v>
          </cell>
          <cell r="D131">
            <v>0.60299999999999998</v>
          </cell>
        </row>
        <row r="132">
          <cell r="A132">
            <v>5021089</v>
          </cell>
          <cell r="B132" t="str">
            <v>CONDUCTOR SOLIDO TW 750V UNIP.VERDE 1X 2.5MM2.</v>
          </cell>
          <cell r="C132" t="str">
            <v>M</v>
          </cell>
          <cell r="D132">
            <v>0.60299999999999998</v>
          </cell>
        </row>
        <row r="133">
          <cell r="A133">
            <v>5021120</v>
          </cell>
          <cell r="B133" t="str">
            <v>CONDUCTOR SOLIDO UNIPOLAR TIPO TW 4MM2 COLOR MARRON 450 / 750V</v>
          </cell>
          <cell r="C133" t="str">
            <v>M</v>
          </cell>
          <cell r="D133">
            <v>1.01</v>
          </cell>
        </row>
        <row r="134">
          <cell r="A134">
            <v>5021121</v>
          </cell>
          <cell r="B134" t="str">
            <v>CONDUCTOR SOLIDO TW 750V UNIP.AZUL 1X 4MM2.</v>
          </cell>
          <cell r="C134" t="str">
            <v>M</v>
          </cell>
          <cell r="D134">
            <v>0.96299999999999997</v>
          </cell>
        </row>
        <row r="135">
          <cell r="A135">
            <v>5021123</v>
          </cell>
          <cell r="B135" t="str">
            <v>CONDUCTOR SOLIDO UNIPOLAR TIPO TW 4MM2 COLOR AMARILLO 450 / 750V</v>
          </cell>
          <cell r="C135" t="str">
            <v>M</v>
          </cell>
          <cell r="D135">
            <v>0.96</v>
          </cell>
        </row>
        <row r="136">
          <cell r="A136">
            <v>5021125</v>
          </cell>
          <cell r="B136" t="str">
            <v>CONDUCTOR SOLIDO UNIPOLAR TIPO TW 4MM2 COLOR NEGRO 450 / 750V</v>
          </cell>
          <cell r="C136" t="str">
            <v>M</v>
          </cell>
          <cell r="D136">
            <v>0.96199999999999997</v>
          </cell>
        </row>
        <row r="137">
          <cell r="A137">
            <v>5021126</v>
          </cell>
          <cell r="B137" t="str">
            <v>CONDUCTOR SOLIDO UNIPOLAR TIPO TW 4MM2 COLOR BLANCO 450 / 750V</v>
          </cell>
          <cell r="C137" t="str">
            <v>M</v>
          </cell>
          <cell r="D137">
            <v>1.0109999999999999</v>
          </cell>
        </row>
        <row r="138">
          <cell r="A138">
            <v>5021127</v>
          </cell>
          <cell r="B138" t="str">
            <v>CONDUCTOR SOLIDO UNIPOLAR TIPO TW 4MM2 COLOR ROJO 450 / 750V</v>
          </cell>
          <cell r="C138" t="str">
            <v>M</v>
          </cell>
          <cell r="D138">
            <v>0.91100000000000003</v>
          </cell>
        </row>
        <row r="139">
          <cell r="A139">
            <v>5021129</v>
          </cell>
          <cell r="B139" t="str">
            <v>CONDUCTOR SOLIDO UNIPOLAR TIPO TW 4MM2 COLOR VERDE 450 / 750V</v>
          </cell>
          <cell r="C139" t="str">
            <v>M</v>
          </cell>
          <cell r="D139">
            <v>0.96299999999999997</v>
          </cell>
        </row>
        <row r="140">
          <cell r="A140">
            <v>5021163</v>
          </cell>
          <cell r="B140" t="str">
            <v>CONDUCTOR SOLIDO TW 750V UNIP.AMARI. 1X 6MM2.</v>
          </cell>
          <cell r="C140" t="str">
            <v>M</v>
          </cell>
          <cell r="D140">
            <v>1.573</v>
          </cell>
        </row>
        <row r="141">
          <cell r="A141">
            <v>5021165</v>
          </cell>
          <cell r="B141" t="str">
            <v>CONDUCTOR SOLIDO TW 750V UNIP.NEGRO 1X 6MM2.</v>
          </cell>
          <cell r="C141" t="str">
            <v>M</v>
          </cell>
          <cell r="D141">
            <v>1.5820000000000001</v>
          </cell>
        </row>
        <row r="142">
          <cell r="A142">
            <v>5021167</v>
          </cell>
          <cell r="B142" t="str">
            <v>CONDUCTOR SOLIDO TW 750V UNIP.ROJO 1X 6MM2.</v>
          </cell>
          <cell r="C142" t="str">
            <v>M</v>
          </cell>
          <cell r="D142">
            <v>1.6180000000000001</v>
          </cell>
        </row>
        <row r="143">
          <cell r="A143">
            <v>5021169</v>
          </cell>
          <cell r="B143" t="str">
            <v>CONDUCTOR SOLIDO TW 750V UNIP.VERDE 1X 6MM2.</v>
          </cell>
          <cell r="C143" t="str">
            <v>M</v>
          </cell>
          <cell r="D143">
            <v>1.607</v>
          </cell>
        </row>
        <row r="144">
          <cell r="A144">
            <v>5021203</v>
          </cell>
          <cell r="B144" t="str">
            <v>CONDUCTOR SOLIDO TW  750V.UNIP.AMARI.  1X10    MM2</v>
          </cell>
          <cell r="C144" t="str">
            <v>M</v>
          </cell>
          <cell r="D144">
            <v>2.427</v>
          </cell>
        </row>
        <row r="145">
          <cell r="A145">
            <v>5021205</v>
          </cell>
          <cell r="B145" t="str">
            <v>CONDUCTOR SOLIDO TW 750V UNIP.NEGRO 1X10MM2.</v>
          </cell>
          <cell r="C145" t="str">
            <v>M</v>
          </cell>
          <cell r="D145">
            <v>2.1890000000000001</v>
          </cell>
        </row>
        <row r="146">
          <cell r="A146">
            <v>5021243</v>
          </cell>
          <cell r="B146" t="str">
            <v>CONDUCTOR CABLEADO UNIPOLAR TIPO TW 16MM2 COLOR AMARILLO 450 / 750V</v>
          </cell>
          <cell r="C146" t="str">
            <v>M</v>
          </cell>
          <cell r="D146">
            <v>3.8809999999999998</v>
          </cell>
        </row>
        <row r="147">
          <cell r="A147">
            <v>5021303</v>
          </cell>
          <cell r="B147" t="str">
            <v>CONDUCTOR CABLEADO TW  750V.UNIP.AMARI. 1X 35  MM2</v>
          </cell>
          <cell r="C147" t="str">
            <v>M</v>
          </cell>
          <cell r="D147">
            <v>8.468</v>
          </cell>
        </row>
        <row r="148">
          <cell r="A148">
            <v>5021333</v>
          </cell>
          <cell r="B148" t="str">
            <v>CONDUCTOR CABLEADO TW 750V UNIP.AMARI. 1X 70MM2.</v>
          </cell>
          <cell r="C148" t="str">
            <v>M</v>
          </cell>
          <cell r="D148">
            <v>16.573</v>
          </cell>
        </row>
        <row r="149">
          <cell r="A149">
            <v>5021355</v>
          </cell>
          <cell r="B149" t="str">
            <v>CONDUCTOR CABLEADO TW 750V UNIP.AMARI. 1X120MM2.</v>
          </cell>
          <cell r="C149" t="str">
            <v>M</v>
          </cell>
          <cell r="D149">
            <v>32.146000000000001</v>
          </cell>
        </row>
        <row r="150">
          <cell r="A150">
            <v>5021407</v>
          </cell>
          <cell r="B150" t="str">
            <v>CONDUCTOR SOLIDO TWT 450/750V BIPOLAR 2X 1.5 MM2.</v>
          </cell>
          <cell r="C150" t="str">
            <v>M</v>
          </cell>
          <cell r="D150">
            <v>0.91600000000000004</v>
          </cell>
        </row>
        <row r="151">
          <cell r="A151">
            <v>5021411</v>
          </cell>
          <cell r="B151" t="str">
            <v>CONDUCTOR SOLIDO TWT 450/750V BIPOLAR 2X2.5MM2</v>
          </cell>
          <cell r="C151" t="str">
            <v>M</v>
          </cell>
          <cell r="D151">
            <v>1.6020000000000001</v>
          </cell>
        </row>
        <row r="152">
          <cell r="A152">
            <v>5022004</v>
          </cell>
          <cell r="B152" t="str">
            <v>CABLE CONCENTRICO BIPOLAR DE COBRE 4MM2 P.ACOMETIDA MONOFASICA EN RED BAJA TENSION</v>
          </cell>
          <cell r="C152" t="str">
            <v>M</v>
          </cell>
          <cell r="D152">
            <v>2.464</v>
          </cell>
        </row>
        <row r="153">
          <cell r="A153">
            <v>5022006</v>
          </cell>
          <cell r="B153" t="str">
            <v>CABLE CONCENTRICO BIPOLAR DE COBRE 6MM2 P.ACOMETIDA MONOFASICA EN RED BAJA TENSION</v>
          </cell>
          <cell r="C153" t="str">
            <v>M</v>
          </cell>
          <cell r="D153">
            <v>3.335</v>
          </cell>
        </row>
        <row r="154">
          <cell r="A154">
            <v>5022010</v>
          </cell>
          <cell r="B154" t="str">
            <v>CABLE CONCENTRICO BIPOLAR DE COBRE 10MM2 P.ACOMETIDA MONOFASICA EN RED BAJA TENSION</v>
          </cell>
          <cell r="C154" t="str">
            <v>M</v>
          </cell>
          <cell r="D154">
            <v>5.7190000000000003</v>
          </cell>
        </row>
        <row r="155">
          <cell r="A155">
            <v>5022066</v>
          </cell>
          <cell r="B155" t="str">
            <v>CABLE CONCENTRICO TRIPOLAR DE COBRE 6MM2 P.ACOMETIDA TRIFASICA EN RED BAJA TENSION</v>
          </cell>
          <cell r="C155" t="str">
            <v>M</v>
          </cell>
          <cell r="D155">
            <v>6.4260000000000002</v>
          </cell>
        </row>
        <row r="156">
          <cell r="A156">
            <v>5022070</v>
          </cell>
          <cell r="B156" t="str">
            <v>CABLE CONCENTRICO TRIPOLAR DE COBRE 10MM2 P.ACOMETIDA TRIFASICA EN RED BAJA TENSION</v>
          </cell>
          <cell r="C156" t="str">
            <v>M</v>
          </cell>
          <cell r="D156">
            <v>10.112</v>
          </cell>
        </row>
        <row r="157">
          <cell r="A157">
            <v>5023702</v>
          </cell>
          <cell r="B157" t="str">
            <v>CABLE DE ENERGIA AUTOPORTANTE TIPO CAAI-S VW-1 2X16 MM2 PARA REDES AEREAS B.T.</v>
          </cell>
          <cell r="C157" t="str">
            <v>M</v>
          </cell>
          <cell r="D157">
            <v>2.4180000000000001</v>
          </cell>
        </row>
        <row r="158">
          <cell r="A158">
            <v>5023720</v>
          </cell>
          <cell r="B158" t="str">
            <v>CABLE DE ENERGIA AUTOPORTANTE TIPO CAAI-S VW-1 3X16 MM2 PARA REDES AEREAS B.T.</v>
          </cell>
          <cell r="C158" t="str">
            <v>M</v>
          </cell>
          <cell r="D158">
            <v>3.4430000000000001</v>
          </cell>
        </row>
        <row r="159">
          <cell r="A159">
            <v>5023724</v>
          </cell>
          <cell r="B159" t="str">
            <v>CABLE DE ENERGIA AUTOPORTANTE TIPO CAAI-S VW-1 3X35 MM2 PARA REDES AEREAS B.T.</v>
          </cell>
          <cell r="C159" t="str">
            <v>M</v>
          </cell>
          <cell r="D159">
            <v>5.0190000000000001</v>
          </cell>
        </row>
        <row r="160">
          <cell r="A160">
            <v>5023728</v>
          </cell>
          <cell r="B160" t="str">
            <v>CABLE DE ENERGIA AUTOPORTANTE TIPO CAAI-S VW-1 3X70 MM2 PARA REDES AEREAS B.T.</v>
          </cell>
          <cell r="C160" t="str">
            <v>M</v>
          </cell>
          <cell r="D160">
            <v>9.3559999999999999</v>
          </cell>
        </row>
        <row r="161">
          <cell r="A161">
            <v>5023739</v>
          </cell>
          <cell r="B161" t="str">
            <v>CABLE DE ENERGIA AUTOPORTANTE TIPO CAAI-S VW-1 3X120 MM2 PARA REDES AEREAS B.T.</v>
          </cell>
          <cell r="C161" t="str">
            <v>M</v>
          </cell>
          <cell r="D161">
            <v>16.591999999999999</v>
          </cell>
        </row>
        <row r="162">
          <cell r="A162">
            <v>5023740</v>
          </cell>
          <cell r="B162" t="str">
            <v>CABLE DE ENERGIA AUTOPORTANTE TIPO CAAI-S VW-1 3X16+1X16 MM2 PARA REDES AEREAS B.T.</v>
          </cell>
          <cell r="C162" t="str">
            <v>M</v>
          </cell>
          <cell r="D162">
            <v>4.5060000000000002</v>
          </cell>
        </row>
        <row r="163">
          <cell r="A163">
            <v>5023741</v>
          </cell>
          <cell r="B163" t="str">
            <v>CABLE DE ENERGIA AUTOPORTANTE TIPO CAAI-S VW-1 3X16 + 1X10 MM2 PARA REDES AEREAS B.T.</v>
          </cell>
          <cell r="C163" t="str">
            <v>M</v>
          </cell>
          <cell r="D163">
            <v>4.391</v>
          </cell>
        </row>
        <row r="164">
          <cell r="A164">
            <v>5023744</v>
          </cell>
          <cell r="B164" t="str">
            <v>CABLE DE ENERGIA AUTOPORTANTE TIPO CAAI-S VW-1 3X35+1X16 MM2 PARA REDES AEREAS B.T.</v>
          </cell>
          <cell r="C164" t="str">
            <v>M</v>
          </cell>
          <cell r="D164">
            <v>5.8129999999999997</v>
          </cell>
        </row>
        <row r="165">
          <cell r="A165">
            <v>5023748</v>
          </cell>
          <cell r="B165" t="str">
            <v>CABLE DE ENERGIA AUTOPORTANTE TIPO CAAI-S VW-1 3X70 + 1X16 MM2 PARA REDES AEREAS B.T.</v>
          </cell>
          <cell r="C165" t="str">
            <v>M</v>
          </cell>
          <cell r="D165">
            <v>10.01</v>
          </cell>
        </row>
        <row r="166">
          <cell r="A166">
            <v>5023762</v>
          </cell>
          <cell r="B166" t="str">
            <v>CABLE DE ENERGIA AUTOPORTANTE TIPO CAAI-S VW-1 3X120+1X16 MM2 PARA REDES AEREAS B.T.</v>
          </cell>
          <cell r="C166" t="str">
            <v>M</v>
          </cell>
          <cell r="D166">
            <v>17.344000000000001</v>
          </cell>
        </row>
        <row r="167">
          <cell r="A167">
            <v>5031149</v>
          </cell>
          <cell r="B167" t="str">
            <v>CABLE DE ENERGIA UNIPOLAR TIPO NYY 1 X 500MM2 0,6 / 1KV</v>
          </cell>
          <cell r="C167" t="str">
            <v>M</v>
          </cell>
          <cell r="D167">
            <v>138.934</v>
          </cell>
        </row>
        <row r="168">
          <cell r="A168">
            <v>5031165</v>
          </cell>
          <cell r="B168" t="str">
            <v>CABLE DE ENERGIA BIPOLAR TIPO N2XY 2 - 1 X 6MM2 0,6 / 1KV</v>
          </cell>
          <cell r="C168" t="str">
            <v>M</v>
          </cell>
          <cell r="D168">
            <v>3.5720000000000001</v>
          </cell>
        </row>
        <row r="169">
          <cell r="A169">
            <v>5031172</v>
          </cell>
          <cell r="B169" t="str">
            <v>CABLE DE ENERGIA TRIPOLAR TIPO N2XY 3 - 1 X 6MM2 0,6 / 1KV</v>
          </cell>
          <cell r="C169" t="str">
            <v>M</v>
          </cell>
          <cell r="D169">
            <v>5.125</v>
          </cell>
        </row>
        <row r="170">
          <cell r="A170">
            <v>5031173</v>
          </cell>
          <cell r="B170" t="str">
            <v>CABLE DE ENERGIA TRIPOLAR TIPO N2XY 3 - 1 X 10MM2 0,6 / 1KV</v>
          </cell>
          <cell r="C170" t="str">
            <v>M</v>
          </cell>
          <cell r="D170">
            <v>8.1929999999999996</v>
          </cell>
        </row>
        <row r="171">
          <cell r="A171">
            <v>5031175</v>
          </cell>
          <cell r="B171" t="str">
            <v>CABLE DE ENERGIA TRIPOLAR TIPO N2XY 3 - 1 X 16MM2 0,6 / 1KV</v>
          </cell>
          <cell r="C171" t="str">
            <v>M</v>
          </cell>
          <cell r="D171">
            <v>12.978</v>
          </cell>
        </row>
        <row r="172">
          <cell r="A172">
            <v>5031177</v>
          </cell>
          <cell r="B172" t="str">
            <v>CABLE DE ENERGIA TRIPOLAR TIPO N2XY 3 - 1 X 35MM2 0,6 / 1KV</v>
          </cell>
          <cell r="C172" t="str">
            <v>M</v>
          </cell>
          <cell r="D172">
            <v>26.562000000000001</v>
          </cell>
        </row>
        <row r="173">
          <cell r="A173">
            <v>5031178</v>
          </cell>
          <cell r="B173" t="str">
            <v>CABLE DE ENERGIA TRIPOLAR TIPO N2XY 3 - 1 X 70MM2 0,6 / 1KV</v>
          </cell>
          <cell r="C173" t="str">
            <v>M</v>
          </cell>
          <cell r="D173">
            <v>49.311999999999998</v>
          </cell>
        </row>
        <row r="174">
          <cell r="A174">
            <v>5031179</v>
          </cell>
          <cell r="B174" t="str">
            <v>CABLE DE ENERGIA TRIPOLAR TIPO N2XY 3 - 1 X 120MM2 0,6 / 1KV</v>
          </cell>
          <cell r="C174" t="str">
            <v>M</v>
          </cell>
          <cell r="D174">
            <v>84.944999999999993</v>
          </cell>
        </row>
        <row r="175">
          <cell r="A175">
            <v>5031182</v>
          </cell>
          <cell r="B175" t="str">
            <v>CABLE DE ENERGIA TRIPOLAR TIPO N2XY 3 - 1 X 185MM2 0,6 / 1KV</v>
          </cell>
          <cell r="C175" t="str">
            <v>M</v>
          </cell>
          <cell r="D175">
            <v>134.31800000000001</v>
          </cell>
        </row>
        <row r="176">
          <cell r="A176">
            <v>5031207</v>
          </cell>
          <cell r="B176" t="str">
            <v>CABLE DE ENERGIA BIPOLAR TIPO NYY 2 - 1 X 6MM2 0,6 / 1KV DISPOSICION PARALELO</v>
          </cell>
          <cell r="C176" t="str">
            <v>M</v>
          </cell>
          <cell r="D176">
            <v>3.879</v>
          </cell>
        </row>
        <row r="177">
          <cell r="A177">
            <v>5031307</v>
          </cell>
          <cell r="B177" t="str">
            <v>CABLE DE ENERGIA TRIPOLAR TIPO NYY 3 - 1 X 6MM2 0,6 / 1KV DISPOSICION PARALELO</v>
          </cell>
          <cell r="C177" t="str">
            <v>M</v>
          </cell>
          <cell r="D177">
            <v>5.8289999999999997</v>
          </cell>
        </row>
        <row r="178">
          <cell r="A178">
            <v>5031313</v>
          </cell>
          <cell r="B178" t="str">
            <v>CABLE DE ENERGIA TRIPOLAR TIPO NYY 3 - 1 X 10MM2 0,6 / 1KV DISPOSICION PARALELO</v>
          </cell>
          <cell r="C178" t="str">
            <v>M</v>
          </cell>
          <cell r="D178">
            <v>8.8770000000000007</v>
          </cell>
        </row>
        <row r="179">
          <cell r="A179">
            <v>5031316</v>
          </cell>
          <cell r="B179" t="str">
            <v>CABLE DE ENERGIA TRIPOLAR TIPO NYY 3 - 1 X 16MM2 0,6 / 1KV DISPOSICION PARALELO</v>
          </cell>
          <cell r="C179" t="str">
            <v>M</v>
          </cell>
          <cell r="D179">
            <v>13.519</v>
          </cell>
        </row>
        <row r="180">
          <cell r="A180">
            <v>5031322</v>
          </cell>
          <cell r="B180" t="str">
            <v>CABLE DE ENERGIA TRIPOLAR TIPO NYY 3 - 1 X 35MM2 0,6 / 1KV DISPOSICION PARALELO</v>
          </cell>
          <cell r="C180" t="str">
            <v>M</v>
          </cell>
          <cell r="D180">
            <v>25.245999999999999</v>
          </cell>
        </row>
        <row r="181">
          <cell r="A181">
            <v>5031323</v>
          </cell>
          <cell r="B181" t="str">
            <v>CABLE DE ENERGIA TRIPOLAR TIPO NYY 3 - 1 X 70MM2 0,6 / 1KV DISPOSICION PARALELO</v>
          </cell>
          <cell r="C181" t="str">
            <v>M</v>
          </cell>
          <cell r="D181">
            <v>47.984999999999999</v>
          </cell>
        </row>
        <row r="182">
          <cell r="A182">
            <v>5031334</v>
          </cell>
          <cell r="B182" t="str">
            <v>CABLE DE ENERGIA TRIPOLAR TIPO NYY 3 - 1 X 120MM2 0,6 / 1KV DISPOSICION PARALELO</v>
          </cell>
          <cell r="C182" t="str">
            <v>M</v>
          </cell>
          <cell r="D182">
            <v>80.266999999999996</v>
          </cell>
        </row>
        <row r="183">
          <cell r="A183">
            <v>5031340</v>
          </cell>
          <cell r="B183" t="str">
            <v>CABLE DE ENERGIA TRIPOLAR TIPO NYY 3 - 1 X 185MM2 0,6 / 1KV DISPOSICION PARALELO</v>
          </cell>
          <cell r="C183" t="str">
            <v>M</v>
          </cell>
          <cell r="D183">
            <v>150.048</v>
          </cell>
        </row>
        <row r="184">
          <cell r="A184">
            <v>5031346</v>
          </cell>
          <cell r="B184" t="str">
            <v>CABLE DE ENERGIA TRIPOLAR TIPO NYY 3 - 1 X 300MM2 0,6 / 1KV DISPOSICION PARALELO</v>
          </cell>
          <cell r="C184" t="str">
            <v>M</v>
          </cell>
          <cell r="D184">
            <v>202.595</v>
          </cell>
        </row>
        <row r="185">
          <cell r="A185">
            <v>5031448</v>
          </cell>
          <cell r="B185" t="str">
            <v>CABLE DE ENERGIA TRIPOLAR TIPO NA2XY 3 - 1 X 95MM2 0,6 / 1KV DISPOSICION PARALELO</v>
          </cell>
          <cell r="C185" t="str">
            <v>M</v>
          </cell>
          <cell r="D185">
            <v>13.362</v>
          </cell>
        </row>
        <row r="186">
          <cell r="A186">
            <v>5031449</v>
          </cell>
          <cell r="B186" t="str">
            <v>CABLE DE ENERGIA TRIPOLAR TIPO NA2XY 3 - 1 X 70MM2 0,6 / 1KV DISPOSICION PARALELO</v>
          </cell>
          <cell r="C186" t="str">
            <v>M</v>
          </cell>
          <cell r="D186">
            <v>9.984</v>
          </cell>
        </row>
        <row r="187">
          <cell r="A187">
            <v>5031450</v>
          </cell>
          <cell r="B187" t="str">
            <v>CABLE DE ENERGIA TRIPOLAR TIPO NA2XY 3 - 1 X 120MM2 0,6 / 1KV DISPOSICION PARALELO</v>
          </cell>
          <cell r="C187" t="str">
            <v>M</v>
          </cell>
          <cell r="D187">
            <v>15.324</v>
          </cell>
        </row>
        <row r="188">
          <cell r="A188">
            <v>5031451</v>
          </cell>
          <cell r="B188" t="str">
            <v>CABLE DE ENERGIA TRIPOLAR TIPO NA2XY 3 - 1 X 185MM2 0,6 / 1KV DISPOSICION PARALELO</v>
          </cell>
          <cell r="C188" t="str">
            <v>M</v>
          </cell>
          <cell r="D188">
            <v>25.75</v>
          </cell>
        </row>
        <row r="189">
          <cell r="A189">
            <v>5031452</v>
          </cell>
          <cell r="B189" t="str">
            <v>CABLE DE ENERGIA TRIPOLAR TIPO NA2XY 3 - 1 X 240MM2 0,6 / 1KV DISPOSICION PARALELO</v>
          </cell>
          <cell r="C189" t="str">
            <v>M</v>
          </cell>
          <cell r="D189">
            <v>29.498000000000001</v>
          </cell>
        </row>
        <row r="190">
          <cell r="A190">
            <v>5031454</v>
          </cell>
          <cell r="B190" t="str">
            <v>CABLE DE ENERGIA TRIPOLAR TIPO NA2XY 3 - 1 X 400MM2 0,6 / 1KV DISPOSICION PARALELO</v>
          </cell>
          <cell r="C190" t="str">
            <v>M</v>
          </cell>
          <cell r="D190">
            <v>46.639000000000003</v>
          </cell>
        </row>
        <row r="191">
          <cell r="A191">
            <v>5031546</v>
          </cell>
          <cell r="B191" t="str">
            <v>CABLE DE ENERGIA TIPO NAYY 3-1X70MM2. B.T.</v>
          </cell>
          <cell r="C191" t="str">
            <v>M</v>
          </cell>
          <cell r="D191">
            <v>9.9879999999999995</v>
          </cell>
        </row>
        <row r="192">
          <cell r="A192">
            <v>5031548</v>
          </cell>
          <cell r="B192" t="str">
            <v>CABLE DE ENERGIA TIPO NAYY 3-1X95MM2. B.T.</v>
          </cell>
          <cell r="C192" t="str">
            <v>M</v>
          </cell>
          <cell r="D192">
            <v>16.907</v>
          </cell>
        </row>
        <row r="193">
          <cell r="A193">
            <v>5031550</v>
          </cell>
          <cell r="B193" t="str">
            <v>CABLE DE ENERGIA TIPO NAYY 3-1X120MM2. B.T.</v>
          </cell>
          <cell r="C193" t="str">
            <v>M</v>
          </cell>
          <cell r="D193">
            <v>16.992999999999999</v>
          </cell>
        </row>
        <row r="194">
          <cell r="A194">
            <v>5031552</v>
          </cell>
          <cell r="B194" t="str">
            <v>CABLE DE ENERGIA TIPO NAYY 3-1X185MM2. B.T.</v>
          </cell>
          <cell r="C194" t="str">
            <v>M</v>
          </cell>
          <cell r="D194">
            <v>23.17</v>
          </cell>
        </row>
        <row r="195">
          <cell r="A195">
            <v>5031554</v>
          </cell>
          <cell r="B195" t="str">
            <v>CABLE DE ENERGIA TIPO NAYY 3-1X300MM2. B.T.</v>
          </cell>
          <cell r="C195" t="str">
            <v>M</v>
          </cell>
          <cell r="D195">
            <v>38.076000000000001</v>
          </cell>
        </row>
        <row r="196">
          <cell r="A196">
            <v>5031556</v>
          </cell>
          <cell r="B196" t="str">
            <v>CABLE DE ENERGIA TIPO NAYY 3-1X500MM2. B.T.</v>
          </cell>
          <cell r="C196" t="str">
            <v>M</v>
          </cell>
          <cell r="D196">
            <v>56.701000000000001</v>
          </cell>
        </row>
        <row r="197">
          <cell r="A197">
            <v>5032119</v>
          </cell>
          <cell r="B197" t="str">
            <v>CABLE DE ENERGIA UNIPOLAR TP. N2XSY 25MM2 P.REDES SUBTERRANEAS EN 10KV</v>
          </cell>
          <cell r="C197" t="str">
            <v>M</v>
          </cell>
          <cell r="D197">
            <v>14.154999999999999</v>
          </cell>
        </row>
        <row r="198">
          <cell r="A198">
            <v>5032122</v>
          </cell>
          <cell r="B198" t="str">
            <v>CABLE DE ENERGIA UNIPOLAR TP. N2XSY 35MM2 P.REDES SUBTERRANEAS EN 10KV</v>
          </cell>
          <cell r="C198" t="str">
            <v>M</v>
          </cell>
          <cell r="D198">
            <v>16.818000000000001</v>
          </cell>
        </row>
        <row r="199">
          <cell r="A199">
            <v>5032125</v>
          </cell>
          <cell r="B199" t="str">
            <v>CABLE DE ENERGIA UNIPOLAR TP. N2XSY 50MM2 P.REDES SUBTERRANEAS EN 10KV</v>
          </cell>
          <cell r="C199" t="str">
            <v>M</v>
          </cell>
          <cell r="D199">
            <v>28.753</v>
          </cell>
        </row>
        <row r="200">
          <cell r="A200">
            <v>5032129</v>
          </cell>
          <cell r="B200" t="str">
            <v>CABLE DE ENERGIA UNIPOLAR TP. N2XSY 70MM2 P.REDES SUBTERRANEAS EN 10KV</v>
          </cell>
          <cell r="C200" t="str">
            <v>M</v>
          </cell>
          <cell r="D200">
            <v>27.390999999999998</v>
          </cell>
        </row>
        <row r="201">
          <cell r="A201">
            <v>5032132</v>
          </cell>
          <cell r="B201" t="str">
            <v>CABLE DE ENERGIA UNIPOLAR TP. N2XSY 120MM2 P.REDES SUBTERRANEAS EN 10KV</v>
          </cell>
          <cell r="C201" t="str">
            <v>M</v>
          </cell>
          <cell r="D201">
            <v>39.362000000000002</v>
          </cell>
        </row>
        <row r="202">
          <cell r="A202">
            <v>5032327</v>
          </cell>
          <cell r="B202" t="str">
            <v>CABLE DE ENERGIA UNIPOLAR TP. N2XSY 50MM2 P.REDES SUBTERRANEAS EN 22,9KV</v>
          </cell>
          <cell r="C202" t="str">
            <v>M</v>
          </cell>
          <cell r="D202">
            <v>26.795999999999999</v>
          </cell>
        </row>
        <row r="203">
          <cell r="A203">
            <v>5032329</v>
          </cell>
          <cell r="B203" t="str">
            <v>CABLE DE ENERGIA UNIPOLAR TP. N2XSY 70MM2 P.REDES SUBTERRANEAS EN 22,9KV</v>
          </cell>
          <cell r="C203" t="str">
            <v>M</v>
          </cell>
          <cell r="D203">
            <v>29.591000000000001</v>
          </cell>
        </row>
        <row r="204">
          <cell r="A204">
            <v>5032335</v>
          </cell>
          <cell r="B204" t="str">
            <v>CABLE DE ENERGIA UNIPOLAR TP. N2XSY 120MM2 P.REDES SUBTERRANEAS EN 22,9KV</v>
          </cell>
          <cell r="C204" t="str">
            <v>M</v>
          </cell>
          <cell r="D204">
            <v>50.267000000000003</v>
          </cell>
        </row>
        <row r="205">
          <cell r="A205">
            <v>5032550</v>
          </cell>
          <cell r="B205" t="str">
            <v>CABLE DE ENERGIA TIPO NA2XSY 1 X 120MM2 PARA REDES SUBTERRANEAS 22,9KV</v>
          </cell>
          <cell r="C205" t="str">
            <v>M</v>
          </cell>
          <cell r="D205">
            <v>20.626999999999999</v>
          </cell>
        </row>
        <row r="206">
          <cell r="A206">
            <v>5032552</v>
          </cell>
          <cell r="B206" t="str">
            <v>CABLE DE ENERGIA TIPO NA2XSY 1 X 185MM2 PARA REDES SUBTERRANEAS 22,9KV</v>
          </cell>
          <cell r="C206" t="str">
            <v>M</v>
          </cell>
          <cell r="D206">
            <v>26.635999999999999</v>
          </cell>
        </row>
        <row r="207">
          <cell r="A207">
            <v>5032555</v>
          </cell>
          <cell r="B207" t="str">
            <v>CABLE DE ENERGIA TIPO NA2XSY 1 X 400MM2 PARA REDES SUBTERRANEAS 22,9KV</v>
          </cell>
          <cell r="C207" t="str">
            <v>M</v>
          </cell>
          <cell r="D207">
            <v>34.908000000000001</v>
          </cell>
        </row>
        <row r="208">
          <cell r="A208">
            <v>5111102</v>
          </cell>
          <cell r="B208" t="str">
            <v>EMPALME DERECHO - DERIVACION SIMETRICO UNIPOLAR AUTOFUNDENTE P.CABLE SECO 6-16 / 6-16MM2 B.T.</v>
          </cell>
          <cell r="C208" t="str">
            <v>UN</v>
          </cell>
          <cell r="D208">
            <v>5.1959999999999997</v>
          </cell>
        </row>
        <row r="209">
          <cell r="A209">
            <v>5111122</v>
          </cell>
          <cell r="B209" t="str">
            <v>EMPALME DERECHO - DERIVACION SIMETRICO UNIPOLAR AUTOFUNDENTE P.CABLE SECO 35 / 6-35MM2 B.T.</v>
          </cell>
          <cell r="C209" t="str">
            <v>UN</v>
          </cell>
          <cell r="D209">
            <v>7.73</v>
          </cell>
        </row>
        <row r="210">
          <cell r="A210">
            <v>5111138</v>
          </cell>
          <cell r="B210" t="str">
            <v>EMPALME DERECHO - DERIVACION SIMETRICO UNIPOLAR AUTOFUNDENTE P.CABLE SECO 70 / 6-70MM2 B.T.</v>
          </cell>
          <cell r="C210" t="str">
            <v>UN</v>
          </cell>
          <cell r="D210">
            <v>9.8390000000000004</v>
          </cell>
        </row>
        <row r="211">
          <cell r="A211">
            <v>5111146</v>
          </cell>
          <cell r="B211" t="str">
            <v>EMPALME DERECHO - DERIVACION SIMETRICO UNIPOLAR AUTOFUNDENTE P.CABLE SECO 120-185 / 10-185MM2 B.T.</v>
          </cell>
          <cell r="C211" t="str">
            <v>UN</v>
          </cell>
          <cell r="D211">
            <v>14.746</v>
          </cell>
        </row>
        <row r="212">
          <cell r="A212">
            <v>5111154</v>
          </cell>
          <cell r="B212" t="str">
            <v>EMPALME DERECHO - DERIVACION SIMETRICO UNIPOLAR AUTOFUNDENTE P.CABLE SECO 300 / 10-300MM2 B.T.</v>
          </cell>
          <cell r="C212" t="str">
            <v>UN</v>
          </cell>
          <cell r="D212">
            <v>26.843</v>
          </cell>
        </row>
        <row r="213">
          <cell r="A213">
            <v>5111180</v>
          </cell>
          <cell r="B213" t="str">
            <v>EMPALME DERECHO / DERIVACION SIMETRICO UNIPOLAR TERMOCONTRAIBLE P.CABLE SECO 6-25MM2 25MM LONG.</v>
          </cell>
          <cell r="C213" t="str">
            <v>UN</v>
          </cell>
          <cell r="D213">
            <v>5.0510000000000002</v>
          </cell>
        </row>
        <row r="214">
          <cell r="A214">
            <v>5111182</v>
          </cell>
          <cell r="B214" t="str">
            <v>EMPALME DERECHO / DERIVACION SIMETRICO UNIPOLAR TERMOCONTRAIBLE P.CABLE SECO 6-35MM2 120MM LONG.</v>
          </cell>
          <cell r="C214" t="str">
            <v>UN</v>
          </cell>
          <cell r="D214">
            <v>5.75</v>
          </cell>
        </row>
        <row r="215">
          <cell r="A215">
            <v>5111184</v>
          </cell>
          <cell r="B215" t="str">
            <v>EMPALME TERMOCONTRAIBLE UNIPOLAR DERECHO/DERIVACION P. CABLE SECO B.T. 70/6-70 MM2.</v>
          </cell>
          <cell r="C215" t="str">
            <v>UN</v>
          </cell>
          <cell r="D215">
            <v>9.9369999999999994</v>
          </cell>
        </row>
        <row r="216">
          <cell r="A216">
            <v>5111186</v>
          </cell>
          <cell r="B216" t="str">
            <v>EMPALME TERMOCONTRAIBLE UNIPOLAR DERECHO/DERIVACION P. CABLE SECO B.T. 120-185/10-185 MM2.</v>
          </cell>
          <cell r="C216" t="str">
            <v>UN</v>
          </cell>
          <cell r="D216">
            <v>13.255000000000001</v>
          </cell>
        </row>
        <row r="217">
          <cell r="A217">
            <v>5111188</v>
          </cell>
          <cell r="B217" t="str">
            <v>EMPALME TERMOCONTRAIBLE UNIPOLAR DERECHO/DERIVACION P. CABLE SECO B.T. 300/10-300 MM2.</v>
          </cell>
          <cell r="C217" t="str">
            <v>UN</v>
          </cell>
          <cell r="D217">
            <v>27.253</v>
          </cell>
        </row>
        <row r="218">
          <cell r="A218">
            <v>5111250</v>
          </cell>
          <cell r="B218" t="str">
            <v>EMPALME DERECHO / DERIVACION SIMETRICO UNIPOLAR TERMOCONTRAIBLE P.CABLE SECO 6-95 / 6-35MM2 B.T.</v>
          </cell>
          <cell r="C218" t="str">
            <v>UN</v>
          </cell>
          <cell r="D218">
            <v>10.666</v>
          </cell>
        </row>
        <row r="219">
          <cell r="A219">
            <v>5111251</v>
          </cell>
          <cell r="B219" t="str">
            <v>EMPALME DERECHO / DERIVACION SIMETRICO UNIPOLAR TERMOCONTRAIBLE P.CABLE SECO 120-500 / 6-35MM2 B.T.</v>
          </cell>
          <cell r="C219" t="str">
            <v>UN</v>
          </cell>
          <cell r="D219">
            <v>21.745000000000001</v>
          </cell>
        </row>
        <row r="220">
          <cell r="A220">
            <v>5111252</v>
          </cell>
          <cell r="B220" t="str">
            <v>EMPALME DERECHO / DERIVACION SIMETRICO UNIPOLAR TERMOCONTRAIBLE P.CABLE SECO 70-185 / 70-185MM2 B.T.</v>
          </cell>
          <cell r="C220" t="str">
            <v>UN</v>
          </cell>
          <cell r="D220">
            <v>14.728999999999999</v>
          </cell>
        </row>
        <row r="221">
          <cell r="A221">
            <v>5111253</v>
          </cell>
          <cell r="B221" t="str">
            <v>EMPALME DERECHO / DERIVACION SIMETRICO UNIPOLAR TERMOCONTRAIBLE P.CABLE SECO 240-300 / 70-300MM2 B.T</v>
          </cell>
          <cell r="C221" t="str">
            <v>UN</v>
          </cell>
          <cell r="D221">
            <v>22.189</v>
          </cell>
        </row>
        <row r="222">
          <cell r="A222">
            <v>5111254</v>
          </cell>
          <cell r="B222" t="str">
            <v>EMPALME DERECHO / DERIVACION SIMETRICO UNIPOLAR TERMOCONTRAIBLE P.CABLE SECO 500 / 70-500MM2 B.T.</v>
          </cell>
          <cell r="C222" t="str">
            <v>UN</v>
          </cell>
          <cell r="D222">
            <v>40.093000000000004</v>
          </cell>
        </row>
        <row r="223">
          <cell r="A223">
            <v>5111260</v>
          </cell>
          <cell r="B223" t="str">
            <v>EMPALME DERECHO DERIVACION SIMETRICO UNIPOLAR AUTOFUNDENTE P.CABLE SECO 6-16 / 6-16MM2 B.T.</v>
          </cell>
          <cell r="C223" t="str">
            <v>UN</v>
          </cell>
          <cell r="D223">
            <v>7.3940000000000001</v>
          </cell>
        </row>
        <row r="224">
          <cell r="A224">
            <v>5111261</v>
          </cell>
          <cell r="B224" t="str">
            <v>EMPALME DERECHO DERIVACION SIMETRICO UNIPOLAR AUTOFUNDENTE P.CABLE SECO 35 / 6-35MM2 B.T.</v>
          </cell>
          <cell r="C224" t="str">
            <v>UN</v>
          </cell>
          <cell r="D224">
            <v>8.85</v>
          </cell>
        </row>
        <row r="225">
          <cell r="A225">
            <v>5111262</v>
          </cell>
          <cell r="B225" t="str">
            <v>EMPALME DERECHO DERIVACION SIMETRICO UNIPOLAR AUTOFUNDENTE P.CABLE SECO 35-95 / 6-35MM2 B.T.</v>
          </cell>
          <cell r="C225" t="str">
            <v>UN</v>
          </cell>
          <cell r="D225">
            <v>17.434999999999999</v>
          </cell>
        </row>
        <row r="226">
          <cell r="A226">
            <v>5111263</v>
          </cell>
          <cell r="B226" t="str">
            <v>EMPALME DERECHO DERIVACION SIMETRICO UNIPOLAR AUTOFUNDENTE P.CABLE SECO 70-95 / 70-95MM2 B.T.</v>
          </cell>
          <cell r="C226" t="str">
            <v>UN</v>
          </cell>
          <cell r="D226">
            <v>15.769</v>
          </cell>
        </row>
        <row r="227">
          <cell r="A227">
            <v>5111265</v>
          </cell>
          <cell r="B227" t="str">
            <v>EMPALME DERECHO DERIVACION SIMETRICO UNIPOLAR AUTOFUNDENTE P.CABLE SECO 120-185 / 70-185MM2 B.T.</v>
          </cell>
          <cell r="C227" t="str">
            <v>UN</v>
          </cell>
          <cell r="D227">
            <v>16.425999999999998</v>
          </cell>
        </row>
        <row r="228">
          <cell r="A228">
            <v>5111266</v>
          </cell>
          <cell r="B228" t="str">
            <v>EMPALME DERECHO DERIVACION SIMETRICO UNIPOLAR AUTOFUNDENTE P.CABLE SECO 240-300 / 6-35MM2 B.T.</v>
          </cell>
          <cell r="C228" t="str">
            <v>UN</v>
          </cell>
          <cell r="D228">
            <v>27.88</v>
          </cell>
        </row>
        <row r="229">
          <cell r="A229">
            <v>5111267</v>
          </cell>
          <cell r="B229" t="str">
            <v>EMPALME DERECHO DERIVACION SIMETRICO UNIPOLAR AUTOFUNDENTE P.CABLE SECO 240-300 / 70-300MM2 B.T.</v>
          </cell>
          <cell r="C229" t="str">
            <v>UN</v>
          </cell>
          <cell r="D229">
            <v>47.567999999999998</v>
          </cell>
        </row>
        <row r="230">
          <cell r="A230">
            <v>5111269</v>
          </cell>
          <cell r="B230" t="str">
            <v>EMPALME DERECHO DERIVACION SIMETRICO UNIPOLAR AUTOFUNDENTE P.CABLE SECO 500 / 70-120MM2 B.T.</v>
          </cell>
          <cell r="C230" t="str">
            <v>UN</v>
          </cell>
          <cell r="D230">
            <v>17.122</v>
          </cell>
        </row>
        <row r="231">
          <cell r="A231">
            <v>5111270</v>
          </cell>
          <cell r="B231" t="str">
            <v>EMPALME DERECHO DERIVACION SIMETRICO UNIPOLAR AUTOFUNDENTE P.CABLE SECO 500 / 240-500MM2 B.T.</v>
          </cell>
          <cell r="C231" t="str">
            <v>UN</v>
          </cell>
          <cell r="D231">
            <v>17.015000000000001</v>
          </cell>
        </row>
        <row r="232">
          <cell r="A232">
            <v>5111563</v>
          </cell>
          <cell r="B232" t="str">
            <v>EMPALME DERECHO - DERIVACION ASIMETRICO AUTOFUNDENTE P.CABLE NKY / CABLE SECO 35 / 6-35MM2 B.T.</v>
          </cell>
          <cell r="C232" t="str">
            <v>JG</v>
          </cell>
          <cell r="D232">
            <v>41.302</v>
          </cell>
        </row>
        <row r="233">
          <cell r="A233">
            <v>5111564</v>
          </cell>
          <cell r="B233" t="str">
            <v>EMPALME DERECHO - DERIVACION ASIMETRICO TERMOCONTRAIBLE P.CABLE NKY / CABLE SECO 35 / 6-35MM2 B.T.</v>
          </cell>
          <cell r="C233" t="str">
            <v>JG</v>
          </cell>
          <cell r="D233">
            <v>41.1</v>
          </cell>
        </row>
        <row r="234">
          <cell r="A234">
            <v>5111569</v>
          </cell>
          <cell r="B234" t="str">
            <v>EMPALME DERECHO - DERIVACION ASIMETRICO AUTOFUNDENTE P.CABLE NKY / CABLE SECO 70 / 6-70MM2 B.T.</v>
          </cell>
          <cell r="C234" t="str">
            <v>JG</v>
          </cell>
          <cell r="D234">
            <v>43.768999999999998</v>
          </cell>
        </row>
        <row r="235">
          <cell r="A235">
            <v>5111570</v>
          </cell>
          <cell r="B235" t="str">
            <v>EMPALME DERECHO - DERIVACION ASIMETRICO TERMOCONTRAIBLE P.CABLE NKY / CABLE SECO 70 / 6-70MM2 B.T.</v>
          </cell>
          <cell r="C235" t="str">
            <v>JG</v>
          </cell>
          <cell r="D235">
            <v>44.097999999999999</v>
          </cell>
        </row>
        <row r="236">
          <cell r="A236">
            <v>5111579</v>
          </cell>
          <cell r="B236" t="str">
            <v>EMPALME DERECHO - DERIVACION ASIMETRICO AUTOFUNDENTE P.CABLE NKY / CABLE SECO 120-185 / 10-185MM2 BT</v>
          </cell>
          <cell r="C236" t="str">
            <v>JG</v>
          </cell>
          <cell r="D236">
            <v>78.754999999999995</v>
          </cell>
        </row>
        <row r="237">
          <cell r="A237">
            <v>5111580</v>
          </cell>
          <cell r="B237" t="str">
            <v>EMPALME ASIMETRICO DERECHO/DERIVACION TERMOCONTRAIBLE P.CABLE NKY-SECO 120-185 / 10-185MM2 P.RED B.T</v>
          </cell>
          <cell r="C237" t="str">
            <v>JG</v>
          </cell>
          <cell r="D237">
            <v>90.594999999999999</v>
          </cell>
        </row>
        <row r="238">
          <cell r="A238">
            <v>5111582</v>
          </cell>
          <cell r="B238" t="str">
            <v>EMPALME ASIMETRICO DERECHO/DERIVACION TERMOCONTRAIBLE P.CABLE NKY-SECO 300 / 10-300MM2 P.RED B.T.</v>
          </cell>
          <cell r="C238" t="str">
            <v>JG</v>
          </cell>
          <cell r="D238">
            <v>121.569</v>
          </cell>
        </row>
        <row r="239">
          <cell r="A239">
            <v>5111583</v>
          </cell>
          <cell r="B239" t="str">
            <v>EMPALME DERECHO - DERIVACION ASIMETRICO AUTOFUNDENTE P.CABLE NKY / CABLE SECO 300 / 10-300MM2 B.T.</v>
          </cell>
          <cell r="C239" t="str">
            <v>JG</v>
          </cell>
          <cell r="D239">
            <v>110.051</v>
          </cell>
        </row>
        <row r="240">
          <cell r="A240">
            <v>5111587</v>
          </cell>
          <cell r="B240" t="str">
            <v>EMPALME DERECHO - DERIVACION ASIMETRICO AUTOFUNDENTE P.CABLE NKY / CABLE SECO 6-16 / 6-16MM2 B.T.</v>
          </cell>
          <cell r="C240" t="str">
            <v>JG</v>
          </cell>
          <cell r="D240">
            <v>29.114999999999998</v>
          </cell>
        </row>
        <row r="241">
          <cell r="A241">
            <v>5111607</v>
          </cell>
          <cell r="B241" t="str">
            <v>EMPALME DERECHO DERIVACION ASIMETRICO TRIPOLAR AUTOFUNDENTE P.CABLE NKY / SECO AL 35-70/6-35MM2</v>
          </cell>
          <cell r="C241" t="str">
            <v>JG</v>
          </cell>
          <cell r="D241">
            <v>82.444999999999993</v>
          </cell>
        </row>
        <row r="242">
          <cell r="A242">
            <v>5111608</v>
          </cell>
          <cell r="B242" t="str">
            <v>EMPALME DERECHO DERIVACION ASIMETRICO TRIPOLAR AUTOFUNDENTE P.CABLE NKY / SECO AL 70/70-95MM2</v>
          </cell>
          <cell r="C242" t="str">
            <v>JG</v>
          </cell>
          <cell r="D242">
            <v>96.647000000000006</v>
          </cell>
        </row>
        <row r="243">
          <cell r="A243">
            <v>5111609</v>
          </cell>
          <cell r="B243" t="str">
            <v>EMPALME DERECHO DERIVACION ASIMETRICO TRIPOLAR AUTOFUNDENTE P.CABLE NKY / SECO AL 120-185/6-35MM2</v>
          </cell>
          <cell r="C243" t="str">
            <v>JG</v>
          </cell>
          <cell r="D243">
            <v>108.486</v>
          </cell>
        </row>
        <row r="244">
          <cell r="A244">
            <v>5111610</v>
          </cell>
          <cell r="B244" t="str">
            <v>EMPALME DERECHO DERIVACION ASIMETRICO TRIPOLAR AUTOFUNDENTE P.CABLE NKY / SECO AL 120-185/70-185MM2</v>
          </cell>
          <cell r="C244" t="str">
            <v>JG</v>
          </cell>
          <cell r="D244">
            <v>119.45099999999999</v>
          </cell>
        </row>
        <row r="245">
          <cell r="A245">
            <v>5111611</v>
          </cell>
          <cell r="B245" t="str">
            <v>EMPALME DERECHO DERIVACION ASIMETRICO TRIPOLAR AUTOFUNDENTE P.CABLE NKY / SECO AL 240-300/6-35MM2</v>
          </cell>
          <cell r="C245" t="str">
            <v>JG</v>
          </cell>
          <cell r="D245">
            <v>149.73699999999999</v>
          </cell>
        </row>
        <row r="246">
          <cell r="A246">
            <v>5111612</v>
          </cell>
          <cell r="B246" t="str">
            <v>EMPALME DERECHO DERIVACION ASIMETRICO TRIPOLAR AUTOFUNDENTE P.CABLE NKY / SECO AL 240-300/70-300MM2</v>
          </cell>
          <cell r="C246" t="str">
            <v>JG</v>
          </cell>
          <cell r="D246">
            <v>183.422</v>
          </cell>
        </row>
        <row r="247">
          <cell r="A247">
            <v>5111614</v>
          </cell>
          <cell r="B247" t="str">
            <v>EMPALME DERECHO DERIVACION ASIMETRICO TRIPOLAR AUTOFUNDENTE P.CABLE NKY / SECO AL 500/70-500MM2</v>
          </cell>
          <cell r="C247" t="str">
            <v>JG</v>
          </cell>
          <cell r="D247">
            <v>215.91800000000001</v>
          </cell>
        </row>
        <row r="248">
          <cell r="A248">
            <v>5112102</v>
          </cell>
          <cell r="B248" t="str">
            <v>CONECTOR TERMINAL A COMPRESION DE COBRE P.CABLE 6MM2, SIMPLE FIJACION</v>
          </cell>
          <cell r="C248" t="str">
            <v>UN</v>
          </cell>
          <cell r="D248">
            <v>0.68200000000000005</v>
          </cell>
        </row>
        <row r="249">
          <cell r="A249">
            <v>5112106</v>
          </cell>
          <cell r="B249" t="str">
            <v>CONECTOR TERMINAL A COMPRESION DE COBRE P.CABLE 10MM2, SIMPLE FIJACION</v>
          </cell>
          <cell r="C249" t="str">
            <v>UN</v>
          </cell>
          <cell r="D249">
            <v>0.73099999999999998</v>
          </cell>
        </row>
        <row r="250">
          <cell r="A250">
            <v>5112116</v>
          </cell>
          <cell r="B250" t="str">
            <v>CONECTOR TERMINAL A COMPRESION DE COBRE P.CABLE 16MM2, SIMPLE FIJACION</v>
          </cell>
          <cell r="C250" t="str">
            <v>UN</v>
          </cell>
          <cell r="D250">
            <v>0.93400000000000005</v>
          </cell>
        </row>
        <row r="251">
          <cell r="A251">
            <v>5112122</v>
          </cell>
          <cell r="B251" t="str">
            <v>CONECTOR TERMINAL A COMPRESION DE COBRE P.CABLE 25MM2, SIMPLE FIJACION</v>
          </cell>
          <cell r="C251" t="str">
            <v>UN</v>
          </cell>
          <cell r="D251">
            <v>2.0609999999999999</v>
          </cell>
        </row>
        <row r="252">
          <cell r="A252">
            <v>5112126</v>
          </cell>
          <cell r="B252" t="str">
            <v>CONECTOR TERMINAL A COMPRESION DE COBRE P.CABLE 35MM2, SIMPLE FIJACION</v>
          </cell>
          <cell r="C252" t="str">
            <v>UN</v>
          </cell>
          <cell r="D252">
            <v>2.3690000000000002</v>
          </cell>
        </row>
        <row r="253">
          <cell r="A253">
            <v>5112202</v>
          </cell>
          <cell r="B253" t="str">
            <v>CONECTOR TERMINAL A COMPRESION DE COBRE P.CABLE 70MM2, SIMPLE FIJACION</v>
          </cell>
          <cell r="C253" t="str">
            <v>UN</v>
          </cell>
          <cell r="D253">
            <v>4.1760000000000002</v>
          </cell>
        </row>
        <row r="254">
          <cell r="A254">
            <v>5112216</v>
          </cell>
          <cell r="B254" t="str">
            <v>CONECTOR TERMINAL A COMPRESION DE COBRE P.CABLE 120MM2, SIMPLE FIJACION</v>
          </cell>
          <cell r="C254" t="str">
            <v>UN</v>
          </cell>
          <cell r="D254">
            <v>5.5839999999999996</v>
          </cell>
        </row>
        <row r="255">
          <cell r="A255">
            <v>5112242</v>
          </cell>
          <cell r="B255" t="str">
            <v>CONECTOR TERMINAL A COMPRESION DE COBRE P.CABLE 185MM2, SIMPLE FIJACION</v>
          </cell>
          <cell r="C255" t="str">
            <v>UN</v>
          </cell>
          <cell r="D255">
            <v>9.6630000000000003</v>
          </cell>
        </row>
        <row r="256">
          <cell r="A256">
            <v>5112246</v>
          </cell>
          <cell r="B256" t="str">
            <v>CONECTOR TERMINAL A COMPRESION DE COBRE P.CABLE 240MM2, SIMPLE FIJACION</v>
          </cell>
          <cell r="C256" t="str">
            <v>UN</v>
          </cell>
          <cell r="D256">
            <v>14.347</v>
          </cell>
        </row>
        <row r="257">
          <cell r="A257">
            <v>5112262</v>
          </cell>
          <cell r="B257" t="str">
            <v>CONECTOR TERMINAL A COMPRESION DE COBRE P.CABLE 300MM2, SIMPLE FIJACION</v>
          </cell>
          <cell r="C257" t="str">
            <v>UN</v>
          </cell>
          <cell r="D257">
            <v>16.675000000000001</v>
          </cell>
        </row>
        <row r="258">
          <cell r="A258">
            <v>5112349</v>
          </cell>
          <cell r="B258" t="str">
            <v>CONECTOR TIP. C" CU.ELECT.ESTAÑ. A COMPRES. 50-70/35-70MM2 BT (3M)"</v>
          </cell>
          <cell r="C258" t="str">
            <v>UN</v>
          </cell>
          <cell r="D258">
            <v>12.215999999999999</v>
          </cell>
        </row>
        <row r="259">
          <cell r="A259">
            <v>5112372</v>
          </cell>
          <cell r="B259" t="str">
            <v>DERIVACION DE BRONCE PARA EMPALME 70/ 70MM2.</v>
          </cell>
          <cell r="C259" t="str">
            <v>UN</v>
          </cell>
          <cell r="D259">
            <v>17.678000000000001</v>
          </cell>
        </row>
        <row r="260">
          <cell r="A260">
            <v>5112376</v>
          </cell>
          <cell r="B260" t="str">
            <v>UNION TUB. CU. ESTANADO TABIC. COMPR. P/ EMPALME ASIM. 16-25MM2</v>
          </cell>
          <cell r="C260" t="str">
            <v>UN</v>
          </cell>
          <cell r="D260">
            <v>3.327</v>
          </cell>
        </row>
        <row r="261">
          <cell r="A261">
            <v>5112378</v>
          </cell>
          <cell r="B261" t="str">
            <v>UNION TUB. CU. ESTAÑADO TAB. COMPR. P. CABLES DIF. SECCION 35/16MM2</v>
          </cell>
          <cell r="C261" t="str">
            <v>UN</v>
          </cell>
          <cell r="D261">
            <v>4.2359999999999998</v>
          </cell>
        </row>
        <row r="262">
          <cell r="A262">
            <v>5112381</v>
          </cell>
          <cell r="B262" t="str">
            <v>UNION TUB. CU. ESTANADO TABIC. COMPR. P/ EMPALME ASIM. 25-35MM2</v>
          </cell>
          <cell r="C262" t="str">
            <v>UN</v>
          </cell>
          <cell r="D262">
            <v>4.5170000000000003</v>
          </cell>
        </row>
        <row r="263">
          <cell r="A263">
            <v>5112383</v>
          </cell>
          <cell r="B263" t="str">
            <v>UNION.CU.TABICADA.ESTA?ADAS.70-25MM2.</v>
          </cell>
          <cell r="C263" t="str">
            <v>UN</v>
          </cell>
          <cell r="D263">
            <v>10.348000000000001</v>
          </cell>
        </row>
        <row r="264">
          <cell r="A264">
            <v>5112390</v>
          </cell>
          <cell r="B264" t="str">
            <v>UNION TUB. CU. ESTANADO TABIC. COMPR. P/ EMPALME ASIM. 120-240MM2</v>
          </cell>
          <cell r="C264" t="str">
            <v>UN</v>
          </cell>
          <cell r="D264">
            <v>39.677</v>
          </cell>
        </row>
        <row r="265">
          <cell r="A265">
            <v>5112406</v>
          </cell>
          <cell r="B265" t="str">
            <v>UNION.CU.DERECHA ABIERTA. COND.10MM2.</v>
          </cell>
          <cell r="C265" t="str">
            <v>UN</v>
          </cell>
          <cell r="D265">
            <v>0.77500000000000002</v>
          </cell>
        </row>
        <row r="266">
          <cell r="A266">
            <v>5112416</v>
          </cell>
          <cell r="B266" t="str">
            <v>UNION.CU.DERECHA ABIERTA. COND.16MM2.</v>
          </cell>
          <cell r="C266" t="str">
            <v>UN</v>
          </cell>
          <cell r="D266">
            <v>0.97099999999999997</v>
          </cell>
        </row>
        <row r="267">
          <cell r="A267">
            <v>5112426</v>
          </cell>
          <cell r="B267" t="str">
            <v>UNION.CU.DERECHA ABIERTA. COND.35MM2.</v>
          </cell>
          <cell r="C267" t="str">
            <v>UN</v>
          </cell>
          <cell r="D267">
            <v>2.109</v>
          </cell>
        </row>
        <row r="268">
          <cell r="A268">
            <v>5112432</v>
          </cell>
          <cell r="B268" t="str">
            <v>UNION CU.DERECHA ABIERTA PARA CONDUCTOR 70MM2.</v>
          </cell>
          <cell r="C268" t="str">
            <v>UN</v>
          </cell>
          <cell r="D268">
            <v>2.9060000000000001</v>
          </cell>
        </row>
        <row r="269">
          <cell r="A269">
            <v>5112442</v>
          </cell>
          <cell r="B269" t="str">
            <v>UNION CU.DERECHA ABIERTA PARA CONDUCTOR 120MM2.</v>
          </cell>
          <cell r="C269" t="str">
            <v>UN</v>
          </cell>
          <cell r="D269">
            <v>5.1639999999999997</v>
          </cell>
        </row>
        <row r="270">
          <cell r="A270">
            <v>5112452</v>
          </cell>
          <cell r="B270" t="str">
            <v>UNION CU.DERECHA ABIERTA PARA CONDUCTOR 185MM2.</v>
          </cell>
          <cell r="C270" t="str">
            <v>UN</v>
          </cell>
          <cell r="D270">
            <v>7.48</v>
          </cell>
        </row>
        <row r="271">
          <cell r="A271">
            <v>5112462</v>
          </cell>
          <cell r="B271" t="str">
            <v>UNION CU.DERECHA ABIERTA PARA CONDUCTOR    240MM2.</v>
          </cell>
          <cell r="C271" t="str">
            <v>UN</v>
          </cell>
          <cell r="D271">
            <v>10.782</v>
          </cell>
        </row>
        <row r="272">
          <cell r="A272">
            <v>5112472</v>
          </cell>
          <cell r="B272" t="str">
            <v>UNION CU.DERECHA ABIERTA PARA CONDUCTOR 300MM2.</v>
          </cell>
          <cell r="C272" t="str">
            <v>UN</v>
          </cell>
          <cell r="D272">
            <v>11.978999999999999</v>
          </cell>
        </row>
        <row r="273">
          <cell r="A273">
            <v>5112482</v>
          </cell>
          <cell r="B273" t="str">
            <v>UNION CU.DERECHA ABIERTA PARA CONDUCTOR    500MM2.</v>
          </cell>
          <cell r="C273" t="str">
            <v>UN</v>
          </cell>
          <cell r="D273">
            <v>26.03</v>
          </cell>
        </row>
        <row r="274">
          <cell r="A274">
            <v>5112494</v>
          </cell>
          <cell r="B274" t="str">
            <v>CONECTOR TIP.  ESU"  P.DERIV.REDES.SUBT. B.T. 120-240/120MM2"</v>
          </cell>
          <cell r="C274" t="str">
            <v>UN</v>
          </cell>
          <cell r="D274">
            <v>29.864999999999998</v>
          </cell>
        </row>
        <row r="275">
          <cell r="A275">
            <v>5112606</v>
          </cell>
          <cell r="B275" t="str">
            <v>UNION CU.DERECHA A COMPRESION P.CABLE 10MM2.</v>
          </cell>
          <cell r="C275" t="str">
            <v>UN</v>
          </cell>
          <cell r="D275">
            <v>0.93400000000000005</v>
          </cell>
        </row>
        <row r="276">
          <cell r="A276">
            <v>5112616</v>
          </cell>
          <cell r="B276" t="str">
            <v>UNION CU.DERECHA A COMPRESION P.CABLE 16MM2.</v>
          </cell>
          <cell r="C276" t="str">
            <v>UN</v>
          </cell>
          <cell r="D276">
            <v>1.143</v>
          </cell>
        </row>
        <row r="277">
          <cell r="A277">
            <v>5112626</v>
          </cell>
          <cell r="B277" t="str">
            <v>UNION CU.DERECHA A COMPRESION P.CABLE 35MM2.</v>
          </cell>
          <cell r="C277" t="str">
            <v>UN</v>
          </cell>
          <cell r="D277">
            <v>2.2850000000000001</v>
          </cell>
        </row>
        <row r="278">
          <cell r="A278">
            <v>5112632</v>
          </cell>
          <cell r="B278" t="str">
            <v>UNION CU.DERECHA A COMPRESION P.CABLE 70MM2.</v>
          </cell>
          <cell r="C278" t="str">
            <v>UN</v>
          </cell>
          <cell r="D278">
            <v>3.9220000000000002</v>
          </cell>
        </row>
        <row r="279">
          <cell r="A279">
            <v>5112642</v>
          </cell>
          <cell r="B279" t="str">
            <v>UNION CU.DERECHA A COMPRESION P.CABLE 120MM2.</v>
          </cell>
          <cell r="C279" t="str">
            <v>UN</v>
          </cell>
          <cell r="D279">
            <v>5.6239999999999997</v>
          </cell>
        </row>
        <row r="280">
          <cell r="A280">
            <v>5112652</v>
          </cell>
          <cell r="B280" t="str">
            <v>UNION CU.DERECHA A COMPRESION P.CABLE 185MM2.</v>
          </cell>
          <cell r="C280" t="str">
            <v>UN</v>
          </cell>
          <cell r="D280">
            <v>9.0920000000000005</v>
          </cell>
        </row>
        <row r="281">
          <cell r="A281">
            <v>5112852</v>
          </cell>
          <cell r="B281" t="str">
            <v>CONECTOR MECANICO EN DERIVACION DE ALEACION DE ALUMINIO P.CABLES DE ALUMINIO 35-95/6-35MM2, B.T</v>
          </cell>
          <cell r="C281" t="str">
            <v>UN</v>
          </cell>
          <cell r="D281">
            <v>9.3019999999999996</v>
          </cell>
        </row>
        <row r="282">
          <cell r="A282">
            <v>5112854</v>
          </cell>
          <cell r="B282" t="str">
            <v>CONECTOR MECANICO EN DERIVACION DE ALEACION DE ALUMINIO P.CABLES 120-185 / 6-35MM2 EN RED B.T.</v>
          </cell>
          <cell r="C282" t="str">
            <v>UN</v>
          </cell>
          <cell r="D282">
            <v>18.812000000000001</v>
          </cell>
        </row>
        <row r="283">
          <cell r="A283">
            <v>5112856</v>
          </cell>
          <cell r="B283" t="str">
            <v>CONECTOR MECANICO EN DERIVACION DE ALEACION DE ALUMINIO P.CABLES AAAC 240-300 / 6-35MM2 EN RED B.T.</v>
          </cell>
          <cell r="C283" t="str">
            <v>UN</v>
          </cell>
          <cell r="D283">
            <v>21.736000000000001</v>
          </cell>
        </row>
        <row r="284">
          <cell r="A284">
            <v>5112858</v>
          </cell>
          <cell r="B284" t="str">
            <v>CONECTOR MECANICO EN DERIVACION DE ALEACION DE ALUMINIO P.CABLES AAAC 500 / 6-35MM2 EN RED B.T.</v>
          </cell>
          <cell r="C284" t="str">
            <v>UN</v>
          </cell>
          <cell r="D284">
            <v>86.597999999999999</v>
          </cell>
        </row>
        <row r="285">
          <cell r="A285">
            <v>5112872</v>
          </cell>
          <cell r="B285" t="str">
            <v>CONECTOR MECANICO EN DERIVACION DE ALEACION DE ALUMINIO P.CABLES DE ALUMINIO 70-95/70-95MM2, B.T</v>
          </cell>
          <cell r="C285" t="str">
            <v>UN</v>
          </cell>
          <cell r="D285">
            <v>16.163</v>
          </cell>
        </row>
        <row r="286">
          <cell r="A286">
            <v>5112874</v>
          </cell>
          <cell r="B286" t="str">
            <v>CONECTOR MECANICO EN DERIVACION DE ALEACION DE ALUMINIO P.CABLES DE ALUMINIO 120-185/70-185MM2, B.T</v>
          </cell>
          <cell r="C286" t="str">
            <v>UN</v>
          </cell>
          <cell r="D286">
            <v>18.751999999999999</v>
          </cell>
        </row>
        <row r="287">
          <cell r="A287">
            <v>5112876</v>
          </cell>
          <cell r="B287" t="str">
            <v>CONECTOR MECANICO EN DERIVACION DE ALEACION DE ALUMINIO P.CABLES DE ALUMINIO 240-300/70-300MM2, B.T</v>
          </cell>
          <cell r="C287" t="str">
            <v>UN</v>
          </cell>
          <cell r="D287">
            <v>55.69</v>
          </cell>
        </row>
        <row r="288">
          <cell r="A288">
            <v>5112880</v>
          </cell>
          <cell r="B288" t="str">
            <v>CONECTOR MECANICO EN DERIVACION DE ALEACION DE ALUMINIO P.CABLES AAAC 500 / 70-120MM2 EN RED B.T.</v>
          </cell>
          <cell r="C288" t="str">
            <v>UN</v>
          </cell>
          <cell r="D288">
            <v>30.254000000000001</v>
          </cell>
        </row>
        <row r="289">
          <cell r="A289">
            <v>5112881</v>
          </cell>
          <cell r="B289" t="str">
            <v>CONECTOR MECANICO EN DERIVACION DE ALEACION DE ALUMINIO P.CABLES DE ALUMINIO 240-400/70-400MM2, B.T</v>
          </cell>
          <cell r="C289" t="str">
            <v>UN</v>
          </cell>
          <cell r="D289">
            <v>54.082999999999998</v>
          </cell>
        </row>
        <row r="290">
          <cell r="A290">
            <v>5112926</v>
          </cell>
          <cell r="B290" t="str">
            <v>CONECTOR TERMINAL A COMPRESION BIMETALICO P.CABLE DE ALUMINIO 70MM2, SIMPLE FIJACION</v>
          </cell>
          <cell r="C290" t="str">
            <v>UN</v>
          </cell>
          <cell r="D290">
            <v>16.513999999999999</v>
          </cell>
        </row>
        <row r="291">
          <cell r="A291">
            <v>5112930</v>
          </cell>
          <cell r="B291" t="str">
            <v>CONECTOR TERMINAL A COMPRESION BIMETALICO P.CABLE DE ALUMINIO 120MM2, SIMPLE FIJACION</v>
          </cell>
          <cell r="C291" t="str">
            <v>UN</v>
          </cell>
          <cell r="D291">
            <v>23.795000000000002</v>
          </cell>
        </row>
        <row r="292">
          <cell r="A292">
            <v>5112932</v>
          </cell>
          <cell r="B292" t="str">
            <v>CONECTOR TERMINAL A COMPRESION BIMETALICO P.CABLE DE ALUMINIO 185MM2, SIMPLE FIJACION</v>
          </cell>
          <cell r="C292" t="str">
            <v>UN</v>
          </cell>
          <cell r="D292">
            <v>40.805999999999997</v>
          </cell>
        </row>
        <row r="293">
          <cell r="A293">
            <v>5112938</v>
          </cell>
          <cell r="B293" t="str">
            <v>CONECTOR TERMINAL A COMPRESION BIMETALICO P.CABLE DE ALUMINIO 500MM2, SIMPLE FIJACION</v>
          </cell>
          <cell r="C293" t="str">
            <v>UN</v>
          </cell>
          <cell r="D293">
            <v>157.94200000000001</v>
          </cell>
        </row>
        <row r="294">
          <cell r="A294">
            <v>5114122</v>
          </cell>
          <cell r="B294" t="str">
            <v>CINTA AISLANTE TERMOPLASTICA DE PVC DE 19MM X 4,5M X 0,15MM 600V COLOR BLANCO USO EN INTERIORES</v>
          </cell>
          <cell r="C294" t="str">
            <v>RO</v>
          </cell>
          <cell r="D294">
            <v>0.72299999999999998</v>
          </cell>
        </row>
        <row r="295">
          <cell r="A295">
            <v>5114126</v>
          </cell>
          <cell r="B295" t="str">
            <v>CINTA AISLANTE TERMOPLASTICA DE PVC DE 19MM X 4,5M X 0,15MM 600V COLOR ROJO USO EN INTERIORES</v>
          </cell>
          <cell r="C295" t="str">
            <v>RO</v>
          </cell>
          <cell r="D295">
            <v>0.65300000000000002</v>
          </cell>
        </row>
        <row r="296">
          <cell r="A296">
            <v>5114128</v>
          </cell>
          <cell r="B296" t="str">
            <v>CINTA AISLANTE TERMOPLASTICA DE PVC DE 19MM X 4,5M X 0,15MM 600V COLOR VERDE USO EN INTERIORES</v>
          </cell>
          <cell r="C296" t="str">
            <v>RO</v>
          </cell>
          <cell r="D296">
            <v>0.68300000000000005</v>
          </cell>
        </row>
        <row r="297">
          <cell r="A297">
            <v>5114166</v>
          </cell>
          <cell r="B297" t="str">
            <v>CINTA ELECTRICA TERMOPLASTICA (PVC) 51MM. X 30 MT.</v>
          </cell>
          <cell r="C297" t="str">
            <v>RO</v>
          </cell>
          <cell r="D297">
            <v>42.664000000000001</v>
          </cell>
        </row>
        <row r="298">
          <cell r="A298">
            <v>5114170</v>
          </cell>
          <cell r="B298" t="str">
            <v>CINTA AISLANTE TERMOPLASTICA DE PVC DE 19MM X 20M X 0,15MM 600V COLOR BLANCO USO EN INTERIORES</v>
          </cell>
          <cell r="C298" t="str">
            <v>RO</v>
          </cell>
          <cell r="D298">
            <v>1.907</v>
          </cell>
        </row>
        <row r="299">
          <cell r="A299">
            <v>5114171</v>
          </cell>
          <cell r="B299" t="str">
            <v>CINTA AISLANTE TERMOPLASTICA DE PVC DE 19MM X 20M X 0,15MM 600V COLOR ROJO USO EN INTERIORES</v>
          </cell>
          <cell r="C299" t="str">
            <v>RO</v>
          </cell>
          <cell r="D299">
            <v>1.887</v>
          </cell>
        </row>
        <row r="300">
          <cell r="A300">
            <v>5114172</v>
          </cell>
          <cell r="B300" t="str">
            <v>CINTA AISLANTE TERMOPLASTICA DE PVC DE 19MM X 20M X 0,15MM 600V COLOR VERDE USO EN INTERIORES</v>
          </cell>
          <cell r="C300" t="str">
            <v>RO</v>
          </cell>
          <cell r="D300">
            <v>2.62</v>
          </cell>
        </row>
        <row r="301">
          <cell r="A301">
            <v>5114364</v>
          </cell>
          <cell r="B301" t="str">
            <v>CINTA AISLANTE TERMOPLASTICA DE PVC DE 19MM X 20M X 0,15MM 600V COLOR NEGRO USO EN INTERIORES</v>
          </cell>
          <cell r="C301" t="str">
            <v>RO</v>
          </cell>
          <cell r="D301">
            <v>1.9039999999999999</v>
          </cell>
        </row>
        <row r="302">
          <cell r="A302">
            <v>5114370</v>
          </cell>
          <cell r="B302" t="str">
            <v>CINTA AISLANTE TERMOPLASTICA DE PVC ALTA PERFORMANCE 19MM X 20M X 0,18MM 600V COLOR NEGRO</v>
          </cell>
          <cell r="C302" t="str">
            <v>RO</v>
          </cell>
          <cell r="D302">
            <v>5.6360000000000001</v>
          </cell>
        </row>
        <row r="303">
          <cell r="A303">
            <v>5114384</v>
          </cell>
          <cell r="B303" t="str">
            <v>CINTA AISLANTE TERMOPLASTICA DE PVC ALTA PERFORMANCE 38MM X 33M X 0,18MM 600V COLOR NEGRO</v>
          </cell>
          <cell r="C303" t="str">
            <v>RO</v>
          </cell>
          <cell r="D303">
            <v>18.795000000000002</v>
          </cell>
        </row>
        <row r="304">
          <cell r="A304">
            <v>5114390</v>
          </cell>
          <cell r="B304" t="str">
            <v>CINTA AISLANTE TERMOCONTRAIBLE P.LINEAS AEREAS 10KV. . RAYCHEM: OLIT M.</v>
          </cell>
          <cell r="C304" t="str">
            <v>RO</v>
          </cell>
          <cell r="D304">
            <v>243.99</v>
          </cell>
        </row>
        <row r="305">
          <cell r="A305">
            <v>5114702</v>
          </cell>
          <cell r="B305" t="str">
            <v>CINTA SEÑALIZADORA AMARILLA P.CABLES SUBTERRANEOS 220V P.LUZ DEL SUR</v>
          </cell>
          <cell r="C305" t="str">
            <v>M</v>
          </cell>
          <cell r="D305">
            <v>0.184</v>
          </cell>
        </row>
        <row r="306">
          <cell r="A306">
            <v>5119154</v>
          </cell>
          <cell r="B306" t="str">
            <v>CUBIERTA AISLA.PROTEC.P/COND.AEREO DESN.MT.16-70MM2.15KV.</v>
          </cell>
          <cell r="C306" t="str">
            <v>M</v>
          </cell>
          <cell r="D306">
            <v>19.02</v>
          </cell>
        </row>
        <row r="307">
          <cell r="A307">
            <v>5119188</v>
          </cell>
          <cell r="B307" t="str">
            <v>TUBO TERMOCONTRAIBLE P.CABLE SECO ALUMINIO 1KV 70MM2 LONG.50MM</v>
          </cell>
          <cell r="C307" t="str">
            <v>UN</v>
          </cell>
          <cell r="D307">
            <v>1.8320000000000001</v>
          </cell>
        </row>
        <row r="308">
          <cell r="A308">
            <v>5119190</v>
          </cell>
          <cell r="B308" t="str">
            <v>TUBO TERMOCONTRAIBLE P.CABLE SECO ALUMINIO 1KV 120MM2 LONG.50MM</v>
          </cell>
          <cell r="C308" t="str">
            <v>UN</v>
          </cell>
          <cell r="D308">
            <v>5.9550000000000001</v>
          </cell>
        </row>
        <row r="309">
          <cell r="A309">
            <v>5119196</v>
          </cell>
          <cell r="B309" t="str">
            <v>TUBO TERMOCONTRAIBLE P.CABLE SECO ALUMINIO 1KV 500MM2 LONG.50MM</v>
          </cell>
          <cell r="C309" t="str">
            <v>UN</v>
          </cell>
          <cell r="D309">
            <v>5.5730000000000004</v>
          </cell>
        </row>
        <row r="310">
          <cell r="A310">
            <v>5119202</v>
          </cell>
          <cell r="B310" t="str">
            <v>PUNTA MUERTA TERMOCONTRAIBLE P.CABLE ENERGIA TRIPOLAR 6 - 35MM2 EN B.T.</v>
          </cell>
          <cell r="C310" t="str">
            <v>JG</v>
          </cell>
          <cell r="D310">
            <v>21.561</v>
          </cell>
        </row>
        <row r="311">
          <cell r="A311">
            <v>5119206</v>
          </cell>
          <cell r="B311" t="str">
            <v>PUNTA MUERTA TERMOCONTRAIBLE P.CABLE ENERGIA TRIPOLAR 70 - 120MM2 EN B.T.</v>
          </cell>
          <cell r="C311" t="str">
            <v>JG</v>
          </cell>
          <cell r="D311">
            <v>34.911999999999999</v>
          </cell>
        </row>
        <row r="312">
          <cell r="A312">
            <v>5119210</v>
          </cell>
          <cell r="B312" t="str">
            <v>PUNTA MUERTA TERMOCONTRAIBLE P.CABLE ENERGIA TRIPOLAR 185 - 300MM2 EN B.T.</v>
          </cell>
          <cell r="C312" t="str">
            <v>JG</v>
          </cell>
          <cell r="D312">
            <v>45.03</v>
          </cell>
        </row>
        <row r="313">
          <cell r="A313">
            <v>5119410</v>
          </cell>
          <cell r="B313" t="str">
            <v>BORNE TP.RECEPTACULO ENCHUFABLE P.ACCIONAMIENTO CARGA 10KV 200A</v>
          </cell>
          <cell r="C313" t="str">
            <v>UN</v>
          </cell>
          <cell r="D313">
            <v>84.174999999999997</v>
          </cell>
        </row>
        <row r="314">
          <cell r="A314">
            <v>5119411</v>
          </cell>
          <cell r="B314" t="str">
            <v>CONECTOR CODO P.CABLE SECO TP.N2XSY 25MM2 200A 10KV</v>
          </cell>
          <cell r="C314" t="str">
            <v>UN</v>
          </cell>
          <cell r="D314">
            <v>84.674000000000007</v>
          </cell>
        </row>
        <row r="315">
          <cell r="A315">
            <v>5119413</v>
          </cell>
          <cell r="B315" t="str">
            <v>CONECTOR CODO P.CABLE SECO TP.N2XSY 35MM2 200A 10KV</v>
          </cell>
          <cell r="C315" t="str">
            <v>UN</v>
          </cell>
          <cell r="D315">
            <v>84.962000000000003</v>
          </cell>
        </row>
        <row r="316">
          <cell r="A316">
            <v>5119424</v>
          </cell>
          <cell r="B316" t="str">
            <v>CONECTOR CODO P.CABLE SECO TP.N2XSY 50MM2 200A 25KV</v>
          </cell>
          <cell r="C316" t="str">
            <v>UN</v>
          </cell>
          <cell r="D316">
            <v>144.346</v>
          </cell>
        </row>
        <row r="317">
          <cell r="A317">
            <v>5119428</v>
          </cell>
          <cell r="B317" t="str">
            <v>CONECTOR CODO P.CABLE SECO TP.N2XSY - NA2XSY 120MM2 200A CL.15 / 25KV</v>
          </cell>
          <cell r="C317" t="str">
            <v>UN</v>
          </cell>
          <cell r="D317">
            <v>153.21899999999999</v>
          </cell>
        </row>
        <row r="318">
          <cell r="A318">
            <v>5119440</v>
          </cell>
          <cell r="B318" t="str">
            <v>BORNE TP.RECEPTACULO ENCHUFABLE P.ACCIONAMIENTO CARGA 25KV 200A</v>
          </cell>
          <cell r="C318" t="str">
            <v>UN</v>
          </cell>
          <cell r="D318">
            <v>136.078</v>
          </cell>
        </row>
        <row r="319">
          <cell r="A319">
            <v>5119450</v>
          </cell>
          <cell r="B319" t="str">
            <v>TAPON CONECTOR C.AISLAMIENTO PLASTICO P.BORNE RECEPTACULO ENCHUFABLE 25KV</v>
          </cell>
          <cell r="C319" t="str">
            <v>UN</v>
          </cell>
          <cell r="D319">
            <v>112.81399999999999</v>
          </cell>
        </row>
        <row r="320">
          <cell r="A320">
            <v>5119475</v>
          </cell>
          <cell r="B320" t="str">
            <v>ADAPTADOR DE CONEXION A TIERRA P.CABLES EN 22.9KV. CON AISLAMIENTO XLPE DE 50MM2</v>
          </cell>
          <cell r="C320" t="str">
            <v>UN</v>
          </cell>
          <cell r="D320">
            <v>62.831000000000003</v>
          </cell>
        </row>
        <row r="321">
          <cell r="A321">
            <v>5119477</v>
          </cell>
          <cell r="B321" t="str">
            <v>ADAPTADOR P.CONEXION A TIERRA P.CABLES DE AISLAMIENTO SECO DE 25MM2</v>
          </cell>
          <cell r="C321" t="str">
            <v>UN</v>
          </cell>
          <cell r="D321">
            <v>54.805</v>
          </cell>
        </row>
        <row r="322">
          <cell r="A322">
            <v>5119478</v>
          </cell>
          <cell r="B322" t="str">
            <v>ADAPTADOR P.CONEXION A TIERRA P.CABLES DE AISLAMIENTO SECO DE 35MM2</v>
          </cell>
          <cell r="C322" t="str">
            <v>UN</v>
          </cell>
          <cell r="D322">
            <v>54.728000000000002</v>
          </cell>
        </row>
        <row r="323">
          <cell r="A323">
            <v>5119488</v>
          </cell>
          <cell r="B323" t="str">
            <v>ADAPTADOR DE CONEXION A TIERRA P.CABLES EN 22.9KV. CON AISLAMIENTO XLPE DE 120MM2.</v>
          </cell>
          <cell r="C323" t="str">
            <v>UN</v>
          </cell>
          <cell r="D323">
            <v>64.55</v>
          </cell>
        </row>
        <row r="324">
          <cell r="A324">
            <v>5131250</v>
          </cell>
          <cell r="B324" t="str">
            <v>EMPALME DERECHO UNIPOLAR AUTOCONTRAIBLE P.CABLE N2XSY / NA2XSY 50-120MM2 22,9KV S.CONECTOR</v>
          </cell>
          <cell r="C324" t="str">
            <v>UN</v>
          </cell>
          <cell r="D324">
            <v>248.22800000000001</v>
          </cell>
        </row>
        <row r="325">
          <cell r="A325">
            <v>5131272</v>
          </cell>
          <cell r="B325" t="str">
            <v>EMPALME DERECHO UNIPOLAR AUTOFUNDENTE P.CABLE N2XSY / NA2XSY 120-400MM2 22,9KV C.CONECTOR</v>
          </cell>
          <cell r="C325" t="str">
            <v>UN</v>
          </cell>
          <cell r="D325">
            <v>456.95800000000003</v>
          </cell>
        </row>
        <row r="326">
          <cell r="A326">
            <v>5131274</v>
          </cell>
          <cell r="B326" t="str">
            <v>EMPALME DERECHO UNIPOLAR AUTOFUNDENTE P.CABLE N2XSY / NA2XSY 70-120MM2 10/22,9KV C.CONECTOR</v>
          </cell>
          <cell r="C326" t="str">
            <v>UN</v>
          </cell>
          <cell r="D326">
            <v>344.065</v>
          </cell>
        </row>
        <row r="327">
          <cell r="A327">
            <v>5131277</v>
          </cell>
          <cell r="B327" t="str">
            <v>EMPALME DERECHO UNIPOLAR TERMOCONTRAIBLE EXTRA ULTRA RAPIDO P.CABLE N2XSY / NA2XSY 50-150MM2 22,9KV</v>
          </cell>
          <cell r="C327" t="str">
            <v>UN</v>
          </cell>
          <cell r="D327">
            <v>311.47500000000002</v>
          </cell>
        </row>
        <row r="328">
          <cell r="A328">
            <v>5131278</v>
          </cell>
          <cell r="B328" t="str">
            <v>EMPALME DERECHO UNIPOLAR TERMOCONTRAIBLE ULTRA RAPIDO P.CABLE N2XSY / NA2XSY 70-120MM2 10/22,9KV</v>
          </cell>
          <cell r="C328" t="str">
            <v>UN</v>
          </cell>
          <cell r="D328">
            <v>308.33999999999997</v>
          </cell>
        </row>
        <row r="329">
          <cell r="A329">
            <v>5131279</v>
          </cell>
          <cell r="B329" t="str">
            <v>EMPALME DERECHO UNIPOLAR TERMOCONTRAIBLE ULTRA RAPIDO P.CABLE N2XSY / NA2XSY 25-120MM2 10/22,9KV</v>
          </cell>
          <cell r="C329" t="str">
            <v>UN</v>
          </cell>
          <cell r="D329">
            <v>304.44</v>
          </cell>
        </row>
        <row r="330">
          <cell r="A330">
            <v>5131280</v>
          </cell>
          <cell r="B330" t="str">
            <v>EMPALME DERECHO UNIPOLAR TERMOCONTRAIBLE P.CABLE N2XSY / NA2XSY 120-400MM2 22,9KV C.CONECTOR</v>
          </cell>
          <cell r="C330" t="str">
            <v>UN</v>
          </cell>
          <cell r="D330">
            <v>694.005</v>
          </cell>
        </row>
        <row r="331">
          <cell r="A331">
            <v>5131281</v>
          </cell>
          <cell r="B331" t="str">
            <v>EMPALME DERECHO UNIPOLAR TERMOCONTRAIBLE ULTRA RAPIDO P.CABLE N2XSY / NA2XSY 120-400MM2 10/22,9KV</v>
          </cell>
          <cell r="C331" t="str">
            <v>UN</v>
          </cell>
          <cell r="D331">
            <v>454.18099999999998</v>
          </cell>
        </row>
        <row r="332">
          <cell r="A332">
            <v>5131282</v>
          </cell>
          <cell r="B332" t="str">
            <v>EMPALME DERECHO UNIPOLAR TERMOCONTRAIBLE ULTRA RAPIDO P.CABLE N2XSY / NA2XSY 240-400MM2 10/22,9KV</v>
          </cell>
          <cell r="C332" t="str">
            <v>UN</v>
          </cell>
          <cell r="D332">
            <v>361.44799999999998</v>
          </cell>
        </row>
        <row r="333">
          <cell r="A333">
            <v>5131285</v>
          </cell>
          <cell r="B333" t="str">
            <v>EMPALME DERECHO UNIPOLAR TERMOCONTRAIBLE EXTRA ULTRA RAPIDO P.CABLE N2XSY / NA2XSY 185-400MM2 22,9KV</v>
          </cell>
          <cell r="C333" t="str">
            <v>UN</v>
          </cell>
          <cell r="D333">
            <v>340.74900000000002</v>
          </cell>
        </row>
        <row r="334">
          <cell r="A334">
            <v>5131288</v>
          </cell>
          <cell r="B334" t="str">
            <v>EMPALME DERECHO UNIPOLAR AUTOFUNDENTE P.CABLE N2XSY / NA2XSY 120-400MM2 10/22,9KV C.CONECTOR</v>
          </cell>
          <cell r="C334" t="str">
            <v>UN</v>
          </cell>
          <cell r="D334">
            <v>454.55599999999998</v>
          </cell>
        </row>
        <row r="335">
          <cell r="A335">
            <v>5131289</v>
          </cell>
          <cell r="B335" t="str">
            <v>EMPALME DERECHO UNIPOLAR TERMOCONTRAIBLE P.CABLE N2XSY / NA2XSY 120 - 240MM2 22,9KV</v>
          </cell>
          <cell r="C335" t="str">
            <v>UN</v>
          </cell>
          <cell r="D335">
            <v>516.15499999999997</v>
          </cell>
        </row>
        <row r="336">
          <cell r="A336">
            <v>5131315</v>
          </cell>
          <cell r="B336" t="str">
            <v>EMPALME ASIMETRICO TRIPOLAR TERMOCONTRAIBLE ULTRA RAPIDO P.CABLE NKY / NA2XSY 70-120MM2 10/22,9KV</v>
          </cell>
          <cell r="C336" t="str">
            <v>JG</v>
          </cell>
          <cell r="D336">
            <v>723.97699999999998</v>
          </cell>
        </row>
        <row r="337">
          <cell r="A337">
            <v>5131316</v>
          </cell>
          <cell r="B337" t="str">
            <v>EMPALME ASIMETRICO TRIPOLAR AUTOFUNDENTE P.CABLE NKY / NA2XSY 70-120MM2 10/22,9KV C.CONECTOR</v>
          </cell>
          <cell r="C337" t="str">
            <v>JG</v>
          </cell>
          <cell r="D337">
            <v>668.221</v>
          </cell>
        </row>
        <row r="338">
          <cell r="A338">
            <v>5131330</v>
          </cell>
          <cell r="B338" t="str">
            <v>EMPALME ASIM. DER. TERMOCON. P. CABLE NKY-N2XSY 16-70MM2 10KV. SIN CONECTOR</v>
          </cell>
          <cell r="C338" t="str">
            <v>JG</v>
          </cell>
          <cell r="D338">
            <v>394.935</v>
          </cell>
        </row>
        <row r="339">
          <cell r="A339">
            <v>5131331</v>
          </cell>
          <cell r="B339" t="str">
            <v>EMPALME ASIM. DER. TERMOCON. P. CABLES NKY-N2XSY 120-240MM2 10KV. SIN CONECTOR</v>
          </cell>
          <cell r="C339" t="str">
            <v>JG</v>
          </cell>
          <cell r="D339">
            <v>645.97299999999996</v>
          </cell>
        </row>
        <row r="340">
          <cell r="A340">
            <v>5131395</v>
          </cell>
          <cell r="B340" t="str">
            <v>EMPALME DERECHO UNIPOLAR TERMOCONTRAIBLE P.CABLE N2XSY 25 - 95MM2 CL.15KV</v>
          </cell>
          <cell r="C340" t="str">
            <v>UN</v>
          </cell>
          <cell r="D340">
            <v>176.19800000000001</v>
          </cell>
        </row>
        <row r="341">
          <cell r="A341">
            <v>5131436</v>
          </cell>
          <cell r="B341" t="str">
            <v>EMPALME ASIMET.DER.TRIP. RESINA P. CAB.NKY-N2XSY 70/35MM2.10KV</v>
          </cell>
          <cell r="C341" t="str">
            <v>JG</v>
          </cell>
          <cell r="D341">
            <v>494.61799999999999</v>
          </cell>
        </row>
        <row r="342">
          <cell r="A342">
            <v>5131446</v>
          </cell>
          <cell r="B342" t="str">
            <v>EMPALME ASIMETRICO TRIPOLAR TERMOCONTRAIBLE ULTRA RAPIDO P.CABLE NKY / NA2XSY 120-400MM2 10/22,9KV</v>
          </cell>
          <cell r="C342" t="str">
            <v>JG</v>
          </cell>
          <cell r="D342">
            <v>830.49400000000003</v>
          </cell>
        </row>
        <row r="343">
          <cell r="A343">
            <v>5131593</v>
          </cell>
          <cell r="B343" t="str">
            <v>EMPALME DERECHO UNIPOLAR TERMOCONTRAIBLE P.CABLE N2XSY 185 - 240MM2 CL.25KV</v>
          </cell>
          <cell r="C343" t="str">
            <v>UN</v>
          </cell>
          <cell r="D343">
            <v>374.21499999999997</v>
          </cell>
        </row>
        <row r="344">
          <cell r="A344">
            <v>5131596</v>
          </cell>
          <cell r="B344" t="str">
            <v>EMPALME DERECHO UNIPOLAR TERMOCONTRAIBLE P.CABLE N2XSY 35 - 120MM2 CL.25KV</v>
          </cell>
          <cell r="C344" t="str">
            <v>UN</v>
          </cell>
          <cell r="D344">
            <v>252.10400000000001</v>
          </cell>
        </row>
        <row r="345">
          <cell r="A345">
            <v>5131602</v>
          </cell>
          <cell r="B345" t="str">
            <v>TERMINAL TRIPOLAR TERMOCONTRAIBLE TP.INTERIOR P.CABLE N2XSY 25 - 70MM2 CL.15KV</v>
          </cell>
          <cell r="C345" t="str">
            <v>JG</v>
          </cell>
          <cell r="D345">
            <v>226.422</v>
          </cell>
        </row>
        <row r="346">
          <cell r="A346">
            <v>5131614</v>
          </cell>
          <cell r="B346" t="str">
            <v>TERMINAL TRIPOLAR TERMOCONTRAIBLE TP.INTERIOR P.CABLE N2XSY 120 - 240MM2 CL.15KV</v>
          </cell>
          <cell r="C346" t="str">
            <v>JG</v>
          </cell>
          <cell r="D346">
            <v>258.94099999999997</v>
          </cell>
        </row>
        <row r="347">
          <cell r="A347">
            <v>5131618</v>
          </cell>
          <cell r="B347" t="str">
            <v>TERMINAL TRIPOLAR TERMOCONTRAIBLE TP.EXTERIOR P.CABLE N2XSY / NA2XSY 25-95MM2 CL.15KV</v>
          </cell>
          <cell r="C347" t="str">
            <v>JG</v>
          </cell>
          <cell r="D347">
            <v>204.988</v>
          </cell>
        </row>
        <row r="348">
          <cell r="A348">
            <v>5131621</v>
          </cell>
          <cell r="B348" t="str">
            <v>TERMINAL TRIPOLAR AUTOCONTRAIBLE ULTRARAPIDO P.CABLE N2XSY/NA2XSY 25-95MM2 15KV INTERIOR / EXTERIOR</v>
          </cell>
          <cell r="C348" t="str">
            <v>JG</v>
          </cell>
          <cell r="D348">
            <v>241.11699999999999</v>
          </cell>
        </row>
        <row r="349">
          <cell r="A349">
            <v>5131630</v>
          </cell>
          <cell r="B349" t="str">
            <v>TERMINAL TRIPOLAR TERMOCONTRAIBLE TP.EXTERIOR P.CABLE N2XSY / NA2XSY 120-240MM2 CL.15KV</v>
          </cell>
          <cell r="C349" t="str">
            <v>JG</v>
          </cell>
          <cell r="D349">
            <v>261.524</v>
          </cell>
        </row>
        <row r="350">
          <cell r="A350">
            <v>5131642</v>
          </cell>
          <cell r="B350" t="str">
            <v>TERMINAL INTERIOR P.NKY 10KV. 3X16-35 MM2.TERMOC</v>
          </cell>
          <cell r="C350" t="str">
            <v>JG</v>
          </cell>
          <cell r="D350">
            <v>361.45299999999997</v>
          </cell>
        </row>
        <row r="351">
          <cell r="A351">
            <v>5131705</v>
          </cell>
          <cell r="B351" t="str">
            <v>TERMINAL UNIPOLAR TERMOCONTRAIBLE TP.EXTERIOR P.CABLE NA2XSY 400MM2 CL.25KV</v>
          </cell>
          <cell r="C351" t="str">
            <v>UN</v>
          </cell>
          <cell r="D351">
            <v>316.42200000000003</v>
          </cell>
        </row>
        <row r="352">
          <cell r="A352">
            <v>5131742</v>
          </cell>
          <cell r="B352" t="str">
            <v>TERMINAL UNIPOLAR TERMOCONTRAIBLE TP.EXTERIOR P.CABLE NA2XSY 400MM2 CL.25KV S.CONECTOR</v>
          </cell>
          <cell r="C352" t="str">
            <v>UN</v>
          </cell>
          <cell r="D352">
            <v>356.387</v>
          </cell>
        </row>
        <row r="353">
          <cell r="A353">
            <v>5131768</v>
          </cell>
          <cell r="B353" t="str">
            <v>TERMINALES UNIPOLARES INTERIORES TERMOCONTRAIBLES ULTRA RAPIDOS P.CABLE N2XSY 3-1X70-240MM2 24KV</v>
          </cell>
          <cell r="C353" t="str">
            <v>JG</v>
          </cell>
          <cell r="D353">
            <v>561.34</v>
          </cell>
        </row>
        <row r="354">
          <cell r="A354">
            <v>5131771</v>
          </cell>
          <cell r="B354" t="str">
            <v>TERMINALES UNIPOLARES INTERIORES TERMOCONTRAIBLES COMPACTO RAPIDO P.CABLE NA2XSY 400MM2 24KV</v>
          </cell>
          <cell r="C354" t="str">
            <v>JG</v>
          </cell>
          <cell r="D354">
            <v>652.26599999999996</v>
          </cell>
        </row>
        <row r="355">
          <cell r="A355">
            <v>5131772</v>
          </cell>
          <cell r="B355" t="str">
            <v>TERMINALES UNIPOLARES INTERIORES TERMOCONTRAIBLES COMPACTO RAPIDO P.CABLE NA2XSY 120MM2 24KV</v>
          </cell>
          <cell r="C355" t="str">
            <v>JG</v>
          </cell>
          <cell r="D355">
            <v>453.79199999999997</v>
          </cell>
        </row>
        <row r="356">
          <cell r="A356">
            <v>5131775</v>
          </cell>
          <cell r="B356" t="str">
            <v>TERMINALES UNIPOLARES AUTOCONTRAIBLES TP.INTERIOR P.CABLE NA2XSY 185-400MM2 22,9KV C.CONECTOR</v>
          </cell>
          <cell r="C356" t="str">
            <v>JG</v>
          </cell>
          <cell r="D356">
            <v>662.71100000000001</v>
          </cell>
        </row>
        <row r="357">
          <cell r="A357">
            <v>5131778</v>
          </cell>
          <cell r="B357" t="str">
            <v>TERMINACION UNIPOLAR AUTOCONTRAIBLE TP.EXTERIOR P.CABLE N2XSY-NA2XSY 185-400MM2 22,9KV SIN CONECTOR</v>
          </cell>
          <cell r="C357" t="str">
            <v>UN</v>
          </cell>
          <cell r="D357">
            <v>303.63900000000001</v>
          </cell>
        </row>
        <row r="358">
          <cell r="A358">
            <v>5131812</v>
          </cell>
          <cell r="B358" t="str">
            <v>TERMINAL TP.CAJA INTERP.P.CABLE NKY 10KV. 3X16-35 MM2. TERMOC.</v>
          </cell>
          <cell r="C358" t="str">
            <v>JG</v>
          </cell>
          <cell r="D358">
            <v>313.74799999999999</v>
          </cell>
        </row>
        <row r="359">
          <cell r="A359">
            <v>5131822</v>
          </cell>
          <cell r="B359" t="str">
            <v>TERMINAL TP.CAJA INTEMP.P.CABLE NKY 10KV 3X70-120 MM2 TERMOC.</v>
          </cell>
          <cell r="C359" t="str">
            <v>JG</v>
          </cell>
          <cell r="D359">
            <v>362.05500000000001</v>
          </cell>
        </row>
        <row r="360">
          <cell r="A360">
            <v>5131866</v>
          </cell>
          <cell r="B360" t="str">
            <v>TERMINALES UNIPOLARES AUTOCONTRAIBLES TP.EXTERIOR P.CABLE NA2XSY 95-120MM2 22,9KV C.CONECTOR</v>
          </cell>
          <cell r="C360" t="str">
            <v>JG</v>
          </cell>
          <cell r="D360">
            <v>635.57799999999997</v>
          </cell>
        </row>
        <row r="361">
          <cell r="A361">
            <v>5131896</v>
          </cell>
          <cell r="B361" t="str">
            <v>TERMINAL.EXT.P.CABLE.SECO N2XSY 3-1X50-120MM2 22 9KV.AUTOCONT.ULTRA-RAP.</v>
          </cell>
          <cell r="C361" t="str">
            <v>JG</v>
          </cell>
          <cell r="D361">
            <v>317.88299999999998</v>
          </cell>
        </row>
        <row r="362">
          <cell r="A362">
            <v>5131897</v>
          </cell>
          <cell r="B362" t="str">
            <v>TERMINAL TRIPOLAR TERMOCONTRAIBLE TP.EXTERIOR P.CABLE N2XSY 50 - 120MM2 CL.25KV</v>
          </cell>
          <cell r="C362" t="str">
            <v>JG</v>
          </cell>
          <cell r="D362">
            <v>307.88900000000001</v>
          </cell>
        </row>
        <row r="363">
          <cell r="A363">
            <v>5131900</v>
          </cell>
          <cell r="B363" t="str">
            <v>TERM.EXT.P.C.SECO N2XSY 3-1X240MM2 22,9 KV RAYCH.</v>
          </cell>
          <cell r="C363" t="str">
            <v>JG</v>
          </cell>
          <cell r="D363">
            <v>398.173</v>
          </cell>
        </row>
        <row r="364">
          <cell r="A364">
            <v>5131907</v>
          </cell>
          <cell r="B364" t="str">
            <v>TERMINAL TRIPOLAR TERMOCONTRAIBLE TP.INTERIOR P.CABLE N2XSY 50 - 120MM2 CL.25KV</v>
          </cell>
          <cell r="C364" t="str">
            <v>JG</v>
          </cell>
          <cell r="D364">
            <v>195.197</v>
          </cell>
        </row>
        <row r="365">
          <cell r="A365">
            <v>5131910</v>
          </cell>
          <cell r="B365" t="str">
            <v>TERMINAL INT.CABL.SECO N2XSY 3-1X240MM2 22 9 KV.TERMOC.</v>
          </cell>
          <cell r="C365" t="str">
            <v>JG</v>
          </cell>
          <cell r="D365">
            <v>581.50699999999995</v>
          </cell>
        </row>
        <row r="366">
          <cell r="A366">
            <v>5131920</v>
          </cell>
          <cell r="B366" t="str">
            <v>ETIQUETAS MARCACION EMPALMES SUBTERRANEOS 85X50MM.</v>
          </cell>
          <cell r="C366" t="str">
            <v>UN</v>
          </cell>
          <cell r="D366">
            <v>1.42</v>
          </cell>
        </row>
        <row r="367">
          <cell r="A367">
            <v>5132344</v>
          </cell>
          <cell r="B367" t="str">
            <v>UNION CU. DER.TABICADA COMPR. 16MM2 MT.</v>
          </cell>
          <cell r="C367" t="str">
            <v>UN</v>
          </cell>
          <cell r="D367">
            <v>2.9220000000000002</v>
          </cell>
        </row>
        <row r="368">
          <cell r="A368">
            <v>5132346</v>
          </cell>
          <cell r="B368" t="str">
            <v>UNION TUB. CU. ESTANADO TABIC. COMPR. P/ EMPALME ASIM. 25-25MM2</v>
          </cell>
          <cell r="C368" t="str">
            <v>UN</v>
          </cell>
          <cell r="D368">
            <v>3.4510000000000001</v>
          </cell>
        </row>
        <row r="369">
          <cell r="A369">
            <v>5132348</v>
          </cell>
          <cell r="B369" t="str">
            <v>UNION TUB. CU. ESTANADO TABIC. COMPR. P/ EMPALME ASIM. 35-35MM2</v>
          </cell>
          <cell r="C369" t="str">
            <v>UN</v>
          </cell>
          <cell r="D369">
            <v>4.5739999999999998</v>
          </cell>
        </row>
        <row r="370">
          <cell r="A370">
            <v>5132350</v>
          </cell>
          <cell r="B370" t="str">
            <v>UNION TUB. CU. ESTANADO TABIC. COMPR. P/ EMPALME ASIM. 70-70MM2</v>
          </cell>
          <cell r="C370" t="str">
            <v>UN</v>
          </cell>
          <cell r="D370">
            <v>11.125999999999999</v>
          </cell>
        </row>
        <row r="371">
          <cell r="A371">
            <v>5132352</v>
          </cell>
          <cell r="B371" t="str">
            <v>UNION TUB. CU. ESTANADO TABIC. COMPR. P/ EMPALME ASIM. 120-120MM2</v>
          </cell>
          <cell r="C371" t="str">
            <v>UN</v>
          </cell>
          <cell r="D371">
            <v>17.091000000000001</v>
          </cell>
        </row>
        <row r="372">
          <cell r="A372">
            <v>5132356</v>
          </cell>
          <cell r="B372" t="str">
            <v>UNION TUB. CU. ESTANADO TABIC. COMPR. P/ EMPALME ASIM. 240-240MM2</v>
          </cell>
          <cell r="C372" t="str">
            <v>UN</v>
          </cell>
          <cell r="D372">
            <v>40.442</v>
          </cell>
        </row>
        <row r="373">
          <cell r="A373">
            <v>5132366</v>
          </cell>
          <cell r="B373" t="str">
            <v>UNION TUB.CU.ESTAÑA.TABI.COMPR.P/CAB.DIFER.SECC.120/25MM2</v>
          </cell>
          <cell r="C373" t="str">
            <v>UN</v>
          </cell>
          <cell r="D373">
            <v>15.662000000000001</v>
          </cell>
        </row>
        <row r="374">
          <cell r="A374">
            <v>5132374</v>
          </cell>
          <cell r="B374" t="str">
            <v>UNION TUB. CU. ESTANADO TABIC. COMPR. P/ EMPALME ASIM. 70-120MM2</v>
          </cell>
          <cell r="C374" t="str">
            <v>UN</v>
          </cell>
          <cell r="D374">
            <v>15.608000000000001</v>
          </cell>
        </row>
        <row r="375">
          <cell r="A375">
            <v>5132744</v>
          </cell>
          <cell r="B375" t="str">
            <v>CONECTOR DERECHO MECANICO TABICADO DE ALEACION DE ALUMINIO P.CABLE 35 - 150 / 35 - 150MM2 P.RED M.T.</v>
          </cell>
          <cell r="C375" t="str">
            <v>UN</v>
          </cell>
          <cell r="D375">
            <v>34.962000000000003</v>
          </cell>
        </row>
        <row r="376">
          <cell r="A376">
            <v>5132746</v>
          </cell>
          <cell r="B376" t="str">
            <v>CONECTOR DERECHO MECANICO TABICADO DE ALEACION DE ALUMINIO P.CABLE 95 - 240 / 95 - 240MM2 P.RED M.T.</v>
          </cell>
          <cell r="C376" t="str">
            <v>UN</v>
          </cell>
          <cell r="D376">
            <v>71.972999999999999</v>
          </cell>
        </row>
        <row r="377">
          <cell r="A377">
            <v>5132748</v>
          </cell>
          <cell r="B377" t="str">
            <v>CONECTOR DERECHO MECANICO TABICADO DE ALEACION DE ALUMINIO P.CABLE 185-400 / 185-400MM2 P.RED M.T.</v>
          </cell>
          <cell r="C377" t="str">
            <v>UN</v>
          </cell>
          <cell r="D377">
            <v>111.69</v>
          </cell>
        </row>
        <row r="378">
          <cell r="A378">
            <v>5132752</v>
          </cell>
          <cell r="B378" t="str">
            <v>CONECTOR DERECHO MECANICO TABICADO DE ALEACION DE ALUMINIO P.CABLE 95 - 240 / 185 - 400MM2 P.RED M.T</v>
          </cell>
          <cell r="C378" t="str">
            <v>UN</v>
          </cell>
          <cell r="D378">
            <v>110.36</v>
          </cell>
        </row>
        <row r="379">
          <cell r="A379">
            <v>5132866</v>
          </cell>
          <cell r="B379" t="str">
            <v>CONECTOR TERMINAL MECANICO DE ALEACION DE ALUMINIO P.CABLE AL 120-185MM2 P.LLAVE HORIZONTAL 250/315A</v>
          </cell>
          <cell r="C379" t="str">
            <v>UN</v>
          </cell>
          <cell r="D379">
            <v>25.838000000000001</v>
          </cell>
        </row>
        <row r="380">
          <cell r="A380">
            <v>5132868</v>
          </cell>
          <cell r="B380" t="str">
            <v>CONECTOR TERMINAL MECANICO DE ALEACION DE ALUMINIO P.CABLE AL 185-300MM2 P.LLAVE VERTICAL 400A</v>
          </cell>
          <cell r="C380" t="str">
            <v>UN</v>
          </cell>
          <cell r="D380">
            <v>38.265000000000001</v>
          </cell>
        </row>
        <row r="381">
          <cell r="A381">
            <v>5132870</v>
          </cell>
          <cell r="B381" t="str">
            <v>CONECTOR TERMINAL MECANICO DE ALEACION DE ALUMINIO P.CABLE AL 300-500MM2 P.LLAVE VERTICAL 500/630A</v>
          </cell>
          <cell r="C381" t="str">
            <v>UN</v>
          </cell>
          <cell r="D381">
            <v>78.643000000000001</v>
          </cell>
        </row>
        <row r="382">
          <cell r="A382">
            <v>5132876</v>
          </cell>
          <cell r="B382" t="str">
            <v>CONECTOR TERMINAL MECANICO DE ALEACION DE ALUMINIO P.CABLE CU / AL 95 - 240MM2 P.RED M.T.</v>
          </cell>
          <cell r="C382" t="str">
            <v>UN</v>
          </cell>
          <cell r="D382">
            <v>40.567</v>
          </cell>
        </row>
        <row r="383">
          <cell r="A383">
            <v>5132879</v>
          </cell>
          <cell r="B383" t="str">
            <v>CONECTOR TERMINAL MECANICO DE ALEACION DE ALUMINIO P.CABLE CU / AL 185 - 400MM2 P.RED M.T.</v>
          </cell>
          <cell r="C383" t="str">
            <v>UN</v>
          </cell>
          <cell r="D383">
            <v>97.908000000000001</v>
          </cell>
        </row>
        <row r="384">
          <cell r="A384">
            <v>5134372</v>
          </cell>
          <cell r="B384" t="str">
            <v>MANTA AISLANTE ANTITRACKING AUTOFUNDENTE C.CAPA EPR DE 200MM X 3M COLOR NEGRO CL.2A 4,25KV</v>
          </cell>
          <cell r="C384" t="str">
            <v>UN</v>
          </cell>
          <cell r="D384">
            <v>287.31900000000002</v>
          </cell>
        </row>
        <row r="385">
          <cell r="A385">
            <v>5134557</v>
          </cell>
          <cell r="B385" t="str">
            <v>CINTA AISLANTE MASTIC DE GOMA AUTOFUNDENTE C.SOPORTE DE PVC 102MM X 3M X 2,29MM 600V COLOR NEGRO</v>
          </cell>
          <cell r="C385" t="str">
            <v>RO</v>
          </cell>
          <cell r="D385">
            <v>56.843000000000004</v>
          </cell>
        </row>
        <row r="386">
          <cell r="A386">
            <v>5134702</v>
          </cell>
          <cell r="B386" t="str">
            <v>CINTA SEÑALIZADORA ROJA P.CABLES SUBTERRANEOS 10KV P.LUZ DEL SUR</v>
          </cell>
          <cell r="C386" t="str">
            <v>M</v>
          </cell>
          <cell r="D386">
            <v>0.218</v>
          </cell>
        </row>
        <row r="387">
          <cell r="A387">
            <v>5134722</v>
          </cell>
          <cell r="B387" t="str">
            <v>CINTA SEÑALIZADORA ROJA P.CABLES SUBTERRANEOS 22,9KV P.LUZ DEL SUR</v>
          </cell>
          <cell r="C387" t="str">
            <v>M</v>
          </cell>
          <cell r="D387">
            <v>0.2</v>
          </cell>
        </row>
        <row r="388">
          <cell r="A388">
            <v>5134724</v>
          </cell>
          <cell r="B388" t="str">
            <v>CINTA SEÑALIZADORA ROJA P.CABLES SUBTERRANEOS 22,9KV</v>
          </cell>
          <cell r="C388" t="str">
            <v>M</v>
          </cell>
          <cell r="D388">
            <v>0.34799999999999998</v>
          </cell>
        </row>
        <row r="389">
          <cell r="A389">
            <v>5134726</v>
          </cell>
          <cell r="B389" t="str">
            <v>CINTA SEÑALIZADORA ROJA P.CABLES SUBTERRANEOS 22,9KV P.CLIENTE PARTICULAR</v>
          </cell>
          <cell r="C389" t="str">
            <v>M</v>
          </cell>
          <cell r="D389">
            <v>0.191</v>
          </cell>
        </row>
        <row r="390">
          <cell r="A390">
            <v>5154556</v>
          </cell>
          <cell r="B390" t="str">
            <v>CINTA AISLANTE DE GOMA AUTOFUNDENTE EPR DE 19MM X 9,20M X 0,76MM 69KV COLOR NEGRO</v>
          </cell>
          <cell r="C390" t="str">
            <v>RO</v>
          </cell>
          <cell r="D390">
            <v>16.216999999999999</v>
          </cell>
        </row>
        <row r="391">
          <cell r="A391">
            <v>5211422</v>
          </cell>
          <cell r="B391" t="str">
            <v>AISLADOR POLIMERICO TP.SUSPENSION / ANCLAJE 22,9KV 550MM LONG. L.F. 850MM 45KN C.ACCESORIOS</v>
          </cell>
          <cell r="C391" t="str">
            <v>UN</v>
          </cell>
          <cell r="D391">
            <v>32.069000000000003</v>
          </cell>
        </row>
        <row r="392">
          <cell r="A392">
            <v>5212010</v>
          </cell>
          <cell r="B392" t="str">
            <v>AISLADOR POLIMERICO TP.SUSPENSION / ANCLAJE 10KV 400MM LONG. L.F. 600MM 45KN C.ACCESORIOS</v>
          </cell>
          <cell r="C392" t="str">
            <v>UN</v>
          </cell>
          <cell r="D392">
            <v>39.198</v>
          </cell>
        </row>
        <row r="393">
          <cell r="A393">
            <v>5214491</v>
          </cell>
          <cell r="B393" t="str">
            <v>AISLADOR HIBRIDO TP. PIN PARA LINEAS DE 10 KV.</v>
          </cell>
          <cell r="C393" t="str">
            <v>UN</v>
          </cell>
          <cell r="D393">
            <v>71.236999999999995</v>
          </cell>
        </row>
        <row r="394">
          <cell r="A394">
            <v>5214496</v>
          </cell>
          <cell r="B394" t="str">
            <v>AISLADOR POLIMERICO TP.PIN P/LINEAS AEREAS 22 9KV.</v>
          </cell>
          <cell r="C394" t="str">
            <v>UN</v>
          </cell>
          <cell r="D394">
            <v>109.434</v>
          </cell>
        </row>
        <row r="395">
          <cell r="A395">
            <v>5217208</v>
          </cell>
          <cell r="B395" t="str">
            <v>AISLADOR TP.CARRETE PORCEL.53.1 220V.P.PORTALINEA.</v>
          </cell>
          <cell r="C395" t="str">
            <v>UN</v>
          </cell>
          <cell r="D395">
            <v>1.7190000000000001</v>
          </cell>
        </row>
        <row r="396">
          <cell r="A396">
            <v>5217631</v>
          </cell>
          <cell r="B396" t="str">
            <v>AISLADOR TENSION  PORCELANA  CLASE ANSI 54-2  P.VIENTO.</v>
          </cell>
          <cell r="C396" t="str">
            <v>UN</v>
          </cell>
          <cell r="D396">
            <v>5.9340000000000002</v>
          </cell>
        </row>
        <row r="397">
          <cell r="A397">
            <v>5240110</v>
          </cell>
          <cell r="B397" t="str">
            <v>AISLADOR POLIMERICO EXTENSOR 24KV P/CUT-OUT</v>
          </cell>
          <cell r="C397" t="str">
            <v>UN</v>
          </cell>
          <cell r="D397">
            <v>139.249</v>
          </cell>
        </row>
        <row r="398">
          <cell r="A398">
            <v>5265104</v>
          </cell>
          <cell r="B398" t="str">
            <v>AISLADOR SOPORTE PORTABARRA RESINA EPOXICA TP.BISFENOL 1KV L.F.41MM 40X34X40MM INTERIOR</v>
          </cell>
          <cell r="C398" t="str">
            <v>UN</v>
          </cell>
          <cell r="D398">
            <v>3.9020000000000001</v>
          </cell>
        </row>
        <row r="399">
          <cell r="A399">
            <v>5265106</v>
          </cell>
          <cell r="B399" t="str">
            <v>AISLADOR SOPORTE PORTABARRA RESINA EPOXICA TP.BISFENOL 1KV L.F.61MM 60X50X64MM INTERIOR</v>
          </cell>
          <cell r="C399" t="str">
            <v>UN</v>
          </cell>
          <cell r="D399">
            <v>12.851000000000001</v>
          </cell>
        </row>
        <row r="400">
          <cell r="A400">
            <v>5265220</v>
          </cell>
          <cell r="B400" t="str">
            <v>AISLADOR SOP.PORTAB.PORCEL.J8-75 130MM INT.10KV.</v>
          </cell>
          <cell r="C400" t="str">
            <v>UN</v>
          </cell>
          <cell r="D400">
            <v>40.445</v>
          </cell>
        </row>
        <row r="401">
          <cell r="A401">
            <v>5265420</v>
          </cell>
          <cell r="B401" t="str">
            <v>AISLADOR SOP.PORTAB.PORCEL.J4-125 210MM INT.22.9KV.</v>
          </cell>
          <cell r="C401" t="str">
            <v>UN</v>
          </cell>
          <cell r="D401">
            <v>59.137</v>
          </cell>
        </row>
        <row r="402">
          <cell r="A402">
            <v>5295342</v>
          </cell>
          <cell r="B402" t="str">
            <v>CEMENTO ESPECIAL CONDUCTIVO USADO PARA SISTEMAS ELECTRICOS</v>
          </cell>
          <cell r="C402" t="str">
            <v>KG</v>
          </cell>
          <cell r="D402">
            <v>5.0149999999999997</v>
          </cell>
        </row>
        <row r="403">
          <cell r="A403">
            <v>5297528</v>
          </cell>
          <cell r="B403" t="str">
            <v>VISOR TRANSPARENTE P.CAJAS TIPO L - LT 110 X 115 X 3MM</v>
          </cell>
          <cell r="C403" t="str">
            <v>UN</v>
          </cell>
          <cell r="D403">
            <v>0.874</v>
          </cell>
        </row>
        <row r="404">
          <cell r="A404">
            <v>5311292</v>
          </cell>
          <cell r="B404" t="str">
            <v>POSTE C.A.  8 7/200/120/250 P. A.P. Y/O L.A.B.T.</v>
          </cell>
          <cell r="C404" t="str">
            <v>UN</v>
          </cell>
          <cell r="D404">
            <v>278.86799999999999</v>
          </cell>
        </row>
        <row r="405">
          <cell r="A405">
            <v>5311293</v>
          </cell>
          <cell r="B405" t="str">
            <v>POSTE C.A.  8.7/200/150/280 P. A.P. Y/O L.A.B.T.</v>
          </cell>
          <cell r="C405" t="str">
            <v>UN</v>
          </cell>
          <cell r="D405">
            <v>278.279</v>
          </cell>
        </row>
        <row r="406">
          <cell r="A406">
            <v>5311294</v>
          </cell>
          <cell r="B406" t="str">
            <v>POSTE C.A.  8 7/300/150/280 P. A.P. Y/O L.A.BT.</v>
          </cell>
          <cell r="C406" t="str">
            <v>UN</v>
          </cell>
          <cell r="D406">
            <v>290.10899999999998</v>
          </cell>
        </row>
        <row r="407">
          <cell r="A407">
            <v>5311364</v>
          </cell>
          <cell r="B407" t="str">
            <v>POSTE C.A. 10,0/300/150/300. B.T. Y/O A.P.</v>
          </cell>
          <cell r="C407" t="str">
            <v>UN</v>
          </cell>
          <cell r="D407">
            <v>386.21600000000001</v>
          </cell>
        </row>
        <row r="408">
          <cell r="A408">
            <v>5311368</v>
          </cell>
          <cell r="B408" t="str">
            <v>POSTE C.A. 10,0/400/150/300. B.T. Y/O A.P.</v>
          </cell>
          <cell r="C408" t="str">
            <v>UN</v>
          </cell>
          <cell r="D408">
            <v>492.65100000000001</v>
          </cell>
        </row>
        <row r="409">
          <cell r="A409">
            <v>5311462</v>
          </cell>
          <cell r="B409" t="str">
            <v>POSTE C.A.C. 11,5 / 200 / 150 / 323 P.A.P. Y/O L.A.B.T. O M.T.</v>
          </cell>
          <cell r="C409" t="str">
            <v>UN</v>
          </cell>
          <cell r="D409">
            <v>567.02499999999998</v>
          </cell>
        </row>
        <row r="410">
          <cell r="A410">
            <v>5311464</v>
          </cell>
          <cell r="B410" t="str">
            <v>POSTE C.A. 11 5/400/180/353 L.A. 10-22.9 KV</v>
          </cell>
          <cell r="C410" t="str">
            <v>UN</v>
          </cell>
          <cell r="D410">
            <v>772.95600000000002</v>
          </cell>
        </row>
        <row r="411">
          <cell r="A411">
            <v>5311544</v>
          </cell>
          <cell r="B411" t="str">
            <v>POSTE C.A.C. 13/300/180/375 P.L.A.B.T O MT</v>
          </cell>
          <cell r="C411" t="str">
            <v>UN</v>
          </cell>
          <cell r="D411">
            <v>709.65599999999995</v>
          </cell>
        </row>
        <row r="412">
          <cell r="A412">
            <v>5311546</v>
          </cell>
          <cell r="B412" t="str">
            <v>POSTE C.A.C. 13/400/180/375 P.L.A.B.T O MT</v>
          </cell>
          <cell r="C412" t="str">
            <v>UN</v>
          </cell>
          <cell r="D412">
            <v>895.98900000000003</v>
          </cell>
        </row>
        <row r="413">
          <cell r="A413">
            <v>5311666</v>
          </cell>
          <cell r="B413" t="str">
            <v>POSTE C.A.C. 15/400/210/435 P.L.A.B.T O MT</v>
          </cell>
          <cell r="C413" t="str">
            <v>UN</v>
          </cell>
          <cell r="D413">
            <v>1251.9490000000001</v>
          </cell>
        </row>
        <row r="414">
          <cell r="A414">
            <v>5312151</v>
          </cell>
          <cell r="B414" t="str">
            <v>POSTE C.A. 6/200/120/210/ A.P.</v>
          </cell>
          <cell r="C414" t="str">
            <v>UN</v>
          </cell>
          <cell r="D414">
            <v>195.40700000000001</v>
          </cell>
        </row>
        <row r="415">
          <cell r="A415">
            <v>5322142</v>
          </cell>
          <cell r="B415" t="str">
            <v>MENSULA C.A.V. 0,60/250/215 P.MONTAJE EN POSTE</v>
          </cell>
          <cell r="C415" t="str">
            <v>UN</v>
          </cell>
          <cell r="D415">
            <v>19.838000000000001</v>
          </cell>
        </row>
        <row r="416">
          <cell r="A416">
            <v>5322154</v>
          </cell>
          <cell r="B416" t="str">
            <v>MENSULA C.A.V. 0,60/250/245 P.MONTAJE EN POSTE</v>
          </cell>
          <cell r="C416" t="str">
            <v>UN</v>
          </cell>
          <cell r="D416">
            <v>20.306000000000001</v>
          </cell>
        </row>
        <row r="417">
          <cell r="A417">
            <v>5322166</v>
          </cell>
          <cell r="B417" t="str">
            <v>MENSULA C.A.V. 0,60/250/275 P.MONTAJE EN POSTE</v>
          </cell>
          <cell r="C417" t="str">
            <v>UN</v>
          </cell>
          <cell r="D417">
            <v>17.734999999999999</v>
          </cell>
        </row>
        <row r="418">
          <cell r="A418">
            <v>5322642</v>
          </cell>
          <cell r="B418" t="str">
            <v>MENSULA C.A.V. 1,00/250/215 P.MONTAJE EN POSTE</v>
          </cell>
          <cell r="C418" t="str">
            <v>UN</v>
          </cell>
          <cell r="D418">
            <v>30.477</v>
          </cell>
        </row>
        <row r="419">
          <cell r="A419">
            <v>5322654</v>
          </cell>
          <cell r="B419" t="str">
            <v>MENSULA C.A.V. 1,00/250/245 P.MONTAJE EN POSTE</v>
          </cell>
          <cell r="C419" t="str">
            <v>UN</v>
          </cell>
          <cell r="D419">
            <v>34.625</v>
          </cell>
        </row>
        <row r="420">
          <cell r="A420">
            <v>5322666</v>
          </cell>
          <cell r="B420" t="str">
            <v>MENSULA C.A.V. 1,00/250/275 P.MONTAJE EN POSTE</v>
          </cell>
          <cell r="C420" t="str">
            <v>UN</v>
          </cell>
          <cell r="D420">
            <v>33.182000000000002</v>
          </cell>
        </row>
        <row r="421">
          <cell r="A421">
            <v>5323588</v>
          </cell>
          <cell r="B421" t="str">
            <v>PALOMILLA DOBLE C.A.P. 2300MM / 290MM P.MONTAJE PARA S.A.B.</v>
          </cell>
          <cell r="C421" t="str">
            <v>UN</v>
          </cell>
          <cell r="D421">
            <v>121.858</v>
          </cell>
        </row>
        <row r="422">
          <cell r="A422">
            <v>5324142</v>
          </cell>
          <cell r="B422" t="str">
            <v>CRUCETA C.A.V. Z/1,20/300/215 P.MONTAJE EN POSTE</v>
          </cell>
          <cell r="C422" t="str">
            <v>UN</v>
          </cell>
          <cell r="D422">
            <v>41.445</v>
          </cell>
        </row>
        <row r="423">
          <cell r="A423">
            <v>5324154</v>
          </cell>
          <cell r="B423" t="str">
            <v>CRUCETA C.A.V. Z/1,20/300/245 P.MONTAJE EN POSTE</v>
          </cell>
          <cell r="C423" t="str">
            <v>UN</v>
          </cell>
          <cell r="D423">
            <v>42.326999999999998</v>
          </cell>
        </row>
        <row r="424">
          <cell r="A424">
            <v>5324454</v>
          </cell>
          <cell r="B424" t="str">
            <v>CRUCETA C.A.V. Z/2,0/500/245 P.MONTAJE EN POSTE</v>
          </cell>
          <cell r="C424" t="str">
            <v>UN</v>
          </cell>
          <cell r="D424">
            <v>74.445999999999998</v>
          </cell>
        </row>
        <row r="425">
          <cell r="A425">
            <v>5326210</v>
          </cell>
          <cell r="B425" t="str">
            <v>PLATAFORMA SOPORTE C.A.V. 1100MM / 750KG / 320MM P.TRANSFORMADOR</v>
          </cell>
          <cell r="C425" t="str">
            <v>UN</v>
          </cell>
          <cell r="D425">
            <v>121.026</v>
          </cell>
        </row>
        <row r="426">
          <cell r="A426">
            <v>5326314</v>
          </cell>
          <cell r="B426" t="str">
            <v>PLATAFORMA SOPORTE C.A.V. 1150MM / 1300KG / 350MM P.TRANSFORMADOR</v>
          </cell>
          <cell r="C426" t="str">
            <v>UN</v>
          </cell>
          <cell r="D426">
            <v>178.2</v>
          </cell>
        </row>
        <row r="427">
          <cell r="A427">
            <v>5329301</v>
          </cell>
          <cell r="B427" t="str">
            <v>ZAPATA CONCRETO ARMADO 400 MMD. P. VIENTO.</v>
          </cell>
          <cell r="C427" t="str">
            <v>UN</v>
          </cell>
          <cell r="D427">
            <v>11.680999999999999</v>
          </cell>
        </row>
        <row r="428">
          <cell r="A428">
            <v>5329320</v>
          </cell>
          <cell r="B428" t="str">
            <v>ZAPATA CONCR.ARMADO 700X700MM.TP.CRUZ P.ANCL.VIENTO</v>
          </cell>
          <cell r="C428" t="str">
            <v>UN</v>
          </cell>
          <cell r="D428">
            <v>34.395000000000003</v>
          </cell>
        </row>
        <row r="429">
          <cell r="A429">
            <v>5329512</v>
          </cell>
          <cell r="B429" t="str">
            <v>BASE DE CONCRETO ARMADO SIN BUZON P.TABLERO D.S. Y A.P. TAMAÑO 3 DE 1050 X 1230 X 560MM 185 KG/CM2</v>
          </cell>
          <cell r="C429" t="str">
            <v>UN</v>
          </cell>
          <cell r="D429">
            <v>444.589</v>
          </cell>
        </row>
        <row r="430">
          <cell r="A430">
            <v>5329514</v>
          </cell>
          <cell r="B430" t="str">
            <v>BASE DE CONCRETO ARMADO SIN BUZON P.TABLERO D.S. Y A.P. TAMAÑO 4 DE 1380 X 1230 X 560MM 185 KG/CM2</v>
          </cell>
          <cell r="C430" t="str">
            <v>UN</v>
          </cell>
          <cell r="D430">
            <v>516.30499999999995</v>
          </cell>
        </row>
        <row r="431">
          <cell r="A431">
            <v>5329609</v>
          </cell>
          <cell r="B431" t="str">
            <v>MURETE DE CONCRETO ARMADO VIBRADO P.CAJA LR 350 KG/CM2 C.3 CUERPOS</v>
          </cell>
          <cell r="C431" t="str">
            <v>UN</v>
          </cell>
          <cell r="D431">
            <v>115.45399999999999</v>
          </cell>
        </row>
        <row r="432">
          <cell r="A432">
            <v>5329613</v>
          </cell>
          <cell r="B432" t="str">
            <v>MURETE CONCRETO ARMADO 3 CUERPOS P/CAJA "LT". FC 210KG/CM2</v>
          </cell>
          <cell r="C432" t="str">
            <v>UN</v>
          </cell>
          <cell r="D432">
            <v>106.90600000000001</v>
          </cell>
        </row>
        <row r="433">
          <cell r="A433">
            <v>5329615</v>
          </cell>
          <cell r="B433" t="str">
            <v>MURETE DE CONCRETO ARMADO VIBRADO P.CAJA LTR 350 KG/CM2 C.3 CUERPOS</v>
          </cell>
          <cell r="C433" t="str">
            <v>UN</v>
          </cell>
          <cell r="D433">
            <v>111.994</v>
          </cell>
        </row>
        <row r="434">
          <cell r="A434">
            <v>5329810</v>
          </cell>
          <cell r="B434" t="str">
            <v>BOVEDA CONCRETO C.TAPA P.ELECTRODO DE PUESTA A TIERRA</v>
          </cell>
          <cell r="C434" t="str">
            <v>JG</v>
          </cell>
          <cell r="D434">
            <v>18.073</v>
          </cell>
        </row>
        <row r="435">
          <cell r="A435">
            <v>5331596</v>
          </cell>
          <cell r="B435" t="str">
            <v>POSTE DE POLIESTER REFORZADO EN FIBRA DE VIDRIO 7,5 / 150 / 150 / 270 P.A.P. Y/O L.A.B.T. O M</v>
          </cell>
          <cell r="C435" t="str">
            <v>UN</v>
          </cell>
          <cell r="D435">
            <v>707.21600000000001</v>
          </cell>
        </row>
        <row r="436">
          <cell r="A436">
            <v>5331600</v>
          </cell>
          <cell r="B436" t="str">
            <v>POSTE DE POLIESTER REFORZADO EN FIBRA DE VIDRIO 8,7 / 200 / 150 / 300 F.S. 2 P.A.P. Y/O L.A.B.T. O M</v>
          </cell>
          <cell r="C436" t="str">
            <v>UN</v>
          </cell>
          <cell r="D436">
            <v>1062.355</v>
          </cell>
        </row>
        <row r="437">
          <cell r="A437">
            <v>5334104</v>
          </cell>
          <cell r="B437" t="str">
            <v>CRUCETA SIMETRICA DE MADERA TP.TORNILLO 4" X 4" X 1,3 PIES CON TRATAMIENTO CCB</v>
          </cell>
          <cell r="C437" t="str">
            <v>UN</v>
          </cell>
          <cell r="D437">
            <v>12.355</v>
          </cell>
        </row>
        <row r="438">
          <cell r="A438">
            <v>5334122</v>
          </cell>
          <cell r="B438" t="str">
            <v>CRUCETA ASIMETRICA DE MADERA TP.TORNILLO 4" X 5" X 5 PIES CON TRATAMIENTO CCB</v>
          </cell>
          <cell r="C438" t="str">
            <v>UN</v>
          </cell>
          <cell r="D438">
            <v>50.92</v>
          </cell>
        </row>
        <row r="439">
          <cell r="A439">
            <v>5334234</v>
          </cell>
          <cell r="B439" t="str">
            <v>CRUCETA SIMETRICA DE MADERA TP.TORNILLO 4" X 5" X 7 PIES CON TRATAMIENTO CCB</v>
          </cell>
          <cell r="C439" t="str">
            <v>UN</v>
          </cell>
          <cell r="D439">
            <v>74.123999999999995</v>
          </cell>
        </row>
        <row r="440">
          <cell r="A440">
            <v>5334540</v>
          </cell>
          <cell r="B440" t="str">
            <v>ANGULO AC.GALV.SAE1020 3/16" X1.1/2" X 1.1/2" L.AEREA</v>
          </cell>
          <cell r="C440" t="str">
            <v>UN</v>
          </cell>
          <cell r="D440">
            <v>18.920000000000002</v>
          </cell>
        </row>
        <row r="441">
          <cell r="A441">
            <v>5335110</v>
          </cell>
          <cell r="B441" t="str">
            <v>MENSULA DE MADERA TP.TORNILLO 4" X 5" X 4 PIES CON TRATAMIENTO CCB</v>
          </cell>
          <cell r="C441" t="str">
            <v>UN</v>
          </cell>
          <cell r="D441">
            <v>49.582000000000001</v>
          </cell>
        </row>
        <row r="442">
          <cell r="A442">
            <v>5335111</v>
          </cell>
          <cell r="B442" t="str">
            <v>MENSULA DE MADERA TP.TORNILLO 4" X 5" X 6 PIES CON TRATAMIENTO CCB</v>
          </cell>
          <cell r="C442" t="str">
            <v>UN</v>
          </cell>
          <cell r="D442">
            <v>64.62</v>
          </cell>
        </row>
        <row r="443">
          <cell r="A443">
            <v>5335113</v>
          </cell>
          <cell r="B443" t="str">
            <v>MENSULA DE MADERA TP.TORNILLO 4" X 5" X 7 PIES CON TRATAMIENTO CCB</v>
          </cell>
          <cell r="C443" t="str">
            <v>UN</v>
          </cell>
          <cell r="D443">
            <v>76.468999999999994</v>
          </cell>
        </row>
        <row r="444">
          <cell r="A444">
            <v>5337120</v>
          </cell>
          <cell r="B444" t="str">
            <v>DIAGONAL ACERO GALV. 45MM X 45MM X 1,07M X 4MM</v>
          </cell>
          <cell r="C444" t="str">
            <v>UN</v>
          </cell>
          <cell r="D444">
            <v>15.63</v>
          </cell>
        </row>
        <row r="445">
          <cell r="A445">
            <v>5337127</v>
          </cell>
          <cell r="B445" t="str">
            <v>DIAGONAL ACERO GALV. 45MM X 45MM X 1,48M X 4MM</v>
          </cell>
          <cell r="C445" t="str">
            <v>UN</v>
          </cell>
          <cell r="D445">
            <v>21.529</v>
          </cell>
        </row>
        <row r="446">
          <cell r="A446">
            <v>5341122</v>
          </cell>
          <cell r="B446" t="str">
            <v>POSTE DE ACERO 6,4M X 76MM X 3,6MM C.AGUJEROS SIN BRIDA RECUBIERTO C.FIBRA Y POLIESTER</v>
          </cell>
          <cell r="C446" t="str">
            <v>UN</v>
          </cell>
          <cell r="D446">
            <v>290</v>
          </cell>
        </row>
        <row r="447">
          <cell r="A447">
            <v>5341124</v>
          </cell>
          <cell r="B447" t="str">
            <v>POSTE DE ACERO GALV. 6,4M X 88,90MM X 3,6MM SIN BRIDA P. A.P. Y/O L.A.B.T. P.ZONAS INACCESIBLES</v>
          </cell>
          <cell r="C447" t="str">
            <v>UN</v>
          </cell>
          <cell r="D447">
            <v>308.48200000000003</v>
          </cell>
        </row>
        <row r="448">
          <cell r="A448">
            <v>5347002</v>
          </cell>
          <cell r="B448" t="str">
            <v>PASTORAL AC.SAE 1009 - SAE 1010 GALV.SIMPLE 0,55/2,17/1,5"D. C/ANILLO</v>
          </cell>
          <cell r="C448" t="str">
            <v>UN</v>
          </cell>
          <cell r="D448">
            <v>50.234000000000002</v>
          </cell>
        </row>
        <row r="449">
          <cell r="A449">
            <v>5347005</v>
          </cell>
          <cell r="B449" t="str">
            <v>PASTORAL AC.GALV. SIMPLE P.S/1.0/3.0/1.5"D. C/ANILLO SCH40</v>
          </cell>
          <cell r="C449" t="str">
            <v>UN</v>
          </cell>
          <cell r="D449">
            <v>71.013999999999996</v>
          </cell>
        </row>
        <row r="450">
          <cell r="A450">
            <v>5347015</v>
          </cell>
          <cell r="B450" t="str">
            <v>PASTORAL DE ACERO GALV. PS / 0,275 / 1,17 / 1 1/2" ANG. 0 GRADOS</v>
          </cell>
          <cell r="C450" t="str">
            <v>UN</v>
          </cell>
          <cell r="D450">
            <v>29.754000000000001</v>
          </cell>
        </row>
        <row r="451">
          <cell r="A451">
            <v>5347016</v>
          </cell>
          <cell r="B451" t="str">
            <v>PASTORAL DE ACERO GALV. PS / 0,275 / 2,17 / 1 1/2" ANG. 0 GRADOS</v>
          </cell>
          <cell r="C451" t="str">
            <v>UN</v>
          </cell>
          <cell r="D451">
            <v>43.616</v>
          </cell>
        </row>
        <row r="452">
          <cell r="A452">
            <v>5347048</v>
          </cell>
          <cell r="B452" t="str">
            <v>PASTORAL AC.GALV.SIMPLE PS/3.2/3.4/1.5" D. C/ANILLO SCH40</v>
          </cell>
          <cell r="C452" t="str">
            <v>UN</v>
          </cell>
          <cell r="D452">
            <v>130.14500000000001</v>
          </cell>
        </row>
        <row r="453">
          <cell r="A453">
            <v>5347088</v>
          </cell>
          <cell r="B453" t="str">
            <v>PASTORAL AO. GO. SIMPLE PS/1.5M./2.5M./1.5"DIAMETRO C/ANILLO</v>
          </cell>
          <cell r="C453" t="str">
            <v>UN</v>
          </cell>
          <cell r="D453">
            <v>67.656999999999996</v>
          </cell>
        </row>
        <row r="454">
          <cell r="A454">
            <v>5347090</v>
          </cell>
          <cell r="B454" t="str">
            <v>PASTORAL AO. GO. SIMPLE PS/1.5M./3.0M./1.5"DIAMETRO SCHEDULE 40  C/ANILLO</v>
          </cell>
          <cell r="C454" t="str">
            <v>UN</v>
          </cell>
          <cell r="D454">
            <v>80.867000000000004</v>
          </cell>
        </row>
        <row r="455">
          <cell r="A455">
            <v>5347206</v>
          </cell>
          <cell r="B455" t="str">
            <v>PASTORAL AC GO. SIMPLE PS/0,55/1,17/1.5"D</v>
          </cell>
          <cell r="C455" t="str">
            <v>UN</v>
          </cell>
          <cell r="D455">
            <v>36.890999999999998</v>
          </cell>
        </row>
        <row r="456">
          <cell r="A456">
            <v>5347212</v>
          </cell>
          <cell r="B456" t="str">
            <v>PASTORAL AC.GALV.SIMPLE PS/1 89/1 74/1.5 D. SCH 40."</v>
          </cell>
          <cell r="C456" t="str">
            <v>UN</v>
          </cell>
          <cell r="D456">
            <v>54.67</v>
          </cell>
        </row>
        <row r="457">
          <cell r="A457">
            <v>5411010</v>
          </cell>
          <cell r="B457" t="str">
            <v>CONECTOR CUÑA.TP.MINIW.CU.16/1.5-6MM2</v>
          </cell>
          <cell r="C457" t="str">
            <v>UN</v>
          </cell>
          <cell r="D457">
            <v>6.0339999999999998</v>
          </cell>
        </row>
        <row r="458">
          <cell r="A458">
            <v>5411011</v>
          </cell>
          <cell r="B458" t="str">
            <v>CONECTOR CUÑA.TP.MINIW.CU.16/10MM2</v>
          </cell>
          <cell r="C458" t="str">
            <v>UN</v>
          </cell>
          <cell r="D458">
            <v>5.8810000000000002</v>
          </cell>
        </row>
        <row r="459">
          <cell r="A459">
            <v>5411014</v>
          </cell>
          <cell r="B459" t="str">
            <v>CONECTOR CUÑA.TP.MINIW.CU.35/10MM2</v>
          </cell>
          <cell r="C459" t="str">
            <v>UN</v>
          </cell>
          <cell r="D459">
            <v>7.2210000000000001</v>
          </cell>
        </row>
        <row r="460">
          <cell r="A460">
            <v>5411015</v>
          </cell>
          <cell r="B460" t="str">
            <v>CONECTOR DERIV.TP.CUNA MINIW. AA 35/CU 1.5-6 MMM2.</v>
          </cell>
          <cell r="C460" t="str">
            <v>UN</v>
          </cell>
          <cell r="D460">
            <v>6.7770000000000001</v>
          </cell>
        </row>
        <row r="461">
          <cell r="A461">
            <v>5411016</v>
          </cell>
          <cell r="B461" t="str">
            <v>CONECTOR DERIV.TIPO CU?A AL 50/CU 10MM2, BIMETALICO, MINIWEDGE.</v>
          </cell>
          <cell r="C461" t="str">
            <v>UN</v>
          </cell>
          <cell r="D461">
            <v>7.2640000000000002</v>
          </cell>
        </row>
        <row r="462">
          <cell r="A462">
            <v>5411018</v>
          </cell>
          <cell r="B462" t="str">
            <v>CONECTOR CUÑA.TP.MINIW.CU.70/10MM2</v>
          </cell>
          <cell r="C462" t="str">
            <v>UN</v>
          </cell>
          <cell r="D462">
            <v>7.2530000000000001</v>
          </cell>
        </row>
        <row r="463">
          <cell r="A463">
            <v>5411019</v>
          </cell>
          <cell r="B463" t="str">
            <v>CONECTOR CUÑA.TP.MINIW.CU.70/1.5-6MM2</v>
          </cell>
          <cell r="C463" t="str">
            <v>UN</v>
          </cell>
          <cell r="D463">
            <v>8.8369999999999997</v>
          </cell>
        </row>
        <row r="464">
          <cell r="A464">
            <v>5411022</v>
          </cell>
          <cell r="B464" t="str">
            <v>CONECTOR CUÑA.TP.MINIW.CU.35/16MM2</v>
          </cell>
          <cell r="C464" t="str">
            <v>UN</v>
          </cell>
          <cell r="D464">
            <v>6.7359999999999998</v>
          </cell>
        </row>
        <row r="465">
          <cell r="A465">
            <v>5411024</v>
          </cell>
          <cell r="B465" t="str">
            <v>CONECTOR DERIV.TIPO CU?A AL 50-70/CU-AL 16MM2, BIMETALICO, MINIWEDGE.</v>
          </cell>
          <cell r="C465" t="str">
            <v>UN</v>
          </cell>
          <cell r="D465">
            <v>5.9550000000000001</v>
          </cell>
        </row>
        <row r="466">
          <cell r="A466">
            <v>5411028</v>
          </cell>
          <cell r="B466" t="str">
            <v>CONECTOR CUÑA.TP.MINIW.CU.35/25MM2</v>
          </cell>
          <cell r="C466" t="str">
            <v>UN</v>
          </cell>
          <cell r="D466">
            <v>6.9729999999999999</v>
          </cell>
        </row>
        <row r="467">
          <cell r="A467">
            <v>5411030</v>
          </cell>
          <cell r="B467" t="str">
            <v>CONECTOR CUÑA.TP.MINIW.CU.50-70/25MM2</v>
          </cell>
          <cell r="C467" t="str">
            <v>UN</v>
          </cell>
          <cell r="D467">
            <v>6.694</v>
          </cell>
        </row>
        <row r="468">
          <cell r="A468">
            <v>5411032</v>
          </cell>
          <cell r="B468" t="str">
            <v>CONECTOR CUÑA.TP.MINIW.CU.16/16MM2</v>
          </cell>
          <cell r="C468" t="str">
            <v>UN</v>
          </cell>
          <cell r="D468">
            <v>6.8280000000000003</v>
          </cell>
        </row>
        <row r="469">
          <cell r="A469">
            <v>5411034</v>
          </cell>
          <cell r="B469" t="str">
            <v>CONECTOR CUÑA.TP.MINIW.CU.35/35MM2</v>
          </cell>
          <cell r="C469" t="str">
            <v>UN</v>
          </cell>
          <cell r="D469">
            <v>7.4850000000000003</v>
          </cell>
        </row>
        <row r="470">
          <cell r="A470">
            <v>5411036</v>
          </cell>
          <cell r="B470" t="str">
            <v>CONECTOR CUÑA.TP.MINIW.CU.50-70/35-50MM2</v>
          </cell>
          <cell r="C470" t="str">
            <v>UN</v>
          </cell>
          <cell r="D470">
            <v>8.0530000000000008</v>
          </cell>
        </row>
        <row r="471">
          <cell r="A471">
            <v>5411038</v>
          </cell>
          <cell r="B471" t="str">
            <v>CONECTOR DERIV.TIPO CU?A AL 70/AL 50MM2, MINIWEDGE.</v>
          </cell>
          <cell r="C471" t="str">
            <v>UN</v>
          </cell>
          <cell r="D471">
            <v>7.0110000000000001</v>
          </cell>
        </row>
        <row r="472">
          <cell r="A472">
            <v>5411040</v>
          </cell>
          <cell r="B472" t="str">
            <v>CONECTOR CUÑA.TP.MINIW.CU.70/70MM2</v>
          </cell>
          <cell r="C472" t="str">
            <v>UN</v>
          </cell>
          <cell r="D472">
            <v>8.1809999999999992</v>
          </cell>
        </row>
        <row r="473">
          <cell r="A473">
            <v>5411042</v>
          </cell>
          <cell r="B473" t="str">
            <v>CONEC. CUÑA. TP. MINIW. CU. 120/1.5-6MM2</v>
          </cell>
          <cell r="C473" t="str">
            <v>UN</v>
          </cell>
          <cell r="D473">
            <v>8.5419999999999998</v>
          </cell>
        </row>
        <row r="474">
          <cell r="A474">
            <v>5411043</v>
          </cell>
          <cell r="B474" t="str">
            <v>CONEC. CUÑA TP. MINIW. CU. 120/10MM2</v>
          </cell>
          <cell r="C474" t="str">
            <v>UN</v>
          </cell>
          <cell r="D474">
            <v>8.8659999999999997</v>
          </cell>
        </row>
        <row r="475">
          <cell r="A475">
            <v>5411046</v>
          </cell>
          <cell r="B475" t="str">
            <v>CONEC. CUÑA TP. MINIW. CU. 120/35MM2</v>
          </cell>
          <cell r="C475" t="str">
            <v>UN</v>
          </cell>
          <cell r="D475">
            <v>9.94</v>
          </cell>
        </row>
        <row r="476">
          <cell r="A476">
            <v>5411048</v>
          </cell>
          <cell r="B476" t="str">
            <v>CONEC. CUÑA TP. MINIW. CU. 120/70MM2</v>
          </cell>
          <cell r="C476" t="str">
            <v>UN</v>
          </cell>
          <cell r="D476">
            <v>9.7880000000000003</v>
          </cell>
        </row>
        <row r="477">
          <cell r="A477">
            <v>5411050</v>
          </cell>
          <cell r="B477" t="str">
            <v>CONECTOR DE DERIVACION DE COBRE ESTAÑADO TP.CUÑA P.CONDUCTOR DE COBRE 25 - 35 / 16 - 25MM2</v>
          </cell>
          <cell r="C477" t="str">
            <v>UN</v>
          </cell>
          <cell r="D477">
            <v>4.9080000000000004</v>
          </cell>
        </row>
        <row r="478">
          <cell r="A478">
            <v>5411052</v>
          </cell>
          <cell r="B478" t="str">
            <v>CONECTOR DE DERIVACION DE COBRE ESTAÑADO TP.CUÑA P.CONDUCTOR DE COBRE 16 - 25 / 10 - 16MM2</v>
          </cell>
          <cell r="C478" t="str">
            <v>UN</v>
          </cell>
          <cell r="D478">
            <v>2.8820000000000001</v>
          </cell>
        </row>
        <row r="479">
          <cell r="A479">
            <v>5411054</v>
          </cell>
          <cell r="B479" t="str">
            <v>CONECTOR DE DERIVACION DE COBRE ESTAÑADO TP.CUÑA P.CONDUCTOR DE COBRE 16 - 25 / 1,5 - 10MM2</v>
          </cell>
          <cell r="C479" t="str">
            <v>UN</v>
          </cell>
          <cell r="D479">
            <v>1.587</v>
          </cell>
        </row>
        <row r="480">
          <cell r="A480">
            <v>5411056</v>
          </cell>
          <cell r="B480" t="str">
            <v>CONECTOR DE DERIVACION DE COBRE ESTAÑADO TP.CUÑA P.CONDUCTOR DE COBRE 10 - 16 / 1,5 - 10MM2</v>
          </cell>
          <cell r="C480" t="str">
            <v>UN</v>
          </cell>
          <cell r="D480">
            <v>1.46</v>
          </cell>
        </row>
        <row r="481">
          <cell r="A481">
            <v>5411058</v>
          </cell>
          <cell r="B481" t="str">
            <v>CONECTOR DE DERIVACION DE COBRE ESTAÑADO TP.CUÑA P.CONDUCTOR DE COBRE 6 - 10 / 1,5 - 4MM2</v>
          </cell>
          <cell r="C481" t="str">
            <v>UN</v>
          </cell>
          <cell r="D481">
            <v>1.351</v>
          </cell>
        </row>
        <row r="482">
          <cell r="A482">
            <v>5411062</v>
          </cell>
          <cell r="B482" t="str">
            <v>CONECTOR DE DERIVACION DE COBRE ESTAÑADO TP.CUÑA P.CONDUCTOR DE COBRE 35 - 70 / 16 - 35MM2</v>
          </cell>
          <cell r="C482" t="str">
            <v>UN</v>
          </cell>
          <cell r="D482">
            <v>6.5019999999999998</v>
          </cell>
        </row>
        <row r="483">
          <cell r="A483">
            <v>5411064</v>
          </cell>
          <cell r="B483" t="str">
            <v>CONECTOR DE DERIVACION DE COBRE ESTAÑADO TP.CUÑA P.CONDUCTOR DE COBRE 35 - 50 / 6 - 10MM2</v>
          </cell>
          <cell r="C483" t="str">
            <v>UN</v>
          </cell>
          <cell r="D483">
            <v>5.2149999999999999</v>
          </cell>
        </row>
        <row r="484">
          <cell r="A484">
            <v>5411068</v>
          </cell>
          <cell r="B484" t="str">
            <v>CONECTOR DE DERIVACION DE COBRE ESTAÑADO TP.CUÑA P.CONDUCTOR DE COBRE 70 / 10MM2</v>
          </cell>
          <cell r="C484" t="str">
            <v>UN</v>
          </cell>
          <cell r="D484">
            <v>5.673</v>
          </cell>
        </row>
        <row r="485">
          <cell r="A485">
            <v>5411070</v>
          </cell>
          <cell r="B485" t="str">
            <v>CONECTOR DE DERIVACION DE COBRE ESTAÑADO TP.CUÑA P.CONDUCTOR DE COBRE 70 / 16MM2</v>
          </cell>
          <cell r="C485" t="str">
            <v>UN</v>
          </cell>
          <cell r="D485">
            <v>8.8480000000000008</v>
          </cell>
        </row>
        <row r="486">
          <cell r="A486">
            <v>5411072</v>
          </cell>
          <cell r="B486" t="str">
            <v>CONECTOR DE DERIVACION DE COBRE ESTAÑADO TP.CUÑA P.CONDUCTOR DE COBRE 35 / 1,5 - 2,5MM2</v>
          </cell>
          <cell r="C486" t="str">
            <v>UN</v>
          </cell>
          <cell r="D486">
            <v>5.2839999999999998</v>
          </cell>
        </row>
        <row r="487">
          <cell r="A487">
            <v>5411076</v>
          </cell>
          <cell r="B487" t="str">
            <v>CONECTOR DE DERIVACION DE COBRE ESTAÑADO TP.CUÑA P.CONDUCTOR DE COBRE 70 / 6MM2</v>
          </cell>
          <cell r="C487" t="str">
            <v>UN</v>
          </cell>
          <cell r="D487">
            <v>7.8949999999999996</v>
          </cell>
        </row>
        <row r="488">
          <cell r="A488">
            <v>5411132</v>
          </cell>
          <cell r="B488" t="str">
            <v>CONECTOR DE DERIVACION A COMPRESION TIPO G P.CONDUCTOR DE COBRE 16-35 / 16-35MM2 P.RED AEREA</v>
          </cell>
          <cell r="C488" t="str">
            <v>UN</v>
          </cell>
          <cell r="D488">
            <v>9.5950000000000006</v>
          </cell>
        </row>
        <row r="489">
          <cell r="A489">
            <v>5411142</v>
          </cell>
          <cell r="B489" t="str">
            <v>CONECTOR DE DERIVACION A COMPRESION TIPO G P.CONDUCTOR DE COBRE 70 / 70MM2 P.RED AEREA</v>
          </cell>
          <cell r="C489" t="str">
            <v>UN</v>
          </cell>
          <cell r="D489">
            <v>11.444000000000001</v>
          </cell>
        </row>
        <row r="490">
          <cell r="A490">
            <v>5411148</v>
          </cell>
          <cell r="B490" t="str">
            <v>CONECTOR DERIV.COMPR.TP.G AA125/AA-CU.107 A 185MM2</v>
          </cell>
          <cell r="C490" t="str">
            <v>UN</v>
          </cell>
          <cell r="D490">
            <v>12.853999999999999</v>
          </cell>
        </row>
        <row r="491">
          <cell r="A491">
            <v>5411162</v>
          </cell>
          <cell r="B491" t="str">
            <v>CONECTOR BIMETALICO DE DERIVACION A COMPRESION TIPO H P.CONDUCTOR 16-35/16-35MM2 P.RED AEREA.</v>
          </cell>
          <cell r="C491" t="str">
            <v>UN</v>
          </cell>
          <cell r="D491">
            <v>1.72</v>
          </cell>
        </row>
        <row r="492">
          <cell r="A492">
            <v>5411164</v>
          </cell>
          <cell r="B492" t="str">
            <v>CONECTOR BIMETALICO DE DERIVACION A COMPRESION TIPO H P.CONDUCTOR 35-50 / 16-35MM2 P.RED AEREA</v>
          </cell>
          <cell r="C492" t="str">
            <v>UN</v>
          </cell>
          <cell r="D492">
            <v>1.496</v>
          </cell>
        </row>
        <row r="493">
          <cell r="A493">
            <v>5411166</v>
          </cell>
          <cell r="B493" t="str">
            <v>CONECTOR BIMETALICO DE DERIVACION A COMPRESION TIPO H P.CONDUCTOR 70 / 16-35MM2 P.RED AEREA</v>
          </cell>
          <cell r="C493" t="str">
            <v>UN</v>
          </cell>
          <cell r="D493">
            <v>2.161</v>
          </cell>
        </row>
        <row r="494">
          <cell r="A494">
            <v>5411168</v>
          </cell>
          <cell r="B494" t="str">
            <v>CONECTOR BIMETALICO DE DERIVACION A COMPRESION TIPO H P.CONDUCTOR 70 / 50-70MM2 P.RED AEREA</v>
          </cell>
          <cell r="C494" t="str">
            <v>UN</v>
          </cell>
          <cell r="D494">
            <v>2.2200000000000002</v>
          </cell>
        </row>
        <row r="495">
          <cell r="A495">
            <v>5411172</v>
          </cell>
          <cell r="B495" t="str">
            <v>CONECTOR BIMETALICO DE DERIVACION A COMPRESION TIPO H P.CONDUCTOR 120-185/16-70MM2 P.RED AEREA</v>
          </cell>
          <cell r="C495" t="str">
            <v>UN</v>
          </cell>
          <cell r="D495">
            <v>5.415</v>
          </cell>
        </row>
        <row r="496">
          <cell r="A496">
            <v>5411176</v>
          </cell>
          <cell r="B496" t="str">
            <v>CONECTOR BIMETALICO DE DERIVACION A COMPRESION TIPO H P.CONDUCTOR 120-185 / 120-185MM2 P.RED AEREA</v>
          </cell>
          <cell r="C496" t="str">
            <v>UN</v>
          </cell>
          <cell r="D496">
            <v>8.0060000000000002</v>
          </cell>
        </row>
        <row r="497">
          <cell r="A497">
            <v>5411302</v>
          </cell>
          <cell r="B497" t="str">
            <v>CONECTOR DE DERIVACION DE ALEACION DE ALUMINIO TP.CUÑA P.CONDUCTOR AL 70MM2 / AL - CU 35MM2</v>
          </cell>
          <cell r="C497" t="str">
            <v>UN</v>
          </cell>
          <cell r="D497">
            <v>16.507000000000001</v>
          </cell>
        </row>
        <row r="498">
          <cell r="A498">
            <v>5411303</v>
          </cell>
          <cell r="B498" t="str">
            <v>CONECTOR DE DERIVACION DE ALEACION DE ALUMINIO TP.CUÑA P.CONDUCTOR AL 70-120MM2 / AL - CU 35-70MM2</v>
          </cell>
          <cell r="C498" t="str">
            <v>UN</v>
          </cell>
          <cell r="D498">
            <v>17.526</v>
          </cell>
        </row>
        <row r="499">
          <cell r="A499">
            <v>5411366</v>
          </cell>
          <cell r="B499" t="str">
            <v>CONEC. CUÑA TP. MINIW. CU. 95/35MM2</v>
          </cell>
          <cell r="C499" t="str">
            <v>UN</v>
          </cell>
          <cell r="D499">
            <v>8.2189999999999994</v>
          </cell>
        </row>
        <row r="500">
          <cell r="A500">
            <v>5411514</v>
          </cell>
          <cell r="B500" t="str">
            <v>CONECTOR BIMET.FORRADO TP.PERFORACION / PIERCING P.COND.CU - AL 10 - 35 / 1,5 - 6MM2 FASE AISL.</v>
          </cell>
          <cell r="C500" t="str">
            <v>UN</v>
          </cell>
          <cell r="D500">
            <v>2.944</v>
          </cell>
        </row>
        <row r="501">
          <cell r="A501">
            <v>5411518</v>
          </cell>
          <cell r="B501" t="str">
            <v>CONECTOR BIMET.FORRADO TP.PERFORACION / PIERCING P.COND.CU - AL 70 / 1,5 - 6MM2 FASE AISL.</v>
          </cell>
          <cell r="C501" t="str">
            <v>UN</v>
          </cell>
          <cell r="D501">
            <v>4.8529999999999998</v>
          </cell>
        </row>
        <row r="502">
          <cell r="A502">
            <v>5411524</v>
          </cell>
          <cell r="B502" t="str">
            <v>CONECTOR BIMET.FORRADO TP.PERFORACION / PIERCING P.COND.CU - AL 25 - 70 / 10 - 35MM2 FASE AISL.</v>
          </cell>
          <cell r="C502" t="str">
            <v>UN</v>
          </cell>
          <cell r="D502">
            <v>4.9610000000000003</v>
          </cell>
        </row>
        <row r="503">
          <cell r="A503">
            <v>5411528</v>
          </cell>
          <cell r="B503" t="str">
            <v>CONECTOR BIMET.FORRADO TP.PERFORACION / PIERCING P.COND.CU - AL 16 / 10MM2 FASE AISL.</v>
          </cell>
          <cell r="C503" t="str">
            <v>UN</v>
          </cell>
          <cell r="D503">
            <v>3.2650000000000001</v>
          </cell>
        </row>
        <row r="504">
          <cell r="A504">
            <v>5411534</v>
          </cell>
          <cell r="B504" t="str">
            <v>CONECTOR BIMET.FORRADO TP.PERFORACION / PIERCING P.COND.CU - AL 25 - 70 / 25 - 70MM2 FASE AISL.</v>
          </cell>
          <cell r="C504" t="str">
            <v>UN</v>
          </cell>
          <cell r="D504">
            <v>10.156000000000001</v>
          </cell>
        </row>
        <row r="505">
          <cell r="A505">
            <v>5412140</v>
          </cell>
          <cell r="B505" t="str">
            <v>UNION TUBULAR A COMPRESION P.CABLES AA 120MM2 MT.</v>
          </cell>
          <cell r="C505" t="str">
            <v>UN</v>
          </cell>
          <cell r="D505">
            <v>32.158999999999999</v>
          </cell>
        </row>
        <row r="506">
          <cell r="A506">
            <v>5412304</v>
          </cell>
          <cell r="B506" t="str">
            <v>UNION TUBULAR COMPRESION CU.P.CU.16MM2.</v>
          </cell>
          <cell r="C506" t="str">
            <v>UN</v>
          </cell>
          <cell r="D506">
            <v>5.8890000000000002</v>
          </cell>
        </row>
        <row r="507">
          <cell r="A507">
            <v>5412539</v>
          </cell>
          <cell r="B507" t="str">
            <v>UNION P.EMPALME AUTOMATICO P.CONDUCTOR AAAC 70MM2</v>
          </cell>
          <cell r="C507" t="str">
            <v>UN</v>
          </cell>
          <cell r="D507">
            <v>45.545000000000002</v>
          </cell>
        </row>
        <row r="508">
          <cell r="A508">
            <v>5412540</v>
          </cell>
          <cell r="B508" t="str">
            <v>UNION P.EMPALME AUTOMATICO P.CONDUCTOR AAAC 120MM2</v>
          </cell>
          <cell r="C508" t="str">
            <v>UN</v>
          </cell>
          <cell r="D508">
            <v>52.305</v>
          </cell>
        </row>
        <row r="509">
          <cell r="A509">
            <v>5412545</v>
          </cell>
          <cell r="B509" t="str">
            <v>UNION P.EMPALME AUTOMATICO P.CONDUCTOR AAAC 35MM2</v>
          </cell>
          <cell r="C509" t="str">
            <v>UN</v>
          </cell>
          <cell r="D509">
            <v>21.538</v>
          </cell>
        </row>
        <row r="510">
          <cell r="A510">
            <v>5414762</v>
          </cell>
          <cell r="B510" t="str">
            <v>CUBIERTA AISLANTE DE PROTECCION P.CONDUCTOR AEREO DESNUDO 4 - 25MM DIAM. CL.15KV</v>
          </cell>
          <cell r="C510" t="str">
            <v>UN</v>
          </cell>
          <cell r="D510">
            <v>195.70500000000001</v>
          </cell>
        </row>
        <row r="511">
          <cell r="A511">
            <v>5419109</v>
          </cell>
          <cell r="B511" t="str">
            <v>AMARRE SIMPLE DE ALUMINIO 4 AWG 1000MM LONG. P.AISLADOR PIN C.CONDUCTOR ALUMINIO HASTA 70MM2 EN M.T.</v>
          </cell>
          <cell r="C511" t="str">
            <v>UN</v>
          </cell>
          <cell r="D511">
            <v>1.6619999999999999</v>
          </cell>
        </row>
        <row r="512">
          <cell r="A512">
            <v>5419116</v>
          </cell>
          <cell r="B512" t="str">
            <v>AMARRE DOBLE DE ALUMINIO 4 AWG 1800MM LONG. P.AISLADOR PIN C.CONDUCTOR ALUMINIO MAYOR A 70MM2 EN M.T</v>
          </cell>
          <cell r="C512" t="str">
            <v>UN</v>
          </cell>
          <cell r="D512">
            <v>4.0279999999999996</v>
          </cell>
        </row>
        <row r="513">
          <cell r="A513">
            <v>5419120</v>
          </cell>
          <cell r="B513" t="str">
            <v>AMARRE PREFORMADO P.SUJECION CABLE DE VIENTO DE ACERO GALV. 5/16" DIAM. CLASE C</v>
          </cell>
          <cell r="C513" t="str">
            <v>UN</v>
          </cell>
          <cell r="D513">
            <v>6.5209999999999999</v>
          </cell>
        </row>
        <row r="514">
          <cell r="A514">
            <v>5419822</v>
          </cell>
          <cell r="B514" t="str">
            <v>VARILLA DE ARMAR PREFORMADO DE ALEACION DE ALUMINIO P.CONDUCTOR AAAC 120MM2</v>
          </cell>
          <cell r="C514" t="str">
            <v>UN</v>
          </cell>
          <cell r="D514">
            <v>79.027000000000001</v>
          </cell>
        </row>
        <row r="515">
          <cell r="A515">
            <v>5419826</v>
          </cell>
          <cell r="B515" t="str">
            <v>VARILLA DE ARMAR PREFORMADO DE ALEACION DE ALUMINIO P.CONDUCTOR AAAC 185MM2</v>
          </cell>
          <cell r="C515" t="str">
            <v>UN</v>
          </cell>
          <cell r="D515">
            <v>61.343000000000004</v>
          </cell>
        </row>
        <row r="516">
          <cell r="A516">
            <v>5421226</v>
          </cell>
          <cell r="B516" t="str">
            <v>GRAPA SUSPENS.DE ALEAC.AL.P.COND.120MM2.C/VAR.ARMADO.</v>
          </cell>
          <cell r="C516" t="str">
            <v>UN</v>
          </cell>
          <cell r="D516">
            <v>41.552</v>
          </cell>
        </row>
        <row r="517">
          <cell r="A517">
            <v>5421236</v>
          </cell>
          <cell r="B517" t="str">
            <v>GRAPA SUSPENS. DE ALEAC.AL.P.COND.185MM2. C/VAR. ARMADO.</v>
          </cell>
          <cell r="C517" t="str">
            <v>UN</v>
          </cell>
          <cell r="D517">
            <v>38.905999999999999</v>
          </cell>
        </row>
        <row r="518">
          <cell r="A518">
            <v>5421420</v>
          </cell>
          <cell r="B518" t="str">
            <v>GRAPA SUSPENSION HO.GALV.P.CONDUC.CU.16/70MM2.</v>
          </cell>
          <cell r="C518" t="str">
            <v>UN</v>
          </cell>
          <cell r="D518">
            <v>35.774000000000001</v>
          </cell>
        </row>
        <row r="519">
          <cell r="A519">
            <v>5422364</v>
          </cell>
          <cell r="B519" t="str">
            <v>GRAPA DE UNA VIA CON 2 PERNOS GALV.CALIENTE</v>
          </cell>
          <cell r="C519" t="str">
            <v>UN</v>
          </cell>
          <cell r="D519">
            <v>5.2729999999999997</v>
          </cell>
        </row>
        <row r="520">
          <cell r="A520">
            <v>5422366</v>
          </cell>
          <cell r="B520" t="str">
            <v>GRAPA DE DOS VIAS CON 2 PERNOS GALV.CALIENTE</v>
          </cell>
          <cell r="C520" t="str">
            <v>UN</v>
          </cell>
          <cell r="D520">
            <v>5.26</v>
          </cell>
        </row>
        <row r="521">
          <cell r="A521">
            <v>5423232</v>
          </cell>
          <cell r="B521" t="str">
            <v>GRAPA DE ANCLAJE TP.PISTOLA DE ALEACION DE ALUMINIO P.CONDUCTOR AAAC 70MM2</v>
          </cell>
          <cell r="C521" t="str">
            <v>UN</v>
          </cell>
          <cell r="D521">
            <v>19.719000000000001</v>
          </cell>
        </row>
        <row r="522">
          <cell r="A522">
            <v>5423260</v>
          </cell>
          <cell r="B522" t="str">
            <v>GRAPA DE ANCLAJE TP.PISTOLA DE ALEACION DE ALUMINIO P.CONDUCTOR AAAC 185MM2</v>
          </cell>
          <cell r="C522" t="str">
            <v>UN</v>
          </cell>
          <cell r="D522">
            <v>36.811</v>
          </cell>
        </row>
        <row r="523">
          <cell r="A523">
            <v>5423438</v>
          </cell>
          <cell r="B523" t="str">
            <v>GRAPA DE ANCLAJE TP.PISTOLA DE ACERO GALV. P.CONDUCTOR CU 16 - 70MM2</v>
          </cell>
          <cell r="C523" t="str">
            <v>UN</v>
          </cell>
          <cell r="D523">
            <v>58.411999999999999</v>
          </cell>
        </row>
        <row r="524">
          <cell r="A524">
            <v>5441220</v>
          </cell>
          <cell r="B524" t="str">
            <v>GRILLETE DE ACERO GALV. 5/8" 82KN C.PIN Y PASADOR DE SEGURIDAD</v>
          </cell>
          <cell r="C524" t="str">
            <v>UN</v>
          </cell>
          <cell r="D524">
            <v>6.4960000000000004</v>
          </cell>
        </row>
        <row r="525">
          <cell r="A525">
            <v>5441620</v>
          </cell>
          <cell r="B525" t="str">
            <v>ESLABON DOBLE TP.8 GIRATORIO DE ACERO GALV. P.FIJAR CONDUCTORES A AISLADORES EN LINEAS AREAS M.T.</v>
          </cell>
          <cell r="C525" t="str">
            <v>UN</v>
          </cell>
          <cell r="D525">
            <v>9.6579999999999995</v>
          </cell>
        </row>
        <row r="526">
          <cell r="A526">
            <v>5461238</v>
          </cell>
          <cell r="B526" t="str">
            <v>ARANDELA CUADRADA PLANA DE ACERO GALV. 55 X 55 X 4,5MM C.AGUJERO 17,5MM DIAM</v>
          </cell>
          <cell r="C526" t="str">
            <v>UN</v>
          </cell>
          <cell r="D526">
            <v>0.57099999999999995</v>
          </cell>
        </row>
        <row r="527">
          <cell r="A527">
            <v>5461504</v>
          </cell>
          <cell r="B527" t="str">
            <v>ARANDELA CUADRADA CURVA DE ACERO GALV. 40 X 40 X 5MM C.AGUJERO 14MM DIAM</v>
          </cell>
          <cell r="C527" t="str">
            <v>UN</v>
          </cell>
          <cell r="D527">
            <v>0.59499999999999997</v>
          </cell>
        </row>
        <row r="528">
          <cell r="A528">
            <v>5461510</v>
          </cell>
          <cell r="B528" t="str">
            <v>ARANDELA CUADRADA CURVA DE ACERO GALV. 55 X 55 X 5MM C.AGUJERO 17,5MM DIAM</v>
          </cell>
          <cell r="C528" t="str">
            <v>UN</v>
          </cell>
          <cell r="D528">
            <v>0.63100000000000001</v>
          </cell>
        </row>
        <row r="529">
          <cell r="A529">
            <v>5461536</v>
          </cell>
          <cell r="B529" t="str">
            <v>ARANDELA CUADRADA CURVA DE ACERO GALV. 75 X 75 X 4,5MM C.AGUJERO 17,5MM DIAM</v>
          </cell>
          <cell r="C529" t="str">
            <v>UN</v>
          </cell>
          <cell r="D529">
            <v>1.056</v>
          </cell>
        </row>
        <row r="530">
          <cell r="A530">
            <v>5462140</v>
          </cell>
          <cell r="B530" t="str">
            <v>SOPORTE PASANTE ACERO GALV. 350MM LONG. 1 3/8" DIAM. P.AISLADORES TP.PIN C.ACCESORIOS</v>
          </cell>
          <cell r="C530" t="str">
            <v>UN</v>
          </cell>
          <cell r="D530">
            <v>16.693000000000001</v>
          </cell>
        </row>
        <row r="531">
          <cell r="A531">
            <v>5462145</v>
          </cell>
          <cell r="B531" t="str">
            <v>SOPORTE PASANTE ACERO GALV. 201MM LONG. 19MM / 3/4" DIAM. P.AISLADORES TP.PIN C.ACCESORIOS</v>
          </cell>
          <cell r="C531" t="str">
            <v>UN</v>
          </cell>
          <cell r="D531">
            <v>12.686999999999999</v>
          </cell>
        </row>
        <row r="532">
          <cell r="A532">
            <v>5462146</v>
          </cell>
          <cell r="B532" t="str">
            <v>SOPORTE METALICO PASANTE DE ACERO PARA AISLADOR POLIMERICO TIPO PIN DE 22,9 KV</v>
          </cell>
          <cell r="C532" t="str">
            <v>UN</v>
          </cell>
          <cell r="D532">
            <v>12.223000000000001</v>
          </cell>
        </row>
        <row r="533">
          <cell r="A533">
            <v>5462245</v>
          </cell>
          <cell r="B533" t="str">
            <v>SOPORTE LATERAL PARA AISLADOR  HIBRIDO PIN 10KV.</v>
          </cell>
          <cell r="C533" t="str">
            <v>UN</v>
          </cell>
          <cell r="D533">
            <v>18.754000000000001</v>
          </cell>
        </row>
        <row r="534">
          <cell r="A534">
            <v>5462246</v>
          </cell>
          <cell r="B534" t="str">
            <v>SOPORTE LATERAL DE ACERO GALV. P.AISLADOR TP.PIN HIBRIDO O POLIMERICO 22,9KV</v>
          </cell>
          <cell r="C534" t="str">
            <v>UN</v>
          </cell>
          <cell r="D534">
            <v>17.524999999999999</v>
          </cell>
        </row>
        <row r="535">
          <cell r="A535">
            <v>5463110</v>
          </cell>
          <cell r="B535" t="str">
            <v>VARILLA ROSCADA AC.GALV. 16MMD. X 250MML. L.AEREAS.</v>
          </cell>
          <cell r="C535" t="str">
            <v>UN</v>
          </cell>
          <cell r="D535">
            <v>2.9020000000000001</v>
          </cell>
        </row>
        <row r="536">
          <cell r="A536">
            <v>5463112</v>
          </cell>
          <cell r="B536" t="str">
            <v>VARILLA ROSCADA AC.GALV. 16MMD. X 300MML. L.AEREAS.</v>
          </cell>
          <cell r="C536" t="str">
            <v>UN</v>
          </cell>
          <cell r="D536">
            <v>3.6080000000000001</v>
          </cell>
        </row>
        <row r="537">
          <cell r="A537">
            <v>5463114</v>
          </cell>
          <cell r="B537" t="str">
            <v>VARILLA ROSCADA AC.GALV. 16MMD. X 350MML. L.AEREAS.</v>
          </cell>
          <cell r="C537" t="str">
            <v>UN</v>
          </cell>
          <cell r="D537">
            <v>3.98</v>
          </cell>
        </row>
        <row r="538">
          <cell r="A538">
            <v>5463116</v>
          </cell>
          <cell r="B538" t="str">
            <v>VARILLA ROSCADA AC.GALV. 16MMD. X 400MML. L.AEREAS.</v>
          </cell>
          <cell r="C538" t="str">
            <v>UN</v>
          </cell>
          <cell r="D538">
            <v>4.742</v>
          </cell>
        </row>
        <row r="539">
          <cell r="A539">
            <v>5463118</v>
          </cell>
          <cell r="B539" t="str">
            <v>VARILLA ROSCADA AC.GALV. 16MMD. X 450MML. L.AEREAS.</v>
          </cell>
          <cell r="C539" t="str">
            <v>UN</v>
          </cell>
          <cell r="D539">
            <v>4.7050000000000001</v>
          </cell>
        </row>
        <row r="540">
          <cell r="A540">
            <v>5463120</v>
          </cell>
          <cell r="B540" t="str">
            <v>VARILLA ROSCADA AC. GALV. 16MMD. X 500MML. AEREAS</v>
          </cell>
          <cell r="C540" t="str">
            <v>UN</v>
          </cell>
          <cell r="D540">
            <v>5.1159999999999997</v>
          </cell>
        </row>
        <row r="541">
          <cell r="A541">
            <v>5463122</v>
          </cell>
          <cell r="B541" t="str">
            <v>VARILLA ROSCADA AC.GALV. 16MMD. X 550MML. L.AEREAS.</v>
          </cell>
          <cell r="C541" t="str">
            <v>UN</v>
          </cell>
          <cell r="D541">
            <v>5.452</v>
          </cell>
        </row>
        <row r="542">
          <cell r="A542">
            <v>5463124</v>
          </cell>
          <cell r="B542" t="str">
            <v>VARILLA ROSCADA AC.GALV. 16MMD. X 600MML. L.AEREAS.</v>
          </cell>
          <cell r="C542" t="str">
            <v>UN</v>
          </cell>
          <cell r="D542">
            <v>6.27</v>
          </cell>
        </row>
        <row r="543">
          <cell r="A543">
            <v>5463620</v>
          </cell>
          <cell r="B543" t="str">
            <v>OJAL ROSCADO AC.GALV. DE 5/8PULG.D. X80MML. P.L.A.</v>
          </cell>
          <cell r="C543" t="str">
            <v>UN</v>
          </cell>
          <cell r="D543">
            <v>3.6970000000000001</v>
          </cell>
        </row>
        <row r="544">
          <cell r="A544">
            <v>5464101</v>
          </cell>
          <cell r="B544" t="str">
            <v>ESLABON ANGULAR DE ACERO GALV. 17,50MM P.ENLACE EN ESTRUCTURAS DE REDES AEREAS</v>
          </cell>
          <cell r="C544" t="str">
            <v>UN</v>
          </cell>
          <cell r="D544">
            <v>6.3860000000000001</v>
          </cell>
        </row>
        <row r="545">
          <cell r="A545">
            <v>5464110</v>
          </cell>
          <cell r="B545" t="str">
            <v>GANCHO FIN DE LINEA/ANGULO DERIV.3/4 D.X300MM.L."</v>
          </cell>
          <cell r="C545" t="str">
            <v>UN</v>
          </cell>
          <cell r="D545">
            <v>9.4090000000000007</v>
          </cell>
        </row>
        <row r="546">
          <cell r="A546">
            <v>5464112</v>
          </cell>
          <cell r="B546" t="str">
            <v>GANCHO SUSP.350 MML.X3/4  D.USO CABLES AUTOSOPORT."</v>
          </cell>
          <cell r="C546" t="str">
            <v>UN</v>
          </cell>
          <cell r="D546">
            <v>20.225000000000001</v>
          </cell>
        </row>
        <row r="547">
          <cell r="A547">
            <v>5464206</v>
          </cell>
          <cell r="B547" t="str">
            <v>PERNO CON OJAL DE ACERO GALV. 5/8" X 6", ROSCA 4" C.ACCESORIOS</v>
          </cell>
          <cell r="C547" t="str">
            <v>UN</v>
          </cell>
          <cell r="D547">
            <v>9</v>
          </cell>
        </row>
        <row r="548">
          <cell r="A548">
            <v>5464210</v>
          </cell>
          <cell r="B548" t="str">
            <v>PERNO CON OJAL DE ACERO GALV. 5/8" X 10", ROSCA 6" C.ACCESORIOS</v>
          </cell>
          <cell r="C548" t="str">
            <v>UN</v>
          </cell>
          <cell r="D548">
            <v>6.0110000000000001</v>
          </cell>
        </row>
        <row r="549">
          <cell r="A549">
            <v>5464214</v>
          </cell>
          <cell r="B549" t="str">
            <v>PERNO CON OJAL DE ACERO GALV. 5/8" X 14", ROSCA 10" C.ACCESORIOS</v>
          </cell>
          <cell r="C549" t="str">
            <v>UN</v>
          </cell>
          <cell r="D549">
            <v>9.2590000000000003</v>
          </cell>
        </row>
        <row r="550">
          <cell r="A550">
            <v>5464410</v>
          </cell>
          <cell r="B550" t="str">
            <v>PERNO ANGULAR DE ACERO GALV. 5/8" X 10" ROSCA 6" C.TUERCA</v>
          </cell>
          <cell r="C550" t="str">
            <v>UN</v>
          </cell>
          <cell r="D550">
            <v>4.8</v>
          </cell>
        </row>
        <row r="551">
          <cell r="A551">
            <v>5464412</v>
          </cell>
          <cell r="B551" t="str">
            <v>PERNO ANGULAR DE ACERO GALV. 5/8" X 12" ROSCA 6" C.TUERCA</v>
          </cell>
          <cell r="C551" t="str">
            <v>UN</v>
          </cell>
          <cell r="D551">
            <v>5.9550000000000001</v>
          </cell>
        </row>
        <row r="552">
          <cell r="A552">
            <v>5464414</v>
          </cell>
          <cell r="B552" t="str">
            <v>PERNO ANGULAR DE ACERO GALV. 5/8" X 14" ROSCA 7" C.TUERCA</v>
          </cell>
          <cell r="C552" t="str">
            <v>UN</v>
          </cell>
          <cell r="D552">
            <v>5.718</v>
          </cell>
        </row>
        <row r="553">
          <cell r="A553">
            <v>5464501</v>
          </cell>
          <cell r="B553" t="str">
            <v>SOPORTE FIN DE LINEA LIVIANO AC.GALV. SAE 1020.</v>
          </cell>
          <cell r="C553" t="str">
            <v>UN</v>
          </cell>
          <cell r="D553">
            <v>3.0310000000000001</v>
          </cell>
        </row>
        <row r="554">
          <cell r="A554">
            <v>5466606</v>
          </cell>
          <cell r="B554" t="str">
            <v>PLANCHA DE COBRE P.LINEA A TIERRA C.AGUJERO 20MM DIAM.</v>
          </cell>
          <cell r="C554" t="str">
            <v>UN</v>
          </cell>
          <cell r="D554">
            <v>4.3410000000000002</v>
          </cell>
        </row>
        <row r="555">
          <cell r="A555">
            <v>5467008</v>
          </cell>
          <cell r="B555" t="str">
            <v>PERNO HO.GALV.CAB.HEXAG. 1/2" D. X 8" L. C/TUERCA</v>
          </cell>
          <cell r="C555" t="str">
            <v>UN</v>
          </cell>
          <cell r="D555">
            <v>2.1269999999999998</v>
          </cell>
        </row>
        <row r="556">
          <cell r="A556">
            <v>5467009</v>
          </cell>
          <cell r="B556" t="str">
            <v>PERNO HO.GALV.CAB.HEXAG. 1/2" D. X 9" L. C/TUERCA</v>
          </cell>
          <cell r="C556" t="str">
            <v>UN</v>
          </cell>
          <cell r="D556">
            <v>2.3340000000000001</v>
          </cell>
        </row>
        <row r="557">
          <cell r="A557">
            <v>5467010</v>
          </cell>
          <cell r="B557" t="str">
            <v>PERNO HO.GALV.CAB.HEXAG. 1/2" D. X 10" L. C/TUERCA.</v>
          </cell>
          <cell r="C557" t="str">
            <v>UN</v>
          </cell>
          <cell r="D557">
            <v>2.2890000000000001</v>
          </cell>
        </row>
        <row r="558">
          <cell r="A558">
            <v>5467012</v>
          </cell>
          <cell r="B558" t="str">
            <v>PERNO HO.GALV.CAB.HEXAG. 1/2" D. X 12" L. C/TUERCA.</v>
          </cell>
          <cell r="C558" t="str">
            <v>UN</v>
          </cell>
          <cell r="D558">
            <v>2.819</v>
          </cell>
        </row>
        <row r="559">
          <cell r="A559">
            <v>5467060</v>
          </cell>
          <cell r="B559" t="str">
            <v>PERNO DE ACERO GALV. DE CABEZA HEXAGONAL 5/8" X 10", GRADO 5</v>
          </cell>
          <cell r="C559" t="str">
            <v>UN</v>
          </cell>
          <cell r="D559">
            <v>4.3470000000000004</v>
          </cell>
        </row>
        <row r="560">
          <cell r="A560">
            <v>5467062</v>
          </cell>
          <cell r="B560" t="str">
            <v>PERNO DE ACERO GALV. DE CABEZA HEXAGONAL 5/8" X 12", GRADO 5</v>
          </cell>
          <cell r="C560" t="str">
            <v>UN</v>
          </cell>
          <cell r="D560">
            <v>4.8289999999999997</v>
          </cell>
        </row>
        <row r="561">
          <cell r="A561">
            <v>5467099</v>
          </cell>
          <cell r="B561" t="str">
            <v>BARRA C.OJO DE ANCLAJE DE ACERO GALV. 5/8" X 650MM C.ACCESORIOS P.VIENTO</v>
          </cell>
          <cell r="C561" t="str">
            <v>UN</v>
          </cell>
          <cell r="D561">
            <v>10.999000000000001</v>
          </cell>
        </row>
        <row r="562">
          <cell r="A562">
            <v>5467101</v>
          </cell>
          <cell r="B562" t="str">
            <v>BARRA C.OJO (VARILLA DOBLADA SOLDADA) DE ANCLAJE DE ACERO GALV. 5/8" X 2400MM C.ACCESORIOS P.VIENTO</v>
          </cell>
          <cell r="C562" t="str">
            <v>UN</v>
          </cell>
          <cell r="D562">
            <v>21.911000000000001</v>
          </cell>
        </row>
        <row r="563">
          <cell r="A563">
            <v>5467410</v>
          </cell>
          <cell r="B563" t="str">
            <v>PORTALINEA AC.GALV.VERT.BIF.P.AISL. 10-35MM2 TP.CARRETE.</v>
          </cell>
          <cell r="C563" t="str">
            <v>UN</v>
          </cell>
          <cell r="D563">
            <v>12.339</v>
          </cell>
        </row>
        <row r="564">
          <cell r="A564">
            <v>5467430</v>
          </cell>
          <cell r="B564" t="str">
            <v>PORTALINEA AC.GALV.VERT.TRIF.P.AISL.TP.CARRETE B.T.</v>
          </cell>
          <cell r="C564" t="str">
            <v>UN</v>
          </cell>
          <cell r="D564">
            <v>19.434000000000001</v>
          </cell>
        </row>
        <row r="565">
          <cell r="A565">
            <v>5467452</v>
          </cell>
          <cell r="B565" t="str">
            <v>PORTALINEA AC.GALV.HORIZ.SIMPL.P.AISL.10-35MM2 CARRETE B.T.</v>
          </cell>
          <cell r="C565" t="str">
            <v>UN</v>
          </cell>
          <cell r="D565">
            <v>4.6429999999999998</v>
          </cell>
        </row>
        <row r="566">
          <cell r="A566">
            <v>5467514</v>
          </cell>
          <cell r="B566" t="str">
            <v>BRAZO DE APOYO TUBULAR DE ACERO GALV. 38,10 X 1000 X 2,5MM C.ACCESORIOS P.REDES AEREAS</v>
          </cell>
          <cell r="C566" t="str">
            <v>UN</v>
          </cell>
          <cell r="D566">
            <v>28.623000000000001</v>
          </cell>
        </row>
        <row r="567">
          <cell r="A567">
            <v>5467622</v>
          </cell>
          <cell r="B567" t="str">
            <v>CANALETA PROTECTORA DE ACERO GALV. 2M LONG.P.PROTEGER TUBO 2" O 3" DIAM. EN SUBIDA O BAJADA DE CABLE</v>
          </cell>
          <cell r="C567" t="str">
            <v>UN</v>
          </cell>
          <cell r="D567">
            <v>70.960999999999999</v>
          </cell>
        </row>
        <row r="568">
          <cell r="A568">
            <v>5467624</v>
          </cell>
          <cell r="B568" t="str">
            <v>CANALETA PROTECTORA ACERO GALV. 2200MM P.PROTEGER CABLE P.VIENTO</v>
          </cell>
          <cell r="C568" t="str">
            <v>UN</v>
          </cell>
          <cell r="D568">
            <v>16.315000000000001</v>
          </cell>
        </row>
        <row r="569">
          <cell r="A569">
            <v>5467804</v>
          </cell>
          <cell r="B569" t="str">
            <v>BRAZO DE APOYO TP.VIOLIN DE ACERO GALV. 2" X 875MM C.ACCESORIOS</v>
          </cell>
          <cell r="C569" t="str">
            <v>UN</v>
          </cell>
          <cell r="D569">
            <v>29.311</v>
          </cell>
        </row>
        <row r="570">
          <cell r="A570">
            <v>5484220</v>
          </cell>
          <cell r="B570" t="str">
            <v>TEMPLADOR P.ACOMETIDA DOMICILIARIA EN L.A.DE B.T.</v>
          </cell>
          <cell r="C570" t="str">
            <v>UN</v>
          </cell>
          <cell r="D570">
            <v>1.002</v>
          </cell>
        </row>
        <row r="571">
          <cell r="A571">
            <v>5484222</v>
          </cell>
          <cell r="B571" t="str">
            <v>TEMPLADOR P. ACOMETIDA DOMICILIARIA L.A./B.T. TRIP.</v>
          </cell>
          <cell r="C571" t="str">
            <v>UN</v>
          </cell>
          <cell r="D571">
            <v>6.2169999999999996</v>
          </cell>
        </row>
        <row r="572">
          <cell r="A572">
            <v>5544622</v>
          </cell>
          <cell r="B572" t="str">
            <v>LAMPARA TUBULAR DE VAPOR DE SODIO DE ALTA PRESION 70W 220V C.CASUILLO E 27, FLUJO MEJORADO</v>
          </cell>
          <cell r="C572" t="str">
            <v>UN</v>
          </cell>
          <cell r="D572">
            <v>8.0139999999999993</v>
          </cell>
        </row>
        <row r="573">
          <cell r="A573">
            <v>5544638</v>
          </cell>
          <cell r="B573" t="str">
            <v>LAMPARA TUBULAR DE VAPOR DE SODIO DE ALTA PRESION 150W 220V C.CASUILLO E 40, FLUJO MEJORADO</v>
          </cell>
          <cell r="C573" t="str">
            <v>UN</v>
          </cell>
          <cell r="D573">
            <v>12.223000000000001</v>
          </cell>
        </row>
        <row r="574">
          <cell r="A574">
            <v>5544657</v>
          </cell>
          <cell r="B574" t="str">
            <v>LAMPARA TUBULAR DE VAPOR DE SODIO DE ALTA PRESION 250W 220V C.CASUILLO E 40, FLUJO MEJORADO</v>
          </cell>
          <cell r="C574" t="str">
            <v>UN</v>
          </cell>
          <cell r="D574">
            <v>18.771999999999998</v>
          </cell>
        </row>
        <row r="575">
          <cell r="A575">
            <v>5544667</v>
          </cell>
          <cell r="B575" t="str">
            <v>LAMPARA TUBULAR DE VAPOR DE SODIO DE ALTA PRESION 400W 220V C.CASUILLO E 40, FLUJO MEJORADO</v>
          </cell>
          <cell r="C575" t="str">
            <v>UN</v>
          </cell>
          <cell r="D575">
            <v>20.84</v>
          </cell>
        </row>
        <row r="576">
          <cell r="A576">
            <v>5564400</v>
          </cell>
          <cell r="B576" t="str">
            <v>LUMINARIA TIPO II MEDIANO HAZ SEMIRECORTADO NA 70W EQUIPADA</v>
          </cell>
          <cell r="C576" t="str">
            <v>UN</v>
          </cell>
          <cell r="D576">
            <v>113.739</v>
          </cell>
        </row>
        <row r="577">
          <cell r="A577">
            <v>5564424</v>
          </cell>
          <cell r="B577" t="str">
            <v>LUMINARIA TIPO II MEDIANO HAZ SEMIRECORTADO NA 150W EQUIPADA</v>
          </cell>
          <cell r="C577" t="str">
            <v>UN</v>
          </cell>
          <cell r="D577">
            <v>140.61600000000001</v>
          </cell>
        </row>
        <row r="578">
          <cell r="A578">
            <v>5564458</v>
          </cell>
          <cell r="B578" t="str">
            <v>LUMINARIA TIPO II MEDIANO HAZ SEMIRECORTADO NA 250W EQUIPADA</v>
          </cell>
          <cell r="C578" t="str">
            <v>UN</v>
          </cell>
          <cell r="D578">
            <v>410.15300000000002</v>
          </cell>
        </row>
        <row r="579">
          <cell r="A579">
            <v>5564463</v>
          </cell>
          <cell r="B579" t="str">
            <v>LUMINARIA TIPO III MEDIANO HAZ RECORTADO NA 400W EQUIPADA C.DISPOSITIVO ANTIHURTO</v>
          </cell>
          <cell r="C579" t="str">
            <v>UN</v>
          </cell>
          <cell r="D579">
            <v>520.81299999999999</v>
          </cell>
        </row>
        <row r="580">
          <cell r="A580">
            <v>5568129</v>
          </cell>
          <cell r="B580" t="str">
            <v>FAROLA AL TP.HAZ SEMIRECORTADO C.DIFUSOR TRANSPARENTE, BASE E-27 P.LAMPARA NA70W EQUIPADA</v>
          </cell>
          <cell r="C580" t="str">
            <v>UN</v>
          </cell>
          <cell r="D580">
            <v>193.68600000000001</v>
          </cell>
        </row>
        <row r="581">
          <cell r="A581">
            <v>5592645</v>
          </cell>
          <cell r="B581" t="str">
            <v>SEGURO TIPO CANASTILLA P.PORTAEQUIPO DE LUMINARIAS ASTRO 70W Y 150W</v>
          </cell>
          <cell r="C581" t="str">
            <v>UN</v>
          </cell>
          <cell r="D581">
            <v>22.73</v>
          </cell>
        </row>
        <row r="582">
          <cell r="A582">
            <v>5592646</v>
          </cell>
          <cell r="B582" t="str">
            <v>SEGURO TIPO CANASTILLA P.PORTAEQUIPO DE LUMINARIAS ECOM 70W Y 150W</v>
          </cell>
          <cell r="C582" t="str">
            <v>UN</v>
          </cell>
          <cell r="D582">
            <v>22.068999999999999</v>
          </cell>
        </row>
        <row r="583">
          <cell r="A583">
            <v>5592650</v>
          </cell>
          <cell r="B583" t="str">
            <v>SEGURO TIPO TAPA P.PORTAEQUIPO DE LUMINARIAS ASTRO 70W Y 150W</v>
          </cell>
          <cell r="C583" t="str">
            <v>UN</v>
          </cell>
          <cell r="D583">
            <v>19.065000000000001</v>
          </cell>
        </row>
        <row r="584">
          <cell r="A584">
            <v>5592651</v>
          </cell>
          <cell r="B584" t="str">
            <v>SEGURO TIPO TAPA P.PORTAEQUIPO DE LUMINARIAS ECOM 70W Y 150W</v>
          </cell>
          <cell r="C584" t="str">
            <v>UN</v>
          </cell>
          <cell r="D584">
            <v>18.274000000000001</v>
          </cell>
        </row>
        <row r="585">
          <cell r="A585">
            <v>5593644</v>
          </cell>
          <cell r="B585" t="str">
            <v>DIFUSOR P.LUMINARIA PHILIPS SRC-510, ACRILICO, C/JEBE</v>
          </cell>
          <cell r="C585" t="str">
            <v>UN</v>
          </cell>
          <cell r="D585">
            <v>18.638000000000002</v>
          </cell>
        </row>
        <row r="586">
          <cell r="A586">
            <v>5593645</v>
          </cell>
          <cell r="B586" t="str">
            <v>DIFUSOR P.LUMINARIA PHILIPS SRC-511, ACRILICO, C/JEBE</v>
          </cell>
          <cell r="C586" t="str">
            <v>UN</v>
          </cell>
          <cell r="D586">
            <v>26.184999999999999</v>
          </cell>
        </row>
        <row r="587">
          <cell r="A587">
            <v>5593646</v>
          </cell>
          <cell r="B587" t="str">
            <v>DIFUSOR P.LUMINARIA JOSFEL BS-83, ACRILICO, C/JEBE, CLIP Y SEGURO</v>
          </cell>
          <cell r="C587" t="str">
            <v>UN</v>
          </cell>
          <cell r="D587">
            <v>22.010999999999999</v>
          </cell>
        </row>
        <row r="588">
          <cell r="A588">
            <v>5594207</v>
          </cell>
          <cell r="B588" t="str">
            <v>DIFUSOR POLICARBONATO P.LUMINARIA PHILIPS ECOM 70 - 150W C.PLANCHA 3MM C.ACCESORIOS</v>
          </cell>
          <cell r="C588" t="str">
            <v>UN</v>
          </cell>
          <cell r="D588">
            <v>17.181000000000001</v>
          </cell>
        </row>
        <row r="589">
          <cell r="A589">
            <v>5594218</v>
          </cell>
          <cell r="B589" t="str">
            <v>DIFUSOR P.LUMINARIA PHILIPS SRC-515, ACRILICO, C/JEBE</v>
          </cell>
          <cell r="C589" t="str">
            <v>UN</v>
          </cell>
          <cell r="D589">
            <v>26.152000000000001</v>
          </cell>
        </row>
        <row r="590">
          <cell r="A590">
            <v>5594220</v>
          </cell>
          <cell r="B590" t="str">
            <v>DIFUSOR P.LUMINARIA SCHREDER AX1(70W)-AX2(150W), ACRILICO, C/JEBE, C/CLIP</v>
          </cell>
          <cell r="C590" t="str">
            <v>UN</v>
          </cell>
          <cell r="D590">
            <v>17.652000000000001</v>
          </cell>
        </row>
        <row r="591">
          <cell r="A591">
            <v>5594225</v>
          </cell>
          <cell r="B591" t="str">
            <v>DIFUSOR POLICARBONATO P.LUMINARIA JOSFEL ASTRO 70 - 150W C.PLANCHA 3MM C.ACCESORIOS</v>
          </cell>
          <cell r="C591" t="str">
            <v>UN</v>
          </cell>
          <cell r="D591">
            <v>36.319000000000003</v>
          </cell>
        </row>
        <row r="592">
          <cell r="A592">
            <v>5594230</v>
          </cell>
          <cell r="B592" t="str">
            <v>DIFUSOR DE ACRILICO P.FAROLA PHILIPS HPC / SPC 70W C.PLANCHA 4MM C.ACCESORIOS</v>
          </cell>
          <cell r="C592" t="str">
            <v>UN</v>
          </cell>
          <cell r="D592">
            <v>33.362000000000002</v>
          </cell>
        </row>
        <row r="593">
          <cell r="A593">
            <v>5611532</v>
          </cell>
          <cell r="B593" t="str">
            <v>MEDIDOR ELECTRONICO DE ENERGIA ACTIVA MONOFASICO 5(60)A 220V 3H CL.1 60HZ</v>
          </cell>
          <cell r="C593" t="str">
            <v>UN</v>
          </cell>
          <cell r="D593">
            <v>25.094999999999999</v>
          </cell>
        </row>
        <row r="594">
          <cell r="A594">
            <v>5637709</v>
          </cell>
          <cell r="B594" t="str">
            <v>MEDIDOR ELECTRONICO MULTIFUNCION TRIFASICO 2,5(20)A 120-480V 3H 2S CL.0,2 M.T. AFERIDO A 100V</v>
          </cell>
          <cell r="C594" t="str">
            <v>UN</v>
          </cell>
          <cell r="D594">
            <v>375.72</v>
          </cell>
        </row>
        <row r="595">
          <cell r="A595">
            <v>5637713</v>
          </cell>
          <cell r="B595" t="str">
            <v>MEDIDOR ELECTRONICO MULTIFUNCION TRIFASICO 2,5(20)A 120-480V 3H 2S CL.0,2 B.T. AFERIDO A 220V</v>
          </cell>
          <cell r="C595" t="str">
            <v>UN</v>
          </cell>
          <cell r="D595">
            <v>359.28399999999999</v>
          </cell>
        </row>
        <row r="596">
          <cell r="A596">
            <v>5637972</v>
          </cell>
          <cell r="B596" t="str">
            <v>MEDIDOR ELECTRONICO DE ENERGIA ACTIVA TRIFASICO 15(90)A 220V 3H 2S CL.1 60HZ</v>
          </cell>
          <cell r="C596" t="str">
            <v>UN</v>
          </cell>
          <cell r="D596">
            <v>70.284000000000006</v>
          </cell>
        </row>
        <row r="597">
          <cell r="A597">
            <v>5832181</v>
          </cell>
          <cell r="B597" t="str">
            <v>TRANSFORMADOR TRIFASICO DE DISTRIBUCION SECO TP.CONVENCIONAL C.ENVOLVENTE 200KVA 22,9 / 0,23KV YNYN6</v>
          </cell>
          <cell r="C597" t="str">
            <v>UN</v>
          </cell>
          <cell r="D597">
            <v>37346.400000000001</v>
          </cell>
        </row>
        <row r="598">
          <cell r="A598">
            <v>5911254</v>
          </cell>
          <cell r="B598" t="str">
            <v>TRANSFORMADOR DE CORRIENTE P.MEDICION S.BARRA PASANTE 200/5A 220V CL.1 10VA 60HZ</v>
          </cell>
          <cell r="C598" t="str">
            <v>UN</v>
          </cell>
          <cell r="D598">
            <v>70.082999999999998</v>
          </cell>
        </row>
        <row r="599">
          <cell r="A599">
            <v>5911260</v>
          </cell>
          <cell r="B599" t="str">
            <v>TRANSFORMADOR DE CORRIENTE P.MEDICION S.BARRA PASANTE 300/5A 220V CL.1 10VA 60HZ</v>
          </cell>
          <cell r="C599" t="str">
            <v>UN</v>
          </cell>
          <cell r="D599">
            <v>69.087999999999994</v>
          </cell>
        </row>
        <row r="600">
          <cell r="A600">
            <v>5911269</v>
          </cell>
          <cell r="B600" t="str">
            <v>TRANSFORMADOR DE CORRIENTE P.MEDICION S.BARRA PASANTE 500/5A 220V CL.1 10VA 60HZ</v>
          </cell>
          <cell r="C600" t="str">
            <v>UN</v>
          </cell>
          <cell r="D600">
            <v>70.619</v>
          </cell>
        </row>
        <row r="601">
          <cell r="A601">
            <v>5911272</v>
          </cell>
          <cell r="B601" t="str">
            <v>TRANSFORMADOR CTE.220V. 750/5A. S/BARRA PASANTE.</v>
          </cell>
          <cell r="C601" t="str">
            <v>UN</v>
          </cell>
          <cell r="D601">
            <v>79.876999999999995</v>
          </cell>
        </row>
        <row r="602">
          <cell r="A602">
            <v>5911278</v>
          </cell>
          <cell r="B602" t="str">
            <v>TRANSFORMADOR CTE.220V.1000/5A. S/BARRA PASANTE.</v>
          </cell>
          <cell r="C602" t="str">
            <v>UN</v>
          </cell>
          <cell r="D602">
            <v>81.941999999999993</v>
          </cell>
        </row>
        <row r="603">
          <cell r="A603">
            <v>5911284</v>
          </cell>
          <cell r="B603" t="str">
            <v>TRANSFORMADOR CTE.220V.2000/5A. S/BARRA PASANTE.</v>
          </cell>
          <cell r="C603" t="str">
            <v>UN</v>
          </cell>
          <cell r="D603">
            <v>84.337999999999994</v>
          </cell>
        </row>
        <row r="604">
          <cell r="A604">
            <v>5911342</v>
          </cell>
          <cell r="B604" t="str">
            <v>TRANSFORMADOR CTE.220V. 100/5A. C/BARRA PASANTE.</v>
          </cell>
          <cell r="C604" t="str">
            <v>UN</v>
          </cell>
          <cell r="D604">
            <v>93.798000000000002</v>
          </cell>
        </row>
        <row r="605">
          <cell r="A605">
            <v>5911354</v>
          </cell>
          <cell r="B605" t="str">
            <v>TRANSFORMADOR CTE.220V 200/5A C/BARRA PASANTE.</v>
          </cell>
          <cell r="C605" t="str">
            <v>UN</v>
          </cell>
          <cell r="D605">
            <v>70.367000000000004</v>
          </cell>
        </row>
        <row r="606">
          <cell r="A606">
            <v>5911360</v>
          </cell>
          <cell r="B606" t="str">
            <v>TRANSFORMADOR CTE.220V. 300/5A. C/BARRA PASANTE.</v>
          </cell>
          <cell r="C606" t="str">
            <v>UN</v>
          </cell>
          <cell r="D606">
            <v>70.649000000000001</v>
          </cell>
        </row>
        <row r="607">
          <cell r="A607">
            <v>5911369</v>
          </cell>
          <cell r="B607" t="str">
            <v>TRANSFORMADOR CTE.220V. 500/5A. C/BARRA PASANTE.</v>
          </cell>
          <cell r="C607" t="str">
            <v>UN</v>
          </cell>
          <cell r="D607">
            <v>72.742000000000004</v>
          </cell>
        </row>
        <row r="608">
          <cell r="A608">
            <v>6112224</v>
          </cell>
          <cell r="B608" t="str">
            <v>FUSIBLE TP. C 220V.  30A. P.CONEX.DOMICIL. Y A.P.</v>
          </cell>
          <cell r="C608" t="str">
            <v>UN</v>
          </cell>
          <cell r="D608">
            <v>0.66700000000000004</v>
          </cell>
        </row>
        <row r="609">
          <cell r="A609">
            <v>6112232</v>
          </cell>
          <cell r="B609" t="str">
            <v>FUSIBLE TP. C 220V.  60A. P.CONEX.DOMICIL. Y A.P.</v>
          </cell>
          <cell r="C609" t="str">
            <v>UN</v>
          </cell>
          <cell r="D609">
            <v>0.80300000000000005</v>
          </cell>
        </row>
        <row r="610">
          <cell r="A610">
            <v>6112332</v>
          </cell>
          <cell r="B610" t="str">
            <v>FUSIBLE TP.LAMINA 220V 60ATAM-CHICO 16X 78MM.</v>
          </cell>
          <cell r="C610" t="str">
            <v>UN</v>
          </cell>
          <cell r="D610">
            <v>1.5069999999999999</v>
          </cell>
        </row>
        <row r="611">
          <cell r="A611">
            <v>6112342</v>
          </cell>
          <cell r="B611" t="str">
            <v>FUSIBLE TP.LAMINA 220V.100A.TAM-CHICO    16X 78MM.</v>
          </cell>
          <cell r="C611" t="str">
            <v>UN</v>
          </cell>
          <cell r="D611">
            <v>1.7789999999999999</v>
          </cell>
        </row>
        <row r="612">
          <cell r="A612">
            <v>6112442</v>
          </cell>
          <cell r="B612" t="str">
            <v>FUSIBLE TP.LAMINA 220V.100A.TAM-MEDIANO  22X119MM.</v>
          </cell>
          <cell r="C612" t="str">
            <v>UN</v>
          </cell>
          <cell r="D612">
            <v>3.3780000000000001</v>
          </cell>
        </row>
        <row r="613">
          <cell r="A613">
            <v>6112448</v>
          </cell>
          <cell r="B613" t="str">
            <v>FUSIBLE TP.LAMINA 220V.160A.TAM-MEDIANO  22X119MM.</v>
          </cell>
          <cell r="C613" t="str">
            <v>UN</v>
          </cell>
          <cell r="D613">
            <v>3.3759999999999999</v>
          </cell>
        </row>
        <row r="614">
          <cell r="A614">
            <v>6112542</v>
          </cell>
          <cell r="B614" t="str">
            <v>FUSIBLE TP.LAMINA 220V 100A TAM-GRANDE 42X150MM.</v>
          </cell>
          <cell r="C614" t="str">
            <v>UN</v>
          </cell>
          <cell r="D614">
            <v>8.3379999999999992</v>
          </cell>
        </row>
        <row r="615">
          <cell r="A615">
            <v>6112548</v>
          </cell>
          <cell r="B615" t="str">
            <v>FUSIBLE TP.LAMINA 220V 160A TAM-GRANDE 42X150MM.</v>
          </cell>
          <cell r="C615" t="str">
            <v>UN</v>
          </cell>
          <cell r="D615">
            <v>8.6349999999999998</v>
          </cell>
        </row>
        <row r="616">
          <cell r="A616">
            <v>6112554</v>
          </cell>
          <cell r="B616" t="str">
            <v>FUSIBLE TP.LAMINA 220V 200A TAM-GRANDE 42X150MM.</v>
          </cell>
          <cell r="C616" t="str">
            <v>UN</v>
          </cell>
          <cell r="D616">
            <v>8.9329999999999998</v>
          </cell>
        </row>
        <row r="617">
          <cell r="A617">
            <v>6112560</v>
          </cell>
          <cell r="B617" t="str">
            <v>FUSIBLE TP.LAMINA 220V 300A TAM-GRANDE 42X150MM.</v>
          </cell>
          <cell r="C617" t="str">
            <v>UN</v>
          </cell>
          <cell r="D617">
            <v>9.6609999999999996</v>
          </cell>
        </row>
        <row r="618">
          <cell r="A618">
            <v>6112568</v>
          </cell>
          <cell r="B618" t="str">
            <v>FUSIBLE TP.LAMINA 220V.450A.TAM-GRANDE   42X150MM.</v>
          </cell>
          <cell r="C618" t="str">
            <v>UN</v>
          </cell>
          <cell r="D618">
            <v>10.481</v>
          </cell>
        </row>
        <row r="619">
          <cell r="A619">
            <v>6112570</v>
          </cell>
          <cell r="B619" t="str">
            <v>FUSIBLE TP.LAMINA 220V 600A TAM-GRANDE 42X150MM.</v>
          </cell>
          <cell r="C619" t="str">
            <v>UN</v>
          </cell>
          <cell r="D619">
            <v>10.951000000000001</v>
          </cell>
        </row>
        <row r="620">
          <cell r="A620">
            <v>6114533</v>
          </cell>
          <cell r="B620" t="str">
            <v>FUSIBLE LIMITADOR CORRIENTE TP. NH TAMAÑO 00, 220V 63A</v>
          </cell>
          <cell r="C620" t="str">
            <v>UN</v>
          </cell>
          <cell r="D620">
            <v>5.1539999999999999</v>
          </cell>
        </row>
        <row r="621">
          <cell r="A621">
            <v>6114538</v>
          </cell>
          <cell r="B621" t="str">
            <v>FUSIBLE LIMITADOR CORRIENTE TP. NH TAMAÑO 00, 220V 80A</v>
          </cell>
          <cell r="C621" t="str">
            <v>UN</v>
          </cell>
          <cell r="D621">
            <v>4.9850000000000003</v>
          </cell>
        </row>
        <row r="622">
          <cell r="A622">
            <v>6114542</v>
          </cell>
          <cell r="B622" t="str">
            <v>FUSIBLE LIMITADOR CORRIENTE TP. NH TAMAÑO 00, 220V 100A</v>
          </cell>
          <cell r="C622" t="str">
            <v>UN</v>
          </cell>
          <cell r="D622">
            <v>4.8049999999999997</v>
          </cell>
        </row>
        <row r="623">
          <cell r="A623">
            <v>6114545</v>
          </cell>
          <cell r="B623" t="str">
            <v>FUSIBLE LIMITADOR CORRIENTE TP. NH TAMAÑO 00, 220V 125A</v>
          </cell>
          <cell r="C623" t="str">
            <v>UN</v>
          </cell>
          <cell r="D623">
            <v>6.8079999999999998</v>
          </cell>
        </row>
        <row r="624">
          <cell r="A624">
            <v>6114738</v>
          </cell>
          <cell r="B624" t="str">
            <v>FUSIBLE LIMITADOR CORRIENTE TP. NH TAMAÑO 1, 500V 80A</v>
          </cell>
          <cell r="C624" t="str">
            <v>UN</v>
          </cell>
          <cell r="D624">
            <v>10.996</v>
          </cell>
        </row>
        <row r="625">
          <cell r="A625">
            <v>6114743</v>
          </cell>
          <cell r="B625" t="str">
            <v>FUSIBLE LIMITADOR CORRIENTE TP. NH TAMAÑO 1, 500V 125A</v>
          </cell>
          <cell r="C625" t="str">
            <v>UN</v>
          </cell>
          <cell r="D625">
            <v>9.1929999999999996</v>
          </cell>
        </row>
        <row r="626">
          <cell r="A626">
            <v>6114748</v>
          </cell>
          <cell r="B626" t="str">
            <v>FUSIBLE LIMITADOR CORRIENTE TP. NH TAMAÑO 1, 500V 160A</v>
          </cell>
          <cell r="C626" t="str">
            <v>UN</v>
          </cell>
          <cell r="D626">
            <v>8.3840000000000003</v>
          </cell>
        </row>
        <row r="627">
          <cell r="A627">
            <v>6114758</v>
          </cell>
          <cell r="B627" t="str">
            <v>FUSIBLE LIMITADOR CORRIENTE TP. NH TAMAÑO 1, 500V 250A</v>
          </cell>
          <cell r="C627" t="str">
            <v>UN</v>
          </cell>
          <cell r="D627">
            <v>11.532</v>
          </cell>
        </row>
        <row r="628">
          <cell r="A628">
            <v>6114842</v>
          </cell>
          <cell r="B628" t="str">
            <v>FUSIBLE LIMITADOR CORRIENTE TP. NH TAMAÑO 2, 220V 100A 120KA</v>
          </cell>
          <cell r="C628" t="str">
            <v>UN</v>
          </cell>
          <cell r="D628">
            <v>16.036999999999999</v>
          </cell>
        </row>
        <row r="629">
          <cell r="A629">
            <v>6114848</v>
          </cell>
          <cell r="B629" t="str">
            <v>FUSIBLE LIMITADOR CORRIENTE TP. NH TAMAÑO 2, 220V 160A</v>
          </cell>
          <cell r="C629" t="str">
            <v>UN</v>
          </cell>
          <cell r="D629">
            <v>13.28</v>
          </cell>
        </row>
        <row r="630">
          <cell r="A630">
            <v>6114858</v>
          </cell>
          <cell r="B630" t="str">
            <v>FUSIBLE LIMITADOR CORRIENTE TP. NH TAMAÑO 2, 220V 250A</v>
          </cell>
          <cell r="C630" t="str">
            <v>UN</v>
          </cell>
          <cell r="D630">
            <v>13.518000000000001</v>
          </cell>
        </row>
        <row r="631">
          <cell r="A631">
            <v>6114861</v>
          </cell>
          <cell r="B631" t="str">
            <v>FUSIBLE LIMITADOR CORRIENTE TP. NH TAMAÑO 2, 220V 315A</v>
          </cell>
          <cell r="C631" t="str">
            <v>UN</v>
          </cell>
          <cell r="D631">
            <v>17.532</v>
          </cell>
        </row>
        <row r="632">
          <cell r="A632">
            <v>6114866</v>
          </cell>
          <cell r="B632" t="str">
            <v>FUSIBLE LIMITADOR CORRIENTE TP. NH TAMAÑO 2, 220V 400A</v>
          </cell>
          <cell r="C632" t="str">
            <v>UN</v>
          </cell>
          <cell r="D632">
            <v>16.683</v>
          </cell>
        </row>
        <row r="633">
          <cell r="A633">
            <v>6114961</v>
          </cell>
          <cell r="B633" t="str">
            <v>FUSIBLE LIMITADOR CORRIENTE TP. NH TAMAÑO 3, 220V 315A</v>
          </cell>
          <cell r="C633" t="str">
            <v>UN</v>
          </cell>
          <cell r="D633">
            <v>19.683</v>
          </cell>
        </row>
        <row r="634">
          <cell r="A634">
            <v>6114966</v>
          </cell>
          <cell r="B634" t="str">
            <v>FUSIBLE LIMITADOR CORRIENTE TP. NH TAMAÑO 3, 220V 400A</v>
          </cell>
          <cell r="C634" t="str">
            <v>UN</v>
          </cell>
          <cell r="D634">
            <v>22.797000000000001</v>
          </cell>
        </row>
        <row r="635">
          <cell r="A635">
            <v>6114969</v>
          </cell>
          <cell r="B635" t="str">
            <v>FUSIBLE LIMITADOR CORRIENTE TP. NH TAMAÑO 3, 220V 500A</v>
          </cell>
          <cell r="C635" t="str">
            <v>UN</v>
          </cell>
          <cell r="D635">
            <v>32.072000000000003</v>
          </cell>
        </row>
        <row r="636">
          <cell r="A636">
            <v>6114971</v>
          </cell>
          <cell r="B636" t="str">
            <v>FUSIBLE LIMITADOR CORRIENTE TP. NH TAMAÑO 3, 220V 630A</v>
          </cell>
          <cell r="C636" t="str">
            <v>UN</v>
          </cell>
          <cell r="D636">
            <v>32.179000000000002</v>
          </cell>
        </row>
        <row r="637">
          <cell r="A637">
            <v>6131322</v>
          </cell>
          <cell r="B637" t="str">
            <v>FUSIBLE LIMITADOR CORRIENTE TP.INTERIOR 20A 10KV 30KA CLASE E P.SECCIONADOR UNIPOLAR</v>
          </cell>
          <cell r="C637" t="str">
            <v>UN</v>
          </cell>
          <cell r="D637">
            <v>589.04100000000005</v>
          </cell>
        </row>
        <row r="638">
          <cell r="A638">
            <v>6131324</v>
          </cell>
          <cell r="B638" t="str">
            <v>FUSIBLE LIMITADOR CORRIENTE TP.INTERIOR 30A 10KV 30KA CLASE E P.SECCIONADOR UNIPOLAR</v>
          </cell>
          <cell r="C638" t="str">
            <v>UN</v>
          </cell>
          <cell r="D638">
            <v>613.58399999999995</v>
          </cell>
        </row>
        <row r="639">
          <cell r="A639">
            <v>6131330</v>
          </cell>
          <cell r="B639" t="str">
            <v>FUSIBLE LIMITADOR CORRIENTE TP.INTERIOR 50A 10KV 30KA CLASE E P.SECCIONADOR UNIPOLAR</v>
          </cell>
          <cell r="C639" t="str">
            <v>UN</v>
          </cell>
          <cell r="D639">
            <v>631.45000000000005</v>
          </cell>
        </row>
        <row r="640">
          <cell r="A640">
            <v>6131331</v>
          </cell>
          <cell r="B640" t="str">
            <v>FUSIBLE LIMITADOR DE CORRIENTE TP.INTERIOR 31,5A 10KV 63KA P.SECCIONADOR FUSIBLE DE POTENCIA</v>
          </cell>
          <cell r="C640" t="str">
            <v>UN</v>
          </cell>
          <cell r="D640">
            <v>127.967</v>
          </cell>
        </row>
        <row r="641">
          <cell r="A641">
            <v>6131332</v>
          </cell>
          <cell r="B641" t="str">
            <v>FUSIBLE LIMITADOR DE CORRIENTE TP.INTERIOR 50A 10KV 63KA P.SECCIONADOR FUSIBLE DE POTENCIA</v>
          </cell>
          <cell r="C641" t="str">
            <v>UN</v>
          </cell>
          <cell r="D641">
            <v>162.62700000000001</v>
          </cell>
        </row>
        <row r="642">
          <cell r="A642">
            <v>6131334</v>
          </cell>
          <cell r="B642" t="str">
            <v>FUSIBLE LIMITADOR CORRIENTE TP.INTERIOR 65A 10KV 30KA CLASE E P.SECCIONADOR UNIPOLAR</v>
          </cell>
          <cell r="C642" t="str">
            <v>UN</v>
          </cell>
          <cell r="D642">
            <v>695.40499999999997</v>
          </cell>
        </row>
        <row r="643">
          <cell r="A643">
            <v>6131416</v>
          </cell>
          <cell r="B643" t="str">
            <v>FUSIBLE LIM.CTE.TP.INT.10KV.10AP/PORTAFUS.HERMET.UNIP.</v>
          </cell>
          <cell r="C643" t="str">
            <v>UN</v>
          </cell>
          <cell r="D643">
            <v>237.50800000000001</v>
          </cell>
        </row>
        <row r="644">
          <cell r="A644">
            <v>6131424</v>
          </cell>
          <cell r="B644" t="str">
            <v>FUSIBLE LIM.CTE.TP.INT.10KV.30A.P/PORTAFUS.HERMET.UNIP.</v>
          </cell>
          <cell r="C644" t="str">
            <v>UN</v>
          </cell>
          <cell r="D644">
            <v>265.70600000000002</v>
          </cell>
        </row>
        <row r="645">
          <cell r="A645">
            <v>6131610</v>
          </cell>
          <cell r="B645" t="str">
            <v>FUSIBLE DE EXPULSION TIPO K - ANSI CABEZA REMOVIBLE 3A 36KV P.SECCIONADOR FUSIBLE UNIPOLAR</v>
          </cell>
          <cell r="C645" t="str">
            <v>UN</v>
          </cell>
          <cell r="D645">
            <v>5.9829999999999997</v>
          </cell>
        </row>
        <row r="646">
          <cell r="A646">
            <v>6131611</v>
          </cell>
          <cell r="B646" t="str">
            <v>FUSIBLE DE EXPULSION TIPO K - ANSI CABEZA REMOVIBLE 6A 36KV P.SECCIONADOR FUSIBLE UNIPOLAR</v>
          </cell>
          <cell r="C646" t="str">
            <v>UN</v>
          </cell>
          <cell r="D646">
            <v>8.7110000000000003</v>
          </cell>
        </row>
        <row r="647">
          <cell r="A647">
            <v>6131616</v>
          </cell>
          <cell r="B647" t="str">
            <v>FUSIBLE DE EXPULSION TIPO K - ANSI CABEZA REMOVIBLE 10A 36KV P.SECCIONADOR FUSIBLE UNIPOLAR</v>
          </cell>
          <cell r="C647" t="str">
            <v>UN</v>
          </cell>
          <cell r="D647">
            <v>7.6779999999999999</v>
          </cell>
        </row>
        <row r="648">
          <cell r="A648">
            <v>6131619</v>
          </cell>
          <cell r="B648" t="str">
            <v>FUSIBLE DE EXPULSION TIPO K - ANSI CABEZA REMOVIBLE 15A 36KV P.SECCIONADOR FUSIBLE UNIPOLAR</v>
          </cell>
          <cell r="C648" t="str">
            <v>UN</v>
          </cell>
          <cell r="D648">
            <v>6.8120000000000003</v>
          </cell>
        </row>
        <row r="649">
          <cell r="A649">
            <v>6131622</v>
          </cell>
          <cell r="B649" t="str">
            <v>FUSIBLE DE EXPULSION TIPO K - ANSI CABEZA REMOVIBLE 20A 36KV P.SECCIONADOR FUSIBLE UNIPOLAR</v>
          </cell>
          <cell r="C649" t="str">
            <v>UN</v>
          </cell>
          <cell r="D649">
            <v>10.015000000000001</v>
          </cell>
        </row>
        <row r="650">
          <cell r="A650">
            <v>6131624</v>
          </cell>
          <cell r="B650" t="str">
            <v>FUSIBLE DE EXPULSION TIPO K - ANSI CABEZA REMOVIBLE 30A 36KV P.SECCIONADOR FUSIBLE UNIPOLAR</v>
          </cell>
          <cell r="C650" t="str">
            <v>UN</v>
          </cell>
          <cell r="D650">
            <v>10.682</v>
          </cell>
        </row>
        <row r="651">
          <cell r="A651">
            <v>6131628</v>
          </cell>
          <cell r="B651" t="str">
            <v>FUSIBLE DE EXPULSION TIPO K - ANSI CABEZA REMOVIBLE 40A 36KV P.SECCIONADOR FUSIBLE UNIPOLAR</v>
          </cell>
          <cell r="C651" t="str">
            <v>UN</v>
          </cell>
          <cell r="D651">
            <v>8.8919999999999995</v>
          </cell>
        </row>
        <row r="652">
          <cell r="A652">
            <v>6131630</v>
          </cell>
          <cell r="B652" t="str">
            <v>FUSIBLE DE EXPULSION TIPO K - ANSI CABEZA REMOVIBLE 50A 36KV P.SECCIONADOR FUSIBLE UNIPOLAR</v>
          </cell>
          <cell r="C652" t="str">
            <v>UN</v>
          </cell>
          <cell r="D652">
            <v>13.057</v>
          </cell>
        </row>
        <row r="653">
          <cell r="A653">
            <v>6131634</v>
          </cell>
          <cell r="B653" t="str">
            <v>FUSIBLE DE EXPULSION TIPO K - ANSI CABEZA REMOVIBLE 65A 36KV P.SECCIONADOR FUSIBLE UNIPOLAR</v>
          </cell>
          <cell r="C653" t="str">
            <v>UN</v>
          </cell>
          <cell r="D653">
            <v>14.58</v>
          </cell>
        </row>
        <row r="654">
          <cell r="A654">
            <v>6131642</v>
          </cell>
          <cell r="B654" t="str">
            <v>FUSIBLE DE EXPULSION TIPO K - ANSI CABEZA REMOVIBLE 100A 36KV P.SECCIONADOR FUSIBLE UNIPOLAR</v>
          </cell>
          <cell r="C654" t="str">
            <v>UN</v>
          </cell>
          <cell r="D654">
            <v>18.88</v>
          </cell>
        </row>
        <row r="655">
          <cell r="A655">
            <v>6132342</v>
          </cell>
          <cell r="B655" t="str">
            <v>FUSIBLE LIMITADOR DE CORRIENTE TP.INTERIOR 100A 10KV 31,5KA P.SECCIONADOR FUSIBLE DE POTENCIA</v>
          </cell>
          <cell r="C655" t="str">
            <v>UN</v>
          </cell>
          <cell r="D655">
            <v>177.90899999999999</v>
          </cell>
        </row>
        <row r="656">
          <cell r="A656">
            <v>6132343</v>
          </cell>
          <cell r="B656" t="str">
            <v>FUSIBLE LIMITADOR DE CORRIENTE TP.INTERIOR 125A 10KV 31,5KA P.SECCIONADOR FUSIBLE DE POTENCIA</v>
          </cell>
          <cell r="C656" t="str">
            <v>UN</v>
          </cell>
          <cell r="D656">
            <v>195.07400000000001</v>
          </cell>
        </row>
        <row r="657">
          <cell r="A657">
            <v>6133335</v>
          </cell>
          <cell r="B657" t="str">
            <v>FUSIBLE LIMITADOR CORRIENTE TIPO HH 24KV 16A 63KA MONTAJE INTERIOR</v>
          </cell>
          <cell r="C657" t="str">
            <v>UN</v>
          </cell>
          <cell r="D657">
            <v>159.1</v>
          </cell>
        </row>
        <row r="658">
          <cell r="A658">
            <v>6133341</v>
          </cell>
          <cell r="B658" t="str">
            <v>FUSIBLE LIMITADOR DE CORRIENTE TP.INTERIOR 63A 22,9KV P.SECCIONADOR FUSIBLE DE POTENCIA</v>
          </cell>
          <cell r="C658" t="str">
            <v>UN</v>
          </cell>
          <cell r="D658">
            <v>246.08699999999999</v>
          </cell>
        </row>
        <row r="659">
          <cell r="A659">
            <v>6162112</v>
          </cell>
          <cell r="B659" t="str">
            <v>BASE PORTAFUS.UNIP. TP.F 220V 450A PREPAR. FUS. LAM.</v>
          </cell>
          <cell r="C659" t="str">
            <v>UN</v>
          </cell>
          <cell r="D659">
            <v>52.253999999999998</v>
          </cell>
        </row>
        <row r="660">
          <cell r="A660">
            <v>6162412</v>
          </cell>
          <cell r="B660" t="str">
            <v>BASE PORTAFUSIBLE LOZA BIP. 220V P.FUSIBLE TP.C.</v>
          </cell>
          <cell r="C660" t="str">
            <v>UN</v>
          </cell>
          <cell r="D660">
            <v>10.805999999999999</v>
          </cell>
        </row>
        <row r="661">
          <cell r="A661">
            <v>6162512</v>
          </cell>
          <cell r="B661" t="str">
            <v>BASE PORTAFUSIBLE LOZA TRIP. 220V. P.FUSIBLE TP.C</v>
          </cell>
          <cell r="C661" t="str">
            <v>UN</v>
          </cell>
          <cell r="D661">
            <v>13.853</v>
          </cell>
        </row>
        <row r="662">
          <cell r="A662">
            <v>6193354</v>
          </cell>
          <cell r="B662" t="str">
            <v>FUSIBLE SECC.UNIP.TP.INT.10KV.200A.P.TRANSF.CONV.</v>
          </cell>
          <cell r="C662" t="str">
            <v>UN</v>
          </cell>
          <cell r="D662">
            <v>688.4</v>
          </cell>
        </row>
        <row r="663">
          <cell r="A663">
            <v>6193441</v>
          </cell>
          <cell r="B663" t="str">
            <v>SECCIONADOR FUSIBLE UNIPOLAR 10KV 100A 12KA 95KV BIL EXTERIOR P.CORROSION SEVERA</v>
          </cell>
          <cell r="C663" t="str">
            <v>UN</v>
          </cell>
          <cell r="D663">
            <v>184.32900000000001</v>
          </cell>
        </row>
        <row r="664">
          <cell r="A664">
            <v>6195750</v>
          </cell>
          <cell r="B664" t="str">
            <v>SECCIONADOR FUSIBLE UNIPOLAR 22,9KV 100A 8KA 150KV BIL EXTERIOR P.CORROSION SEVERA</v>
          </cell>
          <cell r="C664" t="str">
            <v>UN</v>
          </cell>
          <cell r="D664">
            <v>288.25200000000001</v>
          </cell>
        </row>
        <row r="665">
          <cell r="A665">
            <v>6195752</v>
          </cell>
          <cell r="B665" t="str">
            <v>SECCIONADOR FUSIBLE UNIPOLAR 22,9KV 100A 8KA 150KV BIL EXTERIOR</v>
          </cell>
          <cell r="C665" t="str">
            <v>UN</v>
          </cell>
          <cell r="D665">
            <v>257.87200000000001</v>
          </cell>
        </row>
        <row r="666">
          <cell r="A666">
            <v>6199230</v>
          </cell>
          <cell r="B666" t="str">
            <v>TUBO PORTAFUSIBLE PARA SECC. UNIP. AEREO 100A, 10KV, CORR.SEVERA</v>
          </cell>
          <cell r="C666" t="str">
            <v>UN</v>
          </cell>
          <cell r="D666">
            <v>91.739000000000004</v>
          </cell>
        </row>
        <row r="667">
          <cell r="A667">
            <v>6311416</v>
          </cell>
          <cell r="B667" t="str">
            <v>SECCIONADOR DE POTENCIA TRIPOLAR P.FUSIBLES NH DISPOSICION HORIZONTAL TAMAÑO 00 220V 160A AC-23 60HZ</v>
          </cell>
          <cell r="C667" t="str">
            <v>UN</v>
          </cell>
          <cell r="D667">
            <v>37.481999999999999</v>
          </cell>
        </row>
        <row r="668">
          <cell r="A668">
            <v>6311422</v>
          </cell>
          <cell r="B668" t="str">
            <v>SECCIONADOR DE POTENCIA TRIPOLAR P.FUSIBLES NH DISPOSICION HORIZONTAL TAMAÑO 1 220V 250A AC-23 60HZ</v>
          </cell>
          <cell r="C668" t="str">
            <v>UN</v>
          </cell>
          <cell r="D668">
            <v>119.608</v>
          </cell>
        </row>
        <row r="669">
          <cell r="A669">
            <v>6311432</v>
          </cell>
          <cell r="B669" t="str">
            <v>SECCIONADOR DE POTENCIA TRIPOLAR P.FUSIBLES NH DISPOSICION VERTICAL TAMAÑO 2 220V 400A AC-23 60HZ</v>
          </cell>
          <cell r="C669" t="str">
            <v>UN</v>
          </cell>
          <cell r="D669">
            <v>241.345</v>
          </cell>
        </row>
        <row r="670">
          <cell r="A670">
            <v>6311448</v>
          </cell>
          <cell r="B670" t="str">
            <v>SECCIONADOR DE POTENCIA TRIPOLAR P.FUSIBLES NH DISPOSICION VERTICAL TAMAÑO 3 220V 630A AC-23 60HZ</v>
          </cell>
          <cell r="C670" t="str">
            <v>UN</v>
          </cell>
          <cell r="D670">
            <v>269.02800000000002</v>
          </cell>
        </row>
        <row r="671">
          <cell r="A671">
            <v>6331212</v>
          </cell>
          <cell r="B671" t="str">
            <v>SECCIONADOR UNIP.INT.DE BARRA 10KV  400A</v>
          </cell>
          <cell r="C671" t="str">
            <v>UN</v>
          </cell>
          <cell r="D671">
            <v>299.995</v>
          </cell>
        </row>
        <row r="672">
          <cell r="A672">
            <v>6331222</v>
          </cell>
          <cell r="B672" t="str">
            <v>SECCIONADOR UNIP.EXT.AER. 400A 10KV.CORROS.MODER.</v>
          </cell>
          <cell r="C672" t="str">
            <v>UN</v>
          </cell>
          <cell r="D672">
            <v>557.98800000000006</v>
          </cell>
        </row>
        <row r="673">
          <cell r="A673">
            <v>6331312</v>
          </cell>
          <cell r="B673" t="str">
            <v>SECCIONADOR UNIPOLAR INTERIOR  BARRA 350A.22.9 KV.</v>
          </cell>
          <cell r="C673" t="str">
            <v>UN</v>
          </cell>
          <cell r="D673">
            <v>414.43099999999998</v>
          </cell>
        </row>
        <row r="674">
          <cell r="A674">
            <v>6331706</v>
          </cell>
          <cell r="B674" t="str">
            <v>SECCIONADOR FUSIBLE DE POTENCIA TRIP.   10KV.400A.</v>
          </cell>
          <cell r="C674" t="str">
            <v>UN</v>
          </cell>
          <cell r="D674">
            <v>3449.806</v>
          </cell>
        </row>
        <row r="675">
          <cell r="A675">
            <v>6381223</v>
          </cell>
          <cell r="B675" t="str">
            <v>PERTIGA DE MANIOBRA TELESCOPICA AISLADA FIBRA VIDRIO 3,80M, 3 CUERPOS</v>
          </cell>
          <cell r="C675" t="str">
            <v>UN</v>
          </cell>
          <cell r="D675">
            <v>485.1</v>
          </cell>
        </row>
        <row r="676">
          <cell r="A676">
            <v>6381432</v>
          </cell>
          <cell r="B676" t="str">
            <v>REVELADOR DE TENSION AUDIBLE-LUMINOSO    1 - 245KV</v>
          </cell>
          <cell r="C676" t="str">
            <v>UN</v>
          </cell>
          <cell r="D676">
            <v>1132.165</v>
          </cell>
        </row>
        <row r="677">
          <cell r="A677">
            <v>6511220</v>
          </cell>
          <cell r="B677" t="str">
            <v>INTERRUPTOR TERMOMAGNETICO BIPOLAR CURVA C 220V 50A 6 / 10KA P.RIEL DIN</v>
          </cell>
          <cell r="C677" t="str">
            <v>UN</v>
          </cell>
          <cell r="D677">
            <v>11.856</v>
          </cell>
        </row>
        <row r="678">
          <cell r="A678">
            <v>6511250</v>
          </cell>
          <cell r="B678" t="str">
            <v>INTERRUPTOR TERMOMAGNETICO BIPOLAR CURVA C 220V 16A 6 / 10KA P.RIEL DIN</v>
          </cell>
          <cell r="C678" t="str">
            <v>UN</v>
          </cell>
          <cell r="D678">
            <v>13.058</v>
          </cell>
        </row>
        <row r="679">
          <cell r="A679">
            <v>6512178</v>
          </cell>
          <cell r="B679" t="str">
            <v>INTERRUPTOR TERMOMAGNETICO BIPOLAR CURVA C 220V 32A 6 / 10KA P.RIEL DIN</v>
          </cell>
          <cell r="C679" t="str">
            <v>UN</v>
          </cell>
          <cell r="D679">
            <v>14.993</v>
          </cell>
        </row>
        <row r="680">
          <cell r="A680">
            <v>6512215</v>
          </cell>
          <cell r="B680" t="str">
            <v>INTERRUPTOR TERMOMAGNETICO TRIPOLAR CURVA C 220V 32A 6 / 10KA P.RIEL DIN</v>
          </cell>
          <cell r="C680" t="str">
            <v>UN</v>
          </cell>
          <cell r="D680">
            <v>21.074999999999999</v>
          </cell>
        </row>
        <row r="681">
          <cell r="A681">
            <v>6512226</v>
          </cell>
          <cell r="B681" t="str">
            <v>INTERRUPTOR TERMOMAGNETICO TRIPOLAR C.CURVA C 220VAC 63A 10KA 50 - 60HZ</v>
          </cell>
          <cell r="C681" t="str">
            <v>UN</v>
          </cell>
          <cell r="D681">
            <v>35.478000000000002</v>
          </cell>
        </row>
        <row r="682">
          <cell r="A682">
            <v>6512296</v>
          </cell>
          <cell r="B682" t="str">
            <v>INTERRUPTOR TRIP.TERMOMAG. TP.CJ.MOLD 220V 2000A.</v>
          </cell>
          <cell r="C682" t="str">
            <v>UN</v>
          </cell>
          <cell r="D682">
            <v>6643.0249999999996</v>
          </cell>
        </row>
        <row r="683">
          <cell r="A683">
            <v>6749022</v>
          </cell>
          <cell r="B683" t="str">
            <v>RELE ELECTRONICO C.MICROPROCESADOR MULTIFUNCION DE PROTECCION 27, 50/51, 50G/51G, 50N/51N, 46, 66</v>
          </cell>
          <cell r="C683" t="str">
            <v>UN</v>
          </cell>
          <cell r="D683">
            <v>3507</v>
          </cell>
        </row>
        <row r="684">
          <cell r="A684">
            <v>6767215</v>
          </cell>
          <cell r="B684" t="str">
            <v>PARARRAYO POLIMERICO OXIDO MET.ZINC C.DESCONECTADOR 10KV 10KA CL.1 INTERIOR</v>
          </cell>
          <cell r="C684" t="str">
            <v>UN</v>
          </cell>
          <cell r="D684">
            <v>112.479</v>
          </cell>
        </row>
        <row r="685">
          <cell r="A685">
            <v>6782402</v>
          </cell>
          <cell r="B685" t="str">
            <v>RECEPTACULO C.SOPORTE P.CONTROL FOTOELECTRICO DEL ALUMBRADO PUBLICO EN B.T.</v>
          </cell>
          <cell r="C685" t="str">
            <v>UN</v>
          </cell>
          <cell r="D685">
            <v>10.605</v>
          </cell>
        </row>
        <row r="686">
          <cell r="A686">
            <v>6782404</v>
          </cell>
          <cell r="B686" t="str">
            <v>CONTROL FOTOELECTRICO TP.ACCIONAMIENTO ELECTROMECANICO (NO BIMETALICO) 220V 1000W - 1800VA 10-30 LUX</v>
          </cell>
          <cell r="C686" t="str">
            <v>UN</v>
          </cell>
          <cell r="D686">
            <v>25.042999999999999</v>
          </cell>
        </row>
        <row r="687">
          <cell r="A687">
            <v>6786856</v>
          </cell>
          <cell r="B687" t="str">
            <v>CONTACTOR ELECTROMAGNETICO TRIPOLAR 63A 220V 60HZ INTERIOR</v>
          </cell>
          <cell r="C687" t="str">
            <v>UN</v>
          </cell>
          <cell r="D687">
            <v>248.51599999999999</v>
          </cell>
        </row>
        <row r="688">
          <cell r="A688">
            <v>6786858</v>
          </cell>
          <cell r="B688" t="str">
            <v>CONTACTOR ELECTROMAGNETICO TRIPOLAR 80A 220V 60HZ INTERIOR</v>
          </cell>
          <cell r="C688" t="str">
            <v>UN</v>
          </cell>
          <cell r="D688">
            <v>274.46499999999997</v>
          </cell>
        </row>
        <row r="689">
          <cell r="A689">
            <v>6786860</v>
          </cell>
          <cell r="B689" t="str">
            <v>CONTACTOR ELECTROMAGNETICO TRIPOLAR 125A 220V 60HZ INTERIOR</v>
          </cell>
          <cell r="C689" t="str">
            <v>UN</v>
          </cell>
          <cell r="D689">
            <v>363.58499999999998</v>
          </cell>
        </row>
        <row r="690">
          <cell r="A690">
            <v>6910360</v>
          </cell>
          <cell r="B690" t="str">
            <v>SEGURO P.INTERRUPTOR TERMOMAGNETICO BIPOLAR B.T.DE 39 X 47MM</v>
          </cell>
          <cell r="C690" t="str">
            <v>UN</v>
          </cell>
          <cell r="D690">
            <v>1.9470000000000001</v>
          </cell>
        </row>
        <row r="691">
          <cell r="A691">
            <v>6910362</v>
          </cell>
          <cell r="B691" t="str">
            <v>SEGURO P.INTERRUPTOR TERMOMAGNETICO TRIPOLAR B.T.DE 57 X 47MM</v>
          </cell>
          <cell r="C691" t="str">
            <v>UN</v>
          </cell>
          <cell r="D691">
            <v>1.849</v>
          </cell>
        </row>
        <row r="692">
          <cell r="A692">
            <v>6910364</v>
          </cell>
          <cell r="B692" t="str">
            <v>SEGURO P.INTERRUPTOR TERMOMAGNETICO TRIPOLAR B.T.DE 84 X 47MM</v>
          </cell>
          <cell r="C692" t="str">
            <v>UN</v>
          </cell>
          <cell r="D692">
            <v>2.0609999999999999</v>
          </cell>
        </row>
        <row r="693">
          <cell r="A693">
            <v>6910375</v>
          </cell>
          <cell r="B693" t="str">
            <v>SEGURO METALICO P.CAJA LTM / 3B P.SISTEMA ANTI HURTO DEL MEDIDOR TRIFASICO ELSTER ALPHA PLUS</v>
          </cell>
          <cell r="C693" t="str">
            <v>UN</v>
          </cell>
          <cell r="D693">
            <v>8.5730000000000004</v>
          </cell>
        </row>
        <row r="694">
          <cell r="A694">
            <v>6911134</v>
          </cell>
          <cell r="B694" t="str">
            <v>PUERTA P.CELD.INTERR/SECC.SE.CONV.TP.B 0.975X1.8M.</v>
          </cell>
          <cell r="C694" t="str">
            <v>UN</v>
          </cell>
          <cell r="D694">
            <v>574.65300000000002</v>
          </cell>
        </row>
        <row r="695">
          <cell r="A695">
            <v>6913277</v>
          </cell>
          <cell r="B695" t="str">
            <v>CAJUELA DE PROTECCION PARA BORNES DE TRANSFORMADOR DE DISTRIBUCION DE 400KVA</v>
          </cell>
          <cell r="C695" t="str">
            <v>UN</v>
          </cell>
          <cell r="D695">
            <v>2905</v>
          </cell>
        </row>
        <row r="696">
          <cell r="A696">
            <v>6913282</v>
          </cell>
          <cell r="B696" t="str">
            <v>REFUERZO DE POLIESTER REFORZADO C.FIBRA DE VIDRIO PRFV DE 339MM X 1,59M P.POSTE C.A.C. 11,5/300-400</v>
          </cell>
          <cell r="C696" t="str">
            <v>UN</v>
          </cell>
          <cell r="D696">
            <v>213.511</v>
          </cell>
        </row>
        <row r="697">
          <cell r="A697">
            <v>6913283</v>
          </cell>
          <cell r="B697" t="str">
            <v>REFUERZO DE POLIESTER REFORZADO C.FIBRA DE VIDRIO PRFV DE 348MM X 1,59M P.POSTE C.A.C. 11,5/300-400</v>
          </cell>
          <cell r="C697" t="str">
            <v>UN</v>
          </cell>
          <cell r="D697">
            <v>261.93400000000003</v>
          </cell>
        </row>
        <row r="698">
          <cell r="A698">
            <v>6913284</v>
          </cell>
          <cell r="B698" t="str">
            <v>REFUERZO DE POLIESTER REFORZADO C.FIBRA DE VIDRIO PRFV 365MM X 1,59M P.POSTE C.A.C. 13 / 300-400-500</v>
          </cell>
          <cell r="C698" t="str">
            <v>UN</v>
          </cell>
          <cell r="D698">
            <v>325.70400000000001</v>
          </cell>
        </row>
        <row r="699">
          <cell r="A699">
            <v>6913285</v>
          </cell>
          <cell r="B699" t="str">
            <v>REFUERZO DE POLIESTER REFORZADO C.FIBRA DE VIDRIO PRFV 375MM X 1,59M P.POSTE C.A.C. 13 / 300-400-500</v>
          </cell>
          <cell r="C699" t="str">
            <v>UN</v>
          </cell>
          <cell r="D699">
            <v>326.70800000000003</v>
          </cell>
        </row>
        <row r="700">
          <cell r="A700">
            <v>6913286</v>
          </cell>
          <cell r="B700" t="str">
            <v>REFUERZO DE POLIESTER REFORZADO C.FIBRA DE VIDRIO PRFV DE 425MM X 1,59M P.POSTE C.A.C. 15 / 400-500</v>
          </cell>
          <cell r="C700" t="str">
            <v>UN</v>
          </cell>
          <cell r="D700">
            <v>332.44499999999999</v>
          </cell>
        </row>
        <row r="701">
          <cell r="A701">
            <v>6913287</v>
          </cell>
          <cell r="B701" t="str">
            <v>REFUERZO DE POLIESTER REFORZADO C.FIBRA DE VIDRIO PRFV DE 435MM X 1,59M P.POSTE C.A.C. 15 / 400-500</v>
          </cell>
          <cell r="C701" t="str">
            <v>UN</v>
          </cell>
          <cell r="D701">
            <v>332.64699999999999</v>
          </cell>
        </row>
        <row r="702">
          <cell r="A702">
            <v>6913290</v>
          </cell>
          <cell r="B702" t="str">
            <v>REFUERZO DE POLIESTER REFORZADO C.FIBRA DE VIDRIO PRFV DE 186MM X 1,22M P.POSTE C.A.C. 7 / 100</v>
          </cell>
          <cell r="C702" t="str">
            <v>UN</v>
          </cell>
          <cell r="D702">
            <v>89.909000000000006</v>
          </cell>
        </row>
        <row r="703">
          <cell r="A703">
            <v>6913291</v>
          </cell>
          <cell r="B703" t="str">
            <v>REFUERZO DE POLIESTER REFORZADO C.FIBRA DE VIDRIO PRFV DE 224MM X 1,24M P.POSTE C.A.C. 7 / 200</v>
          </cell>
          <cell r="C703" t="str">
            <v>UN</v>
          </cell>
          <cell r="D703">
            <v>100.09399999999999</v>
          </cell>
        </row>
        <row r="704">
          <cell r="A704">
            <v>6913292</v>
          </cell>
          <cell r="B704" t="str">
            <v>REFUERZO DE POLIESTER REFORZADO C.FIBRA DE VIDRIO PRFV DE 242MM X 1,41M P.POSTE C.A.C. 8,7 / 200</v>
          </cell>
          <cell r="C704" t="str">
            <v>UN</v>
          </cell>
          <cell r="D704">
            <v>136.36799999999999</v>
          </cell>
        </row>
        <row r="705">
          <cell r="A705">
            <v>6913293</v>
          </cell>
          <cell r="B705" t="str">
            <v>REFUERZO DE POLIESTER REFORZADO C.FIBRA DE VIDRIO PRFV DE 250MM X 1,39M P.POSTE C.A.C. 8,7 / 300</v>
          </cell>
          <cell r="C705" t="str">
            <v>UN</v>
          </cell>
          <cell r="D705">
            <v>144.066</v>
          </cell>
        </row>
        <row r="706">
          <cell r="A706">
            <v>6913294</v>
          </cell>
          <cell r="B706" t="str">
            <v>REFUERZO DE POLIESTER REFORZADO C.FIBRA DE VIDRIO PRFV DE 337MM X 1,50M P.POSTE C.A.C. 11,5 / 300</v>
          </cell>
          <cell r="C706" t="str">
            <v>UN</v>
          </cell>
          <cell r="D706">
            <v>240.09299999999999</v>
          </cell>
        </row>
        <row r="707">
          <cell r="A707">
            <v>6913295</v>
          </cell>
          <cell r="B707" t="str">
            <v>REFUERZO DE POLIESTER REFORZADO C.FIBRA DE VIDRIO PRFV DE 117MM X 1,40M P.POSTE DE ACERO 7M</v>
          </cell>
          <cell r="C707" t="str">
            <v>UN</v>
          </cell>
          <cell r="D707">
            <v>69.819000000000003</v>
          </cell>
        </row>
        <row r="708">
          <cell r="A708">
            <v>6913296</v>
          </cell>
          <cell r="B708" t="str">
            <v>REFUERZO DE POLIESTER REFORZADO C.FIBRA DE VIDRIO PRFV DE 141MM X 1,40M P.POSTE DE ACERO 9M</v>
          </cell>
          <cell r="C708" t="str">
            <v>UN</v>
          </cell>
          <cell r="D708">
            <v>88.9</v>
          </cell>
        </row>
        <row r="709">
          <cell r="A709">
            <v>6913297</v>
          </cell>
          <cell r="B709" t="str">
            <v>REFUERZO DE POLIESTER REFORZADO C.FIBRA DE VIDRIO PRFV DE 309MM X 1,59M P.POSTE C.A.C. 11,5 / 200</v>
          </cell>
          <cell r="C709" t="str">
            <v>UN</v>
          </cell>
          <cell r="D709">
            <v>259.995</v>
          </cell>
        </row>
        <row r="710">
          <cell r="A710">
            <v>6913298</v>
          </cell>
          <cell r="B710" t="str">
            <v>REFUERZO DE POLIESTER REFORZADO C.FIBRA DE VIDRIO PRFV DE 318MM X 1,59M P.POSTE C.A.C. 11,5 / 200</v>
          </cell>
          <cell r="C710" t="str">
            <v>UN</v>
          </cell>
          <cell r="D710">
            <v>263.375</v>
          </cell>
        </row>
        <row r="711">
          <cell r="A711">
            <v>6913393</v>
          </cell>
          <cell r="B711" t="str">
            <v>CELDA DE LLEGADA TP.METAL ENCLOSED 22,9KV 630A 16KA IP3X EQUIPADA</v>
          </cell>
          <cell r="C711" t="str">
            <v>UN</v>
          </cell>
          <cell r="D711">
            <v>4986.375</v>
          </cell>
        </row>
        <row r="712">
          <cell r="A712">
            <v>6914254</v>
          </cell>
          <cell r="B712" t="str">
            <v>SELLO DE BRONCE P.IDENTIFICACION EMPALME SUBTERRANEO MT</v>
          </cell>
          <cell r="C712" t="str">
            <v>UN</v>
          </cell>
          <cell r="D712">
            <v>37.442999999999998</v>
          </cell>
        </row>
        <row r="713">
          <cell r="A713">
            <v>6931004</v>
          </cell>
          <cell r="B713" t="str">
            <v>CAJA TOMA MEDICION TP. L"  C/TABLERO  VISOR Y CERRADURA"</v>
          </cell>
          <cell r="C713" t="str">
            <v>UN</v>
          </cell>
          <cell r="D713">
            <v>35.414999999999999</v>
          </cell>
        </row>
        <row r="714">
          <cell r="A714">
            <v>6931020</v>
          </cell>
          <cell r="B714" t="str">
            <v>CAJA DE TOMA Y MEDICION TP. LR DE 183X380X175MM C.TABLERO Y TAPA METALICA</v>
          </cell>
          <cell r="C714" t="str">
            <v>UN</v>
          </cell>
          <cell r="D714">
            <v>32.061999999999998</v>
          </cell>
        </row>
        <row r="715">
          <cell r="A715">
            <v>6931021</v>
          </cell>
          <cell r="B715" t="str">
            <v>CAJA DE TOMA Y MEDICION TP. LTR DE 243X450X200MM C.TABLERO Y TAPA METALICA</v>
          </cell>
          <cell r="C715" t="str">
            <v>UN</v>
          </cell>
          <cell r="D715">
            <v>43.274000000000001</v>
          </cell>
        </row>
        <row r="716">
          <cell r="A716">
            <v>6931023</v>
          </cell>
          <cell r="B716" t="str">
            <v>CAJA DE TOMA Y MEDICION TP. LRM DE 183X380X135MM C.TABLERO Y TAPA METALICA</v>
          </cell>
          <cell r="C716" t="str">
            <v>UN</v>
          </cell>
          <cell r="D716">
            <v>29.734000000000002</v>
          </cell>
        </row>
        <row r="717">
          <cell r="A717">
            <v>6931031</v>
          </cell>
          <cell r="B717" t="str">
            <v>CAJA DE TOMA Y MEDICION TP. LTT DE 245X525X200MM C.TABLERO Y TAPA METALICA SIN VISOR</v>
          </cell>
          <cell r="C717" t="str">
            <v>UN</v>
          </cell>
          <cell r="D717">
            <v>51.344999999999999</v>
          </cell>
        </row>
        <row r="718">
          <cell r="A718">
            <v>6931033</v>
          </cell>
          <cell r="B718" t="str">
            <v>CAJA DE TOMA Y MEDICION TP. LTM DE 245X525X200MM C.TABLERO Y TAPA METALICA</v>
          </cell>
          <cell r="C718" t="str">
            <v>UN</v>
          </cell>
          <cell r="D718">
            <v>79.756</v>
          </cell>
        </row>
        <row r="719">
          <cell r="A719">
            <v>6931034</v>
          </cell>
          <cell r="B719" t="str">
            <v>CAJA DE TOMA Y MEDICION TP. LT DE 245X525X200MM C.TABLERO Y TAPA METALICA</v>
          </cell>
          <cell r="C719" t="str">
            <v>UN</v>
          </cell>
          <cell r="D719">
            <v>46.003999999999998</v>
          </cell>
        </row>
        <row r="720">
          <cell r="A720">
            <v>6931046</v>
          </cell>
          <cell r="B720" t="str">
            <v>CAJA DE TOMA Y MEDICION TP. LTM DE 245X525X200MM C.TABLERO Y TAPA METALICA P.MEDIDOR ITRON</v>
          </cell>
          <cell r="C720" t="str">
            <v>UN</v>
          </cell>
          <cell r="D720">
            <v>75.525000000000006</v>
          </cell>
        </row>
        <row r="721">
          <cell r="A721">
            <v>6931066</v>
          </cell>
          <cell r="B721" t="str">
            <v>CAJA METALICA PORTAMEDIDOR TRIFASICA TP. 3B 505 X 410 X 262MM</v>
          </cell>
          <cell r="C721" t="str">
            <v>UN</v>
          </cell>
          <cell r="D721">
            <v>127.062</v>
          </cell>
        </row>
        <row r="722">
          <cell r="A722">
            <v>6931117</v>
          </cell>
          <cell r="B722" t="str">
            <v>TAPA P.CAJA TIP."L"MEDI/CORTOC.154X421X2MM C/HUE.P/TERMOMAG.C/AGUJ.LATERAL P/CERRAD.</v>
          </cell>
          <cell r="C722" t="str">
            <v>UN</v>
          </cell>
          <cell r="D722">
            <v>18.7</v>
          </cell>
        </row>
        <row r="723">
          <cell r="A723">
            <v>6931118</v>
          </cell>
          <cell r="B723" t="str">
            <v>TAPA P.CAJA TIP."L"ANTIGUA 154X474X2MM C/HUECO P/TERMOMAG.C/AGUJ.SUP.P/CERRADURA</v>
          </cell>
          <cell r="C723" t="str">
            <v>UN</v>
          </cell>
          <cell r="D723">
            <v>16.125</v>
          </cell>
        </row>
        <row r="724">
          <cell r="A724">
            <v>6931143</v>
          </cell>
          <cell r="B724" t="str">
            <v>TAPA P.CAJA TP. LR DE 154X351X2MM C.CERRADURA, PUERTA VISOR, AGUJERO P.TERMICO</v>
          </cell>
          <cell r="C724" t="str">
            <v>UN</v>
          </cell>
          <cell r="D724">
            <v>20.204000000000001</v>
          </cell>
        </row>
        <row r="725">
          <cell r="A725">
            <v>6931149</v>
          </cell>
          <cell r="B725" t="str">
            <v>TAPA P.CAJA TP. LTR DE 216X421X2MM C.CERRADURA, PUERTA VISOR, AGUJERO P.TERMICO</v>
          </cell>
          <cell r="C725" t="str">
            <v>UN</v>
          </cell>
          <cell r="D725">
            <v>25.664999999999999</v>
          </cell>
        </row>
        <row r="726">
          <cell r="A726">
            <v>6931160</v>
          </cell>
          <cell r="B726" t="str">
            <v>TAPA DE FIBRA DE VIDRIO P.CAJA TP. L DE 154 X 421 X 3MM C.CERRADURA ANTI HURTO, PUERTA VISOR</v>
          </cell>
          <cell r="C726" t="str">
            <v>UN</v>
          </cell>
          <cell r="D726">
            <v>21</v>
          </cell>
        </row>
        <row r="727">
          <cell r="A727">
            <v>6931161</v>
          </cell>
          <cell r="B727" t="str">
            <v>TAPA DE FIBRA DE VIDRIO P.CAJA TP. L DE 154 X 474 X 3MM C.CERRADURA ANTI HURTO, PUERTA VISOR</v>
          </cell>
          <cell r="C727" t="str">
            <v>UN</v>
          </cell>
          <cell r="D727">
            <v>21.998999999999999</v>
          </cell>
        </row>
        <row r="728">
          <cell r="A728">
            <v>6931163</v>
          </cell>
          <cell r="B728" t="str">
            <v>TAPA DE FIBRA DE VIDRIO P.CAJA TP. LT DE 216 X 496 X 3MM C.CERRADURA ANTI HURTO, PUERTA VISOR</v>
          </cell>
          <cell r="C728" t="str">
            <v>UN</v>
          </cell>
          <cell r="D728">
            <v>24.998000000000001</v>
          </cell>
        </row>
        <row r="729">
          <cell r="A729">
            <v>6931202</v>
          </cell>
          <cell r="B729" t="str">
            <v>CAJA TOMA TIPO F1 DE 320 X 670 X 200MM EQUIPADA C.BASES PORTAFUSIBLES P.B.T. 75KW</v>
          </cell>
          <cell r="C729" t="str">
            <v>UN</v>
          </cell>
          <cell r="D729">
            <v>305.07799999999997</v>
          </cell>
        </row>
        <row r="730">
          <cell r="A730">
            <v>6931224</v>
          </cell>
          <cell r="B730" t="str">
            <v>CAJA TOMA TIPO F2 DE 599 X 650 X 205MM EQUIPADA C.6 BASES PORTAFUSIBLES P.B.T. 150KW</v>
          </cell>
          <cell r="C730" t="str">
            <v>UN</v>
          </cell>
          <cell r="D730">
            <v>577.40300000000002</v>
          </cell>
        </row>
        <row r="731">
          <cell r="A731">
            <v>6931246</v>
          </cell>
          <cell r="B731" t="str">
            <v>CAJA TOMA TP. F3 C/EQ. 205X650X880MM</v>
          </cell>
          <cell r="C731" t="str">
            <v>UN</v>
          </cell>
          <cell r="D731">
            <v>802.17200000000003</v>
          </cell>
        </row>
        <row r="732">
          <cell r="A732">
            <v>6931402</v>
          </cell>
          <cell r="B732" t="str">
            <v>TAPA PARA CAJA TOMA TP. F1 2X295X645MM</v>
          </cell>
          <cell r="C732" t="str">
            <v>UN</v>
          </cell>
          <cell r="D732">
            <v>31.798999999999999</v>
          </cell>
        </row>
        <row r="733">
          <cell r="A733">
            <v>6931561</v>
          </cell>
          <cell r="B733" t="str">
            <v>SOPORTE P.CAJA PORTAMEDIDOR MONOFASICO RECUBIERTA POLIESTER Y FIBRA DE VIDRIO TUBO DE PVC 4" 1602MM</v>
          </cell>
          <cell r="C733" t="str">
            <v>UN</v>
          </cell>
          <cell r="D733">
            <v>117.065</v>
          </cell>
        </row>
        <row r="734">
          <cell r="A734">
            <v>6931812</v>
          </cell>
          <cell r="B734" t="str">
            <v>CERRADURA DE CABEZA TRIANGULAR P.TAPA DE CAJA TOMA Y MEDICION TIPO L Y LT</v>
          </cell>
          <cell r="C734" t="str">
            <v>UN</v>
          </cell>
          <cell r="D734">
            <v>5.1120000000000001</v>
          </cell>
        </row>
        <row r="735">
          <cell r="A735">
            <v>6931828</v>
          </cell>
          <cell r="B735" t="str">
            <v>PRECINTO DE SEGURIDAD TP.TRIPLE ANCLA P.BORNERAS DE MEDIDOR C.INSERTO DE COLOR ROJO</v>
          </cell>
          <cell r="C735" t="str">
            <v>UN</v>
          </cell>
          <cell r="D735">
            <v>0.23799999999999999</v>
          </cell>
        </row>
        <row r="736">
          <cell r="A736">
            <v>6931830</v>
          </cell>
          <cell r="B736" t="str">
            <v>PRECINTO DE SEGURIDAD TP.DOBLE ANCLA P.BORNERAS DE MEDIDOR C.INSERTO DE COLOR AZUL</v>
          </cell>
          <cell r="C736" t="str">
            <v>UN</v>
          </cell>
          <cell r="D736">
            <v>0.33700000000000002</v>
          </cell>
        </row>
        <row r="737">
          <cell r="A737">
            <v>6933194</v>
          </cell>
          <cell r="B737" t="str">
            <v>CAJA NO METALICA DE DERIVACION Y ACOMETIDA EN REDES AEREAS DE BAJA TENSION</v>
          </cell>
          <cell r="C737" t="str">
            <v>UN</v>
          </cell>
          <cell r="D737">
            <v>99.575000000000003</v>
          </cell>
        </row>
        <row r="738">
          <cell r="A738">
            <v>6936016</v>
          </cell>
          <cell r="B738" t="str">
            <v>CAJA P.TABLERO DE DISTRIBUCION SECUNDARIA Y A.P. P.SAM Y SAS, TAMANO 3 S.EQUIPAMIENTO</v>
          </cell>
          <cell r="C738" t="str">
            <v>UN</v>
          </cell>
          <cell r="D738">
            <v>792.36199999999997</v>
          </cell>
        </row>
        <row r="739">
          <cell r="A739">
            <v>6936018</v>
          </cell>
          <cell r="B739" t="str">
            <v>CAJA P.TABLERO DE DISTRIBUCION SECUNDARIA Y A.P. P.SAB Y SCB, TAMAÑO 4 S.EQUIPAMIENTO</v>
          </cell>
          <cell r="C739" t="str">
            <v>UN</v>
          </cell>
          <cell r="D739">
            <v>934.33799999999997</v>
          </cell>
        </row>
        <row r="740">
          <cell r="A740">
            <v>6941018</v>
          </cell>
          <cell r="B740" t="str">
            <v>ABRAZADERA P.PAST.SIMP.5  AC.48MMD POST.AC.172MMD.</v>
          </cell>
          <cell r="C740" t="str">
            <v>UN</v>
          </cell>
          <cell r="D740">
            <v>20.512</v>
          </cell>
        </row>
        <row r="741">
          <cell r="A741">
            <v>6941170</v>
          </cell>
          <cell r="B741" t="str">
            <v>ABRAZADERA DE ACERO GALV. 160 - 190MM DIAM. C.4 PERNOS DE AJUSTE P.SOPORTE DEL BRAZO DE APOYO</v>
          </cell>
          <cell r="C741" t="str">
            <v>UN</v>
          </cell>
          <cell r="D741">
            <v>29.53</v>
          </cell>
        </row>
        <row r="742">
          <cell r="A742">
            <v>6941172</v>
          </cell>
          <cell r="B742" t="str">
            <v>ABRAZADERA DE ACERO GALV. 230 - 267MM DIAM. C.4 PERNOS DE AJUSTE P.SOPORTE DEL BRAZO DE APOYO</v>
          </cell>
          <cell r="C742" t="str">
            <v>UN</v>
          </cell>
          <cell r="D742">
            <v>31.736999999999998</v>
          </cell>
        </row>
        <row r="743">
          <cell r="A743">
            <v>6941174</v>
          </cell>
          <cell r="B743" t="str">
            <v>ABRAZADERA DE ACERO GALV. 190 - 225MM DIAM. C.4 PERNOS DE AJUSTE P.SOPORTE DEL BRAZO DE APOYO</v>
          </cell>
          <cell r="C743" t="str">
            <v>UN</v>
          </cell>
          <cell r="D743">
            <v>33.671999999999997</v>
          </cell>
        </row>
        <row r="744">
          <cell r="A744">
            <v>6941185</v>
          </cell>
          <cell r="B744" t="str">
            <v>ABRAZADERA POSTE C.A.120MMD.C/GANCHO ACOMET.DOMIC.</v>
          </cell>
          <cell r="C744" t="str">
            <v>UN</v>
          </cell>
          <cell r="D744">
            <v>13.334</v>
          </cell>
        </row>
        <row r="745">
          <cell r="A745">
            <v>6941187</v>
          </cell>
          <cell r="B745" t="str">
            <v>ABRAZADERA DE ACERO GALV. 88MM DIAM. P. ESTRUCTURAS DE LINEAS AEREAS</v>
          </cell>
          <cell r="C745" t="str">
            <v>UN</v>
          </cell>
          <cell r="D745">
            <v>10.688000000000001</v>
          </cell>
        </row>
        <row r="746">
          <cell r="A746">
            <v>6941188</v>
          </cell>
          <cell r="B746" t="str">
            <v>ABRAZADERA POSTE C.A.150MMD.C/GANCHO ACOMET.DOMIC.</v>
          </cell>
          <cell r="C746" t="str">
            <v>UN</v>
          </cell>
          <cell r="D746">
            <v>13.994999999999999</v>
          </cell>
        </row>
        <row r="747">
          <cell r="A747">
            <v>6941190</v>
          </cell>
          <cell r="B747" t="str">
            <v>ABRAZADERA DE ACERO GALV. 160 - 190MM DIAM. P.SOPORTE DEL BRAZO DE APOYO</v>
          </cell>
          <cell r="C747" t="str">
            <v>UN</v>
          </cell>
          <cell r="D747">
            <v>20.492000000000001</v>
          </cell>
        </row>
        <row r="748">
          <cell r="A748">
            <v>6941191</v>
          </cell>
          <cell r="B748" t="str">
            <v>ABRAZADERA DE ACERO GALV. 88MM DIAM. C.4 GANCHOS 3/8" X 40MM P. ESTRUCTURAS DE LINEAS AEREAS</v>
          </cell>
          <cell r="C748" t="str">
            <v>UN</v>
          </cell>
          <cell r="D748">
            <v>9.8309999999999995</v>
          </cell>
        </row>
        <row r="749">
          <cell r="A749">
            <v>6941192</v>
          </cell>
          <cell r="B749" t="str">
            <v>ABRAZADERA POSTE C.A.210MMD.C/GANCHO ACOMET.DOMIC.</v>
          </cell>
          <cell r="C749" t="str">
            <v>UN</v>
          </cell>
          <cell r="D749">
            <v>19.405000000000001</v>
          </cell>
        </row>
        <row r="750">
          <cell r="A750">
            <v>6941196</v>
          </cell>
          <cell r="B750" t="str">
            <v>ABRAZADERA DE ACERO GALV. 230 - 267MM DIAM. P.SOPORTE DEL BRAZO DE APOYO</v>
          </cell>
          <cell r="C750" t="str">
            <v>UN</v>
          </cell>
          <cell r="D750">
            <v>23.513999999999999</v>
          </cell>
        </row>
        <row r="751">
          <cell r="A751">
            <v>6941270</v>
          </cell>
          <cell r="B751" t="str">
            <v>ABRAZADERA ACERO GALV.SIMPLE 3/16" X 1 1/2" P.PASTORAL 48MM / POSTE 62MM DIAM.</v>
          </cell>
          <cell r="C751" t="str">
            <v>UN</v>
          </cell>
          <cell r="D751">
            <v>9.9489999999999998</v>
          </cell>
        </row>
        <row r="752">
          <cell r="A752">
            <v>6941271</v>
          </cell>
          <cell r="B752" t="str">
            <v>ABRAZADERA ACERO GALV.SIMPLE 3/16" X 1 1/2" P.PASTORAL 48MM / POSTE 80MM DIAM.</v>
          </cell>
          <cell r="C752" t="str">
            <v>UN</v>
          </cell>
          <cell r="D752">
            <v>10.38</v>
          </cell>
        </row>
        <row r="753">
          <cell r="A753">
            <v>6941272</v>
          </cell>
          <cell r="B753" t="str">
            <v>ABRAZADERA ACERO GALV.SIMPLE 3/16" X 1 1/2" P.PASTORAL 48MM / POSTE 102MM DIAM.</v>
          </cell>
          <cell r="C753" t="str">
            <v>UN</v>
          </cell>
          <cell r="D753">
            <v>10.167999999999999</v>
          </cell>
        </row>
        <row r="754">
          <cell r="A754">
            <v>6941273</v>
          </cell>
          <cell r="B754" t="str">
            <v>ABRAZADERA ACERO GALV.SIMPLE 3/16" X 1 1/2" P.PASTORAL 48MM / POSTE 132MM DIAM.</v>
          </cell>
          <cell r="C754" t="str">
            <v>UN</v>
          </cell>
          <cell r="D754">
            <v>10.166</v>
          </cell>
        </row>
        <row r="755">
          <cell r="A755">
            <v>6941274</v>
          </cell>
          <cell r="B755" t="str">
            <v>ABRAZADERA ACERO GALV.SIMPLE 3/16" X 1 1/2" P.PASTORAL 48MM / POSTE 152MM DIAM.</v>
          </cell>
          <cell r="C755" t="str">
            <v>UN</v>
          </cell>
          <cell r="D755">
            <v>10.584</v>
          </cell>
        </row>
        <row r="756">
          <cell r="A756">
            <v>6941276</v>
          </cell>
          <cell r="B756" t="str">
            <v>ABRAZADERA ACERO GALV.SIMPLE 3/16" X 1 1/2" P.PASTORAL 1 1/2" / POSTE 3" DIAM.</v>
          </cell>
          <cell r="C756" t="str">
            <v>UN</v>
          </cell>
          <cell r="D756">
            <v>10.226000000000001</v>
          </cell>
        </row>
        <row r="757">
          <cell r="A757">
            <v>6941405</v>
          </cell>
          <cell r="B757" t="str">
            <v>ABRAZADERA P.RETENIDA DE ACERO GALV. 1 1/2" X 3/16" / POSTE 88MM DIAM.C.ACCESORIOS</v>
          </cell>
          <cell r="C757" t="str">
            <v>UN</v>
          </cell>
          <cell r="D757">
            <v>18.352</v>
          </cell>
        </row>
        <row r="758">
          <cell r="A758">
            <v>6941464</v>
          </cell>
          <cell r="B758" t="str">
            <v>ABRAZADERA PARA VIENTO AC.GALV. 120-160MMD.M.T.</v>
          </cell>
          <cell r="C758" t="str">
            <v>UN</v>
          </cell>
          <cell r="D758">
            <v>58.807000000000002</v>
          </cell>
        </row>
        <row r="759">
          <cell r="A759">
            <v>6941466</v>
          </cell>
          <cell r="B759" t="str">
            <v>ABRAZADERA PARA VIENTO AC.GALV. 170-245MMD M.T.</v>
          </cell>
          <cell r="C759" t="str">
            <v>UN</v>
          </cell>
          <cell r="D759">
            <v>63.524999999999999</v>
          </cell>
        </row>
        <row r="760">
          <cell r="A760">
            <v>6947006</v>
          </cell>
          <cell r="B760" t="str">
            <v>ABRAZADERA DE ACERO GALV. P.CABLE 25MM2 C.ARCO CENTRAL 36MM DIAM. EN PLATINA DE ACERO 90X130X6,35MM</v>
          </cell>
          <cell r="C760" t="str">
            <v>UN</v>
          </cell>
          <cell r="D760">
            <v>3.6640000000000001</v>
          </cell>
        </row>
        <row r="761">
          <cell r="A761">
            <v>6951010</v>
          </cell>
          <cell r="B761" t="str">
            <v>PORTABARRA P. BARRA TP. PLETINA 50MM P.AISL.SOP.</v>
          </cell>
          <cell r="C761" t="str">
            <v>UN</v>
          </cell>
          <cell r="D761">
            <v>66.847999999999999</v>
          </cell>
        </row>
        <row r="762">
          <cell r="A762">
            <v>6951118</v>
          </cell>
          <cell r="B762" t="str">
            <v>SOPORTE METAL.P.PLATAFORMA DE SS.EE. AEREA 250KVA</v>
          </cell>
          <cell r="C762" t="str">
            <v>UN</v>
          </cell>
          <cell r="D762">
            <v>463.48200000000003</v>
          </cell>
        </row>
        <row r="763">
          <cell r="A763">
            <v>6951872</v>
          </cell>
          <cell r="B763" t="str">
            <v>TORNILLO ADAPT.PORTABARRA/AISLADOR 1/2  M16  10KV."</v>
          </cell>
          <cell r="C763" t="str">
            <v>UN</v>
          </cell>
          <cell r="D763">
            <v>4.2439999999999998</v>
          </cell>
        </row>
        <row r="764">
          <cell r="A764">
            <v>6954004</v>
          </cell>
          <cell r="B764" t="str">
            <v>SOPORTE P. CAJA TERMINAL P.CABLE  NKY 10KV TAM. 1.</v>
          </cell>
          <cell r="C764" t="str">
            <v>UN</v>
          </cell>
          <cell r="D764">
            <v>99.924000000000007</v>
          </cell>
        </row>
        <row r="765">
          <cell r="A765">
            <v>6954030</v>
          </cell>
          <cell r="B765" t="str">
            <v>SOPORTE P. CJ.TERM.10KV EN NIVEL 240/240X120MM.</v>
          </cell>
          <cell r="C765" t="str">
            <v>UN</v>
          </cell>
          <cell r="D765">
            <v>15.98</v>
          </cell>
        </row>
        <row r="766">
          <cell r="A766">
            <v>6954206</v>
          </cell>
          <cell r="B766" t="str">
            <v>SOPORTE P.1 TERM.TERMOR/ELASTOM.CAB.NKY 16-70MM2.</v>
          </cell>
          <cell r="C766" t="str">
            <v>JG</v>
          </cell>
          <cell r="D766">
            <v>27.117999999999999</v>
          </cell>
        </row>
        <row r="767">
          <cell r="A767">
            <v>6955809</v>
          </cell>
          <cell r="B767" t="str">
            <v>SOPORTE METALICO 100 X 700MM C.PLATINAS DE ACERO GALV. 1/8" Y 3/16" CAPA PRFV P.GRAPA TIPO U</v>
          </cell>
          <cell r="C767" t="str">
            <v>UN</v>
          </cell>
          <cell r="D767">
            <v>32.784999999999997</v>
          </cell>
        </row>
        <row r="768">
          <cell r="A768">
            <v>6955820</v>
          </cell>
          <cell r="B768" t="str">
            <v>PLATINA DE REGULACION DE ACERO GALV. P.SOPORTE TERMINAL INTERIOR DE CABLE NKY 10KV</v>
          </cell>
          <cell r="C768" t="str">
            <v>PR</v>
          </cell>
          <cell r="D768">
            <v>17.861000000000001</v>
          </cell>
        </row>
        <row r="769">
          <cell r="A769">
            <v>6955832</v>
          </cell>
          <cell r="B769" t="str">
            <v>PERFIL SIMETRICO (RIEL DIN) P. INTERRUP. BIP. Y TRIP.</v>
          </cell>
          <cell r="C769" t="str">
            <v>UN</v>
          </cell>
          <cell r="D769">
            <v>2.9340000000000002</v>
          </cell>
        </row>
        <row r="770">
          <cell r="A770">
            <v>6961002</v>
          </cell>
          <cell r="B770" t="str">
            <v>SOPORTE P.TRANSF. EN SE.DE SUPERF.  50X152X1300MM.</v>
          </cell>
          <cell r="C770" t="str">
            <v>UN</v>
          </cell>
          <cell r="D770">
            <v>166.46700000000001</v>
          </cell>
        </row>
        <row r="771">
          <cell r="A771">
            <v>6961006</v>
          </cell>
          <cell r="B771" t="str">
            <v>PLETINA P.SOP.DE TRANSF.EN SAB  (2)63.5X9.52X405MM</v>
          </cell>
          <cell r="C771" t="str">
            <v>JG</v>
          </cell>
          <cell r="D771">
            <v>37.399000000000001</v>
          </cell>
        </row>
        <row r="772">
          <cell r="A772">
            <v>6961012</v>
          </cell>
          <cell r="B772" t="str">
            <v>SOPORTE P.TRANSF.MONOF.AEREO  10/0.22KV.   250MMD.</v>
          </cell>
          <cell r="C772" t="str">
            <v>UN</v>
          </cell>
          <cell r="D772">
            <v>445.83</v>
          </cell>
        </row>
        <row r="773">
          <cell r="A773">
            <v>6961065</v>
          </cell>
          <cell r="B773" t="str">
            <v>GRAPA TIPO U DE ACERO INOXIDABLE 5/16" DIAM. RADIO 30MM P.CABLE A BARRA C.CABLE NAYY 25-185MM2</v>
          </cell>
          <cell r="C773" t="str">
            <v>UN</v>
          </cell>
          <cell r="D773">
            <v>16.567</v>
          </cell>
        </row>
        <row r="774">
          <cell r="A774">
            <v>6961066</v>
          </cell>
          <cell r="B774" t="str">
            <v>GRAPA TIPO U DE ACERO INOXIDABLE 5/16" DIAM. RADIO 37MM P.CABLE A BARRA C.CABLE NAYY 300-500MM2</v>
          </cell>
          <cell r="C774" t="str">
            <v>UN</v>
          </cell>
          <cell r="D774">
            <v>18.167000000000002</v>
          </cell>
        </row>
        <row r="775">
          <cell r="A775">
            <v>6961067</v>
          </cell>
          <cell r="B775" t="str">
            <v>GRAPA TIPO U DE ACERO INOXIDABLE 5/16" DIAM. RADIO 52MM P.CABLE A BARRA C.CABLE NAYY 300-500MM2</v>
          </cell>
          <cell r="C775" t="str">
            <v>UN</v>
          </cell>
          <cell r="D775">
            <v>18.311</v>
          </cell>
        </row>
        <row r="776">
          <cell r="A776">
            <v>6961102</v>
          </cell>
          <cell r="B776" t="str">
            <v>ACCESORIO DE ACERO GALV.P.ANCLAJE DE TRANSFORMADOR SOBRE PLATAFORMA 60X55X290X10MM C.ACCESORIOS</v>
          </cell>
          <cell r="C776" t="str">
            <v>JG</v>
          </cell>
          <cell r="D776">
            <v>26.363</v>
          </cell>
        </row>
        <row r="777">
          <cell r="A777">
            <v>6961104</v>
          </cell>
          <cell r="B777" t="str">
            <v>ACCESORIO DE ACERO GALV.P.ANCLAJE DE TRANSFORMADOR SOBRE PLATAFORMA 60X75X380X10MM C.ACCESORIOS</v>
          </cell>
          <cell r="C777" t="str">
            <v>JG</v>
          </cell>
          <cell r="D777">
            <v>29.663</v>
          </cell>
        </row>
        <row r="778">
          <cell r="A778">
            <v>6961160</v>
          </cell>
          <cell r="B778" t="str">
            <v>SOPORTE DE ACERO GALV. P.AISLADOR TP.PIN POLIMERICO 22,9KV</v>
          </cell>
          <cell r="C778" t="str">
            <v>UN</v>
          </cell>
          <cell r="D778">
            <v>19.797000000000001</v>
          </cell>
        </row>
        <row r="779">
          <cell r="A779">
            <v>6962202</v>
          </cell>
          <cell r="B779" t="str">
            <v>SOPORTE P.MODUL.DISTRIB.SECUND.AP. SAB-SCP-SCB T.1.</v>
          </cell>
          <cell r="C779" t="str">
            <v>UN</v>
          </cell>
          <cell r="D779">
            <v>41.156999999999996</v>
          </cell>
        </row>
        <row r="780">
          <cell r="A780">
            <v>6981045</v>
          </cell>
          <cell r="B780" t="str">
            <v>BARRA DE DERIVACION DE COBRE O BRONCE 144MM2 180 KV/CM 220V 200A AISLADA 12 SALIDAS 75KW</v>
          </cell>
          <cell r="C780" t="str">
            <v>UN</v>
          </cell>
          <cell r="D780">
            <v>24.492000000000001</v>
          </cell>
        </row>
        <row r="781">
          <cell r="A781">
            <v>6981422</v>
          </cell>
          <cell r="B781" t="str">
            <v>SUPLE DE CU ESTAÑADO 65X100X5MM 5350KG P.PARTE EXTREMA SUPERIOR SECCIONADOR VERTICAL NH</v>
          </cell>
          <cell r="C781" t="str">
            <v>UN</v>
          </cell>
          <cell r="D781">
            <v>37.220999999999997</v>
          </cell>
        </row>
        <row r="782">
          <cell r="A782">
            <v>6981426</v>
          </cell>
          <cell r="B782" t="str">
            <v>SUPLE DE CU ESTAÑADO 65X100X5MM 5350KG P.PARTE EXTREMA INFERIOR SECCIONADOR VERTICAL NH</v>
          </cell>
          <cell r="C782" t="str">
            <v>UN</v>
          </cell>
          <cell r="D782">
            <v>36.905999999999999</v>
          </cell>
        </row>
        <row r="783">
          <cell r="A783">
            <v>6981430</v>
          </cell>
          <cell r="B783" t="str">
            <v>SUPLE DE CU ESTAÑADO 40X100X5MM 5350KG P.PARTE CENTRAL DEL SECCIONADOR VERTICAL NH</v>
          </cell>
          <cell r="C783" t="str">
            <v>UN</v>
          </cell>
          <cell r="D783">
            <v>23.866</v>
          </cell>
        </row>
        <row r="784">
          <cell r="A784">
            <v>6984012</v>
          </cell>
          <cell r="B784" t="str">
            <v>MASTIL ACERO GALV. 1 1/2" DIAM. 6M ALTURA P.ACOMETIDA AEREA</v>
          </cell>
          <cell r="C784" t="str">
            <v>UN</v>
          </cell>
          <cell r="D784">
            <v>119.185</v>
          </cell>
        </row>
        <row r="785">
          <cell r="A785">
            <v>6984016</v>
          </cell>
          <cell r="B785" t="str">
            <v>MASTIL ACERO GALV. 1 1/2" DIAM. 4,4M ALTURA P.ACOMETIDA AEREA</v>
          </cell>
          <cell r="C785" t="str">
            <v>UN</v>
          </cell>
          <cell r="D785">
            <v>101.532</v>
          </cell>
        </row>
        <row r="786">
          <cell r="A786">
            <v>6984017</v>
          </cell>
          <cell r="B786" t="str">
            <v>MASTIL ACERO GALV. 1 1/2" DIAM. 6M ALTURA P.ACOMETIDA AEREA P.CAJA AUTOSOPORTADA</v>
          </cell>
          <cell r="C786" t="str">
            <v>UN</v>
          </cell>
          <cell r="D786">
            <v>116.959</v>
          </cell>
        </row>
        <row r="787">
          <cell r="A787">
            <v>6984019</v>
          </cell>
          <cell r="B787" t="str">
            <v>MASTIL ACERO 1 1/2" DIAM. 6M ALTURA RECUBIERTO DE PRFV 3MM P. CAJA AUTOSOPORTADA</v>
          </cell>
          <cell r="C787" t="str">
            <v>UN</v>
          </cell>
          <cell r="D787">
            <v>131.22900000000001</v>
          </cell>
        </row>
        <row r="788">
          <cell r="A788">
            <v>6984020</v>
          </cell>
          <cell r="B788" t="str">
            <v>MASTIL ACERO 1 1/4" DIAM. 3,5M ALTURA RECUBIERTO PRFV 2,5MM P.MURETE DE CONCRETO EN ACOMETIDA AEREA</v>
          </cell>
          <cell r="C788" t="str">
            <v>UN</v>
          </cell>
          <cell r="D788">
            <v>56.648000000000003</v>
          </cell>
        </row>
        <row r="789">
          <cell r="A789">
            <v>6984022</v>
          </cell>
          <cell r="B789" t="str">
            <v>MASTIL ACERO 1 1/2" DIAM. 4,4M ALTURA RECUBIERTO DE PRFV 3MM P.ACOMETIDA AEREA</v>
          </cell>
          <cell r="C789" t="str">
            <v>UN</v>
          </cell>
          <cell r="D789">
            <v>99.075000000000003</v>
          </cell>
        </row>
        <row r="790">
          <cell r="A790">
            <v>6984023</v>
          </cell>
          <cell r="B790" t="str">
            <v>MASTIL ACERO 1 1/2" DIAM. 6M ALTURA RECUBIERTO PRFV 3MM P.ACOMETIDA AEREA A MURETE DE CONCRETO</v>
          </cell>
          <cell r="C790" t="str">
            <v>UN</v>
          </cell>
          <cell r="D790">
            <v>133.965</v>
          </cell>
        </row>
        <row r="791">
          <cell r="A791">
            <v>6984025</v>
          </cell>
          <cell r="B791" t="str">
            <v>MASTIL DE POLIESTER REFORZADO C.FIBRA DE VIDRIO 3,5M ALTURA P.ACOMETIDA AEREA</v>
          </cell>
          <cell r="C791" t="str">
            <v>UN</v>
          </cell>
          <cell r="D791">
            <v>105.83499999999999</v>
          </cell>
        </row>
        <row r="792">
          <cell r="A792">
            <v>6984027</v>
          </cell>
          <cell r="B792" t="str">
            <v>MASTIL ACERO 1 1/4" DIAM. 3,5M ALTURA RECUBIERTO PRFV 2,5MM P.CAJA AUTOSOPORTADA PRFV EN ACOMETIDA</v>
          </cell>
          <cell r="C792" t="str">
            <v>UN</v>
          </cell>
          <cell r="D792">
            <v>60.277999999999999</v>
          </cell>
        </row>
        <row r="793">
          <cell r="A793">
            <v>6986108</v>
          </cell>
          <cell r="B793" t="str">
            <v>CONECTOR BRONCE P.ELECTRODO DE PUESTA A TIERRA 5/8" DIAM</v>
          </cell>
          <cell r="C793" t="str">
            <v>UN</v>
          </cell>
          <cell r="D793">
            <v>3.6059999999999999</v>
          </cell>
        </row>
        <row r="794">
          <cell r="A794">
            <v>6986218</v>
          </cell>
          <cell r="B794" t="str">
            <v>BORNE DE CONEXION ENTRE BARRA Y CABLE 150-185MM2.</v>
          </cell>
          <cell r="C794" t="str">
            <v>UN</v>
          </cell>
          <cell r="D794">
            <v>24.018000000000001</v>
          </cell>
        </row>
        <row r="795">
          <cell r="A795">
            <v>6986226</v>
          </cell>
          <cell r="B795" t="str">
            <v>BORNE DE CONEXION ENTRE BARRA Y CABLE  500MM2.</v>
          </cell>
          <cell r="C795" t="str">
            <v>UN</v>
          </cell>
          <cell r="D795">
            <v>201.85400000000001</v>
          </cell>
        </row>
        <row r="796">
          <cell r="A796">
            <v>9984202</v>
          </cell>
          <cell r="B796" t="str">
            <v>LUMINARIA ASTRO P/LAMPARA DE 150W REPOTENCIADA EQUIPADA</v>
          </cell>
          <cell r="C796" t="str">
            <v>UN</v>
          </cell>
          <cell r="D796">
            <v>66.73</v>
          </cell>
        </row>
        <row r="797">
          <cell r="A797">
            <v>9984204</v>
          </cell>
          <cell r="B797" t="str">
            <v>LUMINARIA TIPO FAROLA HPC / SPC DE 70W REPOTENCIADA</v>
          </cell>
          <cell r="C797" t="str">
            <v>UN</v>
          </cell>
          <cell r="D797">
            <v>38.146000000000001</v>
          </cell>
        </row>
        <row r="798">
          <cell r="A798">
            <v>9984205</v>
          </cell>
          <cell r="B798" t="str">
            <v>LUMINARIA ASTRO P/LAMPARA DE 70W REPOTENCIADA</v>
          </cell>
          <cell r="C798" t="str">
            <v>UN</v>
          </cell>
          <cell r="D798">
            <v>43.804000000000002</v>
          </cell>
        </row>
        <row r="799">
          <cell r="A799">
            <v>9984206</v>
          </cell>
          <cell r="B799" t="str">
            <v>LUMINARIA ECOM P/LAMPARA DE 70W REPOTENCIADA</v>
          </cell>
          <cell r="C799" t="str">
            <v>UN</v>
          </cell>
          <cell r="D799">
            <v>40.862000000000002</v>
          </cell>
        </row>
        <row r="800">
          <cell r="A800">
            <v>9984211</v>
          </cell>
          <cell r="B800" t="str">
            <v>LUMINARIA ECOM P/LAMPARA DE 150W REPOTENCIADA</v>
          </cell>
          <cell r="C800" t="str">
            <v>UN</v>
          </cell>
          <cell r="D800">
            <v>53.878</v>
          </cell>
        </row>
        <row r="801">
          <cell r="A801">
            <v>9984212</v>
          </cell>
          <cell r="B801" t="str">
            <v>LUMINARIA SOLARIS P/LAMPARA DE 150W REPOTENCIADA</v>
          </cell>
          <cell r="C801" t="str">
            <v>UN</v>
          </cell>
          <cell r="D801">
            <v>55.488</v>
          </cell>
        </row>
        <row r="802">
          <cell r="A802">
            <v>9984220</v>
          </cell>
          <cell r="B802" t="str">
            <v>LUMINARIA SOLARIS P/LAMPARA DE 250W REPOTENCIADA</v>
          </cell>
          <cell r="C802" t="str">
            <v>UN</v>
          </cell>
          <cell r="D802">
            <v>67.674999999999997</v>
          </cell>
        </row>
        <row r="803">
          <cell r="A803">
            <v>9984224</v>
          </cell>
          <cell r="B803" t="str">
            <v>LUMINARIA SRC-515 L P/LAMPARA DE 250W REPOTENCIADA</v>
          </cell>
          <cell r="C803" t="str">
            <v>UN</v>
          </cell>
          <cell r="D803">
            <v>71.049000000000007</v>
          </cell>
        </row>
        <row r="804">
          <cell r="A804">
            <v>9984228</v>
          </cell>
          <cell r="B804" t="str">
            <v>LUMINARIA SRC-511 P/LAMPARA DE 400W REPOTENCIADA</v>
          </cell>
          <cell r="C804" t="str">
            <v>UN</v>
          </cell>
          <cell r="D804">
            <v>87.185000000000002</v>
          </cell>
        </row>
        <row r="805">
          <cell r="A805">
            <v>9988170</v>
          </cell>
          <cell r="B805" t="str">
            <v>LUMINARIA ASTRO P/LAMPARA DE 70W RECICLADA.</v>
          </cell>
          <cell r="C805" t="str">
            <v>UN</v>
          </cell>
          <cell r="D805">
            <v>1.0900000000000001</v>
          </cell>
        </row>
        <row r="806">
          <cell r="A806">
            <v>9988174</v>
          </cell>
          <cell r="B806" t="str">
            <v>LUMINARIA ECOM P/LAMPARA DE 70W RECICLADA.</v>
          </cell>
          <cell r="C806" t="str">
            <v>UN</v>
          </cell>
          <cell r="D806">
            <v>1.3440000000000001</v>
          </cell>
        </row>
        <row r="807">
          <cell r="A807">
            <v>9988186</v>
          </cell>
          <cell r="B807" t="str">
            <v>LUMINARIA ECOM P/LAMPARA DE 150W RECICLADA.</v>
          </cell>
          <cell r="C807" t="str">
            <v>UN</v>
          </cell>
          <cell r="D807">
            <v>1.5349999999999999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 refreshError="1">
        <row r="6">
          <cell r="B6" t="str">
            <v>*001400</v>
          </cell>
          <cell r="C6" t="str">
            <v>INSPECCIÓN DE SUMINISTROS - CONTROL PÉRDIDAS ZONA ESTE - POR DÍA</v>
          </cell>
          <cell r="D6" t="str">
            <v>PQ</v>
          </cell>
          <cell r="E6">
            <v>1.0656000000000001</v>
          </cell>
          <cell r="F6">
            <v>9.6</v>
          </cell>
          <cell r="G6">
            <v>658.06849999999997</v>
          </cell>
          <cell r="H6">
            <v>152.67189199999999</v>
          </cell>
          <cell r="I6">
            <v>810.74039199999993</v>
          </cell>
        </row>
        <row r="7">
          <cell r="B7" t="str">
            <v>*010000</v>
          </cell>
          <cell r="C7" t="str">
            <v>ALQUILER  POR HORA DE GRÚA DE HASTA 6,5 TN - INCLUYE OPERADOR, RIGGER, COMBUSTIBLE Y GG</v>
          </cell>
          <cell r="D7" t="str">
            <v>H</v>
          </cell>
          <cell r="E7">
            <v>9.6</v>
          </cell>
          <cell r="F7">
            <v>9.6</v>
          </cell>
          <cell r="G7">
            <v>118.1818</v>
          </cell>
          <cell r="H7">
            <v>27.418177599999996</v>
          </cell>
          <cell r="I7">
            <v>145.59997759999999</v>
          </cell>
        </row>
        <row r="8">
          <cell r="B8" t="str">
            <v>*010001</v>
          </cell>
          <cell r="C8" t="str">
            <v>ALQUILER POR HORA DE GRÚA DE HASTA 10 TN - INCLUYE OPERADOR, RIGGER, COMBUSTIBLE Y GG</v>
          </cell>
          <cell r="D8" t="str">
            <v>H</v>
          </cell>
          <cell r="E8">
            <v>9.6</v>
          </cell>
          <cell r="F8">
            <v>9.6</v>
          </cell>
          <cell r="G8">
            <v>139.3939</v>
          </cell>
          <cell r="H8">
            <v>32.339384799999998</v>
          </cell>
          <cell r="I8">
            <v>171.73328480000001</v>
          </cell>
        </row>
        <row r="9">
          <cell r="B9" t="str">
            <v>*010002</v>
          </cell>
          <cell r="C9" t="str">
            <v>ALQUILER POR HORA DE MARTILLO DEMOLEDOR Y GRUPO ELECTROGENO DE 5 HP- INC. COMBUSTIBLE, TRASLADO Y GG</v>
          </cell>
          <cell r="D9" t="str">
            <v>H</v>
          </cell>
          <cell r="E9">
            <v>9.6</v>
          </cell>
          <cell r="F9">
            <v>9.6</v>
          </cell>
          <cell r="G9">
            <v>19.4132</v>
          </cell>
          <cell r="H9">
            <v>4.5038624</v>
          </cell>
          <cell r="I9">
            <v>23.917062399999999</v>
          </cell>
        </row>
        <row r="10">
          <cell r="B10" t="str">
            <v>*010003</v>
          </cell>
          <cell r="C10" t="str">
            <v>ALQUILER  POR HORA DE WINCHE HIDRÁULICO DE 9 TN - INCL. OPERADOR Y GG</v>
          </cell>
          <cell r="D10" t="str">
            <v>H</v>
          </cell>
          <cell r="E10">
            <v>9.6</v>
          </cell>
          <cell r="F10">
            <v>9.6</v>
          </cell>
          <cell r="G10">
            <v>97.446299999999994</v>
          </cell>
          <cell r="H10">
            <v>22.607541599999998</v>
          </cell>
          <cell r="I10">
            <v>120.0538416</v>
          </cell>
        </row>
        <row r="11">
          <cell r="B11" t="str">
            <v>*010004</v>
          </cell>
          <cell r="C11" t="str">
            <v>ALQUILER  POR HORA DE MINI-EXCAVADORA - INCL. OPERADOR, COMBUSTIBLE Y GG</v>
          </cell>
          <cell r="D11" t="str">
            <v>H</v>
          </cell>
          <cell r="E11">
            <v>9.6</v>
          </cell>
          <cell r="F11">
            <v>9.6</v>
          </cell>
          <cell r="G11">
            <v>107.2727</v>
          </cell>
          <cell r="H11">
            <v>24.887266399999998</v>
          </cell>
          <cell r="I11">
            <v>132.1599664</v>
          </cell>
        </row>
        <row r="12">
          <cell r="B12" t="str">
            <v>*010005</v>
          </cell>
          <cell r="C12" t="str">
            <v>ALQUILER  POR HORA DE EXCAVADORA - INCL. OPERADOR, COMBUSTIBLE Y GG</v>
          </cell>
          <cell r="D12" t="str">
            <v>H</v>
          </cell>
          <cell r="E12">
            <v>9.6</v>
          </cell>
          <cell r="F12">
            <v>9.6</v>
          </cell>
          <cell r="G12">
            <v>181.81819999999999</v>
          </cell>
          <cell r="H12">
            <v>42.181822399999994</v>
          </cell>
          <cell r="I12">
            <v>224.00002239999998</v>
          </cell>
        </row>
        <row r="13">
          <cell r="B13" t="str">
            <v>*010007</v>
          </cell>
          <cell r="C13" t="str">
            <v>ALQUILER  POR DIA DE BAÑO PORTATIL - INCL. MANTENIMIENTO, TRASLADO, INSTALACIÓN Y GG</v>
          </cell>
          <cell r="D13" t="str">
            <v>UN</v>
          </cell>
          <cell r="E13">
            <v>1</v>
          </cell>
          <cell r="F13">
            <v>9.6</v>
          </cell>
          <cell r="G13">
            <v>10.1568</v>
          </cell>
          <cell r="H13">
            <v>2.3563776000000001</v>
          </cell>
          <cell r="I13">
            <v>12.513177600000001</v>
          </cell>
        </row>
        <row r="14">
          <cell r="B14" t="str">
            <v>*010008</v>
          </cell>
          <cell r="C14" t="str">
            <v>ALQUILER  POR HORA DE MINICARGADOR - INCL. OPERADOR, COMBUSTIBLE Y GG</v>
          </cell>
          <cell r="D14" t="str">
            <v>H</v>
          </cell>
          <cell r="E14">
            <v>9.6</v>
          </cell>
          <cell r="F14">
            <v>9.6</v>
          </cell>
          <cell r="G14">
            <v>81.198300000000003</v>
          </cell>
          <cell r="H14">
            <v>18.838005599999999</v>
          </cell>
          <cell r="I14">
            <v>100.03630560000001</v>
          </cell>
        </row>
        <row r="15">
          <cell r="B15" t="str">
            <v>*010009</v>
          </cell>
          <cell r="C15" t="str">
            <v>ALQUILER POR DÍA DE AMOLADORA (INCL. GG)</v>
          </cell>
          <cell r="D15" t="str">
            <v>UN</v>
          </cell>
          <cell r="E15">
            <v>1</v>
          </cell>
          <cell r="F15">
            <v>9.6</v>
          </cell>
          <cell r="G15">
            <v>27.272600000000001</v>
          </cell>
          <cell r="H15">
            <v>6.3272431999999998</v>
          </cell>
          <cell r="I15">
            <v>33.599843200000002</v>
          </cell>
        </row>
        <row r="16">
          <cell r="B16" t="str">
            <v>*010010</v>
          </cell>
          <cell r="C16" t="str">
            <v>ALQUILER POR HORA DE MARTILLO DEMOLEDOR DE HASTA 68 JOULES- INCLUYE TRASLADO Y GG</v>
          </cell>
          <cell r="D16" t="str">
            <v>H</v>
          </cell>
          <cell r="E16">
            <v>9.6</v>
          </cell>
          <cell r="F16">
            <v>9.6</v>
          </cell>
          <cell r="G16">
            <v>9.4710999999999999</v>
          </cell>
          <cell r="H16">
            <v>2.1972951999999997</v>
          </cell>
          <cell r="I16">
            <v>11.668395199999999</v>
          </cell>
        </row>
        <row r="17">
          <cell r="B17" t="str">
            <v>*010011</v>
          </cell>
          <cell r="C17" t="str">
            <v>ALQUILER POR HORA DE GRUPO ELECTROGENO DE 5 HP - INCLUYE COMBUSTIBLE, TRASLADO Y GG</v>
          </cell>
          <cell r="D17" t="str">
            <v>H</v>
          </cell>
          <cell r="E17">
            <v>9.6</v>
          </cell>
          <cell r="F17">
            <v>9.6</v>
          </cell>
          <cell r="G17">
            <v>9.9420999999999999</v>
          </cell>
          <cell r="H17">
            <v>2.3065671999999999</v>
          </cell>
          <cell r="I17">
            <v>12.2486672</v>
          </cell>
        </row>
        <row r="18">
          <cell r="B18" t="str">
            <v>*010012</v>
          </cell>
          <cell r="C18" t="str">
            <v>ALQUILER DE TRACTO-PLATAFORMA POR HORA - INCL. OPERADOR, COMBUSTIBLE Y GG</v>
          </cell>
          <cell r="D18" t="str">
            <v>H</v>
          </cell>
          <cell r="E18">
            <v>9.6</v>
          </cell>
          <cell r="F18">
            <v>9.6</v>
          </cell>
          <cell r="G18">
            <v>99.2149</v>
          </cell>
          <cell r="H18">
            <v>23.017856799999997</v>
          </cell>
          <cell r="I18">
            <v>122.2327568</v>
          </cell>
        </row>
        <row r="19">
          <cell r="B19" t="str">
            <v>*010013</v>
          </cell>
          <cell r="C19" t="str">
            <v>ALQUILER POR HORA DE GRÚA DE HASTA 13 TONELADAS - INC. OPERADOR, RIGGER, COMBUSTIBLE Y GG</v>
          </cell>
          <cell r="D19" t="str">
            <v>H</v>
          </cell>
          <cell r="E19">
            <v>9.6</v>
          </cell>
          <cell r="F19">
            <v>9.6</v>
          </cell>
          <cell r="G19">
            <v>163.63640000000001</v>
          </cell>
          <cell r="H19">
            <v>37.963644799999997</v>
          </cell>
          <cell r="I19">
            <v>201.60004480000001</v>
          </cell>
        </row>
        <row r="20">
          <cell r="B20" t="str">
            <v>*010100</v>
          </cell>
          <cell r="C20" t="str">
            <v>Hora de Capataz</v>
          </cell>
          <cell r="D20" t="str">
            <v>HH</v>
          </cell>
          <cell r="E20">
            <v>9.6</v>
          </cell>
          <cell r="F20">
            <v>9.6</v>
          </cell>
          <cell r="G20">
            <v>20.755299999999998</v>
          </cell>
          <cell r="H20">
            <v>4.8152295999999994</v>
          </cell>
          <cell r="I20">
            <v>25.570529599999997</v>
          </cell>
        </row>
        <row r="21">
          <cell r="B21" t="str">
            <v>*010101</v>
          </cell>
          <cell r="C21" t="str">
            <v>HORA DE OPERARIO</v>
          </cell>
          <cell r="D21" t="str">
            <v>HH</v>
          </cell>
          <cell r="E21">
            <v>9.6</v>
          </cell>
          <cell r="F21">
            <v>9.6</v>
          </cell>
          <cell r="G21">
            <v>15.253399999999999</v>
          </cell>
          <cell r="H21">
            <v>3.5387887999999994</v>
          </cell>
          <cell r="I21">
            <v>18.792188799999998</v>
          </cell>
        </row>
        <row r="22">
          <cell r="B22" t="str">
            <v>*010102</v>
          </cell>
          <cell r="C22" t="str">
            <v>HORA DE  AYUDANTE</v>
          </cell>
          <cell r="D22" t="str">
            <v>HH</v>
          </cell>
          <cell r="E22">
            <v>9.6</v>
          </cell>
          <cell r="F22">
            <v>9.6</v>
          </cell>
          <cell r="G22">
            <v>11.860200000000001</v>
          </cell>
          <cell r="H22">
            <v>2.7515664000000002</v>
          </cell>
          <cell r="I22">
            <v>14.6117664</v>
          </cell>
        </row>
        <row r="23">
          <cell r="B23" t="str">
            <v>*010126</v>
          </cell>
          <cell r="C23" t="str">
            <v>PRUEBA</v>
          </cell>
          <cell r="D23" t="str">
            <v>HH</v>
          </cell>
          <cell r="E23">
            <v>9.6</v>
          </cell>
          <cell r="F23">
            <v>9.6</v>
          </cell>
          <cell r="G23">
            <v>5.1887999999999996</v>
          </cell>
          <cell r="H23">
            <v>1.2038015999999998</v>
          </cell>
          <cell r="I23">
            <v>6.392601599999999</v>
          </cell>
        </row>
        <row r="24">
          <cell r="B24" t="str">
            <v>*010130</v>
          </cell>
          <cell r="C24" t="str">
            <v>HORA EXTRA 25% CAPATAZ - 2 PRIMERAS HORAS</v>
          </cell>
          <cell r="D24" t="str">
            <v>HH</v>
          </cell>
          <cell r="E24">
            <v>9.6</v>
          </cell>
          <cell r="F24">
            <v>9.6</v>
          </cell>
          <cell r="G24">
            <v>5.1887999999999996</v>
          </cell>
          <cell r="H24">
            <v>1.2038015999999998</v>
          </cell>
          <cell r="I24">
            <v>6.392601599999999</v>
          </cell>
        </row>
        <row r="25">
          <cell r="B25" t="str">
            <v>*010131</v>
          </cell>
          <cell r="C25" t="str">
            <v>HORA EXTRA 25% OPERARIO - 2 PRIMERAS HORAS</v>
          </cell>
          <cell r="D25" t="str">
            <v>HH</v>
          </cell>
          <cell r="E25">
            <v>9.6</v>
          </cell>
          <cell r="F25">
            <v>9.6</v>
          </cell>
          <cell r="G25">
            <v>3.8134000000000001</v>
          </cell>
          <cell r="H25">
            <v>0.88470879999999996</v>
          </cell>
          <cell r="I25">
            <v>4.6981088</v>
          </cell>
        </row>
        <row r="26">
          <cell r="B26" t="str">
            <v>*010132</v>
          </cell>
          <cell r="C26" t="str">
            <v>HORA EXTRA 25% AYUDANTE - 2 PRIMERAS HORAS</v>
          </cell>
          <cell r="D26" t="str">
            <v>HH</v>
          </cell>
          <cell r="E26">
            <v>9.6</v>
          </cell>
          <cell r="F26">
            <v>9.6</v>
          </cell>
          <cell r="G26">
            <v>2.9651000000000001</v>
          </cell>
          <cell r="H26">
            <v>0.68790319999999994</v>
          </cell>
          <cell r="I26">
            <v>3.6530032000000001</v>
          </cell>
        </row>
        <row r="27">
          <cell r="B27" t="str">
            <v>*010133</v>
          </cell>
          <cell r="C27" t="str">
            <v>HORA EXTRA 35% CAPATAZ - DESDE TERCERA HORA</v>
          </cell>
          <cell r="D27" t="str">
            <v>HH</v>
          </cell>
          <cell r="E27">
            <v>9.6</v>
          </cell>
          <cell r="F27">
            <v>9.6</v>
          </cell>
          <cell r="G27">
            <v>7.2644000000000002</v>
          </cell>
          <cell r="H27">
            <v>1.6853407999999999</v>
          </cell>
          <cell r="I27">
            <v>8.9497408000000007</v>
          </cell>
        </row>
        <row r="28">
          <cell r="B28" t="str">
            <v>*010134</v>
          </cell>
          <cell r="C28" t="str">
            <v>HORA EXTRA 35% OPERARIO - DESDE TERCERA HORA</v>
          </cell>
          <cell r="D28" t="str">
            <v>HH</v>
          </cell>
          <cell r="E28">
            <v>9.6</v>
          </cell>
          <cell r="F28">
            <v>9.6</v>
          </cell>
          <cell r="G28">
            <v>5.3387000000000002</v>
          </cell>
          <cell r="H28">
            <v>1.2385784</v>
          </cell>
          <cell r="I28">
            <v>6.5772784</v>
          </cell>
        </row>
        <row r="29">
          <cell r="B29" t="str">
            <v>*010135</v>
          </cell>
          <cell r="C29" t="str">
            <v>HORA EXTRA 35% AYUDANTE - DESDE TERCERA HORA</v>
          </cell>
          <cell r="D29" t="str">
            <v>HH</v>
          </cell>
          <cell r="E29">
            <v>9.6</v>
          </cell>
          <cell r="F29">
            <v>9.6</v>
          </cell>
          <cell r="G29">
            <v>4.1510999999999996</v>
          </cell>
          <cell r="H29">
            <v>0.96305519999999978</v>
          </cell>
          <cell r="I29">
            <v>5.114155199999999</v>
          </cell>
        </row>
        <row r="30">
          <cell r="B30" t="str">
            <v>*010136</v>
          </cell>
          <cell r="C30" t="str">
            <v>HORA EXTRA 25% CONDUCTOR - 2 PRIMERAS HORAS</v>
          </cell>
          <cell r="D30" t="str">
            <v>HH</v>
          </cell>
          <cell r="E30">
            <v>9.6</v>
          </cell>
          <cell r="F30">
            <v>9.6</v>
          </cell>
          <cell r="G30">
            <v>2.0388000000000002</v>
          </cell>
          <cell r="H30">
            <v>0.47300160000000002</v>
          </cell>
          <cell r="I30">
            <v>2.5118016000000001</v>
          </cell>
        </row>
        <row r="31">
          <cell r="B31" t="str">
            <v>*010137</v>
          </cell>
          <cell r="C31" t="str">
            <v>HORA EXTRA 35% CONDUCOTR - DESDE TERCERA HORA</v>
          </cell>
          <cell r="D31" t="str">
            <v>HH</v>
          </cell>
          <cell r="E31">
            <v>9.6</v>
          </cell>
          <cell r="F31">
            <v>9.6</v>
          </cell>
          <cell r="G31">
            <v>2.8542999999999998</v>
          </cell>
          <cell r="H31">
            <v>0.66219759999999994</v>
          </cell>
          <cell r="I31">
            <v>3.5164975999999997</v>
          </cell>
        </row>
        <row r="32">
          <cell r="B32" t="str">
            <v>*010138</v>
          </cell>
          <cell r="C32" t="str">
            <v>HORA EXTRA 100% CONDUCTOR - JORNADA NO LABORABLE</v>
          </cell>
          <cell r="D32" t="str">
            <v>HH</v>
          </cell>
          <cell r="E32">
            <v>9.6</v>
          </cell>
          <cell r="F32">
            <v>9.6</v>
          </cell>
          <cell r="G32">
            <v>8.1552000000000007</v>
          </cell>
          <cell r="H32">
            <v>1.8920064000000001</v>
          </cell>
          <cell r="I32">
            <v>10.0472064</v>
          </cell>
        </row>
        <row r="33">
          <cell r="B33" t="str">
            <v>*010139</v>
          </cell>
          <cell r="C33" t="str">
            <v>HORA EXTRA 25% OPERADOR GRÚA</v>
          </cell>
          <cell r="D33" t="str">
            <v>HH</v>
          </cell>
          <cell r="E33">
            <v>9.6</v>
          </cell>
          <cell r="F33">
            <v>9.6</v>
          </cell>
          <cell r="G33">
            <v>4.0595999999999997</v>
          </cell>
          <cell r="H33">
            <v>0.94182719999999986</v>
          </cell>
          <cell r="I33">
            <v>5.0014271999999993</v>
          </cell>
        </row>
        <row r="34">
          <cell r="B34" t="str">
            <v>*010140</v>
          </cell>
          <cell r="C34" t="str">
            <v>HORA EXTRA 35% OPERADOR GRÚA</v>
          </cell>
          <cell r="D34" t="str">
            <v>HH</v>
          </cell>
          <cell r="E34">
            <v>9.6</v>
          </cell>
          <cell r="F34">
            <v>9.6</v>
          </cell>
          <cell r="G34">
            <v>5.6835000000000004</v>
          </cell>
          <cell r="H34">
            <v>1.3185720000000001</v>
          </cell>
          <cell r="I34">
            <v>7.0020720000000001</v>
          </cell>
        </row>
        <row r="35">
          <cell r="B35" t="str">
            <v>*010141</v>
          </cell>
          <cell r="C35" t="str">
            <v>HORA EXTRA 100% OPERADOR GRÚA</v>
          </cell>
          <cell r="D35" t="str">
            <v>HH</v>
          </cell>
          <cell r="E35">
            <v>9.6</v>
          </cell>
          <cell r="F35">
            <v>9.6</v>
          </cell>
          <cell r="G35">
            <v>16.238499999999998</v>
          </cell>
          <cell r="H35">
            <v>3.7673319999999992</v>
          </cell>
          <cell r="I35">
            <v>20.005831999999998</v>
          </cell>
        </row>
        <row r="36">
          <cell r="B36" t="str">
            <v>*010150</v>
          </cell>
          <cell r="C36" t="str">
            <v>HORA NOCTURNA 25% CAPATAZ</v>
          </cell>
          <cell r="D36" t="str">
            <v>HH</v>
          </cell>
          <cell r="E36">
            <v>9.6</v>
          </cell>
          <cell r="F36">
            <v>9.6</v>
          </cell>
          <cell r="G36">
            <v>5.1887999999999996</v>
          </cell>
          <cell r="H36">
            <v>1.2038015999999998</v>
          </cell>
          <cell r="I36">
            <v>6.392601599999999</v>
          </cell>
        </row>
        <row r="37">
          <cell r="B37" t="str">
            <v>*010151</v>
          </cell>
          <cell r="C37" t="str">
            <v>HORA NOCTURNA 25% OPERARIO</v>
          </cell>
          <cell r="D37" t="str">
            <v>HH</v>
          </cell>
          <cell r="E37">
            <v>9.6</v>
          </cell>
          <cell r="F37">
            <v>9.6</v>
          </cell>
          <cell r="G37">
            <v>3.8134000000000001</v>
          </cell>
          <cell r="H37">
            <v>0.88470879999999996</v>
          </cell>
          <cell r="I37">
            <v>4.6981088</v>
          </cell>
        </row>
        <row r="38">
          <cell r="B38" t="str">
            <v>*010152</v>
          </cell>
          <cell r="C38" t="str">
            <v>HORA NOCTURNA 25% AYUDANTE</v>
          </cell>
          <cell r="D38" t="str">
            <v>HH</v>
          </cell>
          <cell r="E38">
            <v>9.6</v>
          </cell>
          <cell r="F38">
            <v>9.6</v>
          </cell>
          <cell r="G38">
            <v>2.9651000000000001</v>
          </cell>
          <cell r="H38">
            <v>0.68790319999999994</v>
          </cell>
          <cell r="I38">
            <v>3.6530032000000001</v>
          </cell>
        </row>
        <row r="39">
          <cell r="B39" t="str">
            <v>*010153</v>
          </cell>
          <cell r="C39" t="str">
            <v>HORA NOCTURNA 25% CONDUCTOR</v>
          </cell>
          <cell r="D39" t="str">
            <v>HH</v>
          </cell>
          <cell r="E39">
            <v>9.6</v>
          </cell>
          <cell r="F39">
            <v>9.6</v>
          </cell>
          <cell r="G39">
            <v>2.0388000000000002</v>
          </cell>
          <cell r="H39">
            <v>0.47300160000000002</v>
          </cell>
          <cell r="I39">
            <v>2.5118016000000001</v>
          </cell>
        </row>
        <row r="40">
          <cell r="B40" t="str">
            <v>*010154</v>
          </cell>
          <cell r="C40" t="str">
            <v>HORA NOCTURNA 25% OPERADOR GRÚA</v>
          </cell>
          <cell r="D40" t="str">
            <v>HH</v>
          </cell>
          <cell r="E40">
            <v>9.6</v>
          </cell>
          <cell r="F40">
            <v>9.6</v>
          </cell>
          <cell r="G40">
            <v>4.0595999999999997</v>
          </cell>
          <cell r="H40">
            <v>0.94182719999999986</v>
          </cell>
          <cell r="I40">
            <v>5.0014271999999993</v>
          </cell>
        </row>
        <row r="41">
          <cell r="B41" t="str">
            <v>*010155</v>
          </cell>
          <cell r="C41" t="str">
            <v>HORA NOCTURNA 25% TÉC. REG. TS</v>
          </cell>
          <cell r="D41" t="str">
            <v>HH</v>
          </cell>
          <cell r="E41">
            <v>9.6</v>
          </cell>
          <cell r="F41">
            <v>9.6</v>
          </cell>
          <cell r="G41">
            <v>4.9238999999999997</v>
          </cell>
          <cell r="H41">
            <v>1.1423447999999998</v>
          </cell>
          <cell r="I41">
            <v>6.0662447999999998</v>
          </cell>
        </row>
        <row r="42">
          <cell r="B42" t="str">
            <v>*010200</v>
          </cell>
          <cell r="C42" t="str">
            <v>HORA DE CUADRILLA DE PROYECTOS CON CAMIÓN DE 4 TN Y CUATRO PERSONAS</v>
          </cell>
          <cell r="D42" t="str">
            <v>H</v>
          </cell>
          <cell r="E42">
            <v>9.6</v>
          </cell>
          <cell r="F42">
            <v>9.6</v>
          </cell>
          <cell r="G42">
            <v>106.2713</v>
          </cell>
          <cell r="H42">
            <v>24.654941599999997</v>
          </cell>
          <cell r="I42">
            <v>130.9262416</v>
          </cell>
        </row>
        <row r="43">
          <cell r="B43" t="str">
            <v>*010201</v>
          </cell>
          <cell r="C43" t="str">
            <v>HORA DE CUADRILLA DE PROYECTOS CON CAMIONETA  4X4 Y TRES PERSONAS</v>
          </cell>
          <cell r="D43" t="str">
            <v>H</v>
          </cell>
          <cell r="E43">
            <v>9.6</v>
          </cell>
          <cell r="F43">
            <v>9.6</v>
          </cell>
          <cell r="G43">
            <v>89.357200000000006</v>
          </cell>
          <cell r="H43">
            <v>20.730870400000001</v>
          </cell>
          <cell r="I43">
            <v>110.08807040000001</v>
          </cell>
        </row>
        <row r="44">
          <cell r="B44" t="str">
            <v>*010202</v>
          </cell>
          <cell r="C44" t="str">
            <v>HORA DE CUADRILLA DE PROYECTOS CON GRUA DE 6 TN Y TRES PERSONAS</v>
          </cell>
          <cell r="D44" t="str">
            <v>H</v>
          </cell>
          <cell r="E44">
            <v>9.6</v>
          </cell>
          <cell r="F44">
            <v>9.6</v>
          </cell>
          <cell r="G44">
            <v>147.34480000000002</v>
          </cell>
          <cell r="H44">
            <v>34.183993600000001</v>
          </cell>
          <cell r="I44">
            <v>181.52879360000003</v>
          </cell>
        </row>
        <row r="45">
          <cell r="B45" t="str">
            <v>*010203</v>
          </cell>
          <cell r="C45" t="str">
            <v>HORA DE CUADRILLA DE PROYECTOS CON GRUA DE 9 TN Y TRES PERSONAS</v>
          </cell>
          <cell r="D45" t="str">
            <v>H</v>
          </cell>
          <cell r="E45">
            <v>9.6</v>
          </cell>
          <cell r="F45">
            <v>9.6</v>
          </cell>
          <cell r="G45">
            <v>161.4948</v>
          </cell>
          <cell r="H45">
            <v>37.466793599999995</v>
          </cell>
          <cell r="I45">
            <v>198.96159359999999</v>
          </cell>
        </row>
        <row r="46">
          <cell r="B46" t="str">
            <v>*010204</v>
          </cell>
          <cell r="C46" t="str">
            <v>HORA DE CUADRILLA DE MANTENIMIENTO DE MEDIDORES</v>
          </cell>
          <cell r="D46" t="str">
            <v>H</v>
          </cell>
          <cell r="E46">
            <v>9.6</v>
          </cell>
          <cell r="F46">
            <v>9.6</v>
          </cell>
          <cell r="G46">
            <v>42.448599999999999</v>
          </cell>
          <cell r="H46">
            <v>9.8480751999999985</v>
          </cell>
          <cell r="I46">
            <v>52.296675199999996</v>
          </cell>
        </row>
        <row r="47">
          <cell r="B47" t="str">
            <v>*010210</v>
          </cell>
          <cell r="C47" t="str">
            <v>HORA DE CUADRILLA DE MANTENIMIENTO CON CAMIÓN DE 4 TN Y CUATRO PERSONAS</v>
          </cell>
          <cell r="D47" t="str">
            <v>H</v>
          </cell>
          <cell r="E47">
            <v>9.6</v>
          </cell>
          <cell r="F47">
            <v>9.6</v>
          </cell>
          <cell r="G47">
            <v>106.2713</v>
          </cell>
          <cell r="H47">
            <v>24.654941599999997</v>
          </cell>
          <cell r="I47">
            <v>130.9262416</v>
          </cell>
        </row>
        <row r="48">
          <cell r="B48" t="str">
            <v>*010211</v>
          </cell>
          <cell r="C48" t="str">
            <v>HORA DE CUADRILLA DE MANTENIMIENTO CON CAMIONETA  4X4 Y TRES PERSONAS</v>
          </cell>
          <cell r="D48" t="str">
            <v>H</v>
          </cell>
          <cell r="E48">
            <v>9.6</v>
          </cell>
          <cell r="F48">
            <v>9.6</v>
          </cell>
          <cell r="G48">
            <v>91.814800000000005</v>
          </cell>
          <cell r="H48">
            <v>21.3010336</v>
          </cell>
          <cell r="I48">
            <v>113.1158336</v>
          </cell>
        </row>
        <row r="49">
          <cell r="B49" t="str">
            <v>*010212</v>
          </cell>
          <cell r="C49" t="str">
            <v>HORA DE CUADRILLA DE MANTENIMIENTO CON GRUA DE 6 TN Y TRES PERSONAS</v>
          </cell>
          <cell r="D49" t="str">
            <v>H</v>
          </cell>
          <cell r="E49">
            <v>9.6</v>
          </cell>
          <cell r="F49">
            <v>9.6</v>
          </cell>
          <cell r="G49">
            <v>149.80220000000003</v>
          </cell>
          <cell r="H49">
            <v>34.754110400000002</v>
          </cell>
          <cell r="I49">
            <v>184.55631040000003</v>
          </cell>
        </row>
        <row r="50">
          <cell r="B50" t="str">
            <v>*010213</v>
          </cell>
          <cell r="C50" t="str">
            <v>HORA DE CUADRILLA DE MANTENIMIENTO CON GRUA DE 9 TN Y TRES PERSONAS</v>
          </cell>
          <cell r="D50" t="str">
            <v>H</v>
          </cell>
          <cell r="E50">
            <v>9.6</v>
          </cell>
          <cell r="F50">
            <v>9.6</v>
          </cell>
          <cell r="G50">
            <v>163.9522</v>
          </cell>
          <cell r="H50">
            <v>38.036910399999996</v>
          </cell>
          <cell r="I50">
            <v>201.98911040000002</v>
          </cell>
        </row>
        <row r="51">
          <cell r="B51" t="str">
            <v>*010250</v>
          </cell>
          <cell r="C51" t="str">
            <v>Uso por hora de martillo demoledor a costo propietario</v>
          </cell>
          <cell r="D51" t="str">
            <v>H</v>
          </cell>
          <cell r="E51">
            <v>9.6</v>
          </cell>
          <cell r="F51">
            <v>9.6</v>
          </cell>
          <cell r="G51">
            <v>2.5099999999999998</v>
          </cell>
          <cell r="H51">
            <v>0.58231999999999995</v>
          </cell>
          <cell r="I51">
            <v>3.09232</v>
          </cell>
        </row>
        <row r="52">
          <cell r="B52" t="str">
            <v>*010251</v>
          </cell>
          <cell r="C52" t="str">
            <v>Uso por hora de grupo electrógeno a costo propietario</v>
          </cell>
          <cell r="D52" t="str">
            <v>H</v>
          </cell>
          <cell r="E52">
            <v>9.6</v>
          </cell>
          <cell r="F52">
            <v>9.6</v>
          </cell>
          <cell r="G52">
            <v>11.24</v>
          </cell>
          <cell r="H52">
            <v>2.6076799999999998</v>
          </cell>
          <cell r="I52">
            <v>13.84768</v>
          </cell>
        </row>
        <row r="53">
          <cell r="B53" t="str">
            <v>*010252</v>
          </cell>
          <cell r="C53" t="str">
            <v>Uso por hora de minicargador Bobcat a costo propietario</v>
          </cell>
          <cell r="D53" t="str">
            <v>H</v>
          </cell>
          <cell r="E53">
            <v>9.6</v>
          </cell>
          <cell r="F53">
            <v>9.6</v>
          </cell>
          <cell r="G53">
            <v>39.270000000000003</v>
          </cell>
          <cell r="H53">
            <v>9.1106400000000001</v>
          </cell>
          <cell r="I53">
            <v>48.38064</v>
          </cell>
        </row>
        <row r="54">
          <cell r="B54" t="str">
            <v>*010260</v>
          </cell>
          <cell r="C54" t="str">
            <v>Uso de grúa complementaria para trabajos de afectaciones ejecutados por el CR 60262.</v>
          </cell>
          <cell r="D54" t="str">
            <v>UN</v>
          </cell>
          <cell r="E54">
            <v>2.2856999999999998</v>
          </cell>
          <cell r="F54">
            <v>9.6</v>
          </cell>
          <cell r="G54">
            <v>358.43020000000001</v>
          </cell>
          <cell r="H54">
            <v>83.155806400000003</v>
          </cell>
          <cell r="I54">
            <v>441.58600640000003</v>
          </cell>
        </row>
        <row r="55">
          <cell r="B55" t="str">
            <v>*010261</v>
          </cell>
          <cell r="C55" t="str">
            <v>USO POR HORA DE GRÚA DE HASTA 6.5 TN (Ref. HIAB 175) - INCLUYE OPERADOR, COMBUSTIBLE, GG Y UTILIDAD</v>
          </cell>
          <cell r="D55" t="str">
            <v>H</v>
          </cell>
          <cell r="E55">
            <v>9.6</v>
          </cell>
          <cell r="F55">
            <v>9.6</v>
          </cell>
          <cell r="G55">
            <v>85.34</v>
          </cell>
          <cell r="H55">
            <v>19.79888</v>
          </cell>
          <cell r="I55">
            <v>105.13888</v>
          </cell>
        </row>
        <row r="56">
          <cell r="B56" t="str">
            <v>*010262</v>
          </cell>
          <cell r="C56" t="str">
            <v>USO POR HORA DE GRÚA DE HASTA 10 TN (Ref. HIAB 215) - INCLUYE OPERADOR, COMBUSTIBLE, GG Y UTILIDAD</v>
          </cell>
          <cell r="D56" t="str">
            <v>H</v>
          </cell>
          <cell r="E56">
            <v>9.6</v>
          </cell>
          <cell r="F56">
            <v>9.6</v>
          </cell>
          <cell r="G56">
            <v>99.49</v>
          </cell>
          <cell r="H56">
            <v>23.081679999999999</v>
          </cell>
          <cell r="I56">
            <v>122.57167999999999</v>
          </cell>
        </row>
        <row r="57">
          <cell r="B57" t="str">
            <v>*010263</v>
          </cell>
          <cell r="C57" t="str">
            <v>Grúa adicional para REFORMAS BT aereas por metro de cable</v>
          </cell>
          <cell r="D57" t="str">
            <v>M</v>
          </cell>
          <cell r="E57">
            <v>9.6</v>
          </cell>
          <cell r="F57">
            <v>9.6</v>
          </cell>
          <cell r="G57">
            <v>13.7056</v>
          </cell>
          <cell r="H57">
            <v>3.1796991999999999</v>
          </cell>
          <cell r="I57">
            <v>16.885299199999999</v>
          </cell>
        </row>
        <row r="58">
          <cell r="B58" t="str">
            <v>*010300</v>
          </cell>
          <cell r="C58" t="str">
            <v>GASTOS DE ALOJAMIENTO Y ALIMENTACIÓN POR DÍA</v>
          </cell>
          <cell r="D58" t="str">
            <v>DIA</v>
          </cell>
          <cell r="E58">
            <v>1</v>
          </cell>
          <cell r="F58">
            <v>9.6</v>
          </cell>
          <cell r="G58">
            <v>66.115700000000004</v>
          </cell>
          <cell r="H58">
            <v>15.338842399999999</v>
          </cell>
          <cell r="I58">
            <v>81.454542400000008</v>
          </cell>
        </row>
        <row r="59">
          <cell r="B59" t="str">
            <v>*010400</v>
          </cell>
          <cell r="C59" t="str">
            <v>INSPECCIÓN DE SUMINISTROS - CONTROL PÉRDIDAS ZONA ESTE - POR DÍA</v>
          </cell>
          <cell r="D59" t="str">
            <v>PQ</v>
          </cell>
          <cell r="E59">
            <v>1.0656000000000001</v>
          </cell>
          <cell r="F59">
            <v>10</v>
          </cell>
          <cell r="G59">
            <v>1619.1179</v>
          </cell>
          <cell r="H59">
            <v>375.63535279999996</v>
          </cell>
          <cell r="I59">
            <v>1994.7532527999999</v>
          </cell>
        </row>
        <row r="60">
          <cell r="B60" t="str">
            <v>*010401</v>
          </cell>
          <cell r="C60" t="str">
            <v>INSPECCIÓN DE SUMINISTROS - CONTROL PÉRDIDAS ZONA SUR - POR DÍA</v>
          </cell>
          <cell r="D60" t="str">
            <v>UN</v>
          </cell>
          <cell r="E60">
            <v>1.0814999999999999</v>
          </cell>
          <cell r="F60">
            <v>10</v>
          </cell>
          <cell r="G60">
            <v>1205.1318000000001</v>
          </cell>
          <cell r="H60">
            <v>279.59057760000002</v>
          </cell>
          <cell r="I60">
            <v>1484.7223776000001</v>
          </cell>
        </row>
        <row r="61">
          <cell r="B61" t="str">
            <v>*010402</v>
          </cell>
          <cell r="C61" t="str">
            <v>CUADRILLA MULTIFUNCIÓN CNR POR DÍA</v>
          </cell>
          <cell r="D61" t="str">
            <v>UN</v>
          </cell>
          <cell r="E61">
            <v>0.91620000000000001</v>
          </cell>
          <cell r="F61">
            <v>10</v>
          </cell>
          <cell r="G61">
            <v>959.06240000000003</v>
          </cell>
          <cell r="H61">
            <v>222.50247679999998</v>
          </cell>
          <cell r="I61">
            <v>1181.5648768000001</v>
          </cell>
        </row>
        <row r="62">
          <cell r="B62" t="str">
            <v>*010403</v>
          </cell>
          <cell r="C62" t="str">
            <v>REEMPLAZO DE MEDIDORES POR CNR POR DÍA</v>
          </cell>
          <cell r="D62" t="str">
            <v>UN</v>
          </cell>
          <cell r="E62">
            <v>0.90969999999999995</v>
          </cell>
          <cell r="F62">
            <v>10</v>
          </cell>
          <cell r="G62">
            <v>479.38220000000001</v>
          </cell>
          <cell r="H62">
            <v>111.2166704</v>
          </cell>
          <cell r="I62">
            <v>590.59887040000001</v>
          </cell>
        </row>
        <row r="63">
          <cell r="B63" t="str">
            <v>*010500</v>
          </cell>
          <cell r="C63" t="str">
            <v>Hora de movilidad para cuadrilla (camión 4TN)</v>
          </cell>
          <cell r="D63" t="str">
            <v>H</v>
          </cell>
          <cell r="E63">
            <v>9.6</v>
          </cell>
          <cell r="F63">
            <v>9.6</v>
          </cell>
          <cell r="G63">
            <v>30.92</v>
          </cell>
          <cell r="H63">
            <v>7.1734400000000003</v>
          </cell>
          <cell r="I63">
            <v>38.093440000000001</v>
          </cell>
        </row>
        <row r="64">
          <cell r="B64" t="str">
            <v>*020001</v>
          </cell>
          <cell r="C64" t="str">
            <v>REPOSICIÓN DE PLANTAS ORNAMENTALES</v>
          </cell>
          <cell r="D64" t="str">
            <v>UN</v>
          </cell>
          <cell r="E64">
            <v>9.6</v>
          </cell>
          <cell r="F64">
            <v>9.6</v>
          </cell>
          <cell r="G64">
            <v>0.81169999999999998</v>
          </cell>
          <cell r="H64">
            <v>0.18831439999999999</v>
          </cell>
          <cell r="I64">
            <v>1.0000144</v>
          </cell>
        </row>
        <row r="65">
          <cell r="B65" t="str">
            <v>*020002</v>
          </cell>
          <cell r="C65" t="str">
            <v>MEDICIÓN CONCENTRADA</v>
          </cell>
          <cell r="D65" t="str">
            <v>UN</v>
          </cell>
          <cell r="E65">
            <v>9.6</v>
          </cell>
          <cell r="F65">
            <v>9.6</v>
          </cell>
          <cell r="G65">
            <v>0.81169999999999998</v>
          </cell>
          <cell r="H65">
            <v>0.18831439999999999</v>
          </cell>
          <cell r="I65">
            <v>1.0000144</v>
          </cell>
        </row>
        <row r="66">
          <cell r="B66" t="str">
            <v>*020003</v>
          </cell>
          <cell r="C66" t="str">
            <v>LOCALIZACIÓN DE FALLA EN BT CON CUADRILLA CANINA</v>
          </cell>
          <cell r="D66" t="str">
            <v>UN</v>
          </cell>
          <cell r="E66">
            <v>10</v>
          </cell>
          <cell r="F66">
            <v>10</v>
          </cell>
          <cell r="G66">
            <v>0.81169999999999998</v>
          </cell>
          <cell r="H66">
            <v>0.18831439999999999</v>
          </cell>
          <cell r="I66">
            <v>1.0000144</v>
          </cell>
        </row>
        <row r="67">
          <cell r="B67" t="str">
            <v>*020004</v>
          </cell>
          <cell r="C67" t="str">
            <v>PRUEBA DE COMPACTACIÓN</v>
          </cell>
          <cell r="D67" t="str">
            <v>UN</v>
          </cell>
          <cell r="E67">
            <v>9.6</v>
          </cell>
          <cell r="F67">
            <v>9.6</v>
          </cell>
          <cell r="G67">
            <v>0.81169999999999998</v>
          </cell>
          <cell r="H67">
            <v>0.18831439999999999</v>
          </cell>
          <cell r="I67">
            <v>1.0000144</v>
          </cell>
        </row>
        <row r="68">
          <cell r="B68" t="str">
            <v>*020005</v>
          </cell>
          <cell r="C68" t="str">
            <v>INSPECCIÓN DE CONEXIONES MASIVAS</v>
          </cell>
          <cell r="D68" t="str">
            <v>UN</v>
          </cell>
          <cell r="E68">
            <v>9.6</v>
          </cell>
          <cell r="F68">
            <v>9.6</v>
          </cell>
          <cell r="G68">
            <v>0.81169999999999998</v>
          </cell>
          <cell r="H68">
            <v>0.18831439999999999</v>
          </cell>
          <cell r="I68">
            <v>1.0000144</v>
          </cell>
        </row>
        <row r="69">
          <cell r="B69" t="str">
            <v>*020007</v>
          </cell>
          <cell r="C69" t="str">
            <v>PAGO DE PEAJE</v>
          </cell>
          <cell r="D69" t="str">
            <v>UN</v>
          </cell>
          <cell r="E69">
            <v>9.6</v>
          </cell>
          <cell r="F69">
            <v>9.6</v>
          </cell>
          <cell r="G69">
            <v>0.81169999999999998</v>
          </cell>
          <cell r="H69">
            <v>0.18831439999999999</v>
          </cell>
          <cell r="I69">
            <v>1.0000144</v>
          </cell>
        </row>
        <row r="70">
          <cell r="B70" t="str">
            <v>*020008</v>
          </cell>
          <cell r="C70" t="str">
            <v>Compra de material agregado para casos de contingencia autorizados</v>
          </cell>
          <cell r="D70" t="str">
            <v>UN</v>
          </cell>
          <cell r="E70">
            <v>9.6</v>
          </cell>
          <cell r="F70">
            <v>9.6</v>
          </cell>
          <cell r="G70">
            <v>0.81169999999999998</v>
          </cell>
          <cell r="H70">
            <v>0.18831439999999999</v>
          </cell>
          <cell r="I70">
            <v>1.0000144</v>
          </cell>
        </row>
        <row r="71">
          <cell r="B71" t="str">
            <v>*020011</v>
          </cell>
          <cell r="C71" t="str">
            <v>MONTAJE Y CONEXIONADO DE MÓDULO DE MEDIDA</v>
          </cell>
          <cell r="D71" t="str">
            <v>UN</v>
          </cell>
          <cell r="E71">
            <v>20.574200000000001</v>
          </cell>
          <cell r="F71">
            <v>9.6</v>
          </cell>
          <cell r="G71">
            <v>29.401000000000003</v>
          </cell>
          <cell r="H71">
            <v>6.8210320000000007</v>
          </cell>
          <cell r="I71">
            <v>36.222032000000006</v>
          </cell>
        </row>
        <row r="72">
          <cell r="B72" t="str">
            <v>*050813</v>
          </cell>
          <cell r="C72" t="str">
            <v>Prueba de Cables - solo para presupuesto</v>
          </cell>
          <cell r="D72" t="str">
            <v>UN</v>
          </cell>
          <cell r="E72">
            <v>9.6</v>
          </cell>
          <cell r="F72">
            <v>9.6</v>
          </cell>
          <cell r="G72">
            <v>833.76620000000003</v>
          </cell>
          <cell r="H72">
            <v>193.43375839999999</v>
          </cell>
          <cell r="I72">
            <v>1027.1999584</v>
          </cell>
        </row>
        <row r="73">
          <cell r="B73" t="str">
            <v>*050814</v>
          </cell>
          <cell r="C73" t="str">
            <v>Ingreso de cable particular a SEDs convencionales para conexiones en MT - solo para presupuesto</v>
          </cell>
          <cell r="D73" t="str">
            <v>UN</v>
          </cell>
          <cell r="E73">
            <v>9.6</v>
          </cell>
          <cell r="F73">
            <v>9.6</v>
          </cell>
          <cell r="G73">
            <v>121.75320000000001</v>
          </cell>
          <cell r="H73">
            <v>28.246742399999999</v>
          </cell>
          <cell r="I73">
            <v>149.99994240000001</v>
          </cell>
        </row>
        <row r="74">
          <cell r="B74" t="str">
            <v>*050815</v>
          </cell>
          <cell r="C74" t="str">
            <v>Retiro de cable particular de SED convencional para conexiones en MT - solo para presupuesto</v>
          </cell>
          <cell r="D74" t="str">
            <v>UN</v>
          </cell>
          <cell r="E74">
            <v>9.6</v>
          </cell>
          <cell r="F74">
            <v>9.6</v>
          </cell>
          <cell r="G74">
            <v>121.75320000000001</v>
          </cell>
          <cell r="H74">
            <v>28.246742399999999</v>
          </cell>
          <cell r="I74">
            <v>149.99994240000001</v>
          </cell>
        </row>
        <row r="75">
          <cell r="B75" t="str">
            <v>*050816</v>
          </cell>
          <cell r="C75" t="str">
            <v>Corte de suministro en MT - solo para presupuesto</v>
          </cell>
          <cell r="D75" t="str">
            <v>UN</v>
          </cell>
          <cell r="E75">
            <v>9.6</v>
          </cell>
          <cell r="F75">
            <v>9.6</v>
          </cell>
          <cell r="G75">
            <v>121.75320000000001</v>
          </cell>
          <cell r="H75">
            <v>28.246742399999999</v>
          </cell>
          <cell r="I75">
            <v>149.99994240000001</v>
          </cell>
        </row>
        <row r="76">
          <cell r="B76" t="str">
            <v>*050817</v>
          </cell>
          <cell r="C76" t="str">
            <v>Reconexión de suministro en MT - solo para presupuesto</v>
          </cell>
          <cell r="D76" t="str">
            <v>UN</v>
          </cell>
          <cell r="E76">
            <v>9.6</v>
          </cell>
          <cell r="F76">
            <v>9.6</v>
          </cell>
          <cell r="G76">
            <v>121.75320000000001</v>
          </cell>
          <cell r="H76">
            <v>28.246742399999999</v>
          </cell>
          <cell r="I76">
            <v>149.99994240000001</v>
          </cell>
        </row>
        <row r="77">
          <cell r="B77" t="str">
            <v>*050818</v>
          </cell>
          <cell r="C77" t="str">
            <v>Apoyo DRE - solo para presupuesto</v>
          </cell>
          <cell r="D77" t="str">
            <v>UN</v>
          </cell>
          <cell r="E77">
            <v>9.6</v>
          </cell>
          <cell r="F77">
            <v>9.6</v>
          </cell>
          <cell r="G77">
            <v>1461.039</v>
          </cell>
          <cell r="H77">
            <v>338.96104799999995</v>
          </cell>
          <cell r="I77">
            <v>1800.0000479999999</v>
          </cell>
        </row>
        <row r="78">
          <cell r="B78" t="str">
            <v>*070200</v>
          </cell>
          <cell r="C78" t="str">
            <v>Cambio de cable extraflexible (pasante) a luminaria en pastoral parabolico con BH por recl de A.P</v>
          </cell>
          <cell r="D78" t="str">
            <v>UN</v>
          </cell>
          <cell r="E78">
            <v>10</v>
          </cell>
          <cell r="F78">
            <v>10</v>
          </cell>
          <cell r="G78">
            <v>71.905299999999997</v>
          </cell>
          <cell r="H78">
            <v>16.6820296</v>
          </cell>
          <cell r="I78">
            <v>88.587329600000004</v>
          </cell>
        </row>
        <row r="79">
          <cell r="B79" t="str">
            <v>*070201</v>
          </cell>
          <cell r="C79" t="str">
            <v>Cambio de cable pasant. Extraflex. a luminaria en pastoral simple con inac. reclamos A.P.</v>
          </cell>
          <cell r="D79" t="str">
            <v>UN</v>
          </cell>
          <cell r="E79">
            <v>7</v>
          </cell>
          <cell r="F79">
            <v>10</v>
          </cell>
          <cell r="G79">
            <v>171.95349999999999</v>
          </cell>
          <cell r="H79">
            <v>39.893211999999998</v>
          </cell>
          <cell r="I79">
            <v>211.846712</v>
          </cell>
        </row>
        <row r="80">
          <cell r="B80" t="str">
            <v>*070202</v>
          </cell>
          <cell r="C80" t="str">
            <v>Cambio de cable extraflexible(pasante) a luminaria en pastoral simple con BH por reclamos de A.P.</v>
          </cell>
          <cell r="D80" t="str">
            <v>UN</v>
          </cell>
          <cell r="E80">
            <v>10</v>
          </cell>
          <cell r="F80">
            <v>10</v>
          </cell>
          <cell r="G80">
            <v>71.905299999999997</v>
          </cell>
          <cell r="H80">
            <v>16.6820296</v>
          </cell>
          <cell r="I80">
            <v>88.587329600000004</v>
          </cell>
        </row>
        <row r="81">
          <cell r="B81" t="str">
            <v>*070203</v>
          </cell>
          <cell r="C81" t="str">
            <v>Cambio de Cable Subterraneo de BT hasta 70 mm2</v>
          </cell>
          <cell r="D81" t="str">
            <v>M</v>
          </cell>
          <cell r="E81">
            <v>18</v>
          </cell>
          <cell r="F81">
            <v>10</v>
          </cell>
          <cell r="G81">
            <v>75.252899999999997</v>
          </cell>
          <cell r="H81">
            <v>17.458672799999999</v>
          </cell>
          <cell r="I81">
            <v>92.711572799999999</v>
          </cell>
        </row>
        <row r="82">
          <cell r="B82" t="str">
            <v>*070204</v>
          </cell>
          <cell r="C82" t="str">
            <v>Cambio de Cable Subterraneo de BT mayores a 70 mm2</v>
          </cell>
          <cell r="D82" t="str">
            <v>M</v>
          </cell>
          <cell r="E82">
            <v>12</v>
          </cell>
          <cell r="F82">
            <v>10</v>
          </cell>
          <cell r="G82">
            <v>112.8793</v>
          </cell>
          <cell r="H82">
            <v>26.187997599999999</v>
          </cell>
          <cell r="I82">
            <v>139.06729759999999</v>
          </cell>
        </row>
        <row r="83">
          <cell r="B83" t="str">
            <v>*070300</v>
          </cell>
          <cell r="C83" t="str">
            <v>Diagnóstico de falla en cable matriz.</v>
          </cell>
          <cell r="D83" t="str">
            <v>UN</v>
          </cell>
          <cell r="E83">
            <v>11</v>
          </cell>
          <cell r="F83">
            <v>12</v>
          </cell>
          <cell r="G83">
            <v>55.930499999999995</v>
          </cell>
          <cell r="H83">
            <v>12.975875999999998</v>
          </cell>
          <cell r="I83">
            <v>68.906375999999995</v>
          </cell>
        </row>
        <row r="84">
          <cell r="B84" t="str">
            <v>*070301</v>
          </cell>
          <cell r="C84" t="str">
            <v>Localización de Falla en BT cable en cortocircuito</v>
          </cell>
          <cell r="D84" t="str">
            <v>UN</v>
          </cell>
          <cell r="E84">
            <v>1.8</v>
          </cell>
          <cell r="F84">
            <v>10</v>
          </cell>
          <cell r="G84">
            <v>752.52839999999992</v>
          </cell>
          <cell r="H84">
            <v>174.58658879999996</v>
          </cell>
          <cell r="I84">
            <v>927.11498879999988</v>
          </cell>
        </row>
        <row r="85">
          <cell r="B85" t="str">
            <v>*070302</v>
          </cell>
          <cell r="C85" t="str">
            <v>Localización de Falla en BT cable seccionado</v>
          </cell>
          <cell r="D85" t="str">
            <v>UN</v>
          </cell>
          <cell r="E85">
            <v>1.8</v>
          </cell>
          <cell r="F85">
            <v>10</v>
          </cell>
          <cell r="G85">
            <v>752.52839999999992</v>
          </cell>
          <cell r="H85">
            <v>174.58658879999996</v>
          </cell>
          <cell r="I85">
            <v>927.11498879999988</v>
          </cell>
        </row>
        <row r="86">
          <cell r="B86" t="str">
            <v>*070700</v>
          </cell>
          <cell r="C86" t="str">
            <v>Reconexión de cable extraflexible (pasante) con  cuadrilla de inaccesible por reclamos A.P.</v>
          </cell>
          <cell r="D86" t="str">
            <v>UN</v>
          </cell>
          <cell r="E86">
            <v>6</v>
          </cell>
          <cell r="F86">
            <v>10</v>
          </cell>
          <cell r="G86">
            <v>200.61250000000001</v>
          </cell>
          <cell r="H86">
            <v>46.542099999999998</v>
          </cell>
          <cell r="I86">
            <v>247.15460000000002</v>
          </cell>
        </row>
        <row r="87">
          <cell r="B87" t="str">
            <v>*070701</v>
          </cell>
          <cell r="C87" t="str">
            <v>Reconexión de cable extraflexible (pasante) con BH por reclamos A.P.</v>
          </cell>
          <cell r="D87" t="str">
            <v>UN</v>
          </cell>
          <cell r="E87">
            <v>8</v>
          </cell>
          <cell r="F87">
            <v>10</v>
          </cell>
          <cell r="G87">
            <v>89.881600000000006</v>
          </cell>
          <cell r="H87">
            <v>20.852531200000001</v>
          </cell>
          <cell r="I87">
            <v>110.73413120000001</v>
          </cell>
        </row>
        <row r="88">
          <cell r="B88" t="str">
            <v>*070800</v>
          </cell>
          <cell r="C88" t="str">
            <v>Reparación de cables BT Aéreos</v>
          </cell>
          <cell r="D88" t="str">
            <v>UN</v>
          </cell>
          <cell r="E88">
            <v>4</v>
          </cell>
          <cell r="F88">
            <v>10</v>
          </cell>
          <cell r="G88">
            <v>338.6377</v>
          </cell>
          <cell r="H88">
            <v>78.563946399999992</v>
          </cell>
          <cell r="I88">
            <v>417.20164639999996</v>
          </cell>
        </row>
        <row r="89">
          <cell r="B89" t="str">
            <v>*070801</v>
          </cell>
          <cell r="C89" t="str">
            <v>Reparación de cables BT Subterraneos</v>
          </cell>
          <cell r="D89" t="str">
            <v>UN</v>
          </cell>
          <cell r="E89">
            <v>1.83</v>
          </cell>
          <cell r="F89">
            <v>10</v>
          </cell>
          <cell r="G89">
            <v>740.19180000000006</v>
          </cell>
          <cell r="H89">
            <v>171.72449760000001</v>
          </cell>
          <cell r="I89">
            <v>911.91629760000001</v>
          </cell>
        </row>
        <row r="90">
          <cell r="B90" t="str">
            <v>*070802</v>
          </cell>
          <cell r="C90" t="str">
            <v>Reparación de Acometidas Aéreas</v>
          </cell>
          <cell r="D90" t="str">
            <v>UN</v>
          </cell>
          <cell r="E90">
            <v>4</v>
          </cell>
          <cell r="F90">
            <v>10</v>
          </cell>
          <cell r="G90">
            <v>338.6377</v>
          </cell>
          <cell r="H90">
            <v>78.563946399999992</v>
          </cell>
          <cell r="I90">
            <v>417.20164639999996</v>
          </cell>
        </row>
        <row r="91">
          <cell r="B91" t="str">
            <v>*070803</v>
          </cell>
          <cell r="C91" t="str">
            <v>Reparación de Acometidas Aéreas (con Brazo Hidráulico)</v>
          </cell>
          <cell r="D91" t="str">
            <v>UN</v>
          </cell>
          <cell r="E91">
            <v>8</v>
          </cell>
          <cell r="F91">
            <v>10</v>
          </cell>
          <cell r="G91">
            <v>89.881600000000006</v>
          </cell>
          <cell r="H91">
            <v>20.852531200000001</v>
          </cell>
          <cell r="I91">
            <v>110.73413120000001</v>
          </cell>
        </row>
        <row r="92">
          <cell r="B92" t="str">
            <v>*070804</v>
          </cell>
          <cell r="C92" t="str">
            <v>Reparación de Acometidas Subterraneas</v>
          </cell>
          <cell r="D92" t="str">
            <v>UN</v>
          </cell>
          <cell r="E92">
            <v>3</v>
          </cell>
          <cell r="F92">
            <v>10</v>
          </cell>
          <cell r="G92">
            <v>451.51710000000003</v>
          </cell>
          <cell r="H92">
            <v>104.7519672</v>
          </cell>
          <cell r="I92">
            <v>556.26906719999999</v>
          </cell>
        </row>
        <row r="93">
          <cell r="B93" t="str">
            <v>*070900</v>
          </cell>
          <cell r="C93" t="str">
            <v>Reposición de cable de comunicación SE Aérea</v>
          </cell>
          <cell r="D93" t="str">
            <v>UN</v>
          </cell>
          <cell r="E93">
            <v>2</v>
          </cell>
          <cell r="F93">
            <v>10</v>
          </cell>
          <cell r="G93">
            <v>677.27549999999997</v>
          </cell>
          <cell r="H93">
            <v>157.12791599999997</v>
          </cell>
          <cell r="I93">
            <v>834.40341599999988</v>
          </cell>
        </row>
        <row r="94">
          <cell r="B94" t="str">
            <v>*070901</v>
          </cell>
          <cell r="C94" t="str">
            <v>Reposición de cable de comunicación SE Bóveda</v>
          </cell>
          <cell r="D94" t="str">
            <v>UN</v>
          </cell>
          <cell r="E94">
            <v>2</v>
          </cell>
          <cell r="F94">
            <v>10</v>
          </cell>
          <cell r="G94">
            <v>677.27549999999997</v>
          </cell>
          <cell r="H94">
            <v>157.12791599999997</v>
          </cell>
          <cell r="I94">
            <v>834.40341599999988</v>
          </cell>
        </row>
        <row r="95">
          <cell r="B95" t="str">
            <v>*070902</v>
          </cell>
          <cell r="C95" t="str">
            <v>Reposición de cable de comunicación SE Convencional</v>
          </cell>
          <cell r="D95" t="str">
            <v>UN</v>
          </cell>
          <cell r="E95">
            <v>1.5</v>
          </cell>
          <cell r="F95">
            <v>10</v>
          </cell>
          <cell r="G95">
            <v>903.03390000000002</v>
          </cell>
          <cell r="H95">
            <v>209.5038648</v>
          </cell>
          <cell r="I95">
            <v>1112.5377648000001</v>
          </cell>
        </row>
        <row r="96">
          <cell r="B96" t="str">
            <v>*070903</v>
          </cell>
          <cell r="C96" t="str">
            <v>Reposición de Red Aérea</v>
          </cell>
          <cell r="D96" t="str">
            <v>M</v>
          </cell>
          <cell r="E96">
            <v>137.5</v>
          </cell>
          <cell r="F96">
            <v>10</v>
          </cell>
          <cell r="G96">
            <v>9.8512999999999984</v>
          </cell>
          <cell r="H96">
            <v>2.2855015999999995</v>
          </cell>
          <cell r="I96">
            <v>12.136801599999998</v>
          </cell>
        </row>
        <row r="97">
          <cell r="B97" t="str">
            <v>*071000</v>
          </cell>
          <cell r="C97" t="str">
            <v>Retiro de poste BT por emergencia</v>
          </cell>
          <cell r="D97" t="str">
            <v>UN</v>
          </cell>
          <cell r="E97">
            <v>4</v>
          </cell>
          <cell r="F97">
            <v>10</v>
          </cell>
          <cell r="G97">
            <v>458.20729999999998</v>
          </cell>
          <cell r="H97">
            <v>106.30409359999999</v>
          </cell>
          <cell r="I97">
            <v>564.51139360000002</v>
          </cell>
        </row>
        <row r="98">
          <cell r="B98" t="str">
            <v>*071200</v>
          </cell>
          <cell r="C98" t="str">
            <v>Cambio de lampara con BH por atención de Solicitudes</v>
          </cell>
          <cell r="D98" t="str">
            <v>UN</v>
          </cell>
          <cell r="E98">
            <v>20</v>
          </cell>
          <cell r="F98">
            <v>10</v>
          </cell>
          <cell r="G98">
            <v>35.954099999999997</v>
          </cell>
          <cell r="H98">
            <v>8.3413511999999983</v>
          </cell>
          <cell r="I98">
            <v>44.295451199999995</v>
          </cell>
        </row>
        <row r="99">
          <cell r="B99" t="str">
            <v>*071201</v>
          </cell>
          <cell r="C99" t="str">
            <v>Cambio de lampara con cuadrilla de inaccesible por atención de Solicitudes</v>
          </cell>
          <cell r="D99" t="str">
            <v>UN</v>
          </cell>
          <cell r="E99">
            <v>8</v>
          </cell>
          <cell r="F99">
            <v>10</v>
          </cell>
          <cell r="G99">
            <v>150.45940000000002</v>
          </cell>
          <cell r="H99">
            <v>34.9065808</v>
          </cell>
          <cell r="I99">
            <v>185.36598080000002</v>
          </cell>
        </row>
        <row r="100">
          <cell r="B100" t="str">
            <v>*071202</v>
          </cell>
          <cell r="C100" t="str">
            <v>Cambio de lámpara con cuadrilla de inaccesibles por reclamos A.P.</v>
          </cell>
          <cell r="D100" t="str">
            <v>UN</v>
          </cell>
          <cell r="E100">
            <v>7</v>
          </cell>
          <cell r="F100">
            <v>10</v>
          </cell>
          <cell r="G100">
            <v>171.95490000000001</v>
          </cell>
          <cell r="H100">
            <v>39.8935368</v>
          </cell>
          <cell r="I100">
            <v>211.8484368</v>
          </cell>
        </row>
        <row r="101">
          <cell r="B101" t="str">
            <v>*071203</v>
          </cell>
          <cell r="C101" t="str">
            <v>Cambio o instalación de lámpara con BH por atención de solicitudes.</v>
          </cell>
          <cell r="D101" t="str">
            <v>UN</v>
          </cell>
          <cell r="E101">
            <v>12</v>
          </cell>
          <cell r="F101">
            <v>10</v>
          </cell>
          <cell r="G101">
            <v>59.922499999999999</v>
          </cell>
          <cell r="H101">
            <v>13.902019999999998</v>
          </cell>
          <cell r="I101">
            <v>73.824519999999993</v>
          </cell>
        </row>
        <row r="102">
          <cell r="B102" t="str">
            <v>*071204</v>
          </cell>
          <cell r="C102" t="str">
            <v>Cambio o instalación de lampara con BH por reclamos A.P.</v>
          </cell>
          <cell r="D102" t="str">
            <v>UN</v>
          </cell>
          <cell r="E102">
            <v>11</v>
          </cell>
          <cell r="F102">
            <v>10</v>
          </cell>
          <cell r="G102">
            <v>65.368499999999997</v>
          </cell>
          <cell r="H102">
            <v>15.165491999999999</v>
          </cell>
          <cell r="I102">
            <v>80.533991999999998</v>
          </cell>
        </row>
        <row r="103">
          <cell r="B103" t="str">
            <v>*071205</v>
          </cell>
          <cell r="C103" t="str">
            <v>Cambio de pastoral parabolico  con cuadrilla de inaccesible por atención de solicitudes</v>
          </cell>
          <cell r="D103" t="str">
            <v>UN</v>
          </cell>
          <cell r="E103">
            <v>7</v>
          </cell>
          <cell r="F103">
            <v>10</v>
          </cell>
          <cell r="G103">
            <v>171.95349999999999</v>
          </cell>
          <cell r="H103">
            <v>39.893211999999998</v>
          </cell>
          <cell r="I103">
            <v>211.846712</v>
          </cell>
        </row>
        <row r="104">
          <cell r="B104" t="str">
            <v>*071206</v>
          </cell>
          <cell r="C104" t="str">
            <v>Cambio de pastoral parabolico con BH por reclamos A.P.</v>
          </cell>
          <cell r="D104" t="str">
            <v>UN</v>
          </cell>
          <cell r="E104">
            <v>5</v>
          </cell>
          <cell r="F104">
            <v>10</v>
          </cell>
          <cell r="G104">
            <v>143.81059999999999</v>
          </cell>
          <cell r="H104">
            <v>33.3640592</v>
          </cell>
          <cell r="I104">
            <v>177.17465920000001</v>
          </cell>
        </row>
        <row r="105">
          <cell r="B105" t="str">
            <v>*071207</v>
          </cell>
          <cell r="C105" t="str">
            <v>Cambio de pastoral parabólico con brazo hidraúlico por atención de solicitudes.</v>
          </cell>
          <cell r="D105" t="str">
            <v>UN</v>
          </cell>
          <cell r="E105">
            <v>6</v>
          </cell>
          <cell r="F105">
            <v>10</v>
          </cell>
          <cell r="G105">
            <v>119.84219999999999</v>
          </cell>
          <cell r="H105">
            <v>27.803390399999994</v>
          </cell>
          <cell r="I105">
            <v>147.64559039999997</v>
          </cell>
        </row>
        <row r="106">
          <cell r="B106" t="str">
            <v>*071208</v>
          </cell>
          <cell r="C106" t="str">
            <v>Cambio de pastoral parabolico con cuadrilla de inaccesibles por reclamos A.P.</v>
          </cell>
          <cell r="D106" t="str">
            <v>UN</v>
          </cell>
          <cell r="E106">
            <v>4</v>
          </cell>
          <cell r="F106">
            <v>10</v>
          </cell>
          <cell r="G106">
            <v>300.9187</v>
          </cell>
          <cell r="H106">
            <v>69.8131384</v>
          </cell>
          <cell r="I106">
            <v>370.73183840000002</v>
          </cell>
        </row>
        <row r="107">
          <cell r="B107" t="str">
            <v>*071209</v>
          </cell>
          <cell r="C107" t="str">
            <v>Cambio de pastoral simple  con cuadrilla de inaccesible  por atención de Solicitudes</v>
          </cell>
          <cell r="D107" t="str">
            <v>UN</v>
          </cell>
          <cell r="E107">
            <v>8</v>
          </cell>
          <cell r="F107">
            <v>10</v>
          </cell>
          <cell r="G107">
            <v>150.45940000000002</v>
          </cell>
          <cell r="H107">
            <v>34.9065808</v>
          </cell>
          <cell r="I107">
            <v>185.36598080000002</v>
          </cell>
        </row>
        <row r="108">
          <cell r="B108" t="str">
            <v>*071210</v>
          </cell>
          <cell r="C108" t="str">
            <v>Cambio de pastoral simple con BH  por atención de Solicitudes</v>
          </cell>
          <cell r="D108" t="str">
            <v>UN</v>
          </cell>
          <cell r="E108">
            <v>8</v>
          </cell>
          <cell r="F108">
            <v>10</v>
          </cell>
          <cell r="G108">
            <v>89.881600000000006</v>
          </cell>
          <cell r="H108">
            <v>20.852531200000001</v>
          </cell>
          <cell r="I108">
            <v>110.73413120000001</v>
          </cell>
        </row>
        <row r="109">
          <cell r="B109" t="str">
            <v>*071211</v>
          </cell>
          <cell r="C109" t="str">
            <v>Cambio de pastoral simple con BH por reclamos A.P.</v>
          </cell>
          <cell r="D109" t="str">
            <v>UN</v>
          </cell>
          <cell r="E109">
            <v>5</v>
          </cell>
          <cell r="F109">
            <v>10</v>
          </cell>
          <cell r="G109">
            <v>143.81059999999999</v>
          </cell>
          <cell r="H109">
            <v>33.3640592</v>
          </cell>
          <cell r="I109">
            <v>177.17465920000001</v>
          </cell>
        </row>
        <row r="110">
          <cell r="B110" t="str">
            <v>*071212</v>
          </cell>
          <cell r="C110" t="str">
            <v>Cambio de pastoral simple con cuadrilla de inaccesibles por reclamos A.P.</v>
          </cell>
          <cell r="D110" t="str">
            <v>UN</v>
          </cell>
          <cell r="E110">
            <v>5</v>
          </cell>
          <cell r="F110">
            <v>10</v>
          </cell>
          <cell r="G110">
            <v>240.73499999999999</v>
          </cell>
          <cell r="H110">
            <v>55.850519999999996</v>
          </cell>
          <cell r="I110">
            <v>296.58551999999997</v>
          </cell>
        </row>
        <row r="111">
          <cell r="B111" t="str">
            <v>*071213</v>
          </cell>
          <cell r="C111" t="str">
            <v>Cambio de poste BT, AP o mixto por emergencia</v>
          </cell>
          <cell r="D111" t="str">
            <v>UN</v>
          </cell>
          <cell r="E111">
            <v>1.8</v>
          </cell>
          <cell r="F111">
            <v>10</v>
          </cell>
          <cell r="G111">
            <v>1127.19</v>
          </cell>
          <cell r="H111">
            <v>261.50808000000001</v>
          </cell>
          <cell r="I111">
            <v>1388.6980800000001</v>
          </cell>
        </row>
        <row r="112">
          <cell r="B112" t="str">
            <v>*071214</v>
          </cell>
          <cell r="C112" t="str">
            <v>Cambio o  reposición de difusor con BH por reclamos A.P.</v>
          </cell>
          <cell r="D112" t="str">
            <v>UN</v>
          </cell>
          <cell r="E112">
            <v>14</v>
          </cell>
          <cell r="F112">
            <v>10</v>
          </cell>
          <cell r="G112">
            <v>51.361000000000004</v>
          </cell>
          <cell r="H112">
            <v>11.915751999999999</v>
          </cell>
          <cell r="I112">
            <v>63.276752000000002</v>
          </cell>
        </row>
        <row r="113">
          <cell r="B113" t="str">
            <v>*071215</v>
          </cell>
          <cell r="C113" t="str">
            <v>Cambio o reposición de difusor  con cuadrilla de inaccesible  por atención de Solicitudes</v>
          </cell>
          <cell r="D113" t="str">
            <v>UN</v>
          </cell>
          <cell r="E113">
            <v>9</v>
          </cell>
          <cell r="F113">
            <v>10</v>
          </cell>
          <cell r="G113">
            <v>133.74170000000001</v>
          </cell>
          <cell r="H113">
            <v>31.028074400000001</v>
          </cell>
          <cell r="I113">
            <v>164.76977440000002</v>
          </cell>
        </row>
        <row r="114">
          <cell r="B114" t="str">
            <v>*071216</v>
          </cell>
          <cell r="C114" t="str">
            <v>Cambio o reposición de difusor con BH  por atención de Solicitudes</v>
          </cell>
          <cell r="D114" t="str">
            <v>UN</v>
          </cell>
          <cell r="E114">
            <v>18</v>
          </cell>
          <cell r="F114">
            <v>10</v>
          </cell>
          <cell r="G114">
            <v>39.947400000000002</v>
          </cell>
          <cell r="H114">
            <v>9.2677967999999993</v>
          </cell>
          <cell r="I114">
            <v>49.215196800000001</v>
          </cell>
        </row>
        <row r="115">
          <cell r="B115" t="str">
            <v>*071217</v>
          </cell>
          <cell r="C115" t="str">
            <v>Cambio o reposición de difusor con cuadrilla de inaccesibles por reclamos A.P.</v>
          </cell>
          <cell r="D115" t="str">
            <v>UN</v>
          </cell>
          <cell r="E115">
            <v>7</v>
          </cell>
          <cell r="F115">
            <v>10</v>
          </cell>
          <cell r="G115">
            <v>171.95349999999999</v>
          </cell>
          <cell r="H115">
            <v>39.893211999999998</v>
          </cell>
          <cell r="I115">
            <v>211.846712</v>
          </cell>
        </row>
        <row r="116">
          <cell r="B116" t="str">
            <v>*071218</v>
          </cell>
          <cell r="C116" t="str">
            <v>Cambio o reposición de luminaria  con cuadrilla de inaccesible  por atención de Solicitudes.</v>
          </cell>
          <cell r="D116" t="str">
            <v>UN</v>
          </cell>
          <cell r="E116">
            <v>7</v>
          </cell>
          <cell r="F116">
            <v>10</v>
          </cell>
          <cell r="G116">
            <v>171.95349999999999</v>
          </cell>
          <cell r="H116">
            <v>39.893211999999998</v>
          </cell>
          <cell r="I116">
            <v>211.846712</v>
          </cell>
        </row>
        <row r="117">
          <cell r="B117" t="str">
            <v>*071219</v>
          </cell>
          <cell r="C117" t="str">
            <v>Cambio o reposición de luminaria con BH  por atención de Solicitudes</v>
          </cell>
          <cell r="D117" t="str">
            <v>UN</v>
          </cell>
          <cell r="E117">
            <v>12</v>
          </cell>
          <cell r="F117">
            <v>10</v>
          </cell>
          <cell r="G117">
            <v>59.921099999999996</v>
          </cell>
          <cell r="H117">
            <v>13.901695199999997</v>
          </cell>
          <cell r="I117">
            <v>73.822795199999987</v>
          </cell>
        </row>
        <row r="118">
          <cell r="B118" t="str">
            <v>*071220</v>
          </cell>
          <cell r="C118" t="str">
            <v>Cambio o reposición de luminaria con BH por reclamos A.P.</v>
          </cell>
          <cell r="D118" t="str">
            <v>UN</v>
          </cell>
          <cell r="E118">
            <v>8</v>
          </cell>
          <cell r="F118">
            <v>10</v>
          </cell>
          <cell r="G118">
            <v>89.881600000000006</v>
          </cell>
          <cell r="H118">
            <v>20.852531200000001</v>
          </cell>
          <cell r="I118">
            <v>110.73413120000001</v>
          </cell>
        </row>
        <row r="119">
          <cell r="B119" t="str">
            <v>*071221</v>
          </cell>
          <cell r="C119" t="str">
            <v>Cambio o reposición de luminaria con cuadrilla de inaccesible por reclamos A.P.</v>
          </cell>
          <cell r="D119" t="str">
            <v>UN</v>
          </cell>
          <cell r="E119">
            <v>5</v>
          </cell>
          <cell r="F119">
            <v>10</v>
          </cell>
          <cell r="G119">
            <v>240.73499999999999</v>
          </cell>
          <cell r="H119">
            <v>55.850519999999996</v>
          </cell>
          <cell r="I119">
            <v>296.58551999999997</v>
          </cell>
        </row>
        <row r="120">
          <cell r="B120" t="str">
            <v>*071300</v>
          </cell>
          <cell r="C120" t="str">
            <v>Verificación de estado de corrosión de poste</v>
          </cell>
          <cell r="D120" t="str">
            <v>UN</v>
          </cell>
          <cell r="E120">
            <v>20</v>
          </cell>
          <cell r="F120">
            <v>10</v>
          </cell>
          <cell r="G120">
            <v>35.9527</v>
          </cell>
          <cell r="H120">
            <v>8.3410263999999987</v>
          </cell>
          <cell r="I120">
            <v>44.293726399999997</v>
          </cell>
        </row>
        <row r="121">
          <cell r="B121" t="str">
            <v>*071301</v>
          </cell>
          <cell r="C121" t="str">
            <v>Verificación de estado de corrosión de poste con cuadrilla de inaccesible.</v>
          </cell>
          <cell r="D121" t="str">
            <v>UN</v>
          </cell>
          <cell r="E121">
            <v>9</v>
          </cell>
          <cell r="F121">
            <v>10</v>
          </cell>
          <cell r="G121">
            <v>133.74170000000001</v>
          </cell>
          <cell r="H121">
            <v>31.028074400000001</v>
          </cell>
          <cell r="I121">
            <v>164.76977440000002</v>
          </cell>
        </row>
        <row r="122">
          <cell r="B122" t="str">
            <v>*071400</v>
          </cell>
          <cell r="C122" t="str">
            <v>Instalación de luminaria con pastoral soldado  con cuadrilla de inacces  por atención de Solicitudes</v>
          </cell>
          <cell r="D122" t="str">
            <v>UN</v>
          </cell>
          <cell r="E122">
            <v>7</v>
          </cell>
          <cell r="F122">
            <v>10</v>
          </cell>
          <cell r="G122">
            <v>196.40230000000003</v>
          </cell>
          <cell r="H122">
            <v>45.565333600000002</v>
          </cell>
          <cell r="I122">
            <v>241.96763360000003</v>
          </cell>
        </row>
        <row r="123">
          <cell r="B123" t="str">
            <v>*071401</v>
          </cell>
          <cell r="C123" t="str">
            <v>Instalación de luminaria con pastoral soldado con BH por reclamos A.P.</v>
          </cell>
          <cell r="D123" t="str">
            <v>UN</v>
          </cell>
          <cell r="E123">
            <v>7</v>
          </cell>
          <cell r="F123">
            <v>10</v>
          </cell>
          <cell r="G123">
            <v>102.72190000000001</v>
          </cell>
          <cell r="H123">
            <v>23.831480799999998</v>
          </cell>
          <cell r="I123">
            <v>126.5533808</v>
          </cell>
        </row>
        <row r="124">
          <cell r="B124" t="str">
            <v>*071402</v>
          </cell>
          <cell r="C124" t="str">
            <v>Instalación de luminaria con pastoral soldado con cuadrilla de inaccesible por reclamos A.P.</v>
          </cell>
          <cell r="D124" t="str">
            <v>UN</v>
          </cell>
          <cell r="E124">
            <v>6.2363999999999997</v>
          </cell>
          <cell r="F124">
            <v>10</v>
          </cell>
          <cell r="G124">
            <v>220.4503</v>
          </cell>
          <cell r="H124">
            <v>51.144469599999994</v>
          </cell>
          <cell r="I124">
            <v>271.59476960000001</v>
          </cell>
        </row>
        <row r="125">
          <cell r="B125" t="str">
            <v>*071800</v>
          </cell>
          <cell r="C125" t="str">
            <v>Revirado de pastoral o luminaria con BH por atención de Solicitudes</v>
          </cell>
          <cell r="D125" t="str">
            <v>UN</v>
          </cell>
          <cell r="E125">
            <v>18</v>
          </cell>
          <cell r="F125">
            <v>10</v>
          </cell>
          <cell r="G125">
            <v>39.947400000000002</v>
          </cell>
          <cell r="H125">
            <v>9.2677967999999993</v>
          </cell>
          <cell r="I125">
            <v>49.215196800000001</v>
          </cell>
        </row>
        <row r="126">
          <cell r="B126" t="str">
            <v>*071801</v>
          </cell>
          <cell r="C126" t="str">
            <v>Revirado de pastoral o luminaria con BH por reclamos A.P.</v>
          </cell>
          <cell r="D126" t="str">
            <v>UN</v>
          </cell>
          <cell r="E126">
            <v>12</v>
          </cell>
          <cell r="F126">
            <v>10</v>
          </cell>
          <cell r="G126">
            <v>59.921099999999996</v>
          </cell>
          <cell r="H126">
            <v>13.901695199999997</v>
          </cell>
          <cell r="I126">
            <v>73.822795199999987</v>
          </cell>
        </row>
        <row r="127">
          <cell r="B127" t="str">
            <v>*071802</v>
          </cell>
          <cell r="C127" t="str">
            <v>Revisado de pastoral o luminarias con cuadrilla de inaccesible por reclamos de A.P.</v>
          </cell>
          <cell r="D127" t="str">
            <v>UN</v>
          </cell>
          <cell r="E127">
            <v>7</v>
          </cell>
          <cell r="F127">
            <v>10</v>
          </cell>
          <cell r="G127">
            <v>171.95349999999999</v>
          </cell>
          <cell r="H127">
            <v>39.893211999999998</v>
          </cell>
          <cell r="I127">
            <v>211.846712</v>
          </cell>
        </row>
        <row r="128">
          <cell r="B128" t="str">
            <v>*071803</v>
          </cell>
          <cell r="C128" t="str">
            <v>Revisado de pastoral y/o luminaria con cuadrilla de inaccesible por atención de Solicitudes</v>
          </cell>
          <cell r="D128" t="str">
            <v>UN</v>
          </cell>
          <cell r="E128">
            <v>9</v>
          </cell>
          <cell r="F128">
            <v>10</v>
          </cell>
          <cell r="G128">
            <v>133.74170000000001</v>
          </cell>
          <cell r="H128">
            <v>31.028074400000001</v>
          </cell>
          <cell r="I128">
            <v>164.76977440000002</v>
          </cell>
        </row>
        <row r="129">
          <cell r="B129" t="str">
            <v>*072200</v>
          </cell>
          <cell r="C129" t="str">
            <v>Cambio de fusible con BH por reclamos A.P.</v>
          </cell>
          <cell r="D129" t="str">
            <v>UN</v>
          </cell>
          <cell r="E129">
            <v>12</v>
          </cell>
          <cell r="F129">
            <v>10</v>
          </cell>
          <cell r="G129">
            <v>59.921099999999996</v>
          </cell>
          <cell r="H129">
            <v>13.901695199999997</v>
          </cell>
          <cell r="I129">
            <v>73.822795199999987</v>
          </cell>
        </row>
        <row r="130">
          <cell r="B130" t="str">
            <v>*072201</v>
          </cell>
          <cell r="C130" t="str">
            <v>Cambio de fusible con brazo hidraulico por atención de solicitudes</v>
          </cell>
          <cell r="D130" t="str">
            <v>UN</v>
          </cell>
          <cell r="E130">
            <v>12</v>
          </cell>
          <cell r="F130">
            <v>10</v>
          </cell>
          <cell r="G130">
            <v>74.1828</v>
          </cell>
          <cell r="H130">
            <v>17.210409599999998</v>
          </cell>
          <cell r="I130">
            <v>91.393209600000006</v>
          </cell>
        </row>
        <row r="131">
          <cell r="B131" t="str">
            <v>*072202</v>
          </cell>
          <cell r="C131" t="str">
            <v>Cambio de fusible con cuadrilla de inaccesibles por reclamos A.P.</v>
          </cell>
          <cell r="D131" t="str">
            <v>UN</v>
          </cell>
          <cell r="E131">
            <v>6</v>
          </cell>
          <cell r="F131">
            <v>10</v>
          </cell>
          <cell r="G131">
            <v>200.61250000000001</v>
          </cell>
          <cell r="H131">
            <v>46.542099999999998</v>
          </cell>
          <cell r="I131">
            <v>247.15460000000002</v>
          </cell>
        </row>
        <row r="132">
          <cell r="B132" t="str">
            <v>*072203</v>
          </cell>
          <cell r="C132" t="str">
            <v>Cambio de llave AP BT</v>
          </cell>
          <cell r="D132" t="str">
            <v>UN</v>
          </cell>
          <cell r="E132">
            <v>3</v>
          </cell>
          <cell r="F132">
            <v>10</v>
          </cell>
          <cell r="G132">
            <v>451.51710000000003</v>
          </cell>
          <cell r="H132">
            <v>104.7519672</v>
          </cell>
          <cell r="I132">
            <v>556.26906719999999</v>
          </cell>
        </row>
        <row r="133">
          <cell r="B133" t="str">
            <v>*072500</v>
          </cell>
          <cell r="C133" t="str">
            <v>Maniobra en Subestación de Distribución Area, Compacta y/o Bóveda</v>
          </cell>
          <cell r="D133" t="str">
            <v>UN</v>
          </cell>
          <cell r="E133">
            <v>15</v>
          </cell>
          <cell r="F133">
            <v>12</v>
          </cell>
          <cell r="G133">
            <v>41.015599999999999</v>
          </cell>
          <cell r="H133">
            <v>9.5156191999999997</v>
          </cell>
          <cell r="I133">
            <v>50.531219199999995</v>
          </cell>
        </row>
        <row r="134">
          <cell r="B134" t="str">
            <v>*072501</v>
          </cell>
          <cell r="C134" t="str">
            <v>Maniobra en Subestación de Distribución Convencional</v>
          </cell>
          <cell r="D134" t="str">
            <v>UN</v>
          </cell>
          <cell r="E134">
            <v>11</v>
          </cell>
          <cell r="F134">
            <v>12</v>
          </cell>
          <cell r="G134">
            <v>77.120699999999999</v>
          </cell>
          <cell r="H134">
            <v>17.892002399999999</v>
          </cell>
          <cell r="I134">
            <v>95.012702399999995</v>
          </cell>
        </row>
        <row r="135">
          <cell r="B135" t="str">
            <v>*072600</v>
          </cell>
          <cell r="C135" t="str">
            <v>Trabajos en tableros subestaciones distribucion</v>
          </cell>
          <cell r="D135" t="str">
            <v>UN</v>
          </cell>
          <cell r="E135">
            <v>4</v>
          </cell>
          <cell r="F135">
            <v>10</v>
          </cell>
          <cell r="G135">
            <v>321.19619999999998</v>
          </cell>
          <cell r="H135">
            <v>74.517518399999986</v>
          </cell>
          <cell r="I135">
            <v>395.71371839999995</v>
          </cell>
        </row>
        <row r="136">
          <cell r="B136" t="str">
            <v>*072601</v>
          </cell>
          <cell r="C136" t="str">
            <v>Encendido del AP con cuadrilla inaccesible (fotocelula accesible)</v>
          </cell>
          <cell r="D136" t="str">
            <v>UN</v>
          </cell>
          <cell r="E136">
            <v>30</v>
          </cell>
          <cell r="F136">
            <v>10</v>
          </cell>
          <cell r="G136">
            <v>40.122500000000002</v>
          </cell>
          <cell r="H136">
            <v>9.3084199999999999</v>
          </cell>
          <cell r="I136">
            <v>49.43092</v>
          </cell>
        </row>
        <row r="137">
          <cell r="B137" t="str">
            <v>*072602</v>
          </cell>
          <cell r="C137" t="str">
            <v>Encendido del AP con cuadrilla inaccesible (fotocelula inaccesible)</v>
          </cell>
          <cell r="D137" t="str">
            <v>UN</v>
          </cell>
          <cell r="E137">
            <v>25</v>
          </cell>
          <cell r="F137">
            <v>10</v>
          </cell>
          <cell r="G137">
            <v>48.146900000000002</v>
          </cell>
          <cell r="H137">
            <v>11.170080799999999</v>
          </cell>
          <cell r="I137">
            <v>59.316980800000003</v>
          </cell>
        </row>
        <row r="138">
          <cell r="B138" t="str">
            <v>*072603</v>
          </cell>
          <cell r="C138" t="str">
            <v>Encendido y apagado del AP con Brazo Hidraulico.</v>
          </cell>
          <cell r="D138" t="str">
            <v>UN</v>
          </cell>
          <cell r="E138">
            <v>12</v>
          </cell>
          <cell r="F138">
            <v>10</v>
          </cell>
          <cell r="G138">
            <v>59.921099999999996</v>
          </cell>
          <cell r="H138">
            <v>13.901695199999997</v>
          </cell>
          <cell r="I138">
            <v>73.822795199999987</v>
          </cell>
        </row>
        <row r="139">
          <cell r="B139" t="str">
            <v>*073800</v>
          </cell>
          <cell r="C139" t="str">
            <v>Reparación de Pisos Especiales Emergencia</v>
          </cell>
          <cell r="D139" t="str">
            <v>M2</v>
          </cell>
          <cell r="E139">
            <v>12</v>
          </cell>
          <cell r="F139">
            <v>10</v>
          </cell>
          <cell r="G139">
            <v>152.73670000000001</v>
          </cell>
          <cell r="H139">
            <v>35.434914400000004</v>
          </cell>
          <cell r="I139">
            <v>188.17161440000001</v>
          </cell>
        </row>
        <row r="140">
          <cell r="B140" t="str">
            <v>*073801</v>
          </cell>
          <cell r="C140" t="str">
            <v>Reparacion de Pistas de Asfalto Emergencia</v>
          </cell>
          <cell r="D140" t="str">
            <v>M2</v>
          </cell>
          <cell r="E140">
            <v>8</v>
          </cell>
          <cell r="F140">
            <v>10</v>
          </cell>
          <cell r="G140">
            <v>188.27679999999998</v>
          </cell>
          <cell r="H140">
            <v>43.680217599999992</v>
          </cell>
          <cell r="I140">
            <v>231.95701759999997</v>
          </cell>
        </row>
        <row r="141">
          <cell r="B141" t="str">
            <v>*073802</v>
          </cell>
          <cell r="C141" t="str">
            <v>Reparacion de Pistas de Concreto Emergencia</v>
          </cell>
          <cell r="D141" t="str">
            <v>M2</v>
          </cell>
          <cell r="E141">
            <v>8</v>
          </cell>
          <cell r="F141">
            <v>10</v>
          </cell>
          <cell r="G141">
            <v>193.19119999999998</v>
          </cell>
          <cell r="H141">
            <v>44.820358399999989</v>
          </cell>
          <cell r="I141">
            <v>238.01155839999996</v>
          </cell>
        </row>
        <row r="142">
          <cell r="B142" t="str">
            <v>*073803</v>
          </cell>
          <cell r="C142" t="str">
            <v>Reparacion de Veredas Emergencia</v>
          </cell>
          <cell r="D142" t="str">
            <v>M2</v>
          </cell>
          <cell r="E142">
            <v>10</v>
          </cell>
          <cell r="F142">
            <v>10</v>
          </cell>
          <cell r="G142">
            <v>128.2405</v>
          </cell>
          <cell r="H142">
            <v>29.751795999999999</v>
          </cell>
          <cell r="I142">
            <v>157.99229600000001</v>
          </cell>
        </row>
        <row r="143">
          <cell r="B143" t="str">
            <v>*076100</v>
          </cell>
          <cell r="C143" t="str">
            <v>Atención de Emergencias en Media Tensión</v>
          </cell>
          <cell r="D143" t="str">
            <v>H</v>
          </cell>
          <cell r="E143">
            <v>10</v>
          </cell>
          <cell r="F143">
            <v>10</v>
          </cell>
          <cell r="G143">
            <v>154.38409999999999</v>
          </cell>
          <cell r="H143">
            <v>35.817111199999992</v>
          </cell>
          <cell r="I143">
            <v>190.20121119999999</v>
          </cell>
        </row>
        <row r="144">
          <cell r="B144" t="str">
            <v>*076101</v>
          </cell>
          <cell r="C144" t="str">
            <v>Atención de Reclamos en Suministros "Falsa Alarma" (con Camioneta)</v>
          </cell>
          <cell r="D144" t="str">
            <v>UN</v>
          </cell>
          <cell r="E144">
            <v>15</v>
          </cell>
          <cell r="F144">
            <v>12</v>
          </cell>
          <cell r="G144">
            <v>41.015599999999999</v>
          </cell>
          <cell r="H144">
            <v>9.5156191999999997</v>
          </cell>
          <cell r="I144">
            <v>50.531219199999995</v>
          </cell>
        </row>
        <row r="145">
          <cell r="B145" t="str">
            <v>*076102</v>
          </cell>
          <cell r="C145" t="str">
            <v>Atención de Reclamos en Suministros (con Camioneta)</v>
          </cell>
          <cell r="D145" t="str">
            <v>UN</v>
          </cell>
          <cell r="E145">
            <v>13</v>
          </cell>
          <cell r="F145">
            <v>12</v>
          </cell>
          <cell r="G145">
            <v>47.325800000000001</v>
          </cell>
          <cell r="H145">
            <v>10.9795856</v>
          </cell>
          <cell r="I145">
            <v>58.305385600000001</v>
          </cell>
        </row>
        <row r="146">
          <cell r="B146" t="str">
            <v>*076300</v>
          </cell>
          <cell r="C146" t="str">
            <v>Inspección de Postes, Veredas y Otros (Incluye fotos)</v>
          </cell>
          <cell r="D146" t="str">
            <v>UN</v>
          </cell>
          <cell r="E146">
            <v>11</v>
          </cell>
          <cell r="F146">
            <v>12</v>
          </cell>
          <cell r="G146">
            <v>55.930499999999995</v>
          </cell>
          <cell r="H146">
            <v>12.975875999999998</v>
          </cell>
          <cell r="I146">
            <v>68.906375999999995</v>
          </cell>
        </row>
        <row r="147">
          <cell r="B147" t="str">
            <v>*076301</v>
          </cell>
          <cell r="C147" t="str">
            <v>Inspección de reclamo de AP  con cuadrilla de inaccesible</v>
          </cell>
          <cell r="D147" t="str">
            <v>UN</v>
          </cell>
          <cell r="E147">
            <v>9</v>
          </cell>
          <cell r="F147">
            <v>10</v>
          </cell>
          <cell r="G147">
            <v>133.74170000000001</v>
          </cell>
          <cell r="H147">
            <v>31.028074400000001</v>
          </cell>
          <cell r="I147">
            <v>164.76977440000002</v>
          </cell>
        </row>
        <row r="148">
          <cell r="B148" t="str">
            <v>*076302</v>
          </cell>
          <cell r="C148" t="str">
            <v>Inspeccion de reclamo de AP con unidad de brazo hidraúlico.</v>
          </cell>
          <cell r="D148" t="str">
            <v>UN</v>
          </cell>
          <cell r="E148">
            <v>15</v>
          </cell>
          <cell r="F148">
            <v>10</v>
          </cell>
          <cell r="G148">
            <v>47.936900000000001</v>
          </cell>
          <cell r="H148">
            <v>11.1213608</v>
          </cell>
          <cell r="I148">
            <v>59.058260799999999</v>
          </cell>
        </row>
        <row r="149">
          <cell r="B149" t="str">
            <v>*076303</v>
          </cell>
          <cell r="C149" t="str">
            <v>Verificación de tensión con  cuadrilla de inaccesible por reclamos A.P.</v>
          </cell>
          <cell r="D149" t="str">
            <v>UN</v>
          </cell>
          <cell r="E149">
            <v>7</v>
          </cell>
          <cell r="F149">
            <v>10</v>
          </cell>
          <cell r="G149">
            <v>171.95349999999999</v>
          </cell>
          <cell r="H149">
            <v>39.893211999999998</v>
          </cell>
          <cell r="I149">
            <v>211.846712</v>
          </cell>
        </row>
        <row r="150">
          <cell r="B150" t="str">
            <v>*076304</v>
          </cell>
          <cell r="C150" t="str">
            <v>Verificación de tensión con BH por reclamos A.P.</v>
          </cell>
          <cell r="D150" t="str">
            <v>UN</v>
          </cell>
          <cell r="E150">
            <v>12</v>
          </cell>
          <cell r="F150">
            <v>10</v>
          </cell>
          <cell r="G150">
            <v>59.921099999999996</v>
          </cell>
          <cell r="H150">
            <v>13.901695199999997</v>
          </cell>
          <cell r="I150">
            <v>73.822795199999987</v>
          </cell>
        </row>
        <row r="151">
          <cell r="B151" t="str">
            <v>*076400</v>
          </cell>
          <cell r="C151" t="str">
            <v>Instalación de tripode e instalación de escalera embonable con cuadrilla de inaccesible</v>
          </cell>
          <cell r="D151" t="str">
            <v>UN</v>
          </cell>
          <cell r="E151">
            <v>20</v>
          </cell>
          <cell r="F151">
            <v>10</v>
          </cell>
          <cell r="G151">
            <v>60.183700000000002</v>
          </cell>
          <cell r="H151">
            <v>13.9626184</v>
          </cell>
          <cell r="I151">
            <v>74.146318399999998</v>
          </cell>
        </row>
        <row r="152">
          <cell r="B152" t="str">
            <v>*076600</v>
          </cell>
          <cell r="C152" t="str">
            <v>Control y seguimiento de solicitudes y reclamos de Alumbrado Público.</v>
          </cell>
          <cell r="D152" t="str">
            <v>UN</v>
          </cell>
          <cell r="E152">
            <v>68</v>
          </cell>
          <cell r="F152">
            <v>8</v>
          </cell>
          <cell r="G152">
            <v>3.7841999999999998</v>
          </cell>
          <cell r="H152">
            <v>0.87793439999999989</v>
          </cell>
          <cell r="I152">
            <v>4.6621343999999993</v>
          </cell>
        </row>
        <row r="153">
          <cell r="B153" t="str">
            <v>*076601</v>
          </cell>
          <cell r="C153" t="str">
            <v>Custodia de instalaciones con riesgo</v>
          </cell>
          <cell r="D153" t="str">
            <v>H</v>
          </cell>
          <cell r="E153">
            <v>11</v>
          </cell>
          <cell r="F153">
            <v>12</v>
          </cell>
          <cell r="G153">
            <v>55.930499999999995</v>
          </cell>
          <cell r="H153">
            <v>12.975875999999998</v>
          </cell>
          <cell r="I153">
            <v>68.906375999999995</v>
          </cell>
        </row>
        <row r="154">
          <cell r="B154" t="str">
            <v>*079001</v>
          </cell>
          <cell r="C154" t="str">
            <v>Cambio de cable extraflexible (pasante) a luminaria en pastoral simple con plataforma elevadora por</v>
          </cell>
          <cell r="D154" t="str">
            <v>UN</v>
          </cell>
          <cell r="E154">
            <v>9</v>
          </cell>
          <cell r="F154">
            <v>9.6</v>
          </cell>
          <cell r="G154">
            <v>122.20280000000001</v>
          </cell>
          <cell r="H154">
            <v>28.3510496</v>
          </cell>
          <cell r="I154">
            <v>150.55384960000001</v>
          </cell>
        </row>
        <row r="155">
          <cell r="B155" t="str">
            <v>*079002</v>
          </cell>
          <cell r="C155" t="str">
            <v>Reconexión de cable extraflexible (pasante) con  plataforma elevadora por reclamos A.P.</v>
          </cell>
          <cell r="D155" t="str">
            <v>UN</v>
          </cell>
          <cell r="E155">
            <v>9</v>
          </cell>
          <cell r="F155">
            <v>9.6</v>
          </cell>
          <cell r="G155">
            <v>122.20280000000001</v>
          </cell>
          <cell r="H155">
            <v>28.3510496</v>
          </cell>
          <cell r="I155">
            <v>150.55384960000001</v>
          </cell>
        </row>
        <row r="156">
          <cell r="B156" t="str">
            <v>*079003</v>
          </cell>
          <cell r="C156" t="str">
            <v>Cambio de lampara con plataforma elevadora por atención de Solicitudes</v>
          </cell>
          <cell r="D156" t="str">
            <v>UN</v>
          </cell>
          <cell r="E156">
            <v>9</v>
          </cell>
          <cell r="F156">
            <v>9.6</v>
          </cell>
          <cell r="G156">
            <v>122.20280000000001</v>
          </cell>
          <cell r="H156">
            <v>28.3510496</v>
          </cell>
          <cell r="I156">
            <v>150.55384960000001</v>
          </cell>
        </row>
        <row r="157">
          <cell r="B157" t="str">
            <v>*079004</v>
          </cell>
          <cell r="C157" t="str">
            <v>Cambio de lampara con plataforma elevadora por reclamos A.P.</v>
          </cell>
          <cell r="D157" t="str">
            <v>UN</v>
          </cell>
          <cell r="E157">
            <v>9</v>
          </cell>
          <cell r="F157">
            <v>9.6</v>
          </cell>
          <cell r="G157">
            <v>122.20280000000001</v>
          </cell>
          <cell r="H157">
            <v>28.3510496</v>
          </cell>
          <cell r="I157">
            <v>150.55384960000001</v>
          </cell>
        </row>
        <row r="158">
          <cell r="B158" t="str">
            <v>*079005</v>
          </cell>
          <cell r="C158" t="str">
            <v>Cambio de pastoral parabolico con plataforma elevadora por atención de solicitudes</v>
          </cell>
          <cell r="D158" t="str">
            <v>UN</v>
          </cell>
          <cell r="E158">
            <v>9</v>
          </cell>
          <cell r="F158">
            <v>9.6</v>
          </cell>
          <cell r="G158">
            <v>122.20280000000001</v>
          </cell>
          <cell r="H158">
            <v>28.3510496</v>
          </cell>
          <cell r="I158">
            <v>150.55384960000001</v>
          </cell>
        </row>
        <row r="159">
          <cell r="B159" t="str">
            <v>*079006</v>
          </cell>
          <cell r="C159" t="str">
            <v>Cambio de pastoral parabolico con plataforma elevadora por reclamos A.P.</v>
          </cell>
          <cell r="D159" t="str">
            <v>UN</v>
          </cell>
          <cell r="E159">
            <v>9</v>
          </cell>
          <cell r="F159">
            <v>9.6</v>
          </cell>
          <cell r="G159">
            <v>122.20280000000001</v>
          </cell>
          <cell r="H159">
            <v>28.3510496</v>
          </cell>
          <cell r="I159">
            <v>150.55384960000001</v>
          </cell>
        </row>
        <row r="160">
          <cell r="B160" t="str">
            <v>*079007</v>
          </cell>
          <cell r="C160" t="str">
            <v>Cambio de pastoral simple con plataforma elevadora por atención de Solicitudes</v>
          </cell>
          <cell r="D160" t="str">
            <v>UN</v>
          </cell>
          <cell r="E160">
            <v>9</v>
          </cell>
          <cell r="F160">
            <v>9.6</v>
          </cell>
          <cell r="G160">
            <v>122.20280000000001</v>
          </cell>
          <cell r="H160">
            <v>28.3510496</v>
          </cell>
          <cell r="I160">
            <v>150.55384960000001</v>
          </cell>
        </row>
        <row r="161">
          <cell r="B161" t="str">
            <v>*079008</v>
          </cell>
          <cell r="C161" t="str">
            <v>Cambio de pastoral simple con plataforma elevadora por reclamos A.P.</v>
          </cell>
          <cell r="D161" t="str">
            <v>UN</v>
          </cell>
          <cell r="E161">
            <v>9</v>
          </cell>
          <cell r="F161">
            <v>9.6</v>
          </cell>
          <cell r="G161">
            <v>122.20280000000001</v>
          </cell>
          <cell r="H161">
            <v>28.3510496</v>
          </cell>
          <cell r="I161">
            <v>150.55384960000001</v>
          </cell>
        </row>
        <row r="162">
          <cell r="B162" t="str">
            <v>*079009</v>
          </cell>
          <cell r="C162" t="str">
            <v>Cambio o reposición de difusor plataforma elevadora por atención de Solicitudes</v>
          </cell>
          <cell r="D162" t="str">
            <v>UN</v>
          </cell>
          <cell r="E162">
            <v>9</v>
          </cell>
          <cell r="F162">
            <v>9.6</v>
          </cell>
          <cell r="G162">
            <v>122.20280000000001</v>
          </cell>
          <cell r="H162">
            <v>28.3510496</v>
          </cell>
          <cell r="I162">
            <v>150.55384960000001</v>
          </cell>
        </row>
        <row r="163">
          <cell r="B163" t="str">
            <v>*079010</v>
          </cell>
          <cell r="C163" t="str">
            <v>Cambio o reposición de difusor plataforma elevadora por reclamos A.P.</v>
          </cell>
          <cell r="D163" t="str">
            <v>UN</v>
          </cell>
          <cell r="E163">
            <v>9</v>
          </cell>
          <cell r="F163">
            <v>9.6</v>
          </cell>
          <cell r="G163">
            <v>122.20280000000001</v>
          </cell>
          <cell r="H163">
            <v>28.3510496</v>
          </cell>
          <cell r="I163">
            <v>150.55384960000001</v>
          </cell>
        </row>
        <row r="164">
          <cell r="B164" t="str">
            <v>*079011</v>
          </cell>
          <cell r="C164" t="str">
            <v>Cambio o reposición de luminaria con plataforma elevadora por atención de Solicitudes.</v>
          </cell>
          <cell r="D164" t="str">
            <v>UN</v>
          </cell>
          <cell r="E164">
            <v>9</v>
          </cell>
          <cell r="F164">
            <v>9.6</v>
          </cell>
          <cell r="G164">
            <v>122.20280000000001</v>
          </cell>
          <cell r="H164">
            <v>28.3510496</v>
          </cell>
          <cell r="I164">
            <v>150.55384960000001</v>
          </cell>
        </row>
        <row r="165">
          <cell r="B165" t="str">
            <v>*079012</v>
          </cell>
          <cell r="C165" t="str">
            <v>Cambio o reposición de luminaria con plataforma elevadora por reclamos A.P.</v>
          </cell>
          <cell r="D165" t="str">
            <v>UN</v>
          </cell>
          <cell r="E165">
            <v>9</v>
          </cell>
          <cell r="F165">
            <v>9.6</v>
          </cell>
          <cell r="G165">
            <v>122.20280000000001</v>
          </cell>
          <cell r="H165">
            <v>28.3510496</v>
          </cell>
          <cell r="I165">
            <v>150.55384960000001</v>
          </cell>
        </row>
        <row r="166">
          <cell r="B166" t="str">
            <v>*079013</v>
          </cell>
          <cell r="C166" t="str">
            <v>Verificación de estado de corrosión de poste con plataforma elevadora.</v>
          </cell>
          <cell r="D166" t="str">
            <v>UN</v>
          </cell>
          <cell r="E166">
            <v>9</v>
          </cell>
          <cell r="F166">
            <v>9.6</v>
          </cell>
          <cell r="G166">
            <v>122.20280000000001</v>
          </cell>
          <cell r="H166">
            <v>28.3510496</v>
          </cell>
          <cell r="I166">
            <v>150.55384960000001</v>
          </cell>
        </row>
        <row r="167">
          <cell r="B167" t="str">
            <v>*079014</v>
          </cell>
          <cell r="C167" t="str">
            <v>Instalación de luminaria con pastoral soldado con plataforma elevadora  por atención de Solicitudes</v>
          </cell>
          <cell r="D167" t="str">
            <v>UN</v>
          </cell>
          <cell r="E167">
            <v>9</v>
          </cell>
          <cell r="F167">
            <v>9.6</v>
          </cell>
          <cell r="G167">
            <v>122.20280000000001</v>
          </cell>
          <cell r="H167">
            <v>28.3510496</v>
          </cell>
          <cell r="I167">
            <v>150.55384960000001</v>
          </cell>
        </row>
        <row r="168">
          <cell r="B168" t="str">
            <v>*079015</v>
          </cell>
          <cell r="C168" t="str">
            <v>Instalación de luminaria con pastoral soldado con plataforma elevadora por reclamos A.P.</v>
          </cell>
          <cell r="D168" t="str">
            <v>UN</v>
          </cell>
          <cell r="E168">
            <v>9</v>
          </cell>
          <cell r="F168">
            <v>9.6</v>
          </cell>
          <cell r="G168">
            <v>122.20280000000001</v>
          </cell>
          <cell r="H168">
            <v>28.3510496</v>
          </cell>
          <cell r="I168">
            <v>150.55384960000001</v>
          </cell>
        </row>
        <row r="169">
          <cell r="B169" t="str">
            <v>*079016</v>
          </cell>
          <cell r="C169" t="str">
            <v>Revirado de pastoral o luminarias con plataforma elevadora por reclamos de A.P.</v>
          </cell>
          <cell r="D169" t="str">
            <v>UN</v>
          </cell>
          <cell r="E169">
            <v>9</v>
          </cell>
          <cell r="F169">
            <v>9.6</v>
          </cell>
          <cell r="G169">
            <v>122.20280000000001</v>
          </cell>
          <cell r="H169">
            <v>28.3510496</v>
          </cell>
          <cell r="I169">
            <v>150.55384960000001</v>
          </cell>
        </row>
        <row r="170">
          <cell r="B170" t="str">
            <v>*079017</v>
          </cell>
          <cell r="C170" t="str">
            <v>Revirado de pastoral y/o luminaria con plataforma elevadora por atención de Solicitudes</v>
          </cell>
          <cell r="D170" t="str">
            <v>UN</v>
          </cell>
          <cell r="E170">
            <v>9</v>
          </cell>
          <cell r="F170">
            <v>9.6</v>
          </cell>
          <cell r="G170">
            <v>122.20280000000001</v>
          </cell>
          <cell r="H170">
            <v>28.3510496</v>
          </cell>
          <cell r="I170">
            <v>150.55384960000001</v>
          </cell>
        </row>
        <row r="171">
          <cell r="B171" t="str">
            <v>*079018</v>
          </cell>
          <cell r="C171" t="str">
            <v>Cambio de fusible con plataforma elevadora por reclamos A.P.</v>
          </cell>
          <cell r="D171" t="str">
            <v>UN</v>
          </cell>
          <cell r="E171">
            <v>9</v>
          </cell>
          <cell r="F171">
            <v>9.6</v>
          </cell>
          <cell r="G171">
            <v>122.20280000000001</v>
          </cell>
          <cell r="H171">
            <v>28.3510496</v>
          </cell>
          <cell r="I171">
            <v>150.55384960000001</v>
          </cell>
        </row>
        <row r="172">
          <cell r="B172" t="str">
            <v>*079019</v>
          </cell>
          <cell r="C172" t="str">
            <v>Inspección de reclamo de AP con plataforma elevadora</v>
          </cell>
          <cell r="D172" t="str">
            <v>UN</v>
          </cell>
          <cell r="E172">
            <v>9</v>
          </cell>
          <cell r="F172">
            <v>9.6</v>
          </cell>
          <cell r="G172">
            <v>122.20280000000001</v>
          </cell>
          <cell r="H172">
            <v>28.3510496</v>
          </cell>
          <cell r="I172">
            <v>150.55384960000001</v>
          </cell>
        </row>
        <row r="173">
          <cell r="B173" t="str">
            <v>*079020</v>
          </cell>
          <cell r="C173" t="str">
            <v>Verificación de tensión con plataforma elevadora por reclamos A.P.</v>
          </cell>
          <cell r="D173" t="str">
            <v>UN</v>
          </cell>
          <cell r="E173">
            <v>9</v>
          </cell>
          <cell r="F173">
            <v>9.6</v>
          </cell>
          <cell r="G173">
            <v>122.20280000000001</v>
          </cell>
          <cell r="H173">
            <v>28.3510496</v>
          </cell>
          <cell r="I173">
            <v>150.55384960000001</v>
          </cell>
        </row>
        <row r="174">
          <cell r="B174" t="str">
            <v>*082050</v>
          </cell>
          <cell r="C174" t="str">
            <v>INSTALACIÓN, CATASTRO, MEDICIÓN Y RETIRO DE EQUIPOS DE MEDICIÓN DE MÁXIMA DEMANDA</v>
          </cell>
          <cell r="D174" t="str">
            <v>UN</v>
          </cell>
          <cell r="E174">
            <v>6.1695000000000002</v>
          </cell>
          <cell r="F174">
            <v>9.6</v>
          </cell>
          <cell r="G174">
            <v>149.88220000000001</v>
          </cell>
          <cell r="H174">
            <v>34.772670400000003</v>
          </cell>
          <cell r="I174">
            <v>184.65487040000002</v>
          </cell>
        </row>
        <row r="175">
          <cell r="B175" t="str">
            <v>*082051</v>
          </cell>
          <cell r="C175" t="str">
            <v>INSTALACIÓN, MEDICIÓN Y RETIRO DE EQUIPOS DE MEDICIÓN DE BAJA TENSIÓN</v>
          </cell>
          <cell r="D175" t="str">
            <v>UN</v>
          </cell>
          <cell r="E175">
            <v>8.9682999999999993</v>
          </cell>
          <cell r="F175">
            <v>9.6</v>
          </cell>
          <cell r="G175">
            <v>103.87259999999999</v>
          </cell>
          <cell r="H175">
            <v>24.098443199999995</v>
          </cell>
          <cell r="I175">
            <v>127.97104319999998</v>
          </cell>
        </row>
        <row r="176">
          <cell r="B176" t="str">
            <v>*082052</v>
          </cell>
          <cell r="C176" t="str">
            <v>INSTALACIÓN, MEDICIÓN Y RETIRO DE EQUIPOS DE MEDICIÓN DE MEDIA TENSIÓN</v>
          </cell>
          <cell r="D176" t="str">
            <v>UN</v>
          </cell>
          <cell r="E176">
            <v>7.0823</v>
          </cell>
          <cell r="F176">
            <v>9.6</v>
          </cell>
          <cell r="G176">
            <v>205.24649999999997</v>
          </cell>
          <cell r="H176">
            <v>47.617187999999992</v>
          </cell>
          <cell r="I176">
            <v>252.86368799999997</v>
          </cell>
        </row>
        <row r="177">
          <cell r="B177" t="str">
            <v>*082053</v>
          </cell>
          <cell r="C177" t="str">
            <v>INSTALACIÓN, MEDICIÓN Y RETIRO DE EQUIPOS DE MEDICIÓN DE TENSIÓN Y PERTURBACIONES MT</v>
          </cell>
          <cell r="D177" t="str">
            <v>UN</v>
          </cell>
          <cell r="E177">
            <v>8.5264000000000006</v>
          </cell>
          <cell r="F177">
            <v>9.6</v>
          </cell>
          <cell r="G177">
            <v>268.05989999999997</v>
          </cell>
          <cell r="H177">
            <v>62.189896799999985</v>
          </cell>
          <cell r="I177">
            <v>330.24979679999996</v>
          </cell>
        </row>
        <row r="178">
          <cell r="B178" t="str">
            <v>*090000</v>
          </cell>
          <cell r="C178" t="str">
            <v>AISLADOR PIN MT EN PUNTA DE POSTE</v>
          </cell>
          <cell r="D178" t="str">
            <v>UN</v>
          </cell>
          <cell r="E178">
            <v>16.05</v>
          </cell>
          <cell r="F178">
            <v>9.6</v>
          </cell>
          <cell r="G178">
            <v>22.847100000000001</v>
          </cell>
          <cell r="H178">
            <v>5.3005272000000003</v>
          </cell>
          <cell r="I178">
            <v>28.147627200000002</v>
          </cell>
        </row>
        <row r="179">
          <cell r="B179" t="str">
            <v>*090001</v>
          </cell>
          <cell r="C179" t="str">
            <v>RETIRO DE AISLADOR PIN MT EN PUNTA DE POSTE</v>
          </cell>
          <cell r="D179" t="str">
            <v>UN</v>
          </cell>
          <cell r="E179">
            <v>22.927900000000001</v>
          </cell>
          <cell r="F179">
            <v>9.6</v>
          </cell>
          <cell r="G179">
            <v>15.993500000000001</v>
          </cell>
          <cell r="H179">
            <v>3.7104919999999999</v>
          </cell>
          <cell r="I179">
            <v>19.703992</v>
          </cell>
        </row>
        <row r="180">
          <cell r="B180" t="str">
            <v>*090009</v>
          </cell>
          <cell r="C180" t="str">
            <v>RETIRO DE EXTENSOR DE LINEA DE FUGA EN AISLADOR</v>
          </cell>
          <cell r="D180" t="str">
            <v>UN</v>
          </cell>
          <cell r="E180">
            <v>41.1417</v>
          </cell>
          <cell r="F180">
            <v>9.6</v>
          </cell>
          <cell r="G180">
            <v>8.6407000000000007</v>
          </cell>
          <cell r="H180">
            <v>2.0046423999999998</v>
          </cell>
          <cell r="I180">
            <v>10.645342400000001</v>
          </cell>
        </row>
        <row r="181">
          <cell r="B181" t="str">
            <v>*090010</v>
          </cell>
          <cell r="C181" t="str">
            <v>AISLADOR PIN MT EN CRUCETA</v>
          </cell>
          <cell r="D181" t="str">
            <v>UN</v>
          </cell>
          <cell r="E181">
            <v>34.286099999999998</v>
          </cell>
          <cell r="F181">
            <v>9.6</v>
          </cell>
          <cell r="G181">
            <v>14.444299999999998</v>
          </cell>
          <cell r="H181">
            <v>3.3510775999999995</v>
          </cell>
          <cell r="I181">
            <v>17.795377599999998</v>
          </cell>
        </row>
        <row r="182">
          <cell r="B182" t="str">
            <v>*090011</v>
          </cell>
          <cell r="C182" t="str">
            <v>RETIRO AISLADOR PIN MT EN CRUCETA</v>
          </cell>
          <cell r="D182" t="str">
            <v>UN</v>
          </cell>
          <cell r="E182">
            <v>48.9788</v>
          </cell>
          <cell r="F182">
            <v>9.6</v>
          </cell>
          <cell r="G182">
            <v>10.1113</v>
          </cell>
          <cell r="H182">
            <v>2.3458215999999998</v>
          </cell>
          <cell r="I182">
            <v>12.457121600000001</v>
          </cell>
        </row>
        <row r="183">
          <cell r="B183" t="str">
            <v>*090015</v>
          </cell>
          <cell r="C183" t="str">
            <v>TRASLADO DE AISLADOR PIN MT EN CRUCETA</v>
          </cell>
          <cell r="D183" t="str">
            <v>UN</v>
          </cell>
          <cell r="E183">
            <v>26.373899999999999</v>
          </cell>
          <cell r="F183">
            <v>9.6</v>
          </cell>
          <cell r="G183">
            <v>18.777700000000003</v>
          </cell>
          <cell r="H183">
            <v>4.3564264000000001</v>
          </cell>
          <cell r="I183">
            <v>23.134126400000003</v>
          </cell>
        </row>
        <row r="184">
          <cell r="B184" t="str">
            <v>*090016</v>
          </cell>
          <cell r="C184" t="str">
            <v>INSTALACION DE EXTENSOR DE LINEA DE FUGA EN AISLADOR</v>
          </cell>
          <cell r="D184" t="str">
            <v>UN</v>
          </cell>
          <cell r="E184">
            <v>28.8</v>
          </cell>
          <cell r="F184">
            <v>9.6</v>
          </cell>
          <cell r="G184">
            <v>12.844799999999999</v>
          </cell>
          <cell r="H184">
            <v>2.9799935999999998</v>
          </cell>
          <cell r="I184">
            <v>15.8247936</v>
          </cell>
        </row>
        <row r="185">
          <cell r="B185" t="str">
            <v>*090030</v>
          </cell>
          <cell r="C185" t="str">
            <v>CADENA 1 AISLADOR SUSPENSION MT</v>
          </cell>
          <cell r="D185" t="str">
            <v>PQ</v>
          </cell>
          <cell r="E185">
            <v>31.712</v>
          </cell>
          <cell r="F185">
            <v>9.6</v>
          </cell>
          <cell r="G185">
            <v>16.4986</v>
          </cell>
          <cell r="H185">
            <v>3.8276751999999998</v>
          </cell>
          <cell r="I185">
            <v>20.326275199999998</v>
          </cell>
        </row>
        <row r="186">
          <cell r="B186" t="str">
            <v>*090031</v>
          </cell>
          <cell r="C186" t="str">
            <v>RETIRO CADENA 1 AISLADOR SUSPENSION MT</v>
          </cell>
          <cell r="D186" t="str">
            <v>PQ</v>
          </cell>
          <cell r="E186">
            <v>45.301600000000001</v>
          </cell>
          <cell r="F186">
            <v>9.6</v>
          </cell>
          <cell r="G186">
            <v>11.549399999999999</v>
          </cell>
          <cell r="H186">
            <v>2.6794607999999993</v>
          </cell>
          <cell r="I186">
            <v>14.228860799999998</v>
          </cell>
        </row>
        <row r="187">
          <cell r="B187" t="str">
            <v>*090032</v>
          </cell>
          <cell r="C187" t="str">
            <v>TRASLADO DE CADENA 1 AISLADOR SUSPENSION MT</v>
          </cell>
          <cell r="D187" t="str">
            <v>PQ</v>
          </cell>
          <cell r="E187">
            <v>24.393799999999999</v>
          </cell>
          <cell r="F187">
            <v>9.6</v>
          </cell>
          <cell r="G187">
            <v>21.448299999999996</v>
          </cell>
          <cell r="H187">
            <v>4.9760055999999988</v>
          </cell>
          <cell r="I187">
            <v>26.424305599999997</v>
          </cell>
        </row>
        <row r="188">
          <cell r="B188" t="str">
            <v>*090049</v>
          </cell>
          <cell r="C188" t="str">
            <v>RETIRO DE AMARRAS PARA CONDUCTOR DE CU O AL</v>
          </cell>
          <cell r="D188" t="str">
            <v>UN</v>
          </cell>
          <cell r="E188">
            <v>582.8954</v>
          </cell>
          <cell r="F188">
            <v>9.6</v>
          </cell>
          <cell r="G188">
            <v>0.69509999999999994</v>
          </cell>
          <cell r="H188">
            <v>0.16126319999999997</v>
          </cell>
          <cell r="I188">
            <v>0.85636319999999988</v>
          </cell>
        </row>
        <row r="189">
          <cell r="B189" t="str">
            <v>*090050</v>
          </cell>
          <cell r="C189" t="str">
            <v>AMARRAS PARA CONDUCTOR DE CU O AL</v>
          </cell>
          <cell r="D189" t="str">
            <v>UN</v>
          </cell>
          <cell r="E189">
            <v>408.03840000000002</v>
          </cell>
          <cell r="F189">
            <v>9.6</v>
          </cell>
          <cell r="G189">
            <v>0.9927999999999999</v>
          </cell>
          <cell r="H189">
            <v>0.23032959999999997</v>
          </cell>
          <cell r="I189">
            <v>1.2231295999999998</v>
          </cell>
        </row>
        <row r="190">
          <cell r="B190" t="str">
            <v>*090060</v>
          </cell>
          <cell r="C190" t="str">
            <v>DIAGONAL PARA CRUCETA DE MADERA O FIERRO</v>
          </cell>
          <cell r="D190" t="str">
            <v>UN</v>
          </cell>
          <cell r="E190">
            <v>31.709399999999999</v>
          </cell>
          <cell r="F190">
            <v>9.6</v>
          </cell>
          <cell r="G190">
            <v>16.5</v>
          </cell>
          <cell r="H190">
            <v>3.8279999999999998</v>
          </cell>
          <cell r="I190">
            <v>20.327999999999999</v>
          </cell>
        </row>
        <row r="191">
          <cell r="B191" t="str">
            <v>*090061</v>
          </cell>
          <cell r="C191" t="str">
            <v>RETIRO DIAGONAL PARA CRUCETA DE MADERA O FIERRO</v>
          </cell>
          <cell r="D191" t="str">
            <v>UN</v>
          </cell>
          <cell r="E191">
            <v>45.297899999999998</v>
          </cell>
          <cell r="F191">
            <v>9.6</v>
          </cell>
          <cell r="G191">
            <v>11.5504</v>
          </cell>
          <cell r="H191">
            <v>2.6796927999999998</v>
          </cell>
          <cell r="I191">
            <v>14.2300928</v>
          </cell>
        </row>
        <row r="192">
          <cell r="B192" t="str">
            <v>*090062</v>
          </cell>
          <cell r="C192" t="str">
            <v>TRASLADO DE DIAGONAL PARA CRUCETA DE MADERA O FIERRO</v>
          </cell>
          <cell r="D192" t="str">
            <v>UN</v>
          </cell>
          <cell r="E192">
            <v>24.3918</v>
          </cell>
          <cell r="F192">
            <v>9.6</v>
          </cell>
          <cell r="G192">
            <v>21.450099999999999</v>
          </cell>
          <cell r="H192">
            <v>4.9764231999999993</v>
          </cell>
          <cell r="I192">
            <v>26.426523199999998</v>
          </cell>
        </row>
        <row r="193">
          <cell r="B193" t="str">
            <v>*090064</v>
          </cell>
          <cell r="C193" t="str">
            <v>RETIRO ABRAZADERA PARA PERFIL DE ESTRUCTURA MT</v>
          </cell>
          <cell r="D193" t="str">
            <v>UN</v>
          </cell>
          <cell r="E193">
            <v>48.984499999999997</v>
          </cell>
          <cell r="F193">
            <v>9.6</v>
          </cell>
          <cell r="G193">
            <v>10.110100000000001</v>
          </cell>
          <cell r="H193">
            <v>2.3455432000000003</v>
          </cell>
          <cell r="I193">
            <v>12.455643200000001</v>
          </cell>
        </row>
        <row r="194">
          <cell r="B194" t="str">
            <v>*090065</v>
          </cell>
          <cell r="C194" t="str">
            <v>ABRAZADERA PARA PERFIL DE ESTRUCTURA MT</v>
          </cell>
          <cell r="D194" t="str">
            <v>UN</v>
          </cell>
          <cell r="E194">
            <v>34.290100000000002</v>
          </cell>
          <cell r="F194">
            <v>9.6</v>
          </cell>
          <cell r="G194">
            <v>14.442599999999999</v>
          </cell>
          <cell r="H194">
            <v>3.3506831999999993</v>
          </cell>
          <cell r="I194">
            <v>17.793283199999998</v>
          </cell>
        </row>
        <row r="195">
          <cell r="B195" t="str">
            <v>*090066</v>
          </cell>
          <cell r="C195" t="str">
            <v>TRASLADO ABRAZADERA PARA PERFIL DE ESTRUCTURA MT</v>
          </cell>
          <cell r="D195" t="str">
            <v>UN</v>
          </cell>
          <cell r="E195">
            <v>26.376899999999999</v>
          </cell>
          <cell r="F195">
            <v>9.6</v>
          </cell>
          <cell r="G195">
            <v>18.775500000000001</v>
          </cell>
          <cell r="H195">
            <v>4.3559159999999997</v>
          </cell>
          <cell r="I195">
            <v>23.131416000000002</v>
          </cell>
        </row>
        <row r="196">
          <cell r="B196" t="str">
            <v>*090079</v>
          </cell>
          <cell r="C196" t="str">
            <v>SEÑALIZACIÓN EN INSTALACIÓN DE CABLES AÉREOS</v>
          </cell>
          <cell r="D196" t="str">
            <v>M</v>
          </cell>
          <cell r="E196">
            <v>1173.6355000000001</v>
          </cell>
          <cell r="F196">
            <v>9.6</v>
          </cell>
          <cell r="G196">
            <v>0.57379999999999998</v>
          </cell>
          <cell r="H196">
            <v>0.13312159999999998</v>
          </cell>
          <cell r="I196">
            <v>0.70692159999999993</v>
          </cell>
        </row>
        <row r="197">
          <cell r="B197" t="str">
            <v>*090080</v>
          </cell>
          <cell r="C197" t="str">
            <v>CONDUCTOR CU O AL DESNUDO/FORRADO HASTA 25 mm2</v>
          </cell>
          <cell r="D197" t="str">
            <v>M</v>
          </cell>
          <cell r="E197">
            <v>2835</v>
          </cell>
          <cell r="F197">
            <v>9.6</v>
          </cell>
          <cell r="G197">
            <v>0.95140000000000002</v>
          </cell>
          <cell r="H197">
            <v>0.2207248</v>
          </cell>
          <cell r="I197">
            <v>1.1721248</v>
          </cell>
        </row>
        <row r="198">
          <cell r="B198" t="str">
            <v>*090081</v>
          </cell>
          <cell r="C198" t="str">
            <v>Instalación de cinta señalizadora celeste en cable particular</v>
          </cell>
          <cell r="D198" t="str">
            <v>M</v>
          </cell>
          <cell r="E198">
            <v>760.32</v>
          </cell>
          <cell r="F198">
            <v>9.6</v>
          </cell>
          <cell r="G198">
            <v>0.44979999999999998</v>
          </cell>
          <cell r="H198">
            <v>0.10435359999999999</v>
          </cell>
          <cell r="I198">
            <v>0.55415360000000002</v>
          </cell>
        </row>
        <row r="199">
          <cell r="B199" t="str">
            <v>*090082</v>
          </cell>
          <cell r="C199" t="str">
            <v>RETIRO CONDUCTOR CU O AL DESNUDO/FORRADO HASTA 25 mm2</v>
          </cell>
          <cell r="D199" t="str">
            <v>M</v>
          </cell>
          <cell r="E199">
            <v>4049.8847999999998</v>
          </cell>
          <cell r="F199">
            <v>9.6</v>
          </cell>
          <cell r="G199">
            <v>0.66589999999999994</v>
          </cell>
          <cell r="H199">
            <v>0.15448879999999998</v>
          </cell>
          <cell r="I199">
            <v>0.82038879999999992</v>
          </cell>
        </row>
        <row r="200">
          <cell r="B200" t="str">
            <v>*090100</v>
          </cell>
          <cell r="C200" t="str">
            <v>CONDUCTOR CU O AL DESNUDO/FORRADO MAYOR DE 25 HASTA 35 mm2</v>
          </cell>
          <cell r="D200" t="str">
            <v>M</v>
          </cell>
          <cell r="E200">
            <v>2201.1732000000002</v>
          </cell>
          <cell r="F200">
            <v>9.6</v>
          </cell>
          <cell r="G200">
            <v>1.1784999999999999</v>
          </cell>
          <cell r="H200">
            <v>0.27341199999999993</v>
          </cell>
          <cell r="I200">
            <v>1.4519119999999999</v>
          </cell>
        </row>
        <row r="201">
          <cell r="B201" t="str">
            <v>*090102</v>
          </cell>
          <cell r="C201" t="str">
            <v>RETIRO CONDUCTOR CU O AL DESNUDO/FORRADO MAYOR DE 25 HASTA 35 mm2</v>
          </cell>
          <cell r="D201" t="str">
            <v>M</v>
          </cell>
          <cell r="E201">
            <v>3144.4436999999998</v>
          </cell>
          <cell r="F201">
            <v>9.6</v>
          </cell>
          <cell r="G201">
            <v>0.82500000000000007</v>
          </cell>
          <cell r="H201">
            <v>0.19140000000000001</v>
          </cell>
          <cell r="I201">
            <v>1.0164</v>
          </cell>
        </row>
        <row r="202">
          <cell r="B202" t="str">
            <v>*090103</v>
          </cell>
          <cell r="C202" t="str">
            <v>TRASLADO CONDUCTOR CU O AL DESNUDO/FORRADO MAYOR DE 25 HASTA 35 mm2</v>
          </cell>
          <cell r="D202" t="str">
            <v>M</v>
          </cell>
          <cell r="E202">
            <v>1693.7499</v>
          </cell>
          <cell r="F202">
            <v>9.6</v>
          </cell>
          <cell r="G202">
            <v>1.5317000000000001</v>
          </cell>
          <cell r="H202">
            <v>0.35535440000000001</v>
          </cell>
          <cell r="I202">
            <v>1.8870544</v>
          </cell>
        </row>
        <row r="203">
          <cell r="B203" t="str">
            <v>*090110</v>
          </cell>
          <cell r="C203" t="str">
            <v>CONDUCTOR CU O AL DESNUDO/FORRADO MAYOR DE 35 HASTA 70 mm2</v>
          </cell>
          <cell r="D203" t="str">
            <v>M</v>
          </cell>
          <cell r="E203">
            <v>1827</v>
          </cell>
          <cell r="F203">
            <v>9.6</v>
          </cell>
          <cell r="G203">
            <v>1.5884</v>
          </cell>
          <cell r="H203">
            <v>0.36850879999999997</v>
          </cell>
          <cell r="I203">
            <v>1.9569087999999999</v>
          </cell>
        </row>
        <row r="204">
          <cell r="B204" t="str">
            <v>*090113</v>
          </cell>
          <cell r="C204" t="str">
            <v>RETIRO CONDUCTOR CU O AL DESNUDO/FORRADO MAYOR DE 35 HASTA 70 mm2</v>
          </cell>
          <cell r="D204" t="str">
            <v>M</v>
          </cell>
          <cell r="E204">
            <v>2609.9258</v>
          </cell>
          <cell r="F204">
            <v>9.6</v>
          </cell>
          <cell r="G204">
            <v>1.1118000000000001</v>
          </cell>
          <cell r="H204">
            <v>0.25793759999999999</v>
          </cell>
          <cell r="I204">
            <v>1.3697376000000001</v>
          </cell>
        </row>
        <row r="205">
          <cell r="B205" t="str">
            <v>*090114</v>
          </cell>
          <cell r="C205" t="str">
            <v>TRASLADO CONDUCTOR CU O AL DESNUDO/FORRADO MAYOR DE 35 HASTA 70 mm2</v>
          </cell>
          <cell r="D205" t="str">
            <v>M</v>
          </cell>
          <cell r="E205">
            <v>1405.8326</v>
          </cell>
          <cell r="F205">
            <v>9.6</v>
          </cell>
          <cell r="G205">
            <v>2.0640999999999998</v>
          </cell>
          <cell r="H205">
            <v>0.47887119999999994</v>
          </cell>
          <cell r="I205">
            <v>2.5429711999999998</v>
          </cell>
        </row>
        <row r="206">
          <cell r="B206" t="str">
            <v>*090120</v>
          </cell>
          <cell r="C206" t="str">
            <v>CONDUCTOR CU O AL  DESNUDO/FORRADO MAYOR DE 70 HASTA 120 mm2</v>
          </cell>
          <cell r="D206" t="str">
            <v>M</v>
          </cell>
          <cell r="E206">
            <v>560</v>
          </cell>
          <cell r="F206">
            <v>9.6</v>
          </cell>
          <cell r="G206">
            <v>2.3449999999999998</v>
          </cell>
          <cell r="H206">
            <v>0.54403999999999986</v>
          </cell>
          <cell r="I206">
            <v>2.8890399999999996</v>
          </cell>
        </row>
        <row r="207">
          <cell r="B207" t="str">
            <v>*090123</v>
          </cell>
          <cell r="C207" t="str">
            <v>RETIRO CONDUCTOR CU O AL  DESNUDO/FORRADO MAYOR DE 70 HASTA 120 mm2</v>
          </cell>
          <cell r="D207" t="str">
            <v>M</v>
          </cell>
          <cell r="E207">
            <v>799.97730000000001</v>
          </cell>
          <cell r="F207">
            <v>9.6</v>
          </cell>
          <cell r="G207">
            <v>1.6415999999999999</v>
          </cell>
          <cell r="H207">
            <v>0.38085119999999995</v>
          </cell>
          <cell r="I207">
            <v>2.0224511999999999</v>
          </cell>
        </row>
        <row r="208">
          <cell r="B208" t="str">
            <v>*090128</v>
          </cell>
          <cell r="C208" t="str">
            <v>TRASLADO DE CABLE AUTOSOPORTADO DE MT HASTA 50 mm2</v>
          </cell>
          <cell r="D208" t="str">
            <v>M</v>
          </cell>
          <cell r="E208">
            <v>290.8503</v>
          </cell>
          <cell r="F208">
            <v>9.6</v>
          </cell>
          <cell r="G208">
            <v>7.1560000000000006</v>
          </cell>
          <cell r="H208">
            <v>1.6601920000000001</v>
          </cell>
          <cell r="I208">
            <v>8.8161920000000009</v>
          </cell>
        </row>
        <row r="209">
          <cell r="B209" t="str">
            <v>*090129</v>
          </cell>
          <cell r="C209" t="str">
            <v>TRASLADO DE CABLE AUTOSOPORTADO DE MT MAYOR DE 50 HASTA 120 mm</v>
          </cell>
          <cell r="D209" t="str">
            <v>M</v>
          </cell>
          <cell r="E209">
            <v>247.6704</v>
          </cell>
          <cell r="F209">
            <v>9.6</v>
          </cell>
          <cell r="G209">
            <v>8.4035999999999991</v>
          </cell>
          <cell r="H209">
            <v>1.9496351999999997</v>
          </cell>
          <cell r="I209">
            <v>10.353235199999999</v>
          </cell>
        </row>
        <row r="210">
          <cell r="B210" t="str">
            <v>*090130</v>
          </cell>
          <cell r="C210" t="str">
            <v>CONDUCTOR CU O AL  DESNUDO/FORRADO MAYOR DE 120 HASTA 240 mm2.</v>
          </cell>
          <cell r="D210" t="str">
            <v>M</v>
          </cell>
          <cell r="E210">
            <v>970</v>
          </cell>
          <cell r="F210">
            <v>9.6</v>
          </cell>
          <cell r="G210">
            <v>2.5646000000000004</v>
          </cell>
          <cell r="H210">
            <v>0.59498720000000005</v>
          </cell>
          <cell r="I210">
            <v>3.1595872000000007</v>
          </cell>
        </row>
        <row r="211">
          <cell r="B211" t="str">
            <v>*090133</v>
          </cell>
          <cell r="C211" t="str">
            <v>RETIRO CONDUCTOR CU O AL  DESNUDO/FORRADO MAYOR DE 120 HASTA 240 mm2</v>
          </cell>
          <cell r="D211" t="str">
            <v>M</v>
          </cell>
          <cell r="E211">
            <v>1385.6749</v>
          </cell>
          <cell r="F211">
            <v>9.6</v>
          </cell>
          <cell r="G211">
            <v>1.7954000000000001</v>
          </cell>
          <cell r="H211">
            <v>0.41653279999999998</v>
          </cell>
          <cell r="I211">
            <v>2.2119328</v>
          </cell>
        </row>
        <row r="212">
          <cell r="B212" t="str">
            <v>*090134</v>
          </cell>
          <cell r="C212" t="str">
            <v>RETIRO CABLE AUTOSOPORTADO DE MT MAYOR DE 50 HASTA 120 mm</v>
          </cell>
          <cell r="D212" t="str">
            <v>M</v>
          </cell>
          <cell r="E212">
            <v>459.94729999999998</v>
          </cell>
          <cell r="F212">
            <v>9.6</v>
          </cell>
          <cell r="G212">
            <v>4.5251999999999999</v>
          </cell>
          <cell r="H212">
            <v>1.0498463999999998</v>
          </cell>
          <cell r="I212">
            <v>5.5750463999999997</v>
          </cell>
        </row>
        <row r="213">
          <cell r="B213" t="str">
            <v>*090135</v>
          </cell>
          <cell r="C213" t="str">
            <v>RETIRO DE CABLE AUTOSOPORTADO DE MT HASTA 50 mm2</v>
          </cell>
          <cell r="D213" t="str">
            <v>M</v>
          </cell>
          <cell r="E213">
            <v>540.13639999999998</v>
          </cell>
          <cell r="F213">
            <v>9.6</v>
          </cell>
          <cell r="G213">
            <v>3.8532999999999999</v>
          </cell>
          <cell r="H213">
            <v>0.89396559999999992</v>
          </cell>
          <cell r="I213">
            <v>4.7472655999999995</v>
          </cell>
        </row>
        <row r="214">
          <cell r="B214" t="str">
            <v>*090136</v>
          </cell>
          <cell r="C214" t="str">
            <v>RETIRO DE CABLE AUTOSOPORTADO DE BT CU O AL HASTA 10 MM2</v>
          </cell>
          <cell r="D214" t="str">
            <v>M</v>
          </cell>
          <cell r="E214">
            <v>2500.4185000000002</v>
          </cell>
          <cell r="F214">
            <v>9.6</v>
          </cell>
          <cell r="G214">
            <v>0.69550000000000001</v>
          </cell>
          <cell r="H214">
            <v>0.161356</v>
          </cell>
          <cell r="I214">
            <v>0.85685600000000006</v>
          </cell>
        </row>
        <row r="215">
          <cell r="B215" t="str">
            <v>*090137</v>
          </cell>
          <cell r="C215" t="str">
            <v>RETIRO CABLE AUTOSOPORTADO DE BT CU O AL MAYOR DE 50 HASTA 120 mm2</v>
          </cell>
          <cell r="D215" t="str">
            <v>M</v>
          </cell>
          <cell r="E215">
            <v>239.9932</v>
          </cell>
          <cell r="F215">
            <v>9.6</v>
          </cell>
          <cell r="G215">
            <v>4.2458</v>
          </cell>
          <cell r="H215">
            <v>0.98502559999999995</v>
          </cell>
          <cell r="I215">
            <v>5.2308256000000002</v>
          </cell>
        </row>
        <row r="216">
          <cell r="B216" t="str">
            <v>*090138</v>
          </cell>
          <cell r="C216" t="str">
            <v>RETIRO CABLE AUTOSOPORTADO DE BT CU O AL MAYOR DE 25 HASTA 50 mm2</v>
          </cell>
          <cell r="D216" t="str">
            <v>M</v>
          </cell>
          <cell r="E216">
            <v>1067.1125</v>
          </cell>
          <cell r="F216">
            <v>9.6</v>
          </cell>
          <cell r="G216">
            <v>2.4058999999999999</v>
          </cell>
          <cell r="H216">
            <v>0.55816879999999991</v>
          </cell>
          <cell r="I216">
            <v>2.9640687999999997</v>
          </cell>
        </row>
        <row r="217">
          <cell r="B217" t="str">
            <v>*090139</v>
          </cell>
          <cell r="C217" t="str">
            <v>X</v>
          </cell>
          <cell r="D217" t="str">
            <v>M</v>
          </cell>
          <cell r="E217">
            <v>1139.9675999999999</v>
          </cell>
          <cell r="F217">
            <v>9.6</v>
          </cell>
          <cell r="G217">
            <v>1.1451</v>
          </cell>
          <cell r="H217">
            <v>0.26566319999999999</v>
          </cell>
          <cell r="I217">
            <v>1.4107631999999999</v>
          </cell>
        </row>
        <row r="218">
          <cell r="B218" t="str">
            <v>*090141</v>
          </cell>
          <cell r="C218" t="str">
            <v>CABLE AUTOSOPORTADO DE BT CU O AL HASTA 10 MM2</v>
          </cell>
          <cell r="D218" t="str">
            <v/>
          </cell>
          <cell r="E218">
            <v>1750.3426999999999</v>
          </cell>
          <cell r="F218">
            <v>9.6</v>
          </cell>
          <cell r="G218">
            <v>0.99370000000000003</v>
          </cell>
          <cell r="H218">
            <v>0.23053839999999998</v>
          </cell>
          <cell r="I218">
            <v>1.2242383999999999</v>
          </cell>
        </row>
        <row r="219">
          <cell r="B219" t="str">
            <v>*090142</v>
          </cell>
          <cell r="C219" t="str">
            <v>CABLE AUTOSOPORTADO DE BT CU O AL MAYOR DE 10 HASTA 25 mm2</v>
          </cell>
          <cell r="D219" t="str">
            <v>M</v>
          </cell>
          <cell r="E219">
            <v>798</v>
          </cell>
          <cell r="F219">
            <v>9.6</v>
          </cell>
          <cell r="G219">
            <v>1.6359000000000004</v>
          </cell>
          <cell r="H219">
            <v>0.37952880000000006</v>
          </cell>
          <cell r="I219">
            <v>2.0154288000000005</v>
          </cell>
        </row>
        <row r="220">
          <cell r="B220" t="str">
            <v>*090143</v>
          </cell>
          <cell r="C220" t="str">
            <v>CABLE AUTOSOPORTADO DE BT CU O AL MAYOR DE 25 HASTA 50 mm2</v>
          </cell>
          <cell r="D220" t="str">
            <v>M</v>
          </cell>
          <cell r="E220">
            <v>747</v>
          </cell>
          <cell r="F220">
            <v>9.6</v>
          </cell>
          <cell r="G220">
            <v>3.4370000000000003</v>
          </cell>
          <cell r="H220">
            <v>0.79738399999999998</v>
          </cell>
          <cell r="I220">
            <v>4.2343840000000004</v>
          </cell>
        </row>
        <row r="221">
          <cell r="B221" t="str">
            <v>*090144</v>
          </cell>
          <cell r="C221" t="str">
            <v>CABLE AUTOSOPORTADO DE BT CU O AL MAYOR DE 50 HASTA 120 mm2</v>
          </cell>
          <cell r="D221" t="str">
            <v>M</v>
          </cell>
          <cell r="E221">
            <v>168</v>
          </cell>
          <cell r="F221">
            <v>9.6</v>
          </cell>
          <cell r="G221">
            <v>6.0652999999999997</v>
          </cell>
          <cell r="H221">
            <v>1.4071495999999999</v>
          </cell>
          <cell r="I221">
            <v>7.4724495999999991</v>
          </cell>
        </row>
        <row r="222">
          <cell r="B222" t="str">
            <v>*090145</v>
          </cell>
          <cell r="C222" t="str">
            <v>CABLE AUTOSOPORTADO DE MT HASTA 50 mm2</v>
          </cell>
          <cell r="D222" t="str">
            <v>M</v>
          </cell>
          <cell r="E222">
            <v>378.1062</v>
          </cell>
          <cell r="F222">
            <v>9.6</v>
          </cell>
          <cell r="G222">
            <v>5.5045999999999999</v>
          </cell>
          <cell r="H222">
            <v>1.2770671999999998</v>
          </cell>
          <cell r="I222">
            <v>6.7816671999999993</v>
          </cell>
        </row>
        <row r="223">
          <cell r="B223" t="str">
            <v>*090146</v>
          </cell>
          <cell r="C223" t="str">
            <v>CABLE AUTOSOPORTADO DE MT MAYOR DE 50 HASTA 120 mm2</v>
          </cell>
          <cell r="D223" t="str">
            <v>M</v>
          </cell>
          <cell r="E223">
            <v>321.97230000000002</v>
          </cell>
          <cell r="F223">
            <v>9.6</v>
          </cell>
          <cell r="G223">
            <v>6.4642999999999997</v>
          </cell>
          <cell r="H223">
            <v>1.4997175999999999</v>
          </cell>
          <cell r="I223">
            <v>7.9640176</v>
          </cell>
        </row>
        <row r="224">
          <cell r="B224" t="str">
            <v>*090155</v>
          </cell>
          <cell r="C224" t="str">
            <v>"CABLE DE ACERO 5/16"""</v>
          </cell>
          <cell r="D224" t="str">
            <v>M</v>
          </cell>
          <cell r="E224">
            <v>182.34270000000001</v>
          </cell>
          <cell r="F224">
            <v>9.6</v>
          </cell>
          <cell r="G224">
            <v>2.3809</v>
          </cell>
          <cell r="H224">
            <v>0.55236879999999999</v>
          </cell>
          <cell r="I224">
            <v>2.9332688</v>
          </cell>
        </row>
        <row r="225">
          <cell r="B225" t="str">
            <v>*090160</v>
          </cell>
          <cell r="C225" t="str">
            <v>CRUCETA DE C.A. HASTA 2.4 m.  O PALOMILLA EN SAB.</v>
          </cell>
          <cell r="D225" t="str">
            <v>UN</v>
          </cell>
          <cell r="E225">
            <v>24.36</v>
          </cell>
          <cell r="F225">
            <v>9.6</v>
          </cell>
          <cell r="G225">
            <v>48.389600000000002</v>
          </cell>
          <cell r="H225">
            <v>11.2263872</v>
          </cell>
          <cell r="I225">
            <v>59.615987199999999</v>
          </cell>
        </row>
        <row r="226">
          <cell r="B226" t="str">
            <v>*090161</v>
          </cell>
          <cell r="C226" t="str">
            <v>TRASLADO CABLE AUTOSOPORTADO DE BT CU O AL MAYOR DE 10 HASTA 25 mm2</v>
          </cell>
          <cell r="D226" t="str">
            <v>M</v>
          </cell>
          <cell r="E226">
            <v>614.04179999999997</v>
          </cell>
          <cell r="F226">
            <v>9.6</v>
          </cell>
          <cell r="G226">
            <v>2.1261000000000001</v>
          </cell>
          <cell r="H226">
            <v>0.4932552</v>
          </cell>
          <cell r="I226">
            <v>2.6193552000000002</v>
          </cell>
        </row>
        <row r="227">
          <cell r="B227" t="str">
            <v>*090162</v>
          </cell>
          <cell r="C227" t="str">
            <v>TRASLADO CABLE AUTOSOPORTADO DE BT CU O AL MAYOR DE 10 HASTA 25 mm2</v>
          </cell>
          <cell r="D227" t="str">
            <v>M</v>
          </cell>
          <cell r="E227">
            <v>574.61410000000001</v>
          </cell>
          <cell r="F227">
            <v>9.6</v>
          </cell>
          <cell r="G227">
            <v>4.4680999999999997</v>
          </cell>
          <cell r="H227">
            <v>1.0365991999999999</v>
          </cell>
          <cell r="I227">
            <v>5.5046991999999992</v>
          </cell>
        </row>
        <row r="228">
          <cell r="B228" t="str">
            <v>*090163</v>
          </cell>
          <cell r="C228" t="str">
            <v>TRASLADO CABLE AUTOSOPORTADO DE BT CU O AL MAYOR DE 50 HASTA 120 mm2</v>
          </cell>
          <cell r="D228" t="str">
            <v>M</v>
          </cell>
          <cell r="E228">
            <v>129.23050000000001</v>
          </cell>
          <cell r="F228">
            <v>9.6</v>
          </cell>
          <cell r="G228">
            <v>7.8848000000000011</v>
          </cell>
          <cell r="H228">
            <v>1.8292736000000001</v>
          </cell>
          <cell r="I228">
            <v>9.7140736000000008</v>
          </cell>
        </row>
        <row r="229">
          <cell r="B229" t="str">
            <v>*090164</v>
          </cell>
          <cell r="C229" t="str">
            <v>TRASLADO CONDUCTOR CU O AL  DESNUDO/FORRADO MAYOR DE 120 HASTA 240 mm2.</v>
          </cell>
          <cell r="D229" t="str">
            <v>M</v>
          </cell>
          <cell r="E229">
            <v>746.15219999999999</v>
          </cell>
          <cell r="F229">
            <v>9.6</v>
          </cell>
          <cell r="G229">
            <v>3.3340999999999998</v>
          </cell>
          <cell r="H229">
            <v>0.77351119999999995</v>
          </cell>
          <cell r="I229">
            <v>4.1076112</v>
          </cell>
        </row>
        <row r="230">
          <cell r="B230" t="str">
            <v>*090165</v>
          </cell>
          <cell r="C230" t="str">
            <v>RETIRO CRUCETA DE C.A. HASTA 2.4 m. O PALOMILLA EN SAB.</v>
          </cell>
          <cell r="D230" t="str">
            <v>UN</v>
          </cell>
          <cell r="E230">
            <v>35.443300000000001</v>
          </cell>
          <cell r="F230">
            <v>9.6</v>
          </cell>
          <cell r="G230">
            <v>33.854799999999997</v>
          </cell>
          <cell r="H230">
            <v>7.8543135999999985</v>
          </cell>
          <cell r="I230">
            <v>41.709113599999995</v>
          </cell>
        </row>
        <row r="231">
          <cell r="B231" t="str">
            <v>*090166</v>
          </cell>
          <cell r="C231" t="str">
            <v>TRASLADO CONDUCTOR CU O AL DESNUDO/FORRADO HASTA 25 mm2</v>
          </cell>
          <cell r="D231" t="str">
            <v>M</v>
          </cell>
          <cell r="E231">
            <v>2181.4643999999998</v>
          </cell>
          <cell r="F231">
            <v>9.6</v>
          </cell>
          <cell r="G231">
            <v>1.2362</v>
          </cell>
          <cell r="H231">
            <v>0.28679839999999995</v>
          </cell>
          <cell r="I231">
            <v>1.5229983999999999</v>
          </cell>
        </row>
        <row r="232">
          <cell r="B232" t="str">
            <v>*090167</v>
          </cell>
          <cell r="C232" t="str">
            <v>TRASLADO CABLE AUTOSOPORTADO DE BT CU O AL HASTA 10 MM2</v>
          </cell>
          <cell r="D232" t="str">
            <v>M</v>
          </cell>
          <cell r="E232">
            <v>1346.8466000000001</v>
          </cell>
          <cell r="F232">
            <v>9.6</v>
          </cell>
          <cell r="G232">
            <v>1.2913999999999999</v>
          </cell>
          <cell r="H232">
            <v>0.29960479999999995</v>
          </cell>
          <cell r="I232">
            <v>1.5910047999999999</v>
          </cell>
        </row>
        <row r="233">
          <cell r="B233" t="str">
            <v>*090168</v>
          </cell>
          <cell r="C233" t="str">
            <v>RETIRO DE CABLE DE ACERO 5/16"</v>
          </cell>
          <cell r="D233" t="str">
            <v>M</v>
          </cell>
          <cell r="E233">
            <v>260.48219999999998</v>
          </cell>
          <cell r="F233">
            <v>9.6</v>
          </cell>
          <cell r="G233">
            <v>1.6667000000000001</v>
          </cell>
          <cell r="H233">
            <v>0.38667439999999997</v>
          </cell>
          <cell r="I233">
            <v>2.0533744</v>
          </cell>
        </row>
        <row r="234">
          <cell r="B234" t="str">
            <v>*090169</v>
          </cell>
          <cell r="C234" t="str">
            <v>RETIRO MENSULA DE C.A HASTA 1.2 m</v>
          </cell>
          <cell r="D234" t="str">
            <v>UN</v>
          </cell>
          <cell r="E234">
            <v>20.965199999999999</v>
          </cell>
          <cell r="F234">
            <v>9.6</v>
          </cell>
          <cell r="G234">
            <v>29.618100000000002</v>
          </cell>
          <cell r="H234">
            <v>6.8713991999999999</v>
          </cell>
          <cell r="I234">
            <v>36.489499200000004</v>
          </cell>
        </row>
        <row r="235">
          <cell r="B235" t="str">
            <v>*090170</v>
          </cell>
          <cell r="C235" t="str">
            <v>MENSULA DE C.A HASTA 1.2 m</v>
          </cell>
          <cell r="D235" t="str">
            <v>UN</v>
          </cell>
          <cell r="E235">
            <v>14.2173</v>
          </cell>
          <cell r="F235">
            <v>9.6</v>
          </cell>
          <cell r="G235">
            <v>42.351700000000001</v>
          </cell>
          <cell r="H235">
            <v>9.8255944</v>
          </cell>
          <cell r="I235">
            <v>52.177294400000001</v>
          </cell>
        </row>
        <row r="236">
          <cell r="B236" t="str">
            <v>*090189</v>
          </cell>
          <cell r="C236" t="str">
            <v>RETIRO DE CRUCETA O MENSULA SIMPLE DE MADERA O FIERRO</v>
          </cell>
          <cell r="D236" t="str">
            <v>UN</v>
          </cell>
          <cell r="E236">
            <v>18.435700000000001</v>
          </cell>
          <cell r="F236">
            <v>9.6</v>
          </cell>
          <cell r="G236">
            <v>30.509800000000006</v>
          </cell>
          <cell r="H236">
            <v>7.0782736000000011</v>
          </cell>
          <cell r="I236">
            <v>37.588073600000008</v>
          </cell>
        </row>
        <row r="237">
          <cell r="B237" t="str">
            <v>*090191</v>
          </cell>
          <cell r="C237" t="str">
            <v>COLOCACIÓN DE CRUCETA O MENSULA SIMPLE DE MADERA O FIERRO</v>
          </cell>
          <cell r="D237" t="str">
            <v>UN</v>
          </cell>
          <cell r="E237">
            <v>12.904999999999999</v>
          </cell>
          <cell r="F237">
            <v>9.6</v>
          </cell>
          <cell r="G237">
            <v>43.585399999999993</v>
          </cell>
          <cell r="H237">
            <v>10.111812799999997</v>
          </cell>
          <cell r="I237">
            <v>53.697212799999988</v>
          </cell>
        </row>
        <row r="238">
          <cell r="B238" t="str">
            <v>*090194</v>
          </cell>
          <cell r="C238" t="str">
            <v>TRASLADO DE CRUCETA O MENSULA SIMPLE DE MADERA O FIERRO</v>
          </cell>
          <cell r="D238" t="str">
            <v>UN</v>
          </cell>
          <cell r="E238">
            <v>9.9268999999999998</v>
          </cell>
          <cell r="F238">
            <v>9.6</v>
          </cell>
          <cell r="G238">
            <v>56.661099999999998</v>
          </cell>
          <cell r="H238">
            <v>13.145375199999998</v>
          </cell>
          <cell r="I238">
            <v>69.806475199999994</v>
          </cell>
        </row>
        <row r="239">
          <cell r="B239" t="str">
            <v>*090227</v>
          </cell>
          <cell r="C239" t="str">
            <v>RETIRO DE POSTE HASTA 9M-Z. ACCES TERR. ROCOSO(&gt;10)</v>
          </cell>
          <cell r="D239" t="str">
            <v>UN</v>
          </cell>
          <cell r="E239">
            <v>16.373799999999999</v>
          </cell>
          <cell r="F239">
            <v>9.6</v>
          </cell>
          <cell r="G239">
            <v>200.8954</v>
          </cell>
          <cell r="H239">
            <v>46.607732799999994</v>
          </cell>
          <cell r="I239">
            <v>247.5031328</v>
          </cell>
        </row>
        <row r="240">
          <cell r="B240" t="str">
            <v>*090228</v>
          </cell>
          <cell r="C240" t="str">
            <v>RETIRO DE POSTES HASTA 10 M INSTALACIÓN CON CABRIA</v>
          </cell>
          <cell r="D240" t="str">
            <v>UN</v>
          </cell>
          <cell r="E240">
            <v>3.4352999999999998</v>
          </cell>
          <cell r="F240">
            <v>9.6</v>
          </cell>
          <cell r="G240">
            <v>622.23289999999997</v>
          </cell>
          <cell r="H240">
            <v>144.35803279999999</v>
          </cell>
          <cell r="I240">
            <v>766.59093280000002</v>
          </cell>
        </row>
        <row r="241">
          <cell r="B241" t="str">
            <v>*090229</v>
          </cell>
          <cell r="C241" t="str">
            <v>RETIRO POSTE C.A.C. DE 8.70 O 9.00 M</v>
          </cell>
          <cell r="D241" t="str">
            <v>UN</v>
          </cell>
          <cell r="E241">
            <v>6.7309999999999999</v>
          </cell>
          <cell r="F241">
            <v>9.6</v>
          </cell>
          <cell r="G241">
            <v>227.55439999999999</v>
          </cell>
          <cell r="H241">
            <v>52.792620799999995</v>
          </cell>
          <cell r="I241">
            <v>280.3470208</v>
          </cell>
        </row>
        <row r="242">
          <cell r="B242" t="str">
            <v>*090232</v>
          </cell>
          <cell r="C242" t="str">
            <v>RETIRO DE POSTES DE ALTURA MAYOR A 10 M HASTA 15 M INSTALADOS CON CABRIA - NO INCLUYE TRACTO</v>
          </cell>
          <cell r="D242" t="str">
            <v>UN</v>
          </cell>
          <cell r="E242">
            <v>2.9310999999999998</v>
          </cell>
          <cell r="F242">
            <v>9.6</v>
          </cell>
          <cell r="G242">
            <v>674.59679999999992</v>
          </cell>
          <cell r="H242">
            <v>156.50645759999998</v>
          </cell>
          <cell r="I242">
            <v>831.10325759999989</v>
          </cell>
        </row>
        <row r="243">
          <cell r="B243" t="str">
            <v>*090233</v>
          </cell>
          <cell r="C243" t="str">
            <v>INSTALACIÓN DE POSTE BT EN ZONA DISPERSA (1 POSTE EN UNA JORNADA)</v>
          </cell>
          <cell r="D243" t="str">
            <v>UN</v>
          </cell>
          <cell r="E243">
            <v>1.92</v>
          </cell>
          <cell r="F243">
            <v>9.6</v>
          </cell>
          <cell r="G243">
            <v>901.69149999999991</v>
          </cell>
          <cell r="H243">
            <v>209.19242799999995</v>
          </cell>
          <cell r="I243">
            <v>1110.8839279999997</v>
          </cell>
        </row>
        <row r="244">
          <cell r="B244" t="str">
            <v>*090234</v>
          </cell>
          <cell r="C244" t="str">
            <v>INSTALACIÓN DE UN PAR DE POSTES BT EN ZONA DISPERSA (2 POSTES EN UNA JORNADA)</v>
          </cell>
          <cell r="D244" t="str">
            <v>PQ</v>
          </cell>
          <cell r="E244">
            <v>1.2</v>
          </cell>
          <cell r="F244">
            <v>9.6</v>
          </cell>
          <cell r="G244">
            <v>1442.7064</v>
          </cell>
          <cell r="H244">
            <v>334.70788479999999</v>
          </cell>
          <cell r="I244">
            <v>1777.4142848000001</v>
          </cell>
        </row>
        <row r="245">
          <cell r="B245" t="str">
            <v>*090235</v>
          </cell>
          <cell r="C245" t="str">
            <v>POSTES HASTA 10 M INSTALACIÓN CON CABRIA</v>
          </cell>
          <cell r="D245" t="str">
            <v>UN</v>
          </cell>
          <cell r="E245">
            <v>2.4047000000000001</v>
          </cell>
          <cell r="F245">
            <v>9.6</v>
          </cell>
          <cell r="G245">
            <v>888.9079999999999</v>
          </cell>
          <cell r="H245">
            <v>206.22665599999996</v>
          </cell>
          <cell r="I245">
            <v>1095.1346559999999</v>
          </cell>
        </row>
        <row r="246">
          <cell r="B246" t="str">
            <v>*090236</v>
          </cell>
          <cell r="C246" t="str">
            <v>DISPONIBLES PARA USO</v>
          </cell>
          <cell r="D246" t="str">
            <v>UN</v>
          </cell>
          <cell r="E246">
            <v>2.0518000000000001</v>
          </cell>
          <cell r="F246">
            <v>9.6</v>
          </cell>
          <cell r="G246">
            <v>865.39740000000006</v>
          </cell>
          <cell r="H246">
            <v>200.77219679999999</v>
          </cell>
          <cell r="I246">
            <v>1066.1695968000001</v>
          </cell>
        </row>
        <row r="247">
          <cell r="B247" t="str">
            <v>*090237</v>
          </cell>
          <cell r="C247" t="str">
            <v>POSTES DE ALTURA MAYOR A 10 M HASTA 15 M INSTALACIÓN CON CABRIA - NO INCLUYE TRACTO</v>
          </cell>
          <cell r="D247" t="str">
            <v>UN</v>
          </cell>
          <cell r="E247">
            <v>2.0518000000000001</v>
          </cell>
          <cell r="F247">
            <v>9.6</v>
          </cell>
          <cell r="G247">
            <v>963.69580000000008</v>
          </cell>
          <cell r="H247">
            <v>223.5774256</v>
          </cell>
          <cell r="I247">
            <v>1187.2732256000002</v>
          </cell>
        </row>
        <row r="248">
          <cell r="B248" t="str">
            <v>*090238</v>
          </cell>
          <cell r="C248" t="str">
            <v>ESCALAMIENTO DE POSTE CON ESCALERA</v>
          </cell>
          <cell r="D248" t="str">
            <v>UN</v>
          </cell>
          <cell r="E248">
            <v>45.5</v>
          </cell>
          <cell r="F248">
            <v>9.6</v>
          </cell>
          <cell r="G248">
            <v>10.5899</v>
          </cell>
          <cell r="H248">
            <v>2.4568567999999997</v>
          </cell>
          <cell r="I248">
            <v>13.046756800000001</v>
          </cell>
        </row>
        <row r="249">
          <cell r="B249" t="str">
            <v>*090239</v>
          </cell>
          <cell r="C249" t="str">
            <v>INSTALACION DE POSTE HASTA 9M-Z. ACCES TERR. ROCOSO(&gt;10)</v>
          </cell>
          <cell r="D249" t="str">
            <v>UN</v>
          </cell>
          <cell r="E249">
            <v>9.9</v>
          </cell>
          <cell r="F249">
            <v>9.6</v>
          </cell>
          <cell r="G249">
            <v>287.57950000000005</v>
          </cell>
          <cell r="H249">
            <v>66.718444000000005</v>
          </cell>
          <cell r="I249">
            <v>354.29794400000003</v>
          </cell>
        </row>
        <row r="250">
          <cell r="B250" t="str">
            <v>*090240</v>
          </cell>
          <cell r="C250" t="str">
            <v>INSTALACION DE POSTE C.A.C. DE 8.70 O 9.00 M</v>
          </cell>
          <cell r="D250" t="str">
            <v>UN</v>
          </cell>
          <cell r="E250">
            <v>4.7117000000000004</v>
          </cell>
          <cell r="F250">
            <v>9.6</v>
          </cell>
          <cell r="G250">
            <v>325.07759999999996</v>
          </cell>
          <cell r="H250">
            <v>75.418003199999987</v>
          </cell>
          <cell r="I250">
            <v>400.49560319999995</v>
          </cell>
        </row>
        <row r="251">
          <cell r="B251" t="str">
            <v>*090241</v>
          </cell>
          <cell r="C251" t="str">
            <v>POSTE C.A.C. HASTA 8.70 O 9.00 m con ahoyador de minicargador</v>
          </cell>
          <cell r="D251" t="str">
            <v>UN</v>
          </cell>
          <cell r="E251">
            <v>6.7160000000000002</v>
          </cell>
          <cell r="F251">
            <v>9.6</v>
          </cell>
          <cell r="G251">
            <v>275.97540000000004</v>
          </cell>
          <cell r="H251">
            <v>64.026292800000007</v>
          </cell>
          <cell r="I251">
            <v>340.00169280000006</v>
          </cell>
        </row>
        <row r="252">
          <cell r="B252" t="str">
            <v>*090248</v>
          </cell>
          <cell r="C252" t="str">
            <v>COLOCACIÓN DE TRÍPODES PARA TRABAJOS EN POSTES DE FE Y DE CAC DE 8,7 M</v>
          </cell>
          <cell r="D252" t="str">
            <v>UN</v>
          </cell>
          <cell r="E252">
            <v>21.0943</v>
          </cell>
          <cell r="F252">
            <v>9.6</v>
          </cell>
          <cell r="G252">
            <v>29.889400000000002</v>
          </cell>
          <cell r="H252">
            <v>6.9343408000000002</v>
          </cell>
          <cell r="I252">
            <v>36.823740800000003</v>
          </cell>
        </row>
        <row r="253">
          <cell r="B253" t="str">
            <v>*090249</v>
          </cell>
          <cell r="C253" t="str">
            <v>INSTALACION DE POSTE HASTA 8.7M Z. ACCES-TERR. NORMAL(&gt;10)</v>
          </cell>
          <cell r="D253" t="str">
            <v>UN</v>
          </cell>
          <cell r="E253">
            <v>12.18</v>
          </cell>
          <cell r="F253">
            <v>9.6</v>
          </cell>
          <cell r="G253">
            <v>178.2039</v>
          </cell>
          <cell r="H253">
            <v>41.343304799999999</v>
          </cell>
          <cell r="I253">
            <v>219.5472048</v>
          </cell>
        </row>
        <row r="254">
          <cell r="B254" t="str">
            <v>*090250</v>
          </cell>
          <cell r="C254" t="str">
            <v>POSTE C.A.C. DE 10.00 MT - No incluye tracto</v>
          </cell>
          <cell r="D254" t="str">
            <v>UN</v>
          </cell>
          <cell r="E254">
            <v>4.03</v>
          </cell>
          <cell r="F254">
            <v>9.6</v>
          </cell>
          <cell r="G254">
            <v>361.65269999999998</v>
          </cell>
          <cell r="H254">
            <v>83.903426399999987</v>
          </cell>
          <cell r="I254">
            <v>445.55612639999998</v>
          </cell>
        </row>
        <row r="255">
          <cell r="B255" t="str">
            <v>*090251</v>
          </cell>
          <cell r="C255" t="str">
            <v>INSTALACIÓN DE REFUERZO PRFV PARA POSTES CAC  C/vereda (Disperso)</v>
          </cell>
          <cell r="D255" t="str">
            <v>UN</v>
          </cell>
          <cell r="E255">
            <v>3.1213000000000002</v>
          </cell>
          <cell r="F255">
            <v>9.6</v>
          </cell>
          <cell r="G255">
            <v>364.43079999999998</v>
          </cell>
          <cell r="H255">
            <v>84.547945599999991</v>
          </cell>
          <cell r="I255">
            <v>448.97874559999997</v>
          </cell>
        </row>
        <row r="256">
          <cell r="B256" t="str">
            <v>*090252</v>
          </cell>
          <cell r="C256" t="str">
            <v>INSTALACIÓN DE REFUERZO PRFV PARA POSTES CAC S/vereda (Disperso)</v>
          </cell>
          <cell r="D256" t="str">
            <v>UN</v>
          </cell>
          <cell r="E256">
            <v>3.4599000000000002</v>
          </cell>
          <cell r="F256">
            <v>9.6</v>
          </cell>
          <cell r="G256">
            <v>329.0172</v>
          </cell>
          <cell r="H256">
            <v>76.331990399999995</v>
          </cell>
          <cell r="I256">
            <v>405.3491904</v>
          </cell>
        </row>
        <row r="257">
          <cell r="B257" t="str">
            <v>*090253</v>
          </cell>
          <cell r="C257" t="str">
            <v>INSTALACIÓN DE REFUERZO PRFV PARA POSTES C/vereda (Masivo)</v>
          </cell>
          <cell r="D257" t="str">
            <v>UN</v>
          </cell>
          <cell r="E257">
            <v>3.2536999999999998</v>
          </cell>
          <cell r="F257">
            <v>9.6</v>
          </cell>
          <cell r="G257">
            <v>349.70580000000001</v>
          </cell>
          <cell r="H257">
            <v>81.131745600000002</v>
          </cell>
          <cell r="I257">
            <v>430.8375456</v>
          </cell>
        </row>
        <row r="258">
          <cell r="B258" t="str">
            <v>*090254</v>
          </cell>
          <cell r="C258" t="str">
            <v>INSTALACIÓN DE REFUERZO PRFV PARA POSTES S/VEREDA (Masivo)</v>
          </cell>
          <cell r="D258" t="str">
            <v>UN</v>
          </cell>
          <cell r="E258">
            <v>3.6313</v>
          </cell>
          <cell r="F258">
            <v>9.6</v>
          </cell>
          <cell r="G258">
            <v>313.60849999999999</v>
          </cell>
          <cell r="H258">
            <v>72.757171999999997</v>
          </cell>
          <cell r="I258">
            <v>386.36567200000002</v>
          </cell>
        </row>
        <row r="259">
          <cell r="B259" t="str">
            <v>*090255</v>
          </cell>
          <cell r="C259" t="str">
            <v>INSTALACIÓN DE REFUERZO PRFV PARA POSTES MT  C/GRUA (Ciment. exist)</v>
          </cell>
          <cell r="D259" t="str">
            <v>UN</v>
          </cell>
          <cell r="E259">
            <v>2.5891999999999999</v>
          </cell>
          <cell r="F259">
            <v>9.6</v>
          </cell>
          <cell r="G259">
            <v>850.51499999999999</v>
          </cell>
          <cell r="H259">
            <v>197.31947999999997</v>
          </cell>
          <cell r="I259">
            <v>1047.83448</v>
          </cell>
        </row>
        <row r="260">
          <cell r="B260" t="str">
            <v>*090256</v>
          </cell>
          <cell r="C260" t="str">
            <v>INSTALACIÓN DE REFUERZO PRFV PARA POSTES MT  CON GRUA s/ciment exist</v>
          </cell>
          <cell r="D260" t="str">
            <v>UN</v>
          </cell>
          <cell r="E260">
            <v>3.871</v>
          </cell>
          <cell r="F260">
            <v>9.6</v>
          </cell>
          <cell r="G260">
            <v>558.12869999999998</v>
          </cell>
          <cell r="H260">
            <v>129.48585839999998</v>
          </cell>
          <cell r="I260">
            <v>687.61455839999996</v>
          </cell>
        </row>
        <row r="261">
          <cell r="B261" t="str">
            <v>*090257</v>
          </cell>
          <cell r="C261" t="str">
            <v>DISPONIBLES PARA USO</v>
          </cell>
          <cell r="D261" t="str">
            <v>UN</v>
          </cell>
          <cell r="E261">
            <v>4.03</v>
          </cell>
          <cell r="F261">
            <v>9.6</v>
          </cell>
          <cell r="G261">
            <v>311.60590000000002</v>
          </cell>
          <cell r="H261">
            <v>72.292568799999998</v>
          </cell>
          <cell r="I261">
            <v>383.89846880000005</v>
          </cell>
        </row>
        <row r="262">
          <cell r="B262" t="str">
            <v>*090260</v>
          </cell>
          <cell r="C262" t="str">
            <v>POSTE C.A.C. DE 11.00 O 11.50 m - No incluye Tracto</v>
          </cell>
          <cell r="D262" t="str">
            <v>UN</v>
          </cell>
          <cell r="E262">
            <v>4.0209000000000001</v>
          </cell>
          <cell r="F262">
            <v>9.6</v>
          </cell>
          <cell r="G262">
            <v>360.69960000000003</v>
          </cell>
          <cell r="H262">
            <v>83.682307199999997</v>
          </cell>
          <cell r="I262">
            <v>444.3819072</v>
          </cell>
        </row>
        <row r="263">
          <cell r="B263" t="str">
            <v>*090261</v>
          </cell>
          <cell r="C263" t="str">
            <v>DISPONIBLES PARA USO</v>
          </cell>
          <cell r="D263" t="str">
            <v>UN</v>
          </cell>
          <cell r="E263">
            <v>4.0209000000000001</v>
          </cell>
          <cell r="F263">
            <v>9.6</v>
          </cell>
          <cell r="G263">
            <v>310.53949999999998</v>
          </cell>
          <cell r="H263">
            <v>72.045163999999986</v>
          </cell>
          <cell r="I263">
            <v>382.58466399999998</v>
          </cell>
        </row>
        <row r="264">
          <cell r="B264" t="str">
            <v>*090268</v>
          </cell>
          <cell r="C264" t="str">
            <v>DISPONIBLES PARA USO</v>
          </cell>
          <cell r="D264" t="str">
            <v>UN</v>
          </cell>
          <cell r="E264">
            <v>3.35</v>
          </cell>
          <cell r="F264">
            <v>9.6</v>
          </cell>
          <cell r="G264">
            <v>407.08320000000003</v>
          </cell>
          <cell r="H264">
            <v>94.443302400000007</v>
          </cell>
          <cell r="I264">
            <v>501.52650240000003</v>
          </cell>
        </row>
        <row r="265">
          <cell r="B265" t="str">
            <v>*090269</v>
          </cell>
          <cell r="C265" t="str">
            <v>DISPONIBLES PARA USO</v>
          </cell>
          <cell r="D265" t="str">
            <v>UN</v>
          </cell>
          <cell r="E265">
            <v>2.9376000000000002</v>
          </cell>
          <cell r="F265">
            <v>9.6</v>
          </cell>
          <cell r="G265">
            <v>481.19460000000004</v>
          </cell>
          <cell r="H265">
            <v>111.6371472</v>
          </cell>
          <cell r="I265">
            <v>592.8317472</v>
          </cell>
        </row>
        <row r="266">
          <cell r="B266" t="str">
            <v>*090270</v>
          </cell>
          <cell r="C266" t="str">
            <v>POSTE C.A.C. DE 13.00 m - No incluye tracto</v>
          </cell>
          <cell r="D266" t="str">
            <v>UN</v>
          </cell>
          <cell r="E266">
            <v>3.35</v>
          </cell>
          <cell r="F266">
            <v>9.6</v>
          </cell>
          <cell r="G266">
            <v>467.28880000000004</v>
          </cell>
          <cell r="H266">
            <v>108.41100160000001</v>
          </cell>
          <cell r="I266">
            <v>575.6998016</v>
          </cell>
        </row>
        <row r="267">
          <cell r="B267" t="str">
            <v>*090279</v>
          </cell>
          <cell r="C267" t="str">
            <v>DESCARGA DE POSTES C.A.C. DE 11.5 METROS A MÁS DE CAMION PLATAFORMA</v>
          </cell>
          <cell r="D267" t="str">
            <v>UN</v>
          </cell>
          <cell r="E267">
            <v>9.1079000000000008</v>
          </cell>
          <cell r="F267">
            <v>9.6</v>
          </cell>
          <cell r="G267">
            <v>61.622900000000001</v>
          </cell>
          <cell r="H267">
            <v>14.296512799999999</v>
          </cell>
          <cell r="I267">
            <v>75.919412800000003</v>
          </cell>
        </row>
        <row r="268">
          <cell r="B268" t="str">
            <v>*090280</v>
          </cell>
          <cell r="C268" t="str">
            <v>POSTE C.A.C. DE 15. m.- No incluye Tracto</v>
          </cell>
          <cell r="D268" t="str">
            <v>UN</v>
          </cell>
          <cell r="E268">
            <v>2.9376000000000002</v>
          </cell>
          <cell r="F268">
            <v>9.6</v>
          </cell>
          <cell r="G268">
            <v>543.44049999999993</v>
          </cell>
          <cell r="H268">
            <v>126.07819599999998</v>
          </cell>
          <cell r="I268">
            <v>669.51869599999986</v>
          </cell>
        </row>
        <row r="269">
          <cell r="B269" t="str">
            <v>*090285</v>
          </cell>
          <cell r="C269" t="str">
            <v>COLOC.POSTE DE MADERA REDONDO CREOSOTADO DE 45 PIES A 70 PIES DE ALTURA</v>
          </cell>
          <cell r="D269" t="str">
            <v>UN</v>
          </cell>
          <cell r="E269">
            <v>3.6456</v>
          </cell>
          <cell r="F269">
            <v>9.6</v>
          </cell>
          <cell r="G269">
            <v>445.75700000000001</v>
          </cell>
          <cell r="H269">
            <v>103.41562399999999</v>
          </cell>
          <cell r="I269">
            <v>549.17262400000004</v>
          </cell>
        </row>
        <row r="270">
          <cell r="B270" t="str">
            <v>*090290</v>
          </cell>
          <cell r="C270" t="str">
            <v>COLOC.POSTE DE MADERA DE 8.00 A 11.00m</v>
          </cell>
          <cell r="D270" t="str">
            <v>UN</v>
          </cell>
          <cell r="E270">
            <v>8.3478999999999992</v>
          </cell>
          <cell r="F270">
            <v>9.6</v>
          </cell>
          <cell r="G270">
            <v>194.666</v>
          </cell>
          <cell r="H270">
            <v>45.162512</v>
          </cell>
          <cell r="I270">
            <v>239.82851199999999</v>
          </cell>
        </row>
        <row r="271">
          <cell r="B271" t="str">
            <v>*090292</v>
          </cell>
          <cell r="C271" t="str">
            <v>CARGA DE POSTES C.A.C. DE 11,5M A MÁS A CAMION PLATAFORMA</v>
          </cell>
          <cell r="D271" t="str">
            <v>UN</v>
          </cell>
          <cell r="E271">
            <v>49.862699999999997</v>
          </cell>
          <cell r="F271">
            <v>9.6</v>
          </cell>
          <cell r="G271">
            <v>40.380400000000002</v>
          </cell>
          <cell r="H271">
            <v>9.3682528000000005</v>
          </cell>
          <cell r="I271">
            <v>49.748652800000002</v>
          </cell>
        </row>
        <row r="272">
          <cell r="B272" t="str">
            <v>*090294</v>
          </cell>
          <cell r="C272" t="str">
            <v>RETIRO DE POSTE C.A.C. DE 13.00 m - NO INCLUYE TRACTO</v>
          </cell>
          <cell r="D272" t="str">
            <v>UN</v>
          </cell>
          <cell r="E272">
            <v>4.7857000000000003</v>
          </cell>
          <cell r="F272">
            <v>9.6</v>
          </cell>
          <cell r="G272">
            <v>327.10299999999995</v>
          </cell>
          <cell r="H272">
            <v>75.887895999999984</v>
          </cell>
          <cell r="I272">
            <v>402.99089599999991</v>
          </cell>
        </row>
        <row r="273">
          <cell r="B273" t="str">
            <v>*090295</v>
          </cell>
          <cell r="C273" t="str">
            <v>RETIRO DE POSTE C.A.C. DE 15. m.- NO INCLUYE TRACTO</v>
          </cell>
          <cell r="D273" t="str">
            <v>UN</v>
          </cell>
          <cell r="E273">
            <v>4.1966000000000001</v>
          </cell>
          <cell r="F273">
            <v>9.6</v>
          </cell>
          <cell r="G273">
            <v>380.4058</v>
          </cell>
          <cell r="H273">
            <v>88.254145599999987</v>
          </cell>
          <cell r="I273">
            <v>468.65994560000001</v>
          </cell>
        </row>
        <row r="274">
          <cell r="B274" t="str">
            <v>*090296</v>
          </cell>
          <cell r="C274" t="str">
            <v>RETIRO DE POSTE C.A.C. DE 11.00 O 11.50 m - NO INCLUYE TRACTO</v>
          </cell>
          <cell r="D274" t="str">
            <v>UN</v>
          </cell>
          <cell r="E274">
            <v>5.7441000000000004</v>
          </cell>
          <cell r="F274">
            <v>9.6</v>
          </cell>
          <cell r="G274">
            <v>252.49169999999998</v>
          </cell>
          <cell r="H274">
            <v>58.578074399999991</v>
          </cell>
          <cell r="I274">
            <v>311.06977439999997</v>
          </cell>
        </row>
        <row r="275">
          <cell r="B275" t="str">
            <v>*090297</v>
          </cell>
          <cell r="C275" t="str">
            <v>POSTE C.A.C. DE 10.00 MT - NO INCLUYE TRACTO</v>
          </cell>
          <cell r="D275" t="str">
            <v>UN</v>
          </cell>
          <cell r="E275">
            <v>5.7571000000000003</v>
          </cell>
          <cell r="F275">
            <v>9.6</v>
          </cell>
          <cell r="G275">
            <v>253.15879999999999</v>
          </cell>
          <cell r="H275">
            <v>58.732841599999993</v>
          </cell>
          <cell r="I275">
            <v>311.89164159999996</v>
          </cell>
        </row>
        <row r="276">
          <cell r="B276" t="str">
            <v>*090298</v>
          </cell>
          <cell r="C276" t="str">
            <v>RETIRO DE POSTE DE MADERA DE 8.00 A 11.00m</v>
          </cell>
          <cell r="D276" t="str">
            <v>UN</v>
          </cell>
          <cell r="E276">
            <v>11.925599999999999</v>
          </cell>
          <cell r="F276">
            <v>9.6</v>
          </cell>
          <cell r="G276">
            <v>136.26580000000001</v>
          </cell>
          <cell r="H276">
            <v>31.613665600000001</v>
          </cell>
          <cell r="I276">
            <v>167.8794656</v>
          </cell>
        </row>
        <row r="277">
          <cell r="B277" t="str">
            <v>*090299</v>
          </cell>
          <cell r="C277" t="str">
            <v>RETIRO DE POSTE DE MADERA REDONDO CREOSOTADO DE 45 PIES A 70 PIES DE ALTURA</v>
          </cell>
          <cell r="D277" t="str">
            <v>UN</v>
          </cell>
          <cell r="E277">
            <v>5.2080000000000002</v>
          </cell>
          <cell r="F277">
            <v>9.6</v>
          </cell>
          <cell r="G277">
            <v>312.0299</v>
          </cell>
          <cell r="H277">
            <v>72.390936799999992</v>
          </cell>
          <cell r="I277">
            <v>384.42083679999996</v>
          </cell>
        </row>
        <row r="278">
          <cell r="B278" t="str">
            <v>*090301</v>
          </cell>
          <cell r="C278" t="str">
            <v>RETIRO DE POSTE HASTA 8.7M Z. ACCES-TERR. NORMAL(&gt;10)</v>
          </cell>
          <cell r="D278" t="str">
            <v>UN</v>
          </cell>
          <cell r="E278">
            <v>17.399999999999999</v>
          </cell>
          <cell r="F278">
            <v>9.6</v>
          </cell>
          <cell r="G278">
            <v>124.7427</v>
          </cell>
          <cell r="H278">
            <v>28.940306399999997</v>
          </cell>
          <cell r="I278">
            <v>153.68300640000001</v>
          </cell>
        </row>
        <row r="279">
          <cell r="B279" t="str">
            <v>*090309</v>
          </cell>
          <cell r="C279" t="str">
            <v>RETIRO DE RETENIDA SIMPLE O VIOLIN MT O BT</v>
          </cell>
          <cell r="D279" t="str">
            <v>UN</v>
          </cell>
          <cell r="E279">
            <v>3.6450999999999998</v>
          </cell>
          <cell r="F279">
            <v>9.6</v>
          </cell>
          <cell r="G279">
            <v>195.35899999999998</v>
          </cell>
          <cell r="H279">
            <v>45.323287999999991</v>
          </cell>
          <cell r="I279">
            <v>240.68228799999997</v>
          </cell>
        </row>
        <row r="280">
          <cell r="B280" t="str">
            <v>*090310</v>
          </cell>
          <cell r="C280" t="str">
            <v>RETENIDA SIMPLE O VIOLIN MT O BT</v>
          </cell>
          <cell r="D280" t="str">
            <v>UN</v>
          </cell>
          <cell r="E280">
            <v>2.5516000000000001</v>
          </cell>
          <cell r="F280">
            <v>9.6</v>
          </cell>
          <cell r="G280">
            <v>279.08089999999999</v>
          </cell>
          <cell r="H280">
            <v>64.746768799999998</v>
          </cell>
          <cell r="I280">
            <v>343.82766879999997</v>
          </cell>
        </row>
        <row r="281">
          <cell r="B281" t="str">
            <v>*090311</v>
          </cell>
          <cell r="C281" t="str">
            <v>TRASLADO DE RETENIDA SIMPLE O VIOLIN MT O BT</v>
          </cell>
          <cell r="D281" t="str">
            <v>UN</v>
          </cell>
          <cell r="E281">
            <v>1.9628000000000001</v>
          </cell>
          <cell r="F281">
            <v>9.6</v>
          </cell>
          <cell r="G281">
            <v>362.79959999999994</v>
          </cell>
          <cell r="H281">
            <v>84.169507199999984</v>
          </cell>
          <cell r="I281">
            <v>446.96910719999994</v>
          </cell>
        </row>
        <row r="282">
          <cell r="B282" t="str">
            <v>*090319</v>
          </cell>
          <cell r="C282" t="str">
            <v>RETIRO RETENIDA-TEMPLADOR AEREO MT Y BT</v>
          </cell>
          <cell r="D282" t="str">
            <v>UN</v>
          </cell>
          <cell r="E282">
            <v>16.096399999999999</v>
          </cell>
          <cell r="F282">
            <v>9.6</v>
          </cell>
          <cell r="G282">
            <v>47.375700000000002</v>
          </cell>
          <cell r="H282">
            <v>10.9911624</v>
          </cell>
          <cell r="I282">
            <v>58.366862400000002</v>
          </cell>
        </row>
        <row r="283">
          <cell r="B283" t="str">
            <v>*090320</v>
          </cell>
          <cell r="C283" t="str">
            <v>RETENIDA-TEMPLADOR AEREO MT Y BT.</v>
          </cell>
          <cell r="D283" t="str">
            <v>UN</v>
          </cell>
          <cell r="E283">
            <v>11.2675</v>
          </cell>
          <cell r="F283">
            <v>9.6</v>
          </cell>
          <cell r="G283">
            <v>67.679400000000001</v>
          </cell>
          <cell r="H283">
            <v>15.701620799999999</v>
          </cell>
          <cell r="I283">
            <v>83.381020800000002</v>
          </cell>
        </row>
        <row r="284">
          <cell r="B284" t="str">
            <v>*090321</v>
          </cell>
          <cell r="C284" t="str">
            <v>TRASLADO DE RETENIDA-TEMPLADOR AEREO MT Y BT.</v>
          </cell>
          <cell r="D284" t="str">
            <v>PQ</v>
          </cell>
          <cell r="E284">
            <v>8.6672999999999991</v>
          </cell>
          <cell r="F284">
            <v>9.6</v>
          </cell>
          <cell r="G284">
            <v>87.983200000000011</v>
          </cell>
          <cell r="H284">
            <v>20.412102400000002</v>
          </cell>
          <cell r="I284">
            <v>108.39530240000002</v>
          </cell>
        </row>
        <row r="285">
          <cell r="B285" t="str">
            <v>*090322</v>
          </cell>
          <cell r="C285" t="str">
            <v>RETENIDA DE MT Y BT - INSTALACIÓN DE ZAPATA</v>
          </cell>
          <cell r="D285" t="str">
            <v>UN</v>
          </cell>
          <cell r="E285">
            <v>4.5537999999999998</v>
          </cell>
          <cell r="F285">
            <v>9.6</v>
          </cell>
          <cell r="G285">
            <v>120.036</v>
          </cell>
          <cell r="H285">
            <v>27.848351999999998</v>
          </cell>
          <cell r="I285">
            <v>147.88435200000001</v>
          </cell>
        </row>
        <row r="286">
          <cell r="B286" t="str">
            <v>*090323</v>
          </cell>
          <cell r="C286" t="str">
            <v>RETIRO DE AISLADOR EN RETENIDA DE MT Y BT</v>
          </cell>
          <cell r="D286" t="str">
            <v>UN</v>
          </cell>
          <cell r="E286">
            <v>9.5412999999999997</v>
          </cell>
          <cell r="F286">
            <v>9.6</v>
          </cell>
          <cell r="G286">
            <v>55.035599999999995</v>
          </cell>
          <cell r="H286">
            <v>12.768259199999997</v>
          </cell>
          <cell r="I286">
            <v>67.803859199999991</v>
          </cell>
        </row>
        <row r="287">
          <cell r="B287" t="str">
            <v>*090324</v>
          </cell>
          <cell r="C287" t="str">
            <v>RETENIDA DE MT Y BT - INSTALACION DE AISLADOR</v>
          </cell>
          <cell r="D287" t="str">
            <v>UN</v>
          </cell>
          <cell r="E287">
            <v>6.6788999999999996</v>
          </cell>
          <cell r="F287">
            <v>9.6</v>
          </cell>
          <cell r="G287">
            <v>78.622399999999999</v>
          </cell>
          <cell r="H287">
            <v>18.240396799999999</v>
          </cell>
          <cell r="I287">
            <v>96.862796799999998</v>
          </cell>
        </row>
        <row r="288">
          <cell r="B288" t="str">
            <v>*090334</v>
          </cell>
          <cell r="C288" t="str">
            <v>RETIRO DE RIEL DE PROTECCION</v>
          </cell>
          <cell r="D288" t="str">
            <v>UN</v>
          </cell>
          <cell r="E288">
            <v>29.2392</v>
          </cell>
          <cell r="F288">
            <v>9.6</v>
          </cell>
          <cell r="G288">
            <v>17.959200000000003</v>
          </cell>
          <cell r="H288">
            <v>4.1665344000000006</v>
          </cell>
          <cell r="I288">
            <v>22.125734400000002</v>
          </cell>
        </row>
        <row r="289">
          <cell r="B289" t="str">
            <v>*090335</v>
          </cell>
          <cell r="C289" t="str">
            <v>COLOCACION RIEL DE PROTECCION</v>
          </cell>
          <cell r="D289" t="str">
            <v>UN</v>
          </cell>
          <cell r="E289">
            <v>20.468</v>
          </cell>
          <cell r="F289">
            <v>9.6</v>
          </cell>
          <cell r="G289">
            <v>25.655199999999997</v>
          </cell>
          <cell r="H289">
            <v>5.9520063999999993</v>
          </cell>
          <cell r="I289">
            <v>31.607206399999995</v>
          </cell>
        </row>
        <row r="290">
          <cell r="B290" t="str">
            <v>*090358</v>
          </cell>
          <cell r="C290" t="str">
            <v>RETIRO DE CABLEADO DE SISTEMA DE PUESTA A TIERRA PARA POSTE NUEVO</v>
          </cell>
          <cell r="D290" t="str">
            <v>UN</v>
          </cell>
          <cell r="E290">
            <v>11.5571</v>
          </cell>
          <cell r="F290">
            <v>9.6</v>
          </cell>
          <cell r="G290">
            <v>51.087600000000002</v>
          </cell>
          <cell r="H290">
            <v>11.852323199999999</v>
          </cell>
          <cell r="I290">
            <v>62.939923200000003</v>
          </cell>
        </row>
        <row r="291">
          <cell r="B291" t="str">
            <v>*090359</v>
          </cell>
          <cell r="C291" t="str">
            <v>RETIRO DE CAJUELA DE CONCRETO PARA POZO TIERRA</v>
          </cell>
          <cell r="D291" t="str">
            <v>UN</v>
          </cell>
          <cell r="E291">
            <v>22.527899999999999</v>
          </cell>
          <cell r="F291">
            <v>9.6</v>
          </cell>
          <cell r="G291">
            <v>11.798200000000001</v>
          </cell>
          <cell r="H291">
            <v>2.7371824</v>
          </cell>
          <cell r="I291">
            <v>14.535382400000001</v>
          </cell>
        </row>
        <row r="292">
          <cell r="B292" t="str">
            <v>*090361</v>
          </cell>
          <cell r="C292" t="str">
            <v>PUESTA A TIERRA TRATADA (CON BENTONITA Y SAL)- CON SUMINISTRO DE TIERRA FINA</v>
          </cell>
          <cell r="D292" t="str">
            <v>UN</v>
          </cell>
          <cell r="E292">
            <v>1.2</v>
          </cell>
          <cell r="F292">
            <v>9.6</v>
          </cell>
          <cell r="G292">
            <v>577.87400000000002</v>
          </cell>
          <cell r="H292">
            <v>134.066768</v>
          </cell>
          <cell r="I292">
            <v>711.94076800000005</v>
          </cell>
        </row>
        <row r="293">
          <cell r="B293" t="str">
            <v>*090362</v>
          </cell>
          <cell r="C293" t="str">
            <v>SOLDADURA EN FRÍO ANTIHURTO DE CONECTOR DE ELECTRODO DE POZO A TIERRA EXISTENTE (EN OBRA)</v>
          </cell>
          <cell r="D293" t="str">
            <v>UN</v>
          </cell>
          <cell r="E293">
            <v>28.584599999999998</v>
          </cell>
          <cell r="F293">
            <v>9.6</v>
          </cell>
          <cell r="G293">
            <v>13.5527</v>
          </cell>
          <cell r="H293">
            <v>3.1442263999999995</v>
          </cell>
          <cell r="I293">
            <v>16.696926399999999</v>
          </cell>
        </row>
        <row r="294">
          <cell r="B294" t="str">
            <v>*090363</v>
          </cell>
          <cell r="C294" t="str">
            <v>SOLDADURA EN FRÍO ANTIHURTO DE CONECTOR DE ELECTRODO DE POZO A TIERRA - NUEVO</v>
          </cell>
          <cell r="D294" t="str">
            <v>UN</v>
          </cell>
          <cell r="E294">
            <v>58.715600000000002</v>
          </cell>
          <cell r="F294">
            <v>9.6</v>
          </cell>
          <cell r="G294">
            <v>5.7311999999999994</v>
          </cell>
          <cell r="H294">
            <v>1.3296383999999997</v>
          </cell>
          <cell r="I294">
            <v>7.0608383999999988</v>
          </cell>
        </row>
        <row r="295">
          <cell r="B295" t="str">
            <v>*090364</v>
          </cell>
          <cell r="C295" t="str">
            <v>POZO DE TIERRA ECONM C/BENT Y SAL P CNEX BT EN PREDIO DEL CLIENTE SIN SUMINISTR TIERRRA FINA</v>
          </cell>
          <cell r="D295" t="str">
            <v>UN</v>
          </cell>
          <cell r="E295">
            <v>2.5636999999999999</v>
          </cell>
          <cell r="F295">
            <v>9.6</v>
          </cell>
          <cell r="G295">
            <v>283.47130000000004</v>
          </cell>
          <cell r="H295">
            <v>65.765341599999999</v>
          </cell>
          <cell r="I295">
            <v>349.23664160000004</v>
          </cell>
        </row>
        <row r="296">
          <cell r="B296" t="str">
            <v>*090366</v>
          </cell>
          <cell r="C296" t="str">
            <v>COLOCACION CAJUELA DE CONCRETO PARA POZO TIERRA</v>
          </cell>
          <cell r="D296" t="str">
            <v>UN</v>
          </cell>
          <cell r="E296">
            <v>15.77</v>
          </cell>
          <cell r="F296">
            <v>9.6</v>
          </cell>
          <cell r="G296">
            <v>16.854200000000002</v>
          </cell>
          <cell r="H296">
            <v>3.9101744000000003</v>
          </cell>
          <cell r="I296">
            <v>20.764374400000001</v>
          </cell>
        </row>
        <row r="297">
          <cell r="B297" t="str">
            <v>*090367</v>
          </cell>
          <cell r="C297" t="str">
            <v>PUESTA A TIERRA TRATADA (CON BENTONITA Y SAL)</v>
          </cell>
          <cell r="D297" t="str">
            <v>UN</v>
          </cell>
          <cell r="E297">
            <v>1.2</v>
          </cell>
          <cell r="F297">
            <v>9.6</v>
          </cell>
          <cell r="G297">
            <v>421.43330000000003</v>
          </cell>
          <cell r="H297">
            <v>97.772525599999994</v>
          </cell>
          <cell r="I297">
            <v>519.20582560000003</v>
          </cell>
        </row>
        <row r="298">
          <cell r="B298" t="str">
            <v>*090368</v>
          </cell>
          <cell r="C298" t="str">
            <v>SUMINISTRO 1,5 M3 DE TIERRA FINA P/POZO TIERRA</v>
          </cell>
          <cell r="D298" t="str">
            <v>UN</v>
          </cell>
          <cell r="E298">
            <v>12.73</v>
          </cell>
          <cell r="F298">
            <v>9.6</v>
          </cell>
          <cell r="G298">
            <v>127.36610000000002</v>
          </cell>
          <cell r="H298">
            <v>29.548935200000003</v>
          </cell>
          <cell r="I298">
            <v>156.91503520000003</v>
          </cell>
        </row>
        <row r="299">
          <cell r="B299" t="str">
            <v>*090370</v>
          </cell>
          <cell r="C299" t="str">
            <v>CABLEADO DE SISTEMA DE PUESTA A TIERRA PARA POSTE NUEVO</v>
          </cell>
          <cell r="D299" t="str">
            <v>UN</v>
          </cell>
          <cell r="E299">
            <v>8.09</v>
          </cell>
          <cell r="F299">
            <v>9.6</v>
          </cell>
          <cell r="G299">
            <v>72.981999999999999</v>
          </cell>
          <cell r="H299">
            <v>16.931823999999999</v>
          </cell>
          <cell r="I299">
            <v>89.913824000000005</v>
          </cell>
        </row>
        <row r="300">
          <cell r="B300" t="str">
            <v>*090371</v>
          </cell>
          <cell r="C300" t="str">
            <v>CABLEADO DEL SISTEMA DE PUESTA  A TIERRA EN PREDIO DEL CLIENTE DE BT</v>
          </cell>
          <cell r="D300" t="str">
            <v>UN</v>
          </cell>
          <cell r="E300">
            <v>21.797999999999998</v>
          </cell>
          <cell r="F300">
            <v>9.6</v>
          </cell>
          <cell r="G300">
            <v>23.17</v>
          </cell>
          <cell r="H300">
            <v>5.3754400000000002</v>
          </cell>
          <cell r="I300">
            <v>28.545440000000003</v>
          </cell>
        </row>
        <row r="301">
          <cell r="B301" t="str">
            <v>*090372</v>
          </cell>
          <cell r="C301" t="str">
            <v>CABLEADO P/CORTOCIRCUITAR EN ESTRUCTURA DE PASO 10KV</v>
          </cell>
          <cell r="D301" t="str">
            <v>UN</v>
          </cell>
          <cell r="E301">
            <v>27.65</v>
          </cell>
          <cell r="F301">
            <v>9.6</v>
          </cell>
          <cell r="G301">
            <v>12.7544</v>
          </cell>
          <cell r="H301">
            <v>2.9590207999999998</v>
          </cell>
          <cell r="I301">
            <v>15.7134208</v>
          </cell>
        </row>
        <row r="302">
          <cell r="B302" t="str">
            <v>*090373</v>
          </cell>
          <cell r="C302" t="str">
            <v>CABLEADO DE SISTEMA DE PUESTA A TIERRA PARA POSTE EXISTENTE</v>
          </cell>
          <cell r="D302" t="str">
            <v>UN</v>
          </cell>
          <cell r="E302">
            <v>4</v>
          </cell>
          <cell r="F302">
            <v>9.6</v>
          </cell>
          <cell r="G302">
            <v>175.61860000000001</v>
          </cell>
          <cell r="H302">
            <v>40.743515199999997</v>
          </cell>
          <cell r="I302">
            <v>216.36211520000001</v>
          </cell>
        </row>
        <row r="303">
          <cell r="B303" t="str">
            <v>*090374</v>
          </cell>
          <cell r="C303" t="str">
            <v>RETIRO DE CABLEADO INTERNO SP/AP PARA CONEXIONADO PAT Y SUBIDA EXTERNA</v>
          </cell>
          <cell r="D303" t="str">
            <v>UN</v>
          </cell>
          <cell r="E303">
            <v>7.8033000000000001</v>
          </cell>
          <cell r="F303">
            <v>9.6</v>
          </cell>
          <cell r="G303">
            <v>75.663499999999999</v>
          </cell>
          <cell r="H303">
            <v>17.553932</v>
          </cell>
          <cell r="I303">
            <v>93.217432000000002</v>
          </cell>
        </row>
        <row r="304">
          <cell r="B304" t="str">
            <v>*090375</v>
          </cell>
          <cell r="C304" t="str">
            <v>PUESTA A TIERRA TÍPICA (VARILLA HINCADA)</v>
          </cell>
          <cell r="D304" t="str">
            <v>UN</v>
          </cell>
          <cell r="E304">
            <v>7.5406000000000004</v>
          </cell>
          <cell r="F304">
            <v>9.6</v>
          </cell>
          <cell r="G304">
            <v>46.3598</v>
          </cell>
          <cell r="H304">
            <v>10.755473599999998</v>
          </cell>
          <cell r="I304">
            <v>57.115273599999995</v>
          </cell>
        </row>
        <row r="305">
          <cell r="B305" t="str">
            <v>*090376</v>
          </cell>
          <cell r="C305" t="str">
            <v>SISTEMA DE PUESTA A TIERRA HORIZONTAL C/CEMENTO CONDUCTIVO - ZONA ROCOSA</v>
          </cell>
          <cell r="D305" t="str">
            <v>UN</v>
          </cell>
          <cell r="E305">
            <v>2.7105999999999999</v>
          </cell>
          <cell r="F305">
            <v>9.6</v>
          </cell>
          <cell r="G305">
            <v>182.52930000000003</v>
          </cell>
          <cell r="H305">
            <v>42.346797600000002</v>
          </cell>
          <cell r="I305">
            <v>224.87609760000004</v>
          </cell>
        </row>
        <row r="306">
          <cell r="B306" t="str">
            <v>*090377</v>
          </cell>
          <cell r="C306" t="str">
            <v>SUMINISTRO 1 M3 DE TIERRA FINA</v>
          </cell>
          <cell r="D306" t="str">
            <v>M3</v>
          </cell>
          <cell r="E306">
            <v>17.96</v>
          </cell>
          <cell r="F306">
            <v>9.6</v>
          </cell>
          <cell r="G306">
            <v>85.765000000000001</v>
          </cell>
          <cell r="H306">
            <v>19.897479999999998</v>
          </cell>
          <cell r="I306">
            <v>105.66248</v>
          </cell>
        </row>
        <row r="307">
          <cell r="B307" t="str">
            <v>*090378</v>
          </cell>
          <cell r="C307" t="str">
            <v>UBICACIÓN, REVISIÓN, MEDICIÓN Y REGISTRO DE PUESTAS A TIERRA</v>
          </cell>
          <cell r="D307" t="str">
            <v>UN</v>
          </cell>
          <cell r="E307">
            <v>12</v>
          </cell>
          <cell r="F307">
            <v>9.6</v>
          </cell>
          <cell r="G307">
            <v>62.059100000000001</v>
          </cell>
          <cell r="H307">
            <v>14.3977112</v>
          </cell>
          <cell r="I307">
            <v>76.456811200000004</v>
          </cell>
        </row>
        <row r="308">
          <cell r="B308" t="str">
            <v>*090381</v>
          </cell>
          <cell r="C308" t="str">
            <v>RETIRO DE CABLEADO DE SISTEMA DE PUESTA A TIERRA PARA POSTE EXISTENTE</v>
          </cell>
          <cell r="D308" t="str">
            <v>UN</v>
          </cell>
          <cell r="E308">
            <v>5.7142999999999997</v>
          </cell>
          <cell r="F308">
            <v>9.6</v>
          </cell>
          <cell r="G308">
            <v>122.9327</v>
          </cell>
          <cell r="H308">
            <v>28.520386399999996</v>
          </cell>
          <cell r="I308">
            <v>151.45308639999999</v>
          </cell>
        </row>
        <row r="309">
          <cell r="B309" t="str">
            <v>*090391</v>
          </cell>
          <cell r="C309" t="str">
            <v>RETIRO PERNO PARA ANCLAJE CABLE AUTOSOPORTADO</v>
          </cell>
          <cell r="D309" t="str">
            <v>UN</v>
          </cell>
          <cell r="E309">
            <v>95.711600000000004</v>
          </cell>
          <cell r="F309">
            <v>9.6</v>
          </cell>
          <cell r="G309">
            <v>5.5415000000000001</v>
          </cell>
          <cell r="H309">
            <v>1.285628</v>
          </cell>
          <cell r="I309">
            <v>6.8271280000000001</v>
          </cell>
        </row>
        <row r="310">
          <cell r="B310" t="str">
            <v>*090392</v>
          </cell>
          <cell r="C310" t="str">
            <v>PERNO PARA ANCLAJE CABLE AUTOSOPORTADO</v>
          </cell>
          <cell r="D310" t="str">
            <v>UN</v>
          </cell>
          <cell r="E310">
            <v>67</v>
          </cell>
          <cell r="F310">
            <v>9.6</v>
          </cell>
          <cell r="G310">
            <v>7.9161999999999999</v>
          </cell>
          <cell r="H310">
            <v>1.8365583999999999</v>
          </cell>
          <cell r="I310">
            <v>9.7527583999999994</v>
          </cell>
        </row>
        <row r="311">
          <cell r="B311" t="str">
            <v>*090393</v>
          </cell>
          <cell r="C311" t="str">
            <v>TRASLADO DE PERNO PARA ANCLAJE CABLE AUTOSOPORTADO</v>
          </cell>
          <cell r="D311" t="str">
            <v>UN</v>
          </cell>
          <cell r="E311">
            <v>51.5383</v>
          </cell>
          <cell r="F311">
            <v>9.6</v>
          </cell>
          <cell r="G311">
            <v>10.2911</v>
          </cell>
          <cell r="H311">
            <v>2.3875351999999999</v>
          </cell>
          <cell r="I311">
            <v>12.6786352</v>
          </cell>
        </row>
        <row r="312">
          <cell r="B312" t="str">
            <v>*090394</v>
          </cell>
          <cell r="C312" t="str">
            <v>PUNTO DE FIJACION  CABLE AUTOSOPORTADO</v>
          </cell>
          <cell r="D312" t="str">
            <v>UN</v>
          </cell>
          <cell r="E312">
            <v>22.75</v>
          </cell>
          <cell r="F312">
            <v>9.6</v>
          </cell>
          <cell r="G312">
            <v>19.276699999999998</v>
          </cell>
          <cell r="H312">
            <v>4.4721943999999993</v>
          </cell>
          <cell r="I312">
            <v>23.748894399999998</v>
          </cell>
        </row>
        <row r="313">
          <cell r="B313" t="str">
            <v>*090395</v>
          </cell>
          <cell r="C313" t="str">
            <v>RETIRO PUNTO DE FIJACION  CABLE AUTOSOPORTADO</v>
          </cell>
          <cell r="D313" t="str">
            <v>UN</v>
          </cell>
          <cell r="E313">
            <v>32.499099999999999</v>
          </cell>
          <cell r="F313">
            <v>9.6</v>
          </cell>
          <cell r="G313">
            <v>13.4941</v>
          </cell>
          <cell r="H313">
            <v>3.1306311999999998</v>
          </cell>
          <cell r="I313">
            <v>16.624731199999999</v>
          </cell>
        </row>
        <row r="314">
          <cell r="B314" t="str">
            <v>*090396</v>
          </cell>
          <cell r="C314" t="str">
            <v>TRASLADO DE PUNTO DE FIJACION  CABLE AUTOSOPORTADO</v>
          </cell>
          <cell r="D314" t="str">
            <v>M</v>
          </cell>
          <cell r="E314">
            <v>17.5</v>
          </cell>
          <cell r="F314">
            <v>9.6</v>
          </cell>
          <cell r="G314">
            <v>25.059600000000003</v>
          </cell>
          <cell r="H314">
            <v>5.8138272000000004</v>
          </cell>
          <cell r="I314">
            <v>30.873427200000002</v>
          </cell>
        </row>
        <row r="315">
          <cell r="B315" t="str">
            <v>*090429</v>
          </cell>
          <cell r="C315" t="str">
            <v>RETIRO PORTALINEA DE PASO O REMATE DE 1 A 5 VIAS</v>
          </cell>
          <cell r="D315" t="str">
            <v>UN</v>
          </cell>
          <cell r="E315">
            <v>31.899100000000001</v>
          </cell>
          <cell r="F315">
            <v>9.6</v>
          </cell>
          <cell r="G315">
            <v>15.287800000000001</v>
          </cell>
          <cell r="H315">
            <v>3.5467695999999997</v>
          </cell>
          <cell r="I315">
            <v>18.834569600000002</v>
          </cell>
        </row>
        <row r="316">
          <cell r="B316" t="str">
            <v>*090430</v>
          </cell>
          <cell r="C316" t="str">
            <v>PORTALINEA DE PASO O REMATE DE 1 A 5 VIAS</v>
          </cell>
          <cell r="D316" t="str">
            <v>UN</v>
          </cell>
          <cell r="E316">
            <v>22.33</v>
          </cell>
          <cell r="F316">
            <v>9.6</v>
          </cell>
          <cell r="G316">
            <v>21.839099999999998</v>
          </cell>
          <cell r="H316">
            <v>5.0666711999999992</v>
          </cell>
          <cell r="I316">
            <v>26.905771199999997</v>
          </cell>
        </row>
        <row r="317">
          <cell r="B317" t="str">
            <v>*090431</v>
          </cell>
          <cell r="C317" t="str">
            <v>TRASLADO DE PORTALINEA DE PASO O REMATE DE 1 A 5 VIAS</v>
          </cell>
          <cell r="D317" t="str">
            <v>UN</v>
          </cell>
          <cell r="E317">
            <v>17.1769</v>
          </cell>
          <cell r="F317">
            <v>9.6</v>
          </cell>
          <cell r="G317">
            <v>28.390999999999998</v>
          </cell>
          <cell r="H317">
            <v>6.5867119999999995</v>
          </cell>
          <cell r="I317">
            <v>34.977711999999997</v>
          </cell>
        </row>
        <row r="318">
          <cell r="B318" t="str">
            <v>*090450</v>
          </cell>
          <cell r="C318" t="str">
            <v>"ESPACIADOR DE 6"" (SEPARADOR PVC)"</v>
          </cell>
          <cell r="D318" t="str">
            <v>UN</v>
          </cell>
          <cell r="E318">
            <v>39.454999999999998</v>
          </cell>
          <cell r="F318">
            <v>9.6</v>
          </cell>
          <cell r="G318">
            <v>21.25</v>
          </cell>
          <cell r="H318">
            <v>4.93</v>
          </cell>
          <cell r="I318">
            <v>26.18</v>
          </cell>
        </row>
        <row r="319">
          <cell r="B319" t="str">
            <v>*090465</v>
          </cell>
          <cell r="C319" t="str">
            <v>RETIRO DE POSTE FE 4" A 5" DIAM DE 7M A 11,5M; TRAB MASIVO EN CTRL TEC Y CAL SERV</v>
          </cell>
          <cell r="D319" t="str">
            <v>UN</v>
          </cell>
          <cell r="E319">
            <v>24.492699999999999</v>
          </cell>
          <cell r="F319">
            <v>9.6</v>
          </cell>
          <cell r="G319">
            <v>59.190800000000003</v>
          </cell>
          <cell r="H319">
            <v>13.7322656</v>
          </cell>
          <cell r="I319">
            <v>72.923065600000001</v>
          </cell>
        </row>
        <row r="320">
          <cell r="B320" t="str">
            <v>*090466</v>
          </cell>
          <cell r="C320" t="str">
            <v>RETIRO DE POSTES DE PRFV HASTA 8.7 M EN ZONA INACCESIBLE CON CIMENTACIÓN - PROYECTOS</v>
          </cell>
          <cell r="D320" t="str">
            <v>UN</v>
          </cell>
          <cell r="E320">
            <v>33.395899999999997</v>
          </cell>
          <cell r="F320">
            <v>9.6</v>
          </cell>
          <cell r="G320">
            <v>112.11409999999999</v>
          </cell>
          <cell r="H320">
            <v>26.010471199999998</v>
          </cell>
          <cell r="I320">
            <v>138.12457119999999</v>
          </cell>
        </row>
        <row r="321">
          <cell r="B321" t="str">
            <v>*090467</v>
          </cell>
          <cell r="C321" t="str">
            <v>RETIRO DE POSTE C.A.C. DE 6.00 7.00 U 8.00 m</v>
          </cell>
          <cell r="D321" t="str">
            <v>UN</v>
          </cell>
          <cell r="E321">
            <v>10.428599999999999</v>
          </cell>
          <cell r="F321">
            <v>9.6</v>
          </cell>
          <cell r="G321">
            <v>165.54860000000002</v>
          </cell>
          <cell r="H321">
            <v>38.407275200000001</v>
          </cell>
          <cell r="I321">
            <v>203.95587520000004</v>
          </cell>
        </row>
        <row r="322">
          <cell r="B322" t="str">
            <v>*090468</v>
          </cell>
          <cell r="C322" t="str">
            <v>RETIRO DE POSTES DE PRFV HASTA 8.7 M EN ZONA INACCESIBLE CON CIMENTACIÓN</v>
          </cell>
          <cell r="D322" t="str">
            <v>UN</v>
          </cell>
          <cell r="E322">
            <v>19.535799999999998</v>
          </cell>
          <cell r="F322">
            <v>9.6</v>
          </cell>
          <cell r="G322">
            <v>141.4194</v>
          </cell>
          <cell r="H322">
            <v>32.809300799999995</v>
          </cell>
          <cell r="I322">
            <v>174.22870079999998</v>
          </cell>
        </row>
        <row r="323">
          <cell r="B323" t="str">
            <v>*090469</v>
          </cell>
          <cell r="C323" t="str">
            <v>RETIRO POSTE FE 4"" A 5"" DIAM DE 7m A 11,5m"</v>
          </cell>
          <cell r="D323" t="str">
            <v>UN</v>
          </cell>
          <cell r="E323">
            <v>17.142900000000001</v>
          </cell>
          <cell r="F323">
            <v>9.6</v>
          </cell>
          <cell r="G323">
            <v>76.730099999999993</v>
          </cell>
          <cell r="H323">
            <v>17.801383199999997</v>
          </cell>
          <cell r="I323">
            <v>94.531483199999997</v>
          </cell>
        </row>
        <row r="324">
          <cell r="B324" t="str">
            <v>*090470</v>
          </cell>
          <cell r="C324" t="str">
            <v>CAMBIO DE POSTE INACCESIBLE CON CABRIA  DE CAC POR PRFV  MENOR A 10M C/VEREDA</v>
          </cell>
          <cell r="D324" t="str">
            <v>UN</v>
          </cell>
          <cell r="E324">
            <v>2.0863999999999998</v>
          </cell>
          <cell r="F324">
            <v>9.6</v>
          </cell>
          <cell r="G324">
            <v>1251.4668999999999</v>
          </cell>
          <cell r="H324">
            <v>290.34032079999997</v>
          </cell>
          <cell r="I324">
            <v>1541.8072207999999</v>
          </cell>
        </row>
        <row r="325">
          <cell r="B325" t="str">
            <v>*090471</v>
          </cell>
          <cell r="C325" t="str">
            <v>CAMBIO DE POSTE INACCESIBLE CON CABRIA DE CAC POR PRFV MENOR A 10M S/VEREDA</v>
          </cell>
          <cell r="D325" t="str">
            <v>UN</v>
          </cell>
          <cell r="E325">
            <v>2.4344000000000001</v>
          </cell>
          <cell r="F325">
            <v>9.6</v>
          </cell>
          <cell r="G325">
            <v>1065.395</v>
          </cell>
          <cell r="H325">
            <v>247.17163999999997</v>
          </cell>
          <cell r="I325">
            <v>1312.56664</v>
          </cell>
        </row>
        <row r="326">
          <cell r="B326" t="str">
            <v>*090472</v>
          </cell>
          <cell r="C326" t="str">
            <v>CAMBIO DE POSTE NORMAL CON VEREDA</v>
          </cell>
          <cell r="D326" t="str">
            <v>UN</v>
          </cell>
          <cell r="E326">
            <v>2.4672999999999998</v>
          </cell>
          <cell r="F326">
            <v>9.6</v>
          </cell>
          <cell r="G326">
            <v>891.20740000000001</v>
          </cell>
          <cell r="H326">
            <v>206.76011679999999</v>
          </cell>
          <cell r="I326">
            <v>1097.9675167999999</v>
          </cell>
        </row>
        <row r="327">
          <cell r="B327" t="str">
            <v>*090473</v>
          </cell>
          <cell r="C327" t="str">
            <v>CAMBIO DE POSTE NORMAL SIN VEREDA</v>
          </cell>
          <cell r="D327" t="str">
            <v>UN</v>
          </cell>
          <cell r="E327">
            <v>2.6158999999999999</v>
          </cell>
          <cell r="F327">
            <v>9.6</v>
          </cell>
          <cell r="G327">
            <v>797.32709999999997</v>
          </cell>
          <cell r="H327">
            <v>184.97988719999998</v>
          </cell>
          <cell r="I327">
            <v>982.30698719999998</v>
          </cell>
        </row>
        <row r="328">
          <cell r="B328" t="str">
            <v>*090475</v>
          </cell>
          <cell r="C328" t="str">
            <v>CAMBIO DE POSTE DE FIERRO O CAC HASTA 9 M C/VEREDA (Masivo)</v>
          </cell>
          <cell r="D328" t="str">
            <v>UN</v>
          </cell>
          <cell r="E328">
            <v>3.9708000000000001</v>
          </cell>
          <cell r="F328">
            <v>9.6</v>
          </cell>
          <cell r="G328">
            <v>611.97649999999999</v>
          </cell>
          <cell r="H328">
            <v>141.97854799999999</v>
          </cell>
          <cell r="I328">
            <v>753.95504800000003</v>
          </cell>
        </row>
        <row r="329">
          <cell r="B329" t="str">
            <v>*090476</v>
          </cell>
          <cell r="C329" t="str">
            <v>CAMBIO DE POSTE DE FIERRO O CAC HASTA 9 M S/VEREDA (Masivo)</v>
          </cell>
          <cell r="D329" t="str">
            <v>UN</v>
          </cell>
          <cell r="E329">
            <v>4.4610000000000003</v>
          </cell>
          <cell r="F329">
            <v>9.6</v>
          </cell>
          <cell r="G329">
            <v>544.72910000000002</v>
          </cell>
          <cell r="H329">
            <v>126.3771512</v>
          </cell>
          <cell r="I329">
            <v>671.10625119999997</v>
          </cell>
        </row>
        <row r="330">
          <cell r="B330" t="str">
            <v>*090477</v>
          </cell>
          <cell r="C330" t="str">
            <v>PROTECTOR PARA POSTE DE FE C/VEREDA</v>
          </cell>
          <cell r="D330" t="str">
            <v>UN</v>
          </cell>
          <cell r="E330">
            <v>2.8641999999999999</v>
          </cell>
          <cell r="F330">
            <v>9.6</v>
          </cell>
          <cell r="G330">
            <v>220.8646</v>
          </cell>
          <cell r="H330">
            <v>51.240587199999993</v>
          </cell>
          <cell r="I330">
            <v>272.10518719999999</v>
          </cell>
        </row>
        <row r="331">
          <cell r="B331" t="str">
            <v>*090478</v>
          </cell>
          <cell r="C331" t="str">
            <v>PROTECTOR PARA POSTE DE FE S/VEREDA</v>
          </cell>
          <cell r="D331" t="str">
            <v>UN</v>
          </cell>
          <cell r="E331">
            <v>3.0804999999999998</v>
          </cell>
          <cell r="F331">
            <v>9.6</v>
          </cell>
          <cell r="G331">
            <v>206.29570000000001</v>
          </cell>
          <cell r="H331">
            <v>47.860602399999998</v>
          </cell>
          <cell r="I331">
            <v>254.15630240000002</v>
          </cell>
        </row>
        <row r="332">
          <cell r="B332" t="str">
            <v>*090479</v>
          </cell>
          <cell r="C332" t="str">
            <v>CAMBIO DE POSTE INACCESIBLE (Terreno normal, pendiente máxima 20°)</v>
          </cell>
          <cell r="D332" t="str">
            <v>UN</v>
          </cell>
          <cell r="E332">
            <v>1.6808000000000001</v>
          </cell>
          <cell r="F332">
            <v>9.6</v>
          </cell>
          <cell r="G332">
            <v>1411.2267999999999</v>
          </cell>
          <cell r="H332">
            <v>327.40461759999994</v>
          </cell>
          <cell r="I332">
            <v>1738.6314175999998</v>
          </cell>
        </row>
        <row r="333">
          <cell r="B333" t="str">
            <v>*090480</v>
          </cell>
          <cell r="C333" t="str">
            <v>COLOC.POSTE C.A.C. DE 6.00 7.00 U 8.00 m</v>
          </cell>
          <cell r="D333" t="str">
            <v>UN</v>
          </cell>
          <cell r="E333">
            <v>7.3</v>
          </cell>
          <cell r="F333">
            <v>9.6</v>
          </cell>
          <cell r="G333">
            <v>236.49870000000001</v>
          </cell>
          <cell r="H333">
            <v>54.867698400000002</v>
          </cell>
          <cell r="I333">
            <v>291.36639840000004</v>
          </cell>
        </row>
        <row r="334">
          <cell r="B334" t="str">
            <v>*090481</v>
          </cell>
          <cell r="C334" t="str">
            <v>INSTALACIÓN DE POSTES CAC HASTA 8.7M EN ZONAS INACCESIBLES (Cimentado c/Red aérea)</v>
          </cell>
          <cell r="D334" t="str">
            <v>UN</v>
          </cell>
          <cell r="E334">
            <v>1.2764</v>
          </cell>
          <cell r="F334">
            <v>9.6</v>
          </cell>
          <cell r="G334">
            <v>1816.6211000000001</v>
          </cell>
          <cell r="H334">
            <v>421.45609519999999</v>
          </cell>
          <cell r="I334">
            <v>2238.0771952</v>
          </cell>
        </row>
        <row r="335">
          <cell r="B335" t="str">
            <v>*090482</v>
          </cell>
          <cell r="C335" t="str">
            <v>INSTALACIÓN DE POSTES DE PRFV HASTA 8.7 M EN ZONA INACCESIBLE CON CIMENTACIÓN</v>
          </cell>
          <cell r="D335" t="str">
            <v>UN</v>
          </cell>
          <cell r="E335">
            <v>11.2492</v>
          </cell>
          <cell r="F335">
            <v>9.6</v>
          </cell>
          <cell r="G335">
            <v>202.7517</v>
          </cell>
          <cell r="H335">
            <v>47.038394399999994</v>
          </cell>
          <cell r="I335">
            <v>249.79009439999999</v>
          </cell>
        </row>
        <row r="336">
          <cell r="B336" t="str">
            <v>*090483</v>
          </cell>
          <cell r="C336" t="str">
            <v>INSTALACIÓN DE POSTES DE PRFV HASTA 8.7 M EN ZONA INACCESIBLE CON CIMENTACIÓN - PROYECTOS</v>
          </cell>
          <cell r="D336" t="str">
            <v>UN</v>
          </cell>
          <cell r="E336">
            <v>17.5152</v>
          </cell>
          <cell r="F336">
            <v>9.6</v>
          </cell>
          <cell r="G336">
            <v>161.0335</v>
          </cell>
          <cell r="H336">
            <v>37.359772</v>
          </cell>
          <cell r="I336">
            <v>198.393272</v>
          </cell>
        </row>
        <row r="337">
          <cell r="B337" t="str">
            <v>*090484</v>
          </cell>
          <cell r="C337" t="str">
            <v>COLOC. POSTE FE 4" A 5" DIAM DE 7M A 11,5M; TRAB MASIVO EN CTRL TEC Y CAL SERV</v>
          </cell>
          <cell r="D337" t="str">
            <v>UN</v>
          </cell>
          <cell r="E337">
            <v>17.1449</v>
          </cell>
          <cell r="F337">
            <v>9.6</v>
          </cell>
          <cell r="G337">
            <v>84.558199999999999</v>
          </cell>
          <cell r="H337">
            <v>19.617502399999999</v>
          </cell>
          <cell r="I337">
            <v>104.17570240000001</v>
          </cell>
        </row>
        <row r="338">
          <cell r="B338" t="str">
            <v>*090485</v>
          </cell>
          <cell r="C338" t="str">
            <v>"COLOC.POSTE FE 4"" A 5"" DIAM DE 7m A 11,5m"</v>
          </cell>
          <cell r="D338" t="str">
            <v>UN</v>
          </cell>
          <cell r="E338">
            <v>12</v>
          </cell>
          <cell r="F338">
            <v>9.6</v>
          </cell>
          <cell r="G338">
            <v>109.61479999999999</v>
          </cell>
          <cell r="H338">
            <v>25.430633599999997</v>
          </cell>
          <cell r="I338">
            <v>135.0454336</v>
          </cell>
        </row>
        <row r="339">
          <cell r="B339" t="str">
            <v>*090491</v>
          </cell>
          <cell r="C339" t="str">
            <v>RETIRO DE POSTE TUBULAR DE ACERO EN ZONA INACCESIBLE</v>
          </cell>
          <cell r="D339" t="str">
            <v>UN</v>
          </cell>
          <cell r="E339">
            <v>26.404699999999998</v>
          </cell>
          <cell r="F339">
            <v>9.6</v>
          </cell>
          <cell r="G339">
            <v>113.15219999999999</v>
          </cell>
          <cell r="H339">
            <v>26.251310399999998</v>
          </cell>
          <cell r="I339">
            <v>139.40351039999999</v>
          </cell>
        </row>
        <row r="340">
          <cell r="B340" t="str">
            <v>*090492</v>
          </cell>
          <cell r="C340" t="str">
            <v>INSTALACIÓN MASIVA DE POSTE TUBULAR DE ACERO EN ZONA INACCESIBLE</v>
          </cell>
          <cell r="D340" t="str">
            <v>UN</v>
          </cell>
          <cell r="E340">
            <v>14.91</v>
          </cell>
          <cell r="F340">
            <v>9.6</v>
          </cell>
          <cell r="G340">
            <v>162.61679999999998</v>
          </cell>
          <cell r="H340">
            <v>37.727097599999993</v>
          </cell>
          <cell r="I340">
            <v>200.34389759999999</v>
          </cell>
        </row>
        <row r="341">
          <cell r="B341" t="str">
            <v>*090493</v>
          </cell>
          <cell r="C341" t="str">
            <v>Medición de electrizamiento de postes metálicos - Masivo</v>
          </cell>
          <cell r="D341" t="str">
            <v>UN</v>
          </cell>
          <cell r="E341">
            <v>121.88460000000001</v>
          </cell>
          <cell r="F341">
            <v>9.6</v>
          </cell>
          <cell r="G341">
            <v>5.7882999999999996</v>
          </cell>
          <cell r="H341">
            <v>1.3428855999999998</v>
          </cell>
          <cell r="I341">
            <v>7.1311855999999993</v>
          </cell>
        </row>
        <row r="342">
          <cell r="B342" t="str">
            <v>*090494</v>
          </cell>
          <cell r="C342" t="str">
            <v>INSTALACIÓN DE POSTES DE FE  7M ZONA INACCESIBLE (&gt;5Un)</v>
          </cell>
          <cell r="D342" t="str">
            <v>UN</v>
          </cell>
          <cell r="E342">
            <v>12.873799999999999</v>
          </cell>
          <cell r="F342">
            <v>9.6</v>
          </cell>
          <cell r="G342">
            <v>196.39680000000001</v>
          </cell>
          <cell r="H342">
            <v>45.564057599999998</v>
          </cell>
          <cell r="I342">
            <v>241.9608576</v>
          </cell>
        </row>
        <row r="343">
          <cell r="B343" t="str">
            <v>*090495</v>
          </cell>
          <cell r="C343" t="str">
            <v>CAMBIO DE POSTE NORMAL CON VEREDA RT-200</v>
          </cell>
          <cell r="D343" t="str">
            <v>UN</v>
          </cell>
          <cell r="E343">
            <v>2</v>
          </cell>
          <cell r="F343">
            <v>9.6</v>
          </cell>
          <cell r="G343">
            <v>1067.9274</v>
          </cell>
          <cell r="H343">
            <v>247.7591568</v>
          </cell>
          <cell r="I343">
            <v>1315.6865568000001</v>
          </cell>
        </row>
        <row r="344">
          <cell r="B344" t="str">
            <v>*090496</v>
          </cell>
          <cell r="C344" t="str">
            <v>CAMBIO DE POSTE NORMAL SIN VEREDA RT-200</v>
          </cell>
          <cell r="D344" t="str">
            <v>UN</v>
          </cell>
          <cell r="E344">
            <v>2.12</v>
          </cell>
          <cell r="F344">
            <v>9.6</v>
          </cell>
          <cell r="G344">
            <v>952.4203</v>
          </cell>
          <cell r="H344">
            <v>220.96150959999997</v>
          </cell>
          <cell r="I344">
            <v>1173.3818096</v>
          </cell>
        </row>
        <row r="345">
          <cell r="B345" t="str">
            <v>*090497</v>
          </cell>
          <cell r="C345" t="str">
            <v>RETIRO DE POSTES DE FE 7M ZONA INACCESIBLE (&gt;5Un)</v>
          </cell>
          <cell r="D345" t="str">
            <v>UN</v>
          </cell>
          <cell r="E345">
            <v>21.088100000000001</v>
          </cell>
          <cell r="F345">
            <v>9.6</v>
          </cell>
          <cell r="G345">
            <v>136.9562</v>
          </cell>
          <cell r="H345">
            <v>31.773838399999995</v>
          </cell>
          <cell r="I345">
            <v>168.73003839999998</v>
          </cell>
        </row>
        <row r="346">
          <cell r="B346" t="str">
            <v>*090509</v>
          </cell>
          <cell r="C346" t="str">
            <v>RETIRO DE PROTECCION RIEL CIMENTADO Y PINTADO(OBRA VENDIDA)</v>
          </cell>
          <cell r="D346" t="str">
            <v>UN</v>
          </cell>
          <cell r="E346">
            <v>4.8392999999999997</v>
          </cell>
          <cell r="F346">
            <v>9.6</v>
          </cell>
          <cell r="G346">
            <v>153.88030000000001</v>
          </cell>
          <cell r="H346">
            <v>35.7002296</v>
          </cell>
          <cell r="I346">
            <v>189.58052960000001</v>
          </cell>
        </row>
        <row r="347">
          <cell r="B347" t="str">
            <v>*090510</v>
          </cell>
          <cell r="C347" t="str">
            <v>PROTECCION RIEL CIMENTADO Y PINTADO(OBRA VENDIDA)</v>
          </cell>
          <cell r="D347" t="str">
            <v>UN</v>
          </cell>
          <cell r="E347">
            <v>3.1168999999999998</v>
          </cell>
          <cell r="F347">
            <v>9.6</v>
          </cell>
          <cell r="G347">
            <v>220.12120000000002</v>
          </cell>
          <cell r="H347">
            <v>51.068118400000003</v>
          </cell>
          <cell r="I347">
            <v>271.18931840000005</v>
          </cell>
        </row>
        <row r="348">
          <cell r="B348" t="str">
            <v>*090511</v>
          </cell>
          <cell r="C348" t="str">
            <v>TRASLADO DE PROTECCION RIEL CIMENTADO Y PINTADO(OBRA VENDIDA)</v>
          </cell>
          <cell r="D348" t="str">
            <v>UN</v>
          </cell>
          <cell r="E348">
            <v>2.2987000000000002</v>
          </cell>
          <cell r="F348">
            <v>9.6</v>
          </cell>
          <cell r="G348">
            <v>286.36599999999999</v>
          </cell>
          <cell r="H348">
            <v>66.436911999999992</v>
          </cell>
          <cell r="I348">
            <v>352.80291199999999</v>
          </cell>
        </row>
        <row r="349">
          <cell r="B349" t="str">
            <v>*090540</v>
          </cell>
          <cell r="C349" t="str">
            <v>RETEMPLAR RETENIDA MT Y BT</v>
          </cell>
          <cell r="D349" t="str">
            <v>UN</v>
          </cell>
          <cell r="E349">
            <v>21</v>
          </cell>
          <cell r="F349">
            <v>9.6</v>
          </cell>
          <cell r="G349">
            <v>23.582799999999999</v>
          </cell>
          <cell r="H349">
            <v>5.471209599999999</v>
          </cell>
          <cell r="I349">
            <v>29.054009599999997</v>
          </cell>
        </row>
        <row r="350">
          <cell r="B350" t="str">
            <v>*090541</v>
          </cell>
          <cell r="C350" t="str">
            <v>Corrección de ubicación de aislador en Retenida Violín en postes de acero 6,4 a 9 m - Masivo</v>
          </cell>
          <cell r="D350" t="str">
            <v>UN</v>
          </cell>
          <cell r="E350">
            <v>2.7682000000000002</v>
          </cell>
          <cell r="F350">
            <v>9.6</v>
          </cell>
          <cell r="G350">
            <v>179.4119</v>
          </cell>
          <cell r="H350">
            <v>41.6235608</v>
          </cell>
          <cell r="I350">
            <v>221.03546080000001</v>
          </cell>
        </row>
        <row r="351">
          <cell r="B351" t="str">
            <v>*090550</v>
          </cell>
          <cell r="C351" t="str">
            <v>RETEMPLAR CONDUCT.CU O AL HASTA 240mm2.</v>
          </cell>
          <cell r="D351" t="str">
            <v>M</v>
          </cell>
          <cell r="E351">
            <v>1181</v>
          </cell>
          <cell r="F351">
            <v>9.6</v>
          </cell>
          <cell r="G351">
            <v>0.998</v>
          </cell>
          <cell r="H351">
            <v>0.23153599999999999</v>
          </cell>
          <cell r="I351">
            <v>1.229536</v>
          </cell>
        </row>
        <row r="352">
          <cell r="B352" t="str">
            <v>*090591</v>
          </cell>
          <cell r="C352" t="str">
            <v>RETIRO DE CANALETA METALICA PROTECTORA PARA SUBIDA DE CABLES DE MT Y BT SIN ZOCALO</v>
          </cell>
          <cell r="D352" t="str">
            <v>UN</v>
          </cell>
          <cell r="E352">
            <v>15.142899999999999</v>
          </cell>
          <cell r="F352">
            <v>9.6</v>
          </cell>
          <cell r="G352">
            <v>32.7044</v>
          </cell>
          <cell r="H352">
            <v>7.5874207999999994</v>
          </cell>
          <cell r="I352">
            <v>40.291820799999996</v>
          </cell>
        </row>
        <row r="353">
          <cell r="B353" t="str">
            <v>*090592</v>
          </cell>
          <cell r="C353" t="str">
            <v>CANALETA METALICA PROTECTORA PARA SUBIDA DE CABLES DE MT Y BT SIN ZOCALO</v>
          </cell>
          <cell r="D353" t="str">
            <v>UN</v>
          </cell>
          <cell r="E353">
            <v>10.6</v>
          </cell>
          <cell r="F353">
            <v>9.6</v>
          </cell>
          <cell r="G353">
            <v>46.720799999999997</v>
          </cell>
          <cell r="H353">
            <v>10.839225599999999</v>
          </cell>
          <cell r="I353">
            <v>57.560025599999996</v>
          </cell>
        </row>
        <row r="354">
          <cell r="B354" t="str">
            <v>*090593</v>
          </cell>
          <cell r="C354" t="str">
            <v>TRASLADO DE CANALETA METALICA PROTECTORA PARA SUBIDA DE CABLES DE MT Y BT SIN ZOCALO</v>
          </cell>
          <cell r="D354" t="str">
            <v>UN</v>
          </cell>
          <cell r="E354">
            <v>8.1538000000000004</v>
          </cell>
          <cell r="F354">
            <v>9.6</v>
          </cell>
          <cell r="G354">
            <v>60.737200000000001</v>
          </cell>
          <cell r="H354">
            <v>14.091030399999999</v>
          </cell>
          <cell r="I354">
            <v>74.828230399999995</v>
          </cell>
        </row>
        <row r="355">
          <cell r="B355" t="str">
            <v>*090594</v>
          </cell>
          <cell r="C355" t="str">
            <v>CANALETA METALICA PROTECTORA PARA SUBIDA DE CABLES MT Y BT CON ZOCALO</v>
          </cell>
          <cell r="D355" t="str">
            <v>UN</v>
          </cell>
          <cell r="E355">
            <v>7.13</v>
          </cell>
          <cell r="F355">
            <v>9.6</v>
          </cell>
          <cell r="G355">
            <v>83.574799999999996</v>
          </cell>
          <cell r="H355">
            <v>19.389353599999996</v>
          </cell>
          <cell r="I355">
            <v>102.96415359999999</v>
          </cell>
        </row>
        <row r="356">
          <cell r="B356" t="str">
            <v>*090595</v>
          </cell>
          <cell r="C356" t="str">
            <v>RETIRO DE CANALETA METALICA PROTECTORA PARA SUBIDA DE CABLES MT Y BT CON ZOCALO</v>
          </cell>
          <cell r="D356" t="str">
            <v>UN</v>
          </cell>
          <cell r="E356">
            <v>11.198399999999999</v>
          </cell>
          <cell r="F356">
            <v>9.6</v>
          </cell>
          <cell r="G356">
            <v>58.340399999999995</v>
          </cell>
          <cell r="H356">
            <v>13.534972799999998</v>
          </cell>
          <cell r="I356">
            <v>71.875372799999994</v>
          </cell>
        </row>
        <row r="357">
          <cell r="B357" t="str">
            <v>*090600</v>
          </cell>
          <cell r="C357" t="str">
            <v>Enderezar poste de madera, fierro o C.A. Bt o Mt (c/vereda)</v>
          </cell>
          <cell r="D357" t="str">
            <v>UN</v>
          </cell>
          <cell r="E357">
            <v>7.9337</v>
          </cell>
          <cell r="F357">
            <v>9.6</v>
          </cell>
          <cell r="G357">
            <v>157.9983</v>
          </cell>
          <cell r="H357">
            <v>36.655605599999994</v>
          </cell>
          <cell r="I357">
            <v>194.6539056</v>
          </cell>
        </row>
        <row r="358">
          <cell r="B358" t="str">
            <v>*090601</v>
          </cell>
          <cell r="C358" t="str">
            <v>Enderezar Poste de madera, fierro o C.A. MT o BT (S/vereda)</v>
          </cell>
          <cell r="D358" t="str">
            <v>UN</v>
          </cell>
          <cell r="E358">
            <v>9.2315000000000005</v>
          </cell>
          <cell r="F358">
            <v>9.6</v>
          </cell>
          <cell r="G358">
            <v>135.78630000000001</v>
          </cell>
          <cell r="H358">
            <v>31.502421600000002</v>
          </cell>
          <cell r="I358">
            <v>167.2887216</v>
          </cell>
        </row>
        <row r="359">
          <cell r="B359" t="str">
            <v>*090620</v>
          </cell>
          <cell r="C359" t="str">
            <v>PERFORACIONES EN MADERA</v>
          </cell>
          <cell r="D359" t="str">
            <v>UN</v>
          </cell>
          <cell r="E359">
            <v>65</v>
          </cell>
          <cell r="F359">
            <v>9.6</v>
          </cell>
          <cell r="G359">
            <v>4.0646000000000004</v>
          </cell>
          <cell r="H359">
            <v>0.94298720000000003</v>
          </cell>
          <cell r="I359">
            <v>5.0075872000000006</v>
          </cell>
        </row>
        <row r="360">
          <cell r="B360" t="str">
            <v>*090630</v>
          </cell>
          <cell r="C360" t="str">
            <v>ARRASTRE DE POSTE DE CONCRETO  B.T.</v>
          </cell>
          <cell r="D360" t="str">
            <v>M</v>
          </cell>
          <cell r="E360">
            <v>292.5</v>
          </cell>
          <cell r="F360">
            <v>9.6</v>
          </cell>
          <cell r="G360">
            <v>7.3478999999999992</v>
          </cell>
          <cell r="H360">
            <v>1.7047127999999998</v>
          </cell>
          <cell r="I360">
            <v>9.0526127999999986</v>
          </cell>
        </row>
        <row r="361">
          <cell r="B361" t="str">
            <v>*090632</v>
          </cell>
          <cell r="C361" t="str">
            <v>ARRASTRE DE POSTE CAC HASTA 9M ZONA INACCES (PEND &gt;30° O GRADAS)</v>
          </cell>
          <cell r="D361" t="str">
            <v>M</v>
          </cell>
          <cell r="E361">
            <v>153.40520000000001</v>
          </cell>
          <cell r="F361">
            <v>9.6</v>
          </cell>
          <cell r="G361">
            <v>11.216799999999999</v>
          </cell>
          <cell r="H361">
            <v>2.6022975999999995</v>
          </cell>
          <cell r="I361">
            <v>13.819097599999999</v>
          </cell>
        </row>
        <row r="362">
          <cell r="B362" t="str">
            <v>*090633</v>
          </cell>
          <cell r="C362" t="str">
            <v>ACARREO DE MATERIALES PARA CIMENTACION DE POSTE BT EN ZONA DE DIFÍCIL ACCESO</v>
          </cell>
          <cell r="D362" t="str">
            <v>M</v>
          </cell>
          <cell r="E362">
            <v>2705.61</v>
          </cell>
          <cell r="F362">
            <v>9.6</v>
          </cell>
          <cell r="G362">
            <v>0.54710000000000003</v>
          </cell>
          <cell r="H362">
            <v>0.12692719999999999</v>
          </cell>
          <cell r="I362">
            <v>0.67402720000000005</v>
          </cell>
        </row>
        <row r="363">
          <cell r="B363" t="str">
            <v>*090634</v>
          </cell>
          <cell r="C363" t="str">
            <v>TRASLADO MANUAL DE POSTE DE Fe DE 7 M EN ZONA INACCESIBLE/PENDIENTE</v>
          </cell>
          <cell r="D363" t="str">
            <v>M</v>
          </cell>
          <cell r="E363">
            <v>3244.3</v>
          </cell>
          <cell r="F363">
            <v>9.6</v>
          </cell>
          <cell r="G363">
            <v>0.2873</v>
          </cell>
          <cell r="H363">
            <v>6.6653599999999993E-2</v>
          </cell>
          <cell r="I363">
            <v>0.35395359999999998</v>
          </cell>
        </row>
        <row r="364">
          <cell r="B364" t="str">
            <v>*090635</v>
          </cell>
          <cell r="C364" t="str">
            <v>TRASLADO MANUAL DE POSTE TUBULAR DE ACERO 6,4M EN ZONA INACCESIBLE/PENDIENTE</v>
          </cell>
          <cell r="D364" t="str">
            <v>M</v>
          </cell>
          <cell r="E364">
            <v>3392.49</v>
          </cell>
          <cell r="F364">
            <v>9.6</v>
          </cell>
          <cell r="G364">
            <v>0.22299999999999998</v>
          </cell>
          <cell r="H364">
            <v>5.173599999999999E-2</v>
          </cell>
          <cell r="I364">
            <v>0.27473599999999998</v>
          </cell>
        </row>
        <row r="365">
          <cell r="B365" t="str">
            <v>*090636</v>
          </cell>
          <cell r="C365" t="str">
            <v>TRASLADO DE POSTES DE CONCRETO A ZONA DE DISPOSICIÓN FINAL</v>
          </cell>
          <cell r="D365" t="str">
            <v>UN</v>
          </cell>
          <cell r="E365">
            <v>28.8</v>
          </cell>
          <cell r="F365">
            <v>9.6</v>
          </cell>
          <cell r="G365">
            <v>34.811199999999999</v>
          </cell>
          <cell r="H365">
            <v>8.0761983999999991</v>
          </cell>
          <cell r="I365">
            <v>42.887398399999995</v>
          </cell>
        </row>
        <row r="366">
          <cell r="B366" t="str">
            <v>*090637</v>
          </cell>
          <cell r="C366" t="str">
            <v>ACARREO DE MATERIALES AP PARA POSTES DE PRFV EN ZONA INACCESIBLE - PROYECTOS</v>
          </cell>
          <cell r="D366" t="str">
            <v>M</v>
          </cell>
          <cell r="E366">
            <v>7140</v>
          </cell>
          <cell r="F366">
            <v>9.6</v>
          </cell>
          <cell r="G366">
            <v>0.246</v>
          </cell>
          <cell r="H366">
            <v>5.7071999999999998E-2</v>
          </cell>
          <cell r="I366">
            <v>0.30307200000000001</v>
          </cell>
        </row>
        <row r="367">
          <cell r="B367" t="str">
            <v>*090640</v>
          </cell>
          <cell r="C367" t="str">
            <v>ARRASTRE DE POSTE DE CONCRETO MT</v>
          </cell>
          <cell r="D367" t="str">
            <v>M</v>
          </cell>
          <cell r="E367">
            <v>198.20519999999999</v>
          </cell>
          <cell r="F367">
            <v>9.6</v>
          </cell>
          <cell r="G367">
            <v>9.8828999999999994</v>
          </cell>
          <cell r="H367">
            <v>2.2928327999999998</v>
          </cell>
          <cell r="I367">
            <v>12.175732799999999</v>
          </cell>
        </row>
        <row r="368">
          <cell r="B368" t="str">
            <v>*090650</v>
          </cell>
          <cell r="C368" t="str">
            <v>ARRASTRE DE POSTE DE MADERA  B.T.</v>
          </cell>
          <cell r="D368" t="str">
            <v>M</v>
          </cell>
          <cell r="E368">
            <v>595.73149999999998</v>
          </cell>
          <cell r="F368">
            <v>9.6</v>
          </cell>
          <cell r="G368">
            <v>1.4053</v>
          </cell>
          <cell r="H368">
            <v>0.32602959999999997</v>
          </cell>
          <cell r="I368">
            <v>1.7313296</v>
          </cell>
        </row>
        <row r="369">
          <cell r="B369" t="str">
            <v>*090660</v>
          </cell>
          <cell r="C369" t="str">
            <v>ARRASTRE DE POSTE DE MADERA MT.</v>
          </cell>
          <cell r="D369" t="str">
            <v/>
          </cell>
          <cell r="E369">
            <v>688.5652</v>
          </cell>
          <cell r="F369">
            <v>9.6</v>
          </cell>
          <cell r="G369">
            <v>1.7647000000000002</v>
          </cell>
          <cell r="H369">
            <v>0.40941040000000001</v>
          </cell>
          <cell r="I369">
            <v>2.1741104</v>
          </cell>
        </row>
        <row r="370">
          <cell r="B370" t="str">
            <v>*090665</v>
          </cell>
          <cell r="C370" t="str">
            <v>Disposición final de postes de Concreto (Destrucción) menor a 15m</v>
          </cell>
          <cell r="D370" t="str">
            <v>UN</v>
          </cell>
          <cell r="E370">
            <v>9.6</v>
          </cell>
          <cell r="F370">
            <v>9.6</v>
          </cell>
          <cell r="G370">
            <v>26.785699999999999</v>
          </cell>
          <cell r="H370">
            <v>6.2142823999999992</v>
          </cell>
          <cell r="I370">
            <v>32.9999824</v>
          </cell>
        </row>
        <row r="371">
          <cell r="B371" t="str">
            <v>*090666</v>
          </cell>
          <cell r="C371" t="str">
            <v>Disposición final de postes de concreto (Destrucción) desde 15m</v>
          </cell>
          <cell r="D371" t="str">
            <v>UN</v>
          </cell>
          <cell r="E371">
            <v>9.6</v>
          </cell>
          <cell r="F371">
            <v>9.6</v>
          </cell>
          <cell r="G371">
            <v>44.642899999999997</v>
          </cell>
          <cell r="H371">
            <v>10.357152799999998</v>
          </cell>
          <cell r="I371">
            <v>55.000052799999992</v>
          </cell>
        </row>
        <row r="372">
          <cell r="B372" t="str">
            <v>*090667</v>
          </cell>
          <cell r="C372" t="str">
            <v>Disposición final de accesorios de postes de Concreto (Destrucción)</v>
          </cell>
          <cell r="D372" t="str">
            <v>UN</v>
          </cell>
          <cell r="E372">
            <v>9.6</v>
          </cell>
          <cell r="F372">
            <v>9.6</v>
          </cell>
          <cell r="G372">
            <v>8.9285999999999994</v>
          </cell>
          <cell r="H372">
            <v>2.0714351999999998</v>
          </cell>
          <cell r="I372">
            <v>11.000035199999999</v>
          </cell>
        </row>
        <row r="373">
          <cell r="B373" t="str">
            <v>*090690</v>
          </cell>
          <cell r="C373" t="str">
            <v>CAZA COMETAS</v>
          </cell>
          <cell r="D373" t="str">
            <v>UN</v>
          </cell>
          <cell r="E373">
            <v>1820</v>
          </cell>
          <cell r="F373">
            <v>9.6</v>
          </cell>
          <cell r="G373">
            <v>0.75029999999999997</v>
          </cell>
          <cell r="H373">
            <v>0.17406959999999999</v>
          </cell>
          <cell r="I373">
            <v>0.9243695999999999</v>
          </cell>
        </row>
        <row r="374">
          <cell r="B374" t="str">
            <v>*090710</v>
          </cell>
          <cell r="C374" t="str">
            <v>LIMPIEZA AISLADOR DE MT.(PIN O SUSPENSIÓN)</v>
          </cell>
          <cell r="D374" t="str">
            <v>UN</v>
          </cell>
          <cell r="E374">
            <v>126.8463</v>
          </cell>
          <cell r="F374">
            <v>9.6</v>
          </cell>
          <cell r="G374">
            <v>3.1939000000000002</v>
          </cell>
          <cell r="H374">
            <v>0.7409848</v>
          </cell>
          <cell r="I374">
            <v>3.9348848000000003</v>
          </cell>
        </row>
        <row r="375">
          <cell r="B375" t="str">
            <v>*090730</v>
          </cell>
          <cell r="C375" t="str">
            <v>ESPIGA DE FIERRO GALVANIZADO</v>
          </cell>
          <cell r="D375" t="str">
            <v>UN</v>
          </cell>
          <cell r="E375">
            <v>69.6511</v>
          </cell>
          <cell r="F375">
            <v>9.6</v>
          </cell>
          <cell r="G375">
            <v>6.1674999999999995</v>
          </cell>
          <cell r="H375">
            <v>1.4308599999999998</v>
          </cell>
          <cell r="I375">
            <v>7.5983599999999996</v>
          </cell>
        </row>
        <row r="376">
          <cell r="B376" t="str">
            <v>*090739</v>
          </cell>
          <cell r="C376" t="str">
            <v>RETIRO DE GRAPA DE TENSION COBRE Y ALUMINIO</v>
          </cell>
          <cell r="D376" t="str">
            <v>UN</v>
          </cell>
          <cell r="E376">
            <v>199.3339</v>
          </cell>
          <cell r="F376">
            <v>9.6</v>
          </cell>
          <cell r="G376">
            <v>2.4845000000000002</v>
          </cell>
          <cell r="H376">
            <v>0.57640400000000003</v>
          </cell>
          <cell r="I376">
            <v>3.0609040000000003</v>
          </cell>
        </row>
        <row r="377">
          <cell r="B377" t="str">
            <v>*090740</v>
          </cell>
          <cell r="C377" t="str">
            <v>GRAPA DE TENSION COBRE Y ALUMINIO</v>
          </cell>
          <cell r="D377" t="str">
            <v>UN</v>
          </cell>
          <cell r="E377">
            <v>139.5377</v>
          </cell>
          <cell r="F377">
            <v>9.6</v>
          </cell>
          <cell r="G377">
            <v>3.5491999999999999</v>
          </cell>
          <cell r="H377">
            <v>0.82341439999999988</v>
          </cell>
          <cell r="I377">
            <v>4.3726143999999998</v>
          </cell>
        </row>
        <row r="378">
          <cell r="B378" t="str">
            <v>*090741</v>
          </cell>
          <cell r="C378" t="str">
            <v>TRASLADO DE GRAPA DE TENSION COBRE Y ALUMINIO</v>
          </cell>
          <cell r="D378" t="str">
            <v>UN</v>
          </cell>
          <cell r="E378">
            <v>107.3365</v>
          </cell>
          <cell r="F378">
            <v>9.6</v>
          </cell>
          <cell r="G378">
            <v>4.6138999999999992</v>
          </cell>
          <cell r="H378">
            <v>1.0704247999999998</v>
          </cell>
          <cell r="I378">
            <v>5.6843247999999988</v>
          </cell>
        </row>
        <row r="379">
          <cell r="B379" t="str">
            <v>*090749</v>
          </cell>
          <cell r="C379" t="str">
            <v>RETIRO DE AISLADOR CARRETE BT</v>
          </cell>
          <cell r="D379" t="str">
            <v>UN</v>
          </cell>
          <cell r="E379">
            <v>110.764</v>
          </cell>
          <cell r="F379">
            <v>9.6</v>
          </cell>
          <cell r="G379">
            <v>2.7991999999999999</v>
          </cell>
          <cell r="H379">
            <v>0.64941439999999995</v>
          </cell>
          <cell r="I379">
            <v>3.4486143999999999</v>
          </cell>
        </row>
        <row r="380">
          <cell r="B380" t="str">
            <v>*090750</v>
          </cell>
          <cell r="C380" t="str">
            <v>AISLADOR CARRETE BT</v>
          </cell>
          <cell r="D380" t="str">
            <v>Un</v>
          </cell>
          <cell r="E380">
            <v>77.537000000000006</v>
          </cell>
          <cell r="F380">
            <v>9.6</v>
          </cell>
          <cell r="G380">
            <v>3.9988000000000001</v>
          </cell>
          <cell r="H380">
            <v>0.92772159999999992</v>
          </cell>
          <cell r="I380">
            <v>4.9265216000000001</v>
          </cell>
        </row>
        <row r="381">
          <cell r="B381" t="str">
            <v>*090751</v>
          </cell>
          <cell r="C381" t="str">
            <v>TRASLADO DE AISLADOR CARRETE BT</v>
          </cell>
          <cell r="D381" t="str">
            <v>UN</v>
          </cell>
          <cell r="E381">
            <v>59.643700000000003</v>
          </cell>
          <cell r="F381">
            <v>9.6</v>
          </cell>
          <cell r="G381">
            <v>5.1985999999999999</v>
          </cell>
          <cell r="H381">
            <v>1.2060751999999999</v>
          </cell>
          <cell r="I381">
            <v>6.4046751999999998</v>
          </cell>
        </row>
        <row r="382">
          <cell r="B382" t="str">
            <v>*090809</v>
          </cell>
          <cell r="C382" t="str">
            <v>RETIRO CONECTOR CUALQUIER TIPO HASTA 300 mm2 EN COBRE O ALUMINIO</v>
          </cell>
          <cell r="D382" t="str">
            <v>UN</v>
          </cell>
          <cell r="E382">
            <v>126.6964</v>
          </cell>
          <cell r="F382">
            <v>9.6</v>
          </cell>
          <cell r="G382">
            <v>3.2443999999999997</v>
          </cell>
          <cell r="H382">
            <v>0.75270079999999984</v>
          </cell>
          <cell r="I382">
            <v>3.9971007999999997</v>
          </cell>
        </row>
        <row r="383">
          <cell r="B383" t="str">
            <v>*090810</v>
          </cell>
          <cell r="C383" t="str">
            <v>CONECTOR CUALQUIER TIPO HASTA 300 mm2 EN COBRE O ALUMINIO</v>
          </cell>
          <cell r="D383" t="str">
            <v>UN</v>
          </cell>
          <cell r="E383">
            <v>88.69</v>
          </cell>
          <cell r="F383">
            <v>9.6</v>
          </cell>
          <cell r="G383">
            <v>4.3090999999999999</v>
          </cell>
          <cell r="H383">
            <v>0.99971119999999991</v>
          </cell>
          <cell r="I383">
            <v>5.3088112000000001</v>
          </cell>
        </row>
        <row r="384">
          <cell r="B384" t="str">
            <v>*090815</v>
          </cell>
          <cell r="C384" t="str">
            <v>Inspección y corrección de Conectores Piercing Masivo en zona accesible, por poste</v>
          </cell>
          <cell r="D384" t="str">
            <v>UN</v>
          </cell>
          <cell r="E384">
            <v>16.3034</v>
          </cell>
          <cell r="F384">
            <v>9.6</v>
          </cell>
          <cell r="G384">
            <v>30.462900000000001</v>
          </cell>
          <cell r="H384">
            <v>7.0673927999999995</v>
          </cell>
          <cell r="I384">
            <v>37.530292799999998</v>
          </cell>
        </row>
        <row r="385">
          <cell r="B385" t="str">
            <v>*090816</v>
          </cell>
          <cell r="C385" t="str">
            <v>Inspección y corrección de Conectores Piercing Masivo en zona de difícil acceso, por poste</v>
          </cell>
          <cell r="D385" t="str">
            <v>UN</v>
          </cell>
          <cell r="E385">
            <v>13.5403</v>
          </cell>
          <cell r="F385">
            <v>9.6</v>
          </cell>
          <cell r="G385">
            <v>36.679099999999998</v>
          </cell>
          <cell r="H385">
            <v>8.5095511999999989</v>
          </cell>
          <cell r="I385">
            <v>45.188651199999995</v>
          </cell>
        </row>
        <row r="386">
          <cell r="B386" t="str">
            <v>*090849</v>
          </cell>
          <cell r="C386" t="str">
            <v>RETIRO DE BLOQUE DE PROTECCION CONCRETO</v>
          </cell>
          <cell r="D386" t="str">
            <v>UN</v>
          </cell>
          <cell r="E386">
            <v>5.2649999999999997</v>
          </cell>
          <cell r="F386">
            <v>9.6</v>
          </cell>
          <cell r="G386">
            <v>140.74430000000001</v>
          </cell>
          <cell r="H386">
            <v>32.652677599999997</v>
          </cell>
          <cell r="I386">
            <v>173.39697760000001</v>
          </cell>
        </row>
        <row r="387">
          <cell r="B387" t="str">
            <v>*090850</v>
          </cell>
          <cell r="C387" t="str">
            <v>BLOQUE DE PROTECCION CONCRETO</v>
          </cell>
          <cell r="D387" t="str">
            <v>UN</v>
          </cell>
          <cell r="E387">
            <v>3.6855000000000002</v>
          </cell>
          <cell r="F387">
            <v>9.6</v>
          </cell>
          <cell r="G387">
            <v>201.0633</v>
          </cell>
          <cell r="H387">
            <v>46.646685599999998</v>
          </cell>
          <cell r="I387">
            <v>247.70998559999998</v>
          </cell>
        </row>
        <row r="388">
          <cell r="B388" t="str">
            <v>*090852</v>
          </cell>
          <cell r="C388" t="str">
            <v>INSTALACIÓN CIMENTADA DE BLOQUE PROTECTOR CON TUBO DE ACERO</v>
          </cell>
          <cell r="D388" t="str">
            <v>UN</v>
          </cell>
          <cell r="E388">
            <v>3.6855000000000002</v>
          </cell>
          <cell r="F388">
            <v>9.6</v>
          </cell>
          <cell r="G388">
            <v>206.34829999999999</v>
          </cell>
          <cell r="H388">
            <v>47.872805599999992</v>
          </cell>
          <cell r="I388">
            <v>254.22110559999999</v>
          </cell>
        </row>
        <row r="389">
          <cell r="B389" t="str">
            <v>*090879</v>
          </cell>
          <cell r="C389" t="str">
            <v>RETIRO DE PROTECCION BT PARA T/D TRIFASICO  FUSIBLES DE 1 O 2 SALIDAS</v>
          </cell>
          <cell r="D389" t="str">
            <v>PQ</v>
          </cell>
          <cell r="E389">
            <v>5.4606000000000003</v>
          </cell>
          <cell r="F389">
            <v>9.6</v>
          </cell>
          <cell r="G389">
            <v>132.3374</v>
          </cell>
          <cell r="H389">
            <v>30.7022768</v>
          </cell>
          <cell r="I389">
            <v>163.0396768</v>
          </cell>
        </row>
        <row r="390">
          <cell r="B390" t="str">
            <v>*090880</v>
          </cell>
          <cell r="C390" t="str">
            <v>PROTECCION BT PARA T/D TRIFASICO  FUSIBLES DE 1 O 2 SALIDAS</v>
          </cell>
          <cell r="D390" t="str">
            <v>PQ</v>
          </cell>
          <cell r="E390">
            <v>3.8224</v>
          </cell>
          <cell r="F390">
            <v>9.6</v>
          </cell>
          <cell r="G390">
            <v>189.05440000000002</v>
          </cell>
          <cell r="H390">
            <v>43.8606208</v>
          </cell>
          <cell r="I390">
            <v>232.91502080000001</v>
          </cell>
        </row>
        <row r="391">
          <cell r="B391" t="str">
            <v>*090909</v>
          </cell>
          <cell r="C391" t="str">
            <v>RETIRO SECCIONADOR FUSIBLE O TERMOMAGNÉTICO BT TRIPOLAR</v>
          </cell>
          <cell r="D391" t="str">
            <v>PQ</v>
          </cell>
          <cell r="E391">
            <v>16.785699999999999</v>
          </cell>
          <cell r="F391">
            <v>9.6</v>
          </cell>
          <cell r="G391">
            <v>45.263099999999994</v>
          </cell>
          <cell r="H391">
            <v>10.501039199999997</v>
          </cell>
          <cell r="I391">
            <v>55.764139199999988</v>
          </cell>
        </row>
        <row r="392">
          <cell r="B392" t="str">
            <v>*090910</v>
          </cell>
          <cell r="C392" t="str">
            <v>SECCIONADOR FUSIBLE O TERMOMAGNÉTICO BT TRIPOLAR</v>
          </cell>
          <cell r="D392" t="str">
            <v>PQ</v>
          </cell>
          <cell r="E392">
            <v>11.75</v>
          </cell>
          <cell r="F392">
            <v>9.6</v>
          </cell>
          <cell r="G392">
            <v>64.661599999999993</v>
          </cell>
          <cell r="H392">
            <v>15.001491199999997</v>
          </cell>
          <cell r="I392">
            <v>79.663091199999997</v>
          </cell>
        </row>
        <row r="393">
          <cell r="B393" t="str">
            <v>*090911</v>
          </cell>
          <cell r="C393" t="str">
            <v>TRASLADO DE SECCIONADOR FUSIBLE O TERMOMAGNÉTICO BT TRIPOLAR</v>
          </cell>
          <cell r="D393" t="str">
            <v>PQ</v>
          </cell>
          <cell r="E393">
            <v>9.0383999999999993</v>
          </cell>
          <cell r="F393">
            <v>9.6</v>
          </cell>
          <cell r="G393">
            <v>84.06049999999999</v>
          </cell>
          <cell r="H393">
            <v>19.502035999999997</v>
          </cell>
          <cell r="I393">
            <v>103.56253599999999</v>
          </cell>
        </row>
        <row r="394">
          <cell r="B394" t="str">
            <v>*090934</v>
          </cell>
          <cell r="C394" t="str">
            <v>RETIRO DE PARARRAYOS UNIPOLARES (3 UNIDADES)</v>
          </cell>
          <cell r="D394" t="str">
            <v>JG</v>
          </cell>
          <cell r="E394">
            <v>16.587900000000001</v>
          </cell>
          <cell r="F394">
            <v>9.6</v>
          </cell>
          <cell r="G394">
            <v>29.855500000000003</v>
          </cell>
          <cell r="H394">
            <v>6.9264760000000001</v>
          </cell>
          <cell r="I394">
            <v>36.781976</v>
          </cell>
        </row>
        <row r="395">
          <cell r="B395" t="str">
            <v>*090935</v>
          </cell>
          <cell r="C395" t="str">
            <v>INSTALACION DE PARARRAYOS UNIPOLARES (3 UNIDADES)</v>
          </cell>
          <cell r="D395" t="str">
            <v>JG</v>
          </cell>
          <cell r="E395">
            <v>11.611499999999999</v>
          </cell>
          <cell r="F395">
            <v>9.6</v>
          </cell>
          <cell r="G395">
            <v>42.650800000000004</v>
          </cell>
          <cell r="H395">
            <v>9.8949856</v>
          </cell>
          <cell r="I395">
            <v>52.545785600000002</v>
          </cell>
        </row>
        <row r="396">
          <cell r="B396" t="str">
            <v>*090939</v>
          </cell>
          <cell r="C396" t="str">
            <v>RETIRO DE CONEXIONADO DE MEDIA TENSIÓN PARA SE AÉREA</v>
          </cell>
          <cell r="D396" t="str">
            <v>PQ</v>
          </cell>
          <cell r="E396">
            <v>2.246</v>
          </cell>
          <cell r="F396">
            <v>9.6</v>
          </cell>
          <cell r="G396">
            <v>192.13300000000001</v>
          </cell>
          <cell r="H396">
            <v>44.574855999999997</v>
          </cell>
          <cell r="I396">
            <v>236.70785599999999</v>
          </cell>
        </row>
        <row r="397">
          <cell r="B397" t="str">
            <v>*090940</v>
          </cell>
          <cell r="C397" t="str">
            <v>CONEXIONADO DE MEDIA TENSIÓN PARA SE AÉREA</v>
          </cell>
          <cell r="D397" t="str">
            <v/>
          </cell>
          <cell r="E397">
            <v>1.5722</v>
          </cell>
          <cell r="F397">
            <v>9.6</v>
          </cell>
          <cell r="G397">
            <v>274.47559999999999</v>
          </cell>
          <cell r="H397">
            <v>63.678339199999989</v>
          </cell>
          <cell r="I397">
            <v>338.15393919999997</v>
          </cell>
        </row>
        <row r="398">
          <cell r="B398" t="str">
            <v>*090949</v>
          </cell>
          <cell r="C398" t="str">
            <v>RETIRO DE TRANSFORMADOR HASTA 75 KVA</v>
          </cell>
          <cell r="D398" t="str">
            <v>PQ</v>
          </cell>
          <cell r="E398">
            <v>6.8956999999999997</v>
          </cell>
          <cell r="F398">
            <v>9.6</v>
          </cell>
          <cell r="G398">
            <v>246.35269999999997</v>
          </cell>
          <cell r="H398">
            <v>57.153826399999993</v>
          </cell>
          <cell r="I398">
            <v>303.50652639999998</v>
          </cell>
        </row>
        <row r="399">
          <cell r="B399" t="str">
            <v>*090950</v>
          </cell>
          <cell r="C399" t="str">
            <v>FERRETERIA Y MONTAJE TRANSFORMADOR HASTA 75 KVA</v>
          </cell>
          <cell r="D399" t="str">
            <v>PQ</v>
          </cell>
          <cell r="E399">
            <v>4.827</v>
          </cell>
          <cell r="F399">
            <v>9.6</v>
          </cell>
          <cell r="G399">
            <v>351.93169999999998</v>
          </cell>
          <cell r="H399">
            <v>81.648154399999996</v>
          </cell>
          <cell r="I399">
            <v>433.57985439999999</v>
          </cell>
        </row>
        <row r="400">
          <cell r="B400" t="str">
            <v>*090959</v>
          </cell>
          <cell r="C400" t="str">
            <v>RETIRO DE TRANSFORMADOR  MAYOR DE 75 KVA HASTA 100 KVA</v>
          </cell>
          <cell r="D400" t="str">
            <v>PQ</v>
          </cell>
          <cell r="E400">
            <v>3.7353000000000001</v>
          </cell>
          <cell r="F400">
            <v>9.6</v>
          </cell>
          <cell r="G400">
            <v>376.45320000000004</v>
          </cell>
          <cell r="H400">
            <v>87.337142400000005</v>
          </cell>
          <cell r="I400">
            <v>463.79034240000004</v>
          </cell>
        </row>
        <row r="401">
          <cell r="B401" t="str">
            <v>*090960</v>
          </cell>
          <cell r="C401" t="str">
            <v>FERRETERIA Y MONTAJE TRANSFORMADOR  MAYOR DE 75 KVA HASTA 100 KVA</v>
          </cell>
          <cell r="D401" t="str">
            <v>PQ</v>
          </cell>
          <cell r="E401">
            <v>2.6147</v>
          </cell>
          <cell r="F401">
            <v>9.6</v>
          </cell>
          <cell r="G401">
            <v>537.79250000000002</v>
          </cell>
          <cell r="H401">
            <v>124.76786</v>
          </cell>
          <cell r="I401">
            <v>662.56036000000006</v>
          </cell>
        </row>
        <row r="402">
          <cell r="B402" t="str">
            <v>*090969</v>
          </cell>
          <cell r="C402" t="str">
            <v>RETIRO DE TRANSFORMADOR MAYOR DE 100 KVA HASTA 250 KVA</v>
          </cell>
          <cell r="D402" t="str">
            <v>PQ</v>
          </cell>
          <cell r="E402">
            <v>3.3769</v>
          </cell>
          <cell r="F402">
            <v>9.6</v>
          </cell>
          <cell r="G402">
            <v>464.03410000000002</v>
          </cell>
          <cell r="H402">
            <v>107.65591119999999</v>
          </cell>
          <cell r="I402">
            <v>571.69001120000007</v>
          </cell>
        </row>
        <row r="403">
          <cell r="B403" t="str">
            <v>*090970</v>
          </cell>
          <cell r="C403" t="str">
            <v>FERRETERIA Y MONTAJE TRANSFORMADOR MAYOR DE 100 KVA HASTA 250 KVA</v>
          </cell>
          <cell r="D403" t="str">
            <v>PQ</v>
          </cell>
          <cell r="E403">
            <v>2.3637999999999999</v>
          </cell>
          <cell r="F403">
            <v>9.6</v>
          </cell>
          <cell r="G403">
            <v>662.91449999999998</v>
          </cell>
          <cell r="H403">
            <v>153.79616399999998</v>
          </cell>
          <cell r="I403">
            <v>816.71066399999995</v>
          </cell>
        </row>
        <row r="404">
          <cell r="B404" t="str">
            <v>*090973</v>
          </cell>
          <cell r="C404" t="str">
            <v>RETIRO DE ANCLAJE CON DOS PUNTOS PARA TRANSFORMADOR DE DISTRIBUCION</v>
          </cell>
          <cell r="D404" t="str">
            <v>UN</v>
          </cell>
          <cell r="E404">
            <v>29.857299999999999</v>
          </cell>
          <cell r="F404">
            <v>9.6</v>
          </cell>
          <cell r="G404">
            <v>16.5869</v>
          </cell>
          <cell r="H404">
            <v>3.8481607999999996</v>
          </cell>
          <cell r="I404">
            <v>20.435060799999999</v>
          </cell>
        </row>
        <row r="405">
          <cell r="B405" t="str">
            <v>*090974</v>
          </cell>
          <cell r="C405" t="str">
            <v>ANCLAJE CON DOS PUNTOS PARA TRANSFORMADOR DE DISTRIBUCION</v>
          </cell>
          <cell r="D405" t="str">
            <v>UN</v>
          </cell>
          <cell r="E405">
            <v>20.900700000000001</v>
          </cell>
          <cell r="F405">
            <v>9.6</v>
          </cell>
          <cell r="G405">
            <v>23.694900000000001</v>
          </cell>
          <cell r="H405">
            <v>5.4972167999999995</v>
          </cell>
          <cell r="I405">
            <v>29.192116800000001</v>
          </cell>
        </row>
        <row r="406">
          <cell r="B406" t="str">
            <v>*090975</v>
          </cell>
          <cell r="C406" t="str">
            <v>TRASLADO DE ANCLAJE CON DOS PUNTOS PARA TRANSFORMADOR DE DISTRIBUCION</v>
          </cell>
          <cell r="D406" t="str">
            <v>UN</v>
          </cell>
          <cell r="E406">
            <v>16.077400000000001</v>
          </cell>
          <cell r="F406">
            <v>9.6</v>
          </cell>
          <cell r="G406">
            <v>30.8034</v>
          </cell>
          <cell r="H406">
            <v>7.1463887999999995</v>
          </cell>
          <cell r="I406">
            <v>37.9497888</v>
          </cell>
        </row>
        <row r="407">
          <cell r="B407" t="str">
            <v>*090994</v>
          </cell>
          <cell r="C407" t="str">
            <v>RETIRO DE EQUIPAMIENTO BT EN SCP CUALQUIER POTENCIA</v>
          </cell>
          <cell r="D407" t="str">
            <v>UN</v>
          </cell>
          <cell r="E407">
            <v>1.4286000000000001</v>
          </cell>
          <cell r="F407">
            <v>9.6</v>
          </cell>
          <cell r="G407">
            <v>342.46249999999998</v>
          </cell>
          <cell r="H407">
            <v>79.451299999999989</v>
          </cell>
          <cell r="I407">
            <v>421.91379999999998</v>
          </cell>
        </row>
        <row r="408">
          <cell r="B408" t="str">
            <v>*090995</v>
          </cell>
          <cell r="C408" t="str">
            <v>RETIRO DE AUTOTRANSFORMADOR DE BT HASTA 100 KVA, C/CAJA</v>
          </cell>
          <cell r="D408" t="str">
            <v>UN</v>
          </cell>
          <cell r="E408">
            <v>3.9056999999999999</v>
          </cell>
          <cell r="F408">
            <v>9.6</v>
          </cell>
          <cell r="G408">
            <v>288.11469999999997</v>
          </cell>
          <cell r="H408">
            <v>66.842610399999984</v>
          </cell>
          <cell r="I408">
            <v>354.95731039999998</v>
          </cell>
        </row>
        <row r="409">
          <cell r="B409" t="str">
            <v>*090996</v>
          </cell>
          <cell r="C409" t="str">
            <v>RETIRO DE CELDA MT C/SECCIONADOR INTERIOR EN  SUBESTACIÓN CONVENCIONAL</v>
          </cell>
          <cell r="D409" t="str">
            <v>UN</v>
          </cell>
          <cell r="E409">
            <v>2.7604000000000002</v>
          </cell>
          <cell r="F409">
            <v>9.6</v>
          </cell>
          <cell r="G409">
            <v>636.36689999999999</v>
          </cell>
          <cell r="H409">
            <v>147.63712079999999</v>
          </cell>
          <cell r="I409">
            <v>784.00402080000003</v>
          </cell>
        </row>
        <row r="410">
          <cell r="B410" t="str">
            <v>*090997</v>
          </cell>
          <cell r="C410" t="str">
            <v>RETIRO DE CABLEADO SIST. MEDICION AP O TOTALIZADOR DESDE TAB.DISTRIB.AEREO</v>
          </cell>
          <cell r="D410" t="str">
            <v>UN</v>
          </cell>
          <cell r="E410">
            <v>39.693399999999997</v>
          </cell>
          <cell r="F410">
            <v>9.6</v>
          </cell>
          <cell r="G410">
            <v>10.2065</v>
          </cell>
          <cell r="H410">
            <v>2.3679079999999999</v>
          </cell>
          <cell r="I410">
            <v>12.574408</v>
          </cell>
        </row>
        <row r="411">
          <cell r="B411" t="str">
            <v>*090998</v>
          </cell>
          <cell r="C411" t="str">
            <v>RETIRO DE EQUIPAMIENTO PARA TABLERO AÉREO</v>
          </cell>
          <cell r="D411" t="str">
            <v>UN</v>
          </cell>
          <cell r="E411">
            <v>3.4453999999999998</v>
          </cell>
          <cell r="F411">
            <v>9.6</v>
          </cell>
          <cell r="G411">
            <v>211.45930000000001</v>
          </cell>
          <cell r="H411">
            <v>49.0585576</v>
          </cell>
          <cell r="I411">
            <v>260.51785760000001</v>
          </cell>
        </row>
        <row r="412">
          <cell r="B412" t="str">
            <v>*090999</v>
          </cell>
          <cell r="C412" t="str">
            <v>RETIRO DE BASE DE CONCRETO PARA TABLERO TAM3, TAM4 (NO INCLUYE BASE)</v>
          </cell>
          <cell r="D412" t="str">
            <v>UN</v>
          </cell>
          <cell r="E412">
            <v>12.760300000000001</v>
          </cell>
          <cell r="F412">
            <v>9.6</v>
          </cell>
          <cell r="G412">
            <v>129.98560000000001</v>
          </cell>
          <cell r="H412">
            <v>30.1566592</v>
          </cell>
          <cell r="I412">
            <v>160.14225920000001</v>
          </cell>
        </row>
        <row r="413">
          <cell r="B413" t="str">
            <v>*091001</v>
          </cell>
          <cell r="C413" t="str">
            <v>Cambio de transformador hasta 75 KVA</v>
          </cell>
          <cell r="D413" t="str">
            <v>UN</v>
          </cell>
          <cell r="E413">
            <v>1.3</v>
          </cell>
          <cell r="F413">
            <v>9.6</v>
          </cell>
          <cell r="G413">
            <v>1192.4126000000001</v>
          </cell>
          <cell r="H413">
            <v>276.63972319999999</v>
          </cell>
          <cell r="I413">
            <v>1469.0523232</v>
          </cell>
        </row>
        <row r="414">
          <cell r="B414" t="str">
            <v>*091002</v>
          </cell>
          <cell r="C414" t="str">
            <v>Cambio de transformador mayor a 75 KVA hasta 100KVA</v>
          </cell>
          <cell r="D414" t="str">
            <v>UN</v>
          </cell>
          <cell r="E414">
            <v>1.24</v>
          </cell>
          <cell r="F414">
            <v>9.6</v>
          </cell>
          <cell r="G414">
            <v>1341.9308999999998</v>
          </cell>
          <cell r="H414">
            <v>311.32796879999995</v>
          </cell>
          <cell r="I414">
            <v>1653.2588687999998</v>
          </cell>
        </row>
        <row r="415">
          <cell r="B415" t="str">
            <v>*091003</v>
          </cell>
          <cell r="C415" t="str">
            <v>RETIRO DE TRANSFORMADOR HASTA 75 KVA SE CUALQUIER TIPO</v>
          </cell>
          <cell r="D415" t="str">
            <v>UN</v>
          </cell>
          <cell r="E415">
            <v>10.3446</v>
          </cell>
          <cell r="F415">
            <v>9.6</v>
          </cell>
          <cell r="G415">
            <v>164.21850000000001</v>
          </cell>
          <cell r="H415">
            <v>38.098692</v>
          </cell>
          <cell r="I415">
            <v>202.31719200000001</v>
          </cell>
        </row>
        <row r="416">
          <cell r="B416" t="str">
            <v>*091004</v>
          </cell>
          <cell r="C416" t="str">
            <v>RETIRO DE FERRETERIA Y TRANSFORMADOR MAYOR DE 250 KVA HASTA 630 KVA</v>
          </cell>
          <cell r="D416" t="str">
            <v>PQ</v>
          </cell>
          <cell r="E416">
            <v>2.7846000000000002</v>
          </cell>
          <cell r="F416">
            <v>9.6</v>
          </cell>
          <cell r="G416">
            <v>534.40060000000005</v>
          </cell>
          <cell r="H416">
            <v>123.98093920000001</v>
          </cell>
          <cell r="I416">
            <v>658.38153920000002</v>
          </cell>
        </row>
        <row r="417">
          <cell r="B417" t="str">
            <v>*091005</v>
          </cell>
          <cell r="C417" t="str">
            <v>FERRETERIA Y MONTAJE TRANSFORMADOR MAYOR DE 250 KVA HASTA 630 KVA</v>
          </cell>
          <cell r="D417" t="str">
            <v>PQ</v>
          </cell>
          <cell r="E417">
            <v>1.9492</v>
          </cell>
          <cell r="F417">
            <v>9.6</v>
          </cell>
          <cell r="G417">
            <v>763.43740000000003</v>
          </cell>
          <cell r="H417">
            <v>177.11747679999999</v>
          </cell>
          <cell r="I417">
            <v>940.55487679999999</v>
          </cell>
        </row>
        <row r="418">
          <cell r="B418" t="str">
            <v>*091006</v>
          </cell>
          <cell r="C418" t="str">
            <v>RETIRO DE TRANSFORMADOR  MAYOR DE 75 KVA HASTA 100 KVA SE CUALQUIER TIPO</v>
          </cell>
          <cell r="D418" t="str">
            <v>UN</v>
          </cell>
          <cell r="E418">
            <v>6.8967000000000001</v>
          </cell>
          <cell r="F418">
            <v>9.6</v>
          </cell>
          <cell r="G418">
            <v>246.31709999999998</v>
          </cell>
          <cell r="H418">
            <v>57.145567199999995</v>
          </cell>
          <cell r="I418">
            <v>303.4626672</v>
          </cell>
        </row>
        <row r="419">
          <cell r="B419" t="str">
            <v>*091007</v>
          </cell>
          <cell r="C419" t="str">
            <v>MONTAJE AUTOTRANSFORMADOR DE BT HASTA 100 KVA, C/CAJA</v>
          </cell>
          <cell r="D419" t="str">
            <v>UN</v>
          </cell>
          <cell r="E419">
            <v>2.734</v>
          </cell>
          <cell r="F419">
            <v>9.6</v>
          </cell>
          <cell r="G419">
            <v>411.59109999999998</v>
          </cell>
          <cell r="H419">
            <v>95.489135199999993</v>
          </cell>
          <cell r="I419">
            <v>507.08023519999995</v>
          </cell>
        </row>
        <row r="420">
          <cell r="B420" t="str">
            <v>*091008</v>
          </cell>
          <cell r="C420" t="str">
            <v>RETIRO DE TRANSFORMADOR MAYOR DE 250 KVA HASTA 630 KVA SE CUALQUIER TIPO</v>
          </cell>
          <cell r="D420" t="str">
            <v>UN</v>
          </cell>
          <cell r="E420">
            <v>3.9579</v>
          </cell>
          <cell r="F420">
            <v>9.6</v>
          </cell>
          <cell r="G420">
            <v>410.58429999999998</v>
          </cell>
          <cell r="H420">
            <v>95.255557599999989</v>
          </cell>
          <cell r="I420">
            <v>505.83985759999996</v>
          </cell>
        </row>
        <row r="421">
          <cell r="B421" t="str">
            <v>*091009</v>
          </cell>
          <cell r="C421" t="str">
            <v>RETIRO DE TRANSFORMADOR MAYOR DE 100 KVA HASTA 250 KVA SE CUALQUIER TIPO</v>
          </cell>
          <cell r="D421" t="str">
            <v>UN</v>
          </cell>
          <cell r="E421">
            <v>4.6170999999999998</v>
          </cell>
          <cell r="F421">
            <v>9.6</v>
          </cell>
          <cell r="G421">
            <v>351.96370000000002</v>
          </cell>
          <cell r="H421">
            <v>81.655578399999996</v>
          </cell>
          <cell r="I421">
            <v>433.61927839999998</v>
          </cell>
        </row>
        <row r="422">
          <cell r="B422" t="str">
            <v>*091011</v>
          </cell>
          <cell r="C422" t="str">
            <v>MONTAJE TRANSFORMADOR HASTA 75 KVA SE CUALQUIER TIPO</v>
          </cell>
          <cell r="D422" t="str">
            <v>UN</v>
          </cell>
          <cell r="E422">
            <v>7.2412000000000001</v>
          </cell>
          <cell r="F422">
            <v>9.6</v>
          </cell>
          <cell r="G422">
            <v>234.5985</v>
          </cell>
          <cell r="H422">
            <v>54.426851999999997</v>
          </cell>
          <cell r="I422">
            <v>289.025352</v>
          </cell>
        </row>
        <row r="423">
          <cell r="B423" t="str">
            <v>*091012</v>
          </cell>
          <cell r="C423" t="str">
            <v>MONTAJE TRANSFORMADOR  MAYOR DE 75 KVA HASTA 100 KVA SE CUALQUIER TIPO</v>
          </cell>
          <cell r="D423" t="str">
            <v>UN</v>
          </cell>
          <cell r="E423">
            <v>4.8277000000000001</v>
          </cell>
          <cell r="F423">
            <v>9.6</v>
          </cell>
          <cell r="G423">
            <v>351.88059999999996</v>
          </cell>
          <cell r="H423">
            <v>81.636299199999982</v>
          </cell>
          <cell r="I423">
            <v>433.51689919999995</v>
          </cell>
        </row>
        <row r="424">
          <cell r="B424" t="str">
            <v>*091013</v>
          </cell>
          <cell r="C424" t="str">
            <v>MONTAJE TRANSFORMADOR MAYOR DE 100 KVA HASTA 250 KVA SE CUALQUIER TIPO</v>
          </cell>
          <cell r="D424" t="str">
            <v>UN</v>
          </cell>
          <cell r="E424">
            <v>3.2320000000000002</v>
          </cell>
          <cell r="F424">
            <v>9.6</v>
          </cell>
          <cell r="G424">
            <v>502.80060000000003</v>
          </cell>
          <cell r="H424">
            <v>116.6497392</v>
          </cell>
          <cell r="I424">
            <v>619.45033920000003</v>
          </cell>
        </row>
        <row r="425">
          <cell r="B425" t="str">
            <v>*091014</v>
          </cell>
          <cell r="C425" t="str">
            <v>MONTAJE TRANSFORMADOR MAYOR DE 250 KVA HASTA 630 KVA SE CUALQUIER TIPO</v>
          </cell>
          <cell r="D425" t="str">
            <v>UN</v>
          </cell>
          <cell r="E425">
            <v>2.7705000000000002</v>
          </cell>
          <cell r="F425">
            <v>9.6</v>
          </cell>
          <cell r="G425">
            <v>586.55529999999999</v>
          </cell>
          <cell r="H425">
            <v>136.08082959999999</v>
          </cell>
          <cell r="I425">
            <v>722.6361296</v>
          </cell>
        </row>
        <row r="426">
          <cell r="B426" t="str">
            <v>*091029</v>
          </cell>
          <cell r="C426" t="str">
            <v>Equipamiento BT en Subestación Compacta Pedestal (SCP) cualquier potencia</v>
          </cell>
          <cell r="D426" t="str">
            <v>UN</v>
          </cell>
          <cell r="E426">
            <v>1</v>
          </cell>
          <cell r="F426">
            <v>9.6</v>
          </cell>
          <cell r="G426">
            <v>489.24200000000002</v>
          </cell>
          <cell r="H426">
            <v>113.504144</v>
          </cell>
          <cell r="I426">
            <v>602.74614399999996</v>
          </cell>
        </row>
        <row r="427">
          <cell r="B427" t="str">
            <v>*091030</v>
          </cell>
          <cell r="C427" t="str">
            <v>PLACA PARA IDENTIFICAR EQUIPOS</v>
          </cell>
          <cell r="D427" t="str">
            <v>Un</v>
          </cell>
          <cell r="E427">
            <v>40.740600000000001</v>
          </cell>
          <cell r="F427">
            <v>9.6</v>
          </cell>
          <cell r="G427">
            <v>8.4258000000000006</v>
          </cell>
          <cell r="H427">
            <v>1.9547855999999999</v>
          </cell>
          <cell r="I427">
            <v>10.3805856</v>
          </cell>
        </row>
        <row r="428">
          <cell r="B428" t="str">
            <v>*091032</v>
          </cell>
          <cell r="C428" t="str">
            <v>CELDA MT C/SECCIONADOR INTERIOR EN  SUBESTACIÓN CONVENCIONAL</v>
          </cell>
          <cell r="D428" t="str">
            <v>UN</v>
          </cell>
          <cell r="E428">
            <v>1.9322999999999999</v>
          </cell>
          <cell r="F428">
            <v>9.6</v>
          </cell>
          <cell r="G428">
            <v>909.08619999999996</v>
          </cell>
          <cell r="H428">
            <v>210.90799839999997</v>
          </cell>
          <cell r="I428">
            <v>1119.9941984</v>
          </cell>
        </row>
        <row r="429">
          <cell r="B429" t="str">
            <v>*091033</v>
          </cell>
          <cell r="C429" t="str">
            <v>ESTRUCTURA DE PROTECCIÓN INTERIOR EN  SUB. CONV. OBRA VENDIDA</v>
          </cell>
          <cell r="D429" t="str">
            <v>Un</v>
          </cell>
          <cell r="E429">
            <v>2.8731</v>
          </cell>
          <cell r="F429">
            <v>9.6</v>
          </cell>
          <cell r="G429">
            <v>308.24</v>
          </cell>
          <cell r="H429">
            <v>71.511679999999998</v>
          </cell>
          <cell r="I429">
            <v>379.75168000000002</v>
          </cell>
        </row>
        <row r="430">
          <cell r="B430" t="str">
            <v>*091034</v>
          </cell>
          <cell r="C430" t="str">
            <v>RETIRO CAJA Y TABLERO DISTRIBUCION SAB, SCB / SCP</v>
          </cell>
          <cell r="D430" t="str">
            <v>UN</v>
          </cell>
          <cell r="E430">
            <v>2.9014000000000002</v>
          </cell>
          <cell r="F430">
            <v>9.6</v>
          </cell>
          <cell r="G430">
            <v>340.1071</v>
          </cell>
          <cell r="H430">
            <v>78.904847199999992</v>
          </cell>
          <cell r="I430">
            <v>419.01194720000001</v>
          </cell>
        </row>
        <row r="431">
          <cell r="B431" t="str">
            <v>*091035</v>
          </cell>
          <cell r="C431" t="str">
            <v>INST.CAJA Y TABLERO DISTRIBUCION SAB, SCB / SCP</v>
          </cell>
          <cell r="D431" t="str">
            <v>UN</v>
          </cell>
          <cell r="E431">
            <v>2.0310000000000001</v>
          </cell>
          <cell r="F431">
            <v>9.6</v>
          </cell>
          <cell r="G431">
            <v>485.86249999999995</v>
          </cell>
          <cell r="H431">
            <v>112.72009999999999</v>
          </cell>
          <cell r="I431">
            <v>598.58259999999996</v>
          </cell>
        </row>
        <row r="432">
          <cell r="B432" t="str">
            <v>*091036</v>
          </cell>
          <cell r="C432" t="str">
            <v>RETIRO DE EQ. MEDIDA MT COMPLETO EN CONV. Y PMI</v>
          </cell>
          <cell r="D432" t="str">
            <v>PQ</v>
          </cell>
          <cell r="E432">
            <v>3.4636</v>
          </cell>
          <cell r="F432">
            <v>9.6</v>
          </cell>
          <cell r="G432">
            <v>370.45259999999996</v>
          </cell>
          <cell r="H432">
            <v>85.945003199999988</v>
          </cell>
          <cell r="I432">
            <v>456.39760319999993</v>
          </cell>
        </row>
        <row r="433">
          <cell r="B433" t="str">
            <v>*091037</v>
          </cell>
          <cell r="C433" t="str">
            <v>CONSTRUCCION DE BASE PARA TABLERO SCB / SCP</v>
          </cell>
          <cell r="D433" t="str">
            <v>Un</v>
          </cell>
          <cell r="E433">
            <v>3.6640000000000001</v>
          </cell>
          <cell r="F433">
            <v>9.6</v>
          </cell>
          <cell r="G433">
            <v>228.87040000000002</v>
          </cell>
          <cell r="H433">
            <v>53.097932800000002</v>
          </cell>
          <cell r="I433">
            <v>281.96833280000004</v>
          </cell>
        </row>
        <row r="434">
          <cell r="B434" t="str">
            <v>*091038</v>
          </cell>
          <cell r="C434" t="str">
            <v>INSTALACIÓN DE BASE DE CONCRETO PARA TABLERO TAM3, TAM4 (NO INCLUYE BASE)</v>
          </cell>
          <cell r="D434" t="str">
            <v>UN</v>
          </cell>
          <cell r="E434">
            <v>8.4681999999999995</v>
          </cell>
          <cell r="F434">
            <v>9.6</v>
          </cell>
          <cell r="G434">
            <v>185.82560000000001</v>
          </cell>
          <cell r="H434">
            <v>43.111539199999996</v>
          </cell>
          <cell r="I434">
            <v>228.93713919999999</v>
          </cell>
        </row>
        <row r="435">
          <cell r="B435" t="str">
            <v>*091039</v>
          </cell>
          <cell r="C435" t="str">
            <v>INSTALACION Y MONTAJE DE TRAFOMIX (SOLO EN PMI) PARA MANTENIMIENTO</v>
          </cell>
          <cell r="D435" t="str">
            <v>PQ</v>
          </cell>
          <cell r="E435">
            <v>1</v>
          </cell>
          <cell r="F435">
            <v>9.6</v>
          </cell>
          <cell r="G435">
            <v>2034.6835000000001</v>
          </cell>
          <cell r="H435">
            <v>472.04657199999997</v>
          </cell>
          <cell r="I435">
            <v>2506.7300720000003</v>
          </cell>
        </row>
        <row r="436">
          <cell r="B436" t="str">
            <v>*091040</v>
          </cell>
          <cell r="C436" t="str">
            <v>MONTAJE FERRETERIA EQ. MEDIDA MT COMPLETO EN CONV. Y PMI</v>
          </cell>
          <cell r="D436" t="str">
            <v>PQ</v>
          </cell>
          <cell r="E436">
            <v>2.4245000000000001</v>
          </cell>
          <cell r="F436">
            <v>9.6</v>
          </cell>
          <cell r="G436">
            <v>529.22239999999999</v>
          </cell>
          <cell r="H436">
            <v>122.77959679999999</v>
          </cell>
          <cell r="I436">
            <v>652.00199680000003</v>
          </cell>
        </row>
        <row r="437">
          <cell r="B437" t="str">
            <v>*091041</v>
          </cell>
          <cell r="C437" t="str">
            <v>Reemplazo de Fotocélula por contacto de medidor EMH para el control del AP</v>
          </cell>
          <cell r="D437" t="str">
            <v>UN</v>
          </cell>
          <cell r="E437">
            <v>9</v>
          </cell>
          <cell r="F437">
            <v>9.6</v>
          </cell>
          <cell r="G437">
            <v>73.799199999999999</v>
          </cell>
          <cell r="H437">
            <v>17.121414399999999</v>
          </cell>
          <cell r="I437">
            <v>90.920614400000005</v>
          </cell>
        </row>
        <row r="438">
          <cell r="B438" t="str">
            <v>*091042</v>
          </cell>
          <cell r="C438" t="str">
            <v>Conexión de medidor PMI a caja bornera</v>
          </cell>
          <cell r="D438" t="str">
            <v>UN</v>
          </cell>
          <cell r="E438">
            <v>5</v>
          </cell>
          <cell r="F438">
            <v>9.6</v>
          </cell>
          <cell r="G438">
            <v>143.1558</v>
          </cell>
          <cell r="H438">
            <v>33.212145599999999</v>
          </cell>
          <cell r="I438">
            <v>176.36794559999998</v>
          </cell>
        </row>
        <row r="439">
          <cell r="B439" t="str">
            <v>*091043</v>
          </cell>
          <cell r="C439" t="str">
            <v>CABLEADO SIST. MEDICION AP O TOTALIZADOR DESDE TAB.DISTRIB.AEREO</v>
          </cell>
          <cell r="D439" t="str">
            <v>UN</v>
          </cell>
          <cell r="E439">
            <v>27.786200000000001</v>
          </cell>
          <cell r="F439">
            <v>9.6</v>
          </cell>
          <cell r="G439">
            <v>14.5802</v>
          </cell>
          <cell r="H439">
            <v>3.3826063999999998</v>
          </cell>
          <cell r="I439">
            <v>17.962806399999998</v>
          </cell>
        </row>
        <row r="440">
          <cell r="B440" t="str">
            <v>*091044</v>
          </cell>
          <cell r="C440" t="str">
            <v>REEMPLAZO DE MEDIDORES TOTALIZADORES</v>
          </cell>
          <cell r="D440" t="str">
            <v>UN</v>
          </cell>
          <cell r="E440">
            <v>7.6957000000000004</v>
          </cell>
          <cell r="F440">
            <v>9.6</v>
          </cell>
          <cell r="G440">
            <v>86.307000000000002</v>
          </cell>
          <cell r="H440">
            <v>20.023223999999999</v>
          </cell>
          <cell r="I440">
            <v>106.330224</v>
          </cell>
        </row>
        <row r="441">
          <cell r="B441" t="str">
            <v>*091045</v>
          </cell>
          <cell r="C441" t="str">
            <v>EQUIPAMIENTO PARA TABLERO AÉREO</v>
          </cell>
          <cell r="D441" t="str">
            <v>UN</v>
          </cell>
          <cell r="E441">
            <v>2.3536000000000001</v>
          </cell>
          <cell r="F441">
            <v>9.6</v>
          </cell>
          <cell r="G441">
            <v>302.2758</v>
          </cell>
          <cell r="H441">
            <v>70.127985600000002</v>
          </cell>
          <cell r="I441">
            <v>372.40378559999999</v>
          </cell>
        </row>
        <row r="442">
          <cell r="B442" t="str">
            <v>*091046</v>
          </cell>
          <cell r="C442" t="str">
            <v>REEMPLAZO DE MEDIDORES TOTALIZADORES + Reemplazo de Fotocélula por contacto de medidor EMH AP</v>
          </cell>
          <cell r="D442" t="str">
            <v>UN</v>
          </cell>
          <cell r="E442">
            <v>6.1047000000000002</v>
          </cell>
          <cell r="F442">
            <v>9.6</v>
          </cell>
          <cell r="G442">
            <v>108.8001</v>
          </cell>
          <cell r="H442">
            <v>25.241623199999999</v>
          </cell>
          <cell r="I442">
            <v>134.04172320000001</v>
          </cell>
        </row>
        <row r="443">
          <cell r="B443" t="str">
            <v>*091047</v>
          </cell>
          <cell r="C443" t="str">
            <v>COLOCACION PARA TABLERO AÉREO EN POSTE</v>
          </cell>
          <cell r="D443" t="str">
            <v>UN</v>
          </cell>
          <cell r="E443">
            <v>11.757</v>
          </cell>
          <cell r="F443">
            <v>9.6</v>
          </cell>
          <cell r="G443">
            <v>60.414599999999993</v>
          </cell>
          <cell r="H443">
            <v>14.016187199999997</v>
          </cell>
          <cell r="I443">
            <v>74.430787199999997</v>
          </cell>
        </row>
        <row r="444">
          <cell r="B444" t="str">
            <v>*091048</v>
          </cell>
          <cell r="C444" t="str">
            <v>RETIRO DE TABLERO AÉREO EN POSTE</v>
          </cell>
          <cell r="D444" t="str">
            <v>UN</v>
          </cell>
          <cell r="E444">
            <v>16.7957</v>
          </cell>
          <cell r="F444">
            <v>9.6</v>
          </cell>
          <cell r="G444">
            <v>42.290300000000002</v>
          </cell>
          <cell r="H444">
            <v>9.8113495999999998</v>
          </cell>
          <cell r="I444">
            <v>52.101649600000002</v>
          </cell>
        </row>
        <row r="445">
          <cell r="B445" t="str">
            <v>*091049</v>
          </cell>
          <cell r="C445" t="str">
            <v>RETIRO INTERRUPTOR SE.CONVENCIONAL</v>
          </cell>
          <cell r="D445" t="str">
            <v>PQ</v>
          </cell>
          <cell r="E445">
            <v>1.7568999999999999</v>
          </cell>
          <cell r="F445">
            <v>9.6</v>
          </cell>
          <cell r="G445">
            <v>524.72719999999993</v>
          </cell>
          <cell r="H445">
            <v>121.73671039999998</v>
          </cell>
          <cell r="I445">
            <v>646.46391039999992</v>
          </cell>
        </row>
        <row r="446">
          <cell r="B446" t="str">
            <v>*091050</v>
          </cell>
          <cell r="C446" t="str">
            <v>MONTAJE INTERRUPTOR SE.CONVENCIONAL</v>
          </cell>
          <cell r="D446" t="str">
            <v>PQ</v>
          </cell>
          <cell r="E446">
            <v>1.2298</v>
          </cell>
          <cell r="F446">
            <v>9.6</v>
          </cell>
          <cell r="G446">
            <v>773.1096</v>
          </cell>
          <cell r="H446">
            <v>179.36142719999998</v>
          </cell>
          <cell r="I446">
            <v>952.47102719999998</v>
          </cell>
        </row>
        <row r="447">
          <cell r="B447" t="str">
            <v>*091059</v>
          </cell>
          <cell r="C447" t="str">
            <v>RETIRO DE SECCIONADORES SE.CONVENCIONAL</v>
          </cell>
          <cell r="D447" t="str">
            <v>PQ</v>
          </cell>
          <cell r="E447">
            <v>2.9527000000000001</v>
          </cell>
          <cell r="F447">
            <v>9.6</v>
          </cell>
          <cell r="G447">
            <v>382.78989999999999</v>
          </cell>
          <cell r="H447">
            <v>88.80725679999999</v>
          </cell>
          <cell r="I447">
            <v>471.59715679999999</v>
          </cell>
        </row>
        <row r="448">
          <cell r="B448" t="str">
            <v>*091060</v>
          </cell>
          <cell r="C448" t="str">
            <v>MONTAJE SECCIONADORES SE.CONVENCIONAL</v>
          </cell>
          <cell r="D448" t="str">
            <v>PQ</v>
          </cell>
          <cell r="E448">
            <v>2.0669</v>
          </cell>
          <cell r="F448">
            <v>9.6</v>
          </cell>
          <cell r="G448">
            <v>546.84010000000001</v>
          </cell>
          <cell r="H448">
            <v>126.8669032</v>
          </cell>
          <cell r="I448">
            <v>673.70700320000003</v>
          </cell>
        </row>
        <row r="449">
          <cell r="B449" t="str">
            <v>*091084</v>
          </cell>
          <cell r="C449" t="str">
            <v>RETIRO BASE FUSIBLE SECCIONADOR UNIPOLAR</v>
          </cell>
          <cell r="D449" t="str">
            <v>UN</v>
          </cell>
          <cell r="E449">
            <v>50.355699999999999</v>
          </cell>
          <cell r="F449">
            <v>9.6</v>
          </cell>
          <cell r="G449">
            <v>14.105499999999999</v>
          </cell>
          <cell r="H449">
            <v>3.2724759999999997</v>
          </cell>
          <cell r="I449">
            <v>17.377976</v>
          </cell>
        </row>
        <row r="450">
          <cell r="B450" t="str">
            <v>*091085</v>
          </cell>
          <cell r="C450" t="str">
            <v>BASE FUSIBLE SECCIONADOR UNIPOLAR</v>
          </cell>
          <cell r="D450" t="str">
            <v>UN</v>
          </cell>
          <cell r="E450">
            <v>35.25</v>
          </cell>
          <cell r="F450">
            <v>9.6</v>
          </cell>
          <cell r="G450">
            <v>20.150300000000001</v>
          </cell>
          <cell r="H450">
            <v>4.6748696000000001</v>
          </cell>
          <cell r="I450">
            <v>24.825169600000002</v>
          </cell>
        </row>
        <row r="451">
          <cell r="B451" t="str">
            <v>*091086</v>
          </cell>
          <cell r="C451" t="str">
            <v>TRASLADO BASE FUSIBLE SECCIONADOR UNIPOLAR</v>
          </cell>
          <cell r="D451" t="str">
            <v>UN</v>
          </cell>
          <cell r="E451">
            <v>27.115300000000001</v>
          </cell>
          <cell r="F451">
            <v>9.6</v>
          </cell>
          <cell r="G451">
            <v>26.195299999999996</v>
          </cell>
          <cell r="H451">
            <v>6.0773095999999986</v>
          </cell>
          <cell r="I451">
            <v>32.272609599999996</v>
          </cell>
        </row>
        <row r="452">
          <cell r="B452" t="str">
            <v>*091089</v>
          </cell>
          <cell r="C452" t="str">
            <v>RETIRO DE CELULA FOTOELECTRICA COMPLETA</v>
          </cell>
          <cell r="D452" t="str">
            <v>UN</v>
          </cell>
          <cell r="E452">
            <v>24.170999999999999</v>
          </cell>
          <cell r="F452">
            <v>9.6</v>
          </cell>
          <cell r="G452">
            <v>24.2379</v>
          </cell>
          <cell r="H452">
            <v>5.6231928</v>
          </cell>
          <cell r="I452">
            <v>29.861092800000002</v>
          </cell>
        </row>
        <row r="453">
          <cell r="B453" t="str">
            <v>*091090</v>
          </cell>
          <cell r="C453" t="str">
            <v>CELULA FOTOELECTRICA COMPLETA</v>
          </cell>
          <cell r="D453" t="str">
            <v>UN</v>
          </cell>
          <cell r="E453">
            <v>16.920200000000001</v>
          </cell>
          <cell r="F453">
            <v>9.6</v>
          </cell>
          <cell r="G453">
            <v>34.624499999999998</v>
          </cell>
          <cell r="H453">
            <v>8.0328839999999992</v>
          </cell>
          <cell r="I453">
            <v>42.657383999999993</v>
          </cell>
        </row>
        <row r="454">
          <cell r="B454" t="str">
            <v>*091099</v>
          </cell>
          <cell r="C454" t="str">
            <v>RETIRO DE CELULA FOTOELECTRICA SIN BASE</v>
          </cell>
          <cell r="D454" t="str">
            <v>UN</v>
          </cell>
          <cell r="E454">
            <v>200.64859999999999</v>
          </cell>
          <cell r="F454">
            <v>9.6</v>
          </cell>
          <cell r="G454">
            <v>6.1749000000000001</v>
          </cell>
          <cell r="H454">
            <v>1.4325767999999999</v>
          </cell>
          <cell r="I454">
            <v>7.6074767999999997</v>
          </cell>
        </row>
        <row r="455">
          <cell r="B455" t="str">
            <v>*091100</v>
          </cell>
          <cell r="C455" t="str">
            <v>CELULA FOTOELECTRICA SIN BASE</v>
          </cell>
          <cell r="D455" t="str">
            <v>UN</v>
          </cell>
          <cell r="E455">
            <v>140.458</v>
          </cell>
          <cell r="F455">
            <v>9.6</v>
          </cell>
          <cell r="G455">
            <v>8.8209999999999997</v>
          </cell>
          <cell r="H455">
            <v>2.0464719999999996</v>
          </cell>
          <cell r="I455">
            <v>10.867471999999999</v>
          </cell>
        </row>
        <row r="456">
          <cell r="B456" t="str">
            <v>*091101</v>
          </cell>
          <cell r="C456" t="str">
            <v>TRASLADO DE CELULA FOTOELECTRICA SIN BASE</v>
          </cell>
          <cell r="D456" t="str">
            <v>UN</v>
          </cell>
          <cell r="E456">
            <v>108.0444</v>
          </cell>
          <cell r="F456">
            <v>9.6</v>
          </cell>
          <cell r="G456">
            <v>11.4673</v>
          </cell>
          <cell r="H456">
            <v>2.6604135999999996</v>
          </cell>
          <cell r="I456">
            <v>14.1277136</v>
          </cell>
        </row>
        <row r="457">
          <cell r="B457" t="str">
            <v>*091109</v>
          </cell>
          <cell r="C457" t="str">
            <v>RETIRO DE CONTACTOR COMPLETO</v>
          </cell>
          <cell r="D457" t="str">
            <v>UN</v>
          </cell>
          <cell r="E457">
            <v>18.204899999999999</v>
          </cell>
          <cell r="F457">
            <v>9.6</v>
          </cell>
          <cell r="G457">
            <v>32.181200000000004</v>
          </cell>
          <cell r="H457">
            <v>7.4660384000000004</v>
          </cell>
          <cell r="I457">
            <v>39.647238400000006</v>
          </cell>
        </row>
        <row r="458">
          <cell r="B458" t="str">
            <v>*091110</v>
          </cell>
          <cell r="C458" t="str">
            <v>INSTALACIÓN CONTACTOR COMPLETO</v>
          </cell>
          <cell r="D458" t="str">
            <v>UN</v>
          </cell>
          <cell r="E458">
            <v>12.743399999999999</v>
          </cell>
          <cell r="F458">
            <v>9.6</v>
          </cell>
          <cell r="G458">
            <v>45.973100000000002</v>
          </cell>
          <cell r="H458">
            <v>10.6657592</v>
          </cell>
          <cell r="I458">
            <v>56.638859199999999</v>
          </cell>
        </row>
        <row r="459">
          <cell r="B459" t="str">
            <v>*091130</v>
          </cell>
          <cell r="C459" t="str">
            <v>BALASTRO INTEMPERIE</v>
          </cell>
          <cell r="D459" t="str">
            <v>Un</v>
          </cell>
          <cell r="E459">
            <v>45.322099999999999</v>
          </cell>
          <cell r="F459">
            <v>9.6</v>
          </cell>
          <cell r="G459">
            <v>9.5704999999999991</v>
          </cell>
          <cell r="H459">
            <v>2.2203559999999998</v>
          </cell>
          <cell r="I459">
            <v>11.790855999999998</v>
          </cell>
        </row>
        <row r="460">
          <cell r="B460" t="str">
            <v>*091229</v>
          </cell>
          <cell r="C460" t="str">
            <v>RETIRO DE SISTEMA DE ENCENDIDO AUTOMÁTICO AÉREO</v>
          </cell>
          <cell r="D460" t="str">
            <v>UN</v>
          </cell>
          <cell r="E460">
            <v>9.8643000000000001</v>
          </cell>
          <cell r="F460">
            <v>9.6</v>
          </cell>
          <cell r="G460">
            <v>90.365999999999985</v>
          </cell>
          <cell r="H460">
            <v>20.964911999999995</v>
          </cell>
          <cell r="I460">
            <v>111.33091199999998</v>
          </cell>
        </row>
        <row r="461">
          <cell r="B461" t="str">
            <v>*091230</v>
          </cell>
          <cell r="C461" t="str">
            <v>SISTEMA DE ENCENDIDO AUTOMÁTICO AÉREO</v>
          </cell>
          <cell r="D461" t="str">
            <v>UN</v>
          </cell>
          <cell r="E461">
            <v>6.9050000000000002</v>
          </cell>
          <cell r="F461">
            <v>9.6</v>
          </cell>
          <cell r="G461">
            <v>129.09440000000001</v>
          </cell>
          <cell r="H461">
            <v>29.949900799999998</v>
          </cell>
          <cell r="I461">
            <v>159.0443008</v>
          </cell>
        </row>
        <row r="462">
          <cell r="B462" t="str">
            <v>*091231</v>
          </cell>
          <cell r="C462" t="str">
            <v>TRASLADO DE SISTEMA DE ENCENDIDO AUTOMÁTICO AÉREO</v>
          </cell>
          <cell r="D462" t="str">
            <v>UN</v>
          </cell>
          <cell r="E462">
            <v>5.3114999999999997</v>
          </cell>
          <cell r="F462">
            <v>9.6</v>
          </cell>
          <cell r="G462">
            <v>167.82380000000001</v>
          </cell>
          <cell r="H462">
            <v>38.935121599999995</v>
          </cell>
          <cell r="I462">
            <v>206.75892160000001</v>
          </cell>
        </row>
        <row r="463">
          <cell r="B463" t="str">
            <v>*091240</v>
          </cell>
          <cell r="C463" t="str">
            <v>SUBIDA A POSTE DE CONCRETO O FIERRO C/EMPALME P/AP</v>
          </cell>
          <cell r="D463" t="str">
            <v>UN</v>
          </cell>
          <cell r="E463">
            <v>5.0449999999999999</v>
          </cell>
          <cell r="F463">
            <v>9.6</v>
          </cell>
          <cell r="G463">
            <v>204.05439999999999</v>
          </cell>
          <cell r="H463">
            <v>47.340620799999996</v>
          </cell>
          <cell r="I463">
            <v>251.3950208</v>
          </cell>
        </row>
        <row r="464">
          <cell r="B464" t="str">
            <v>*091247</v>
          </cell>
          <cell r="C464" t="str">
            <v>SUBIDA A POSTE DE CONCRETO O FIERRO C/EMPALME P/AP; TRAB MASIVO EN CTRL TEC Y CAL SERV</v>
          </cell>
          <cell r="D464" t="str">
            <v>UN</v>
          </cell>
          <cell r="E464">
            <v>3.5718999999999999</v>
          </cell>
          <cell r="F464">
            <v>9.6</v>
          </cell>
          <cell r="G464">
            <v>188.24339999999998</v>
          </cell>
          <cell r="H464">
            <v>43.67246879999999</v>
          </cell>
          <cell r="I464">
            <v>231.91586879999997</v>
          </cell>
        </row>
        <row r="465">
          <cell r="B465" t="str">
            <v>*091270</v>
          </cell>
          <cell r="C465" t="str">
            <v>ALAMBRADO DE PASTORAL  (mantenimiento)</v>
          </cell>
          <cell r="D465" t="str">
            <v>Un</v>
          </cell>
          <cell r="E465">
            <v>24.557700000000001</v>
          </cell>
          <cell r="F465">
            <v>9.6</v>
          </cell>
          <cell r="G465">
            <v>23.706199999999999</v>
          </cell>
          <cell r="H465">
            <v>5.4998383999999998</v>
          </cell>
          <cell r="I465">
            <v>29.206038399999997</v>
          </cell>
        </row>
        <row r="466">
          <cell r="B466" t="str">
            <v>*091279</v>
          </cell>
          <cell r="C466" t="str">
            <v>RETIRO CONEXION A LUMINARIA</v>
          </cell>
          <cell r="D466" t="str">
            <v>UN</v>
          </cell>
          <cell r="E466">
            <v>210.52629999999999</v>
          </cell>
          <cell r="F466">
            <v>9.6</v>
          </cell>
          <cell r="G466">
            <v>5.1405000000000003</v>
          </cell>
          <cell r="H466">
            <v>1.192596</v>
          </cell>
          <cell r="I466">
            <v>6.3330960000000003</v>
          </cell>
        </row>
        <row r="467">
          <cell r="B467" t="str">
            <v>*091280</v>
          </cell>
          <cell r="C467" t="str">
            <v>CONEXION A LUMINARIA</v>
          </cell>
          <cell r="D467" t="str">
            <v>UN</v>
          </cell>
          <cell r="E467">
            <v>147.37260000000001</v>
          </cell>
          <cell r="F467">
            <v>9.6</v>
          </cell>
          <cell r="G467">
            <v>7.4508000000000001</v>
          </cell>
          <cell r="H467">
            <v>1.7285855999999999</v>
          </cell>
          <cell r="I467">
            <v>9.1793855999999998</v>
          </cell>
        </row>
        <row r="468">
          <cell r="B468" t="str">
            <v>*091281</v>
          </cell>
          <cell r="C468" t="str">
            <v>TRASLADO DE CONEXION A LUMINARIA</v>
          </cell>
          <cell r="D468" t="str">
            <v>UN</v>
          </cell>
          <cell r="E468">
            <v>113.3633</v>
          </cell>
          <cell r="F468">
            <v>9.6</v>
          </cell>
          <cell r="G468">
            <v>11.4438</v>
          </cell>
          <cell r="H468">
            <v>2.6549615999999996</v>
          </cell>
          <cell r="I468">
            <v>14.0987616</v>
          </cell>
        </row>
        <row r="469">
          <cell r="B469" t="str">
            <v>*091298</v>
          </cell>
          <cell r="C469" t="str">
            <v>RETIRO DE PASTORAL PARABOLICO CUALQUIER TIPO DISPERSO MENOR A 6 UNIDADES</v>
          </cell>
          <cell r="D469" t="str">
            <v>UN</v>
          </cell>
          <cell r="E469">
            <v>18.454599999999999</v>
          </cell>
          <cell r="F469">
            <v>9.6</v>
          </cell>
          <cell r="G469">
            <v>88.8874</v>
          </cell>
          <cell r="H469">
            <v>20.621876799999999</v>
          </cell>
          <cell r="I469">
            <v>109.50927679999999</v>
          </cell>
        </row>
        <row r="470">
          <cell r="B470" t="str">
            <v>*091299</v>
          </cell>
          <cell r="C470" t="str">
            <v>RETIRO DE PASTORAL PARABOLICO CUALQUIER TIPO MASIVO MAYOR O IGUAL A 6 PASTORALES</v>
          </cell>
          <cell r="D470" t="str">
            <v>UN</v>
          </cell>
          <cell r="E470">
            <v>26.192399999999999</v>
          </cell>
          <cell r="F470">
            <v>9.6</v>
          </cell>
          <cell r="G470">
            <v>57.781100000000002</v>
          </cell>
          <cell r="H470">
            <v>13.405215199999999</v>
          </cell>
          <cell r="I470">
            <v>71.186315199999996</v>
          </cell>
        </row>
        <row r="471">
          <cell r="B471" t="str">
            <v>*091301</v>
          </cell>
          <cell r="C471" t="str">
            <v>PASTORAL PARABOLICO CUALQUIER TIPO DISPERSO MENOR A 6 UNIDADES</v>
          </cell>
          <cell r="D471" t="str">
            <v>UN</v>
          </cell>
          <cell r="E471">
            <v>12.918200000000001</v>
          </cell>
          <cell r="F471">
            <v>9.6</v>
          </cell>
          <cell r="G471">
            <v>126.9821</v>
          </cell>
          <cell r="H471">
            <v>29.459847199999999</v>
          </cell>
          <cell r="I471">
            <v>156.44194720000002</v>
          </cell>
        </row>
        <row r="472">
          <cell r="B472" t="str">
            <v>*091302</v>
          </cell>
          <cell r="C472" t="str">
            <v>PASTORAL PARABOLICO CUALQUIER TIPO MASIVO MAYOR O IGUAL A 6 PASTORALES</v>
          </cell>
          <cell r="D472" t="str">
            <v>UN</v>
          </cell>
          <cell r="E472">
            <v>18.334700000000002</v>
          </cell>
          <cell r="F472">
            <v>9.6</v>
          </cell>
          <cell r="G472">
            <v>82.544499999999999</v>
          </cell>
          <cell r="H472">
            <v>19.150323999999998</v>
          </cell>
          <cell r="I472">
            <v>101.694824</v>
          </cell>
        </row>
        <row r="473">
          <cell r="B473" t="str">
            <v>*091303</v>
          </cell>
          <cell r="C473" t="str">
            <v>PASTORAL PARABOLICO MODIF EN AV. ALTO TRANSITO (3,2/4,4/2,0")</v>
          </cell>
          <cell r="D473" t="str">
            <v>UN</v>
          </cell>
          <cell r="E473">
            <v>16.1905</v>
          </cell>
          <cell r="F473">
            <v>9.6</v>
          </cell>
          <cell r="G473">
            <v>97.763000000000005</v>
          </cell>
          <cell r="H473">
            <v>22.681016</v>
          </cell>
          <cell r="I473">
            <v>120.444016</v>
          </cell>
        </row>
        <row r="474">
          <cell r="B474" t="str">
            <v>*091304</v>
          </cell>
          <cell r="C474" t="str">
            <v>TRASLADO DE PASTORAL PARABOLICO CUALQUIER TIPO DISPERSO MENOR A 6 UNIDADES</v>
          </cell>
          <cell r="D474" t="str">
            <v>UN</v>
          </cell>
          <cell r="E474">
            <v>9.9370999999999992</v>
          </cell>
          <cell r="F474">
            <v>9.6</v>
          </cell>
          <cell r="G474">
            <v>165.0763</v>
          </cell>
          <cell r="H474">
            <v>38.297701599999996</v>
          </cell>
          <cell r="I474">
            <v>203.37400159999999</v>
          </cell>
        </row>
        <row r="475">
          <cell r="B475" t="str">
            <v>*091307</v>
          </cell>
          <cell r="C475" t="str">
            <v>Pastoral parabólico cualquier tipo, incluye abrazaderas,trabajo masivo en ctrl tec. - 091307</v>
          </cell>
          <cell r="D475" t="str">
            <v>UN</v>
          </cell>
          <cell r="E475">
            <v>21.408000000000001</v>
          </cell>
          <cell r="F475">
            <v>9.6</v>
          </cell>
          <cell r="G475">
            <v>60.539299999999997</v>
          </cell>
          <cell r="H475">
            <v>14.045117599999998</v>
          </cell>
          <cell r="I475">
            <v>74.584417599999995</v>
          </cell>
        </row>
        <row r="476">
          <cell r="B476" t="str">
            <v>*091315</v>
          </cell>
          <cell r="C476" t="str">
            <v>RETIRO LUMINARIA LED 125/250 HG  70/150/250/400 W NA. O FAROLA COMPLETA MASIVO</v>
          </cell>
          <cell r="D476" t="str">
            <v>UN</v>
          </cell>
          <cell r="E476">
            <v>50.363599999999998</v>
          </cell>
          <cell r="F476">
            <v>9.6</v>
          </cell>
          <cell r="G476">
            <v>23.712299999999999</v>
          </cell>
          <cell r="H476">
            <v>5.5012535999999992</v>
          </cell>
          <cell r="I476">
            <v>29.213553599999997</v>
          </cell>
        </row>
        <row r="477">
          <cell r="B477" t="str">
            <v>*091316</v>
          </cell>
          <cell r="C477" t="str">
            <v>RETIRO DE LUMINARIA 125/250 HG  70/150/250/400 W NA. O FAROLA COMPLETA MASIVO</v>
          </cell>
          <cell r="D477" t="str">
            <v>UN</v>
          </cell>
          <cell r="E477">
            <v>24.1677</v>
          </cell>
          <cell r="F477">
            <v>9.6</v>
          </cell>
          <cell r="G477">
            <v>49.414699999999996</v>
          </cell>
          <cell r="H477">
            <v>11.464210399999999</v>
          </cell>
          <cell r="I477">
            <v>60.878910399999995</v>
          </cell>
        </row>
        <row r="478">
          <cell r="B478" t="str">
            <v>*091317</v>
          </cell>
          <cell r="C478" t="str">
            <v>SUPLE DE PASTORAL; TRAB MASIVO EN CTRL TEC  Y CAL SERV</v>
          </cell>
          <cell r="D478" t="str">
            <v>UN</v>
          </cell>
          <cell r="E478">
            <v>10.3238</v>
          </cell>
          <cell r="F478">
            <v>9.6</v>
          </cell>
          <cell r="G478">
            <v>30.5139</v>
          </cell>
          <cell r="H478">
            <v>7.0792247999999995</v>
          </cell>
          <cell r="I478">
            <v>37.593124799999998</v>
          </cell>
        </row>
        <row r="479">
          <cell r="B479" t="str">
            <v>*091318</v>
          </cell>
          <cell r="C479" t="str">
            <v>REHABILITACIÓN DE PASTORAL (CUALQUIER TIPO); TRAB MASIVO EN CTRL TEC Y CAL SERV</v>
          </cell>
          <cell r="D479" t="str">
            <v>UN</v>
          </cell>
          <cell r="E479">
            <v>6.5461</v>
          </cell>
          <cell r="F479">
            <v>9.6</v>
          </cell>
          <cell r="G479">
            <v>48.1233</v>
          </cell>
          <cell r="H479">
            <v>11.1646056</v>
          </cell>
          <cell r="I479">
            <v>59.287905600000002</v>
          </cell>
        </row>
        <row r="480">
          <cell r="B480" t="str">
            <v>*091319</v>
          </cell>
          <cell r="C480" t="str">
            <v>LUMINARIA LED 125/250 HG  70/150/250/400 W NA. O FAROLA COMPLETA MASIVO</v>
          </cell>
          <cell r="D480" t="str">
            <v>UN</v>
          </cell>
          <cell r="E480">
            <v>35.255499999999998</v>
          </cell>
          <cell r="F480">
            <v>9.6</v>
          </cell>
          <cell r="G480">
            <v>33.873899999999999</v>
          </cell>
          <cell r="H480">
            <v>7.8587447999999993</v>
          </cell>
          <cell r="I480">
            <v>41.732644799999996</v>
          </cell>
        </row>
        <row r="481">
          <cell r="B481" t="str">
            <v>*091320</v>
          </cell>
          <cell r="C481" t="str">
            <v>LUMINARIA 125/250 HG  70/150/250/400 W NA. O FAROLA COMPLETA MASIVO</v>
          </cell>
          <cell r="D481" t="str">
            <v>UN</v>
          </cell>
          <cell r="E481">
            <v>16.917400000000001</v>
          </cell>
          <cell r="F481">
            <v>9.6</v>
          </cell>
          <cell r="G481">
            <v>70.592399999999998</v>
          </cell>
          <cell r="H481">
            <v>16.377436799999998</v>
          </cell>
          <cell r="I481">
            <v>86.969836799999996</v>
          </cell>
        </row>
        <row r="482">
          <cell r="B482" t="str">
            <v>*091322</v>
          </cell>
          <cell r="C482" t="str">
            <v>TRASLADO LUMINARIA 125/250 HG  70/150/250/400 W NA. O FAROLA COMPLETA MASIVO</v>
          </cell>
          <cell r="D482" t="str">
            <v>UN</v>
          </cell>
          <cell r="E482">
            <v>13.013400000000001</v>
          </cell>
          <cell r="F482">
            <v>9.6</v>
          </cell>
          <cell r="G482">
            <v>91.770099999999999</v>
          </cell>
          <cell r="H482">
            <v>21.290663199999997</v>
          </cell>
          <cell r="I482">
            <v>113.0607632</v>
          </cell>
        </row>
        <row r="483">
          <cell r="B483" t="str">
            <v>*091323</v>
          </cell>
          <cell r="C483" t="str">
            <v>SISTEMA ANTIHURTO C/CANASTILLA P LUMINARIAS TP ECONOM DE 70 Y 150 W P/LIQ EN  CTRL T, MANT Y  PROY</v>
          </cell>
          <cell r="D483" t="str">
            <v>UN</v>
          </cell>
          <cell r="E483">
            <v>17.294899999999998</v>
          </cell>
          <cell r="F483">
            <v>9.6</v>
          </cell>
          <cell r="G483">
            <v>15.3889</v>
          </cell>
          <cell r="H483">
            <v>3.5702247999999996</v>
          </cell>
          <cell r="I483">
            <v>18.959124799999998</v>
          </cell>
        </row>
        <row r="484">
          <cell r="B484" t="str">
            <v>*091325</v>
          </cell>
          <cell r="C484" t="str">
            <v>SOLDADURA DE LUMINARIA CON SISTEMA ANTIHURTO A PASTORAL DE ACERO</v>
          </cell>
          <cell r="D484" t="str">
            <v>UN</v>
          </cell>
          <cell r="E484">
            <v>43.3</v>
          </cell>
          <cell r="F484">
            <v>9.6</v>
          </cell>
          <cell r="G484">
            <v>14.810099999999998</v>
          </cell>
          <cell r="H484">
            <v>3.4359431999999992</v>
          </cell>
          <cell r="I484">
            <v>18.246043199999999</v>
          </cell>
        </row>
        <row r="485">
          <cell r="B485" t="str">
            <v>*091326</v>
          </cell>
          <cell r="C485" t="str">
            <v>TRASLADO DE LUMINARIA LED 125/250 HG  70/150/250/400 W NA. O FAROLA COMPLETA MASIVO</v>
          </cell>
          <cell r="D485" t="str">
            <v>UN</v>
          </cell>
          <cell r="E485">
            <v>27.119599999999998</v>
          </cell>
          <cell r="F485">
            <v>9.6</v>
          </cell>
          <cell r="G485">
            <v>44.036099999999998</v>
          </cell>
          <cell r="H485">
            <v>10.216375199999998</v>
          </cell>
          <cell r="I485">
            <v>54.252475199999992</v>
          </cell>
        </row>
        <row r="486">
          <cell r="B486" t="str">
            <v>*091327</v>
          </cell>
          <cell r="C486" t="str">
            <v>CAMBIO DE LUMINARIA HASTA 250 W O FAROLA (I RETIRO, INSTAL Y CONEX); TRAB MASIVO EN CTRL TEC Y CAL S</v>
          </cell>
          <cell r="D486" t="str">
            <v>UN</v>
          </cell>
          <cell r="E486">
            <v>23.191500000000001</v>
          </cell>
          <cell r="F486">
            <v>9.6</v>
          </cell>
          <cell r="G486">
            <v>53.858699999999999</v>
          </cell>
          <cell r="H486">
            <v>12.495218399999999</v>
          </cell>
          <cell r="I486">
            <v>66.353918399999998</v>
          </cell>
        </row>
        <row r="487">
          <cell r="B487" t="str">
            <v>*091328</v>
          </cell>
          <cell r="C487" t="str">
            <v>SOLDADO DE PERNOS DE FIJACIÓN DE LUMINARIA; TRAB MASIVO EN CTRL TEC Y CAL SERV</v>
          </cell>
          <cell r="D487" t="str">
            <v>UN</v>
          </cell>
          <cell r="E487">
            <v>21.687100000000001</v>
          </cell>
          <cell r="F487">
            <v>9.6</v>
          </cell>
          <cell r="G487">
            <v>19.119600000000002</v>
          </cell>
          <cell r="H487">
            <v>4.4357471999999998</v>
          </cell>
          <cell r="I487">
            <v>23.5553472</v>
          </cell>
        </row>
        <row r="488">
          <cell r="B488" t="str">
            <v>*091329</v>
          </cell>
          <cell r="C488" t="str">
            <v>RETIRO DE LUMINARIA DE 400 W. NA.</v>
          </cell>
          <cell r="D488" t="str">
            <v>UN</v>
          </cell>
          <cell r="E488">
            <v>39.2986</v>
          </cell>
          <cell r="F488">
            <v>9.6</v>
          </cell>
          <cell r="G488">
            <v>44.053699999999999</v>
          </cell>
          <cell r="H488">
            <v>10.220458399999998</v>
          </cell>
          <cell r="I488">
            <v>54.274158399999997</v>
          </cell>
        </row>
        <row r="489">
          <cell r="B489" t="str">
            <v>*091330</v>
          </cell>
          <cell r="C489" t="str">
            <v>Luminaria de 400 W NA -091330</v>
          </cell>
          <cell r="D489" t="str">
            <v/>
          </cell>
          <cell r="E489">
            <v>27.509</v>
          </cell>
          <cell r="F489">
            <v>9.6</v>
          </cell>
          <cell r="G489">
            <v>62.933800000000005</v>
          </cell>
          <cell r="H489">
            <v>14.600641599999999</v>
          </cell>
          <cell r="I489">
            <v>77.534441600000008</v>
          </cell>
        </row>
        <row r="490">
          <cell r="B490" t="str">
            <v>*091331</v>
          </cell>
          <cell r="C490" t="str">
            <v>CAMBIO MASIVO DE LUMINARIA O FAROLA HASTA 400 W (TURNO 24 H) INCLUYE RETIRO, INSTALACIÓN Y CONEXIONA</v>
          </cell>
          <cell r="D490" t="str">
            <v>UN</v>
          </cell>
          <cell r="E490">
            <v>42.736800000000002</v>
          </cell>
          <cell r="F490">
            <v>24</v>
          </cell>
          <cell r="G490">
            <v>47.766400000000004</v>
          </cell>
          <cell r="H490">
            <v>11.0818048</v>
          </cell>
          <cell r="I490">
            <v>58.848204800000005</v>
          </cell>
        </row>
        <row r="491">
          <cell r="B491" t="str">
            <v>*091337</v>
          </cell>
          <cell r="C491" t="str">
            <v>Cambio de luminaria de 400 W NA (incl retiro, instal y conex.)  - 091337</v>
          </cell>
          <cell r="D491" t="str">
            <v>UN</v>
          </cell>
          <cell r="E491">
            <v>23.807500000000001</v>
          </cell>
          <cell r="F491">
            <v>9.6</v>
          </cell>
          <cell r="G491">
            <v>54.437600000000003</v>
          </cell>
          <cell r="H491">
            <v>12.6295232</v>
          </cell>
          <cell r="I491">
            <v>67.067123199999997</v>
          </cell>
        </row>
        <row r="492">
          <cell r="B492" t="str">
            <v>*091338</v>
          </cell>
          <cell r="C492" t="str">
            <v>MASILLADO DE PERNOS EN LUMINARIA; TRAB MASIVO EN CTRL TEC Y CAL SERV</v>
          </cell>
          <cell r="D492" t="str">
            <v>UN</v>
          </cell>
          <cell r="E492">
            <v>29.708200000000001</v>
          </cell>
          <cell r="F492">
            <v>9.6</v>
          </cell>
          <cell r="G492">
            <v>13.382799999999998</v>
          </cell>
          <cell r="H492">
            <v>3.1048095999999994</v>
          </cell>
          <cell r="I492">
            <v>16.487609599999999</v>
          </cell>
        </row>
        <row r="493">
          <cell r="B493" t="str">
            <v>*091339</v>
          </cell>
          <cell r="C493" t="str">
            <v>TUBO PROTECTOR EN PERNO DE FIJACIÓN DE LUMINARIA; TRAB MASIVO EN CTRL TEC Y CAL SERV</v>
          </cell>
          <cell r="D493" t="str">
            <v>UN</v>
          </cell>
          <cell r="E493">
            <v>34.781300000000002</v>
          </cell>
          <cell r="F493">
            <v>9.6</v>
          </cell>
          <cell r="G493">
            <v>12.299300000000001</v>
          </cell>
          <cell r="H493">
            <v>2.8534375999999999</v>
          </cell>
          <cell r="I493">
            <v>15.1527376</v>
          </cell>
        </row>
        <row r="494">
          <cell r="B494" t="str">
            <v>*091340</v>
          </cell>
          <cell r="C494" t="str">
            <v>INSTALAR LAMPARAS</v>
          </cell>
          <cell r="D494" t="str">
            <v>UN</v>
          </cell>
          <cell r="E494">
            <v>285.79989999999998</v>
          </cell>
          <cell r="F494">
            <v>9.6</v>
          </cell>
          <cell r="G494">
            <v>4.2056000000000004</v>
          </cell>
          <cell r="H494">
            <v>0.97569919999999999</v>
          </cell>
          <cell r="I494">
            <v>5.1812992000000007</v>
          </cell>
        </row>
        <row r="495">
          <cell r="B495" t="str">
            <v>*091344</v>
          </cell>
          <cell r="C495" t="str">
            <v>RETIRO DE PASTORAL SIMPLE INC ABRAZDS (CUALQ TIPO); TRAB MASIVO EN CTRL TEC Y CAL SERV</v>
          </cell>
          <cell r="D495" t="str">
            <v>UN</v>
          </cell>
          <cell r="E495">
            <v>16.944299999999998</v>
          </cell>
          <cell r="F495">
            <v>9.6</v>
          </cell>
          <cell r="G495">
            <v>33.637700000000002</v>
          </cell>
          <cell r="H495">
            <v>7.8039464000000001</v>
          </cell>
          <cell r="I495">
            <v>41.441646400000003</v>
          </cell>
        </row>
        <row r="496">
          <cell r="B496" t="str">
            <v>*091346</v>
          </cell>
          <cell r="C496" t="str">
            <v>PASTORAL SIMPLE CUALQUIER TIPO DISPERSO MENOR A 6 PASTORALES</v>
          </cell>
          <cell r="D496" t="str">
            <v>UN</v>
          </cell>
          <cell r="E496">
            <v>15.591100000000001</v>
          </cell>
          <cell r="F496">
            <v>9.6</v>
          </cell>
          <cell r="G496">
            <v>92.002200000000002</v>
          </cell>
          <cell r="H496">
            <v>21.344510399999997</v>
          </cell>
          <cell r="I496">
            <v>113.34671040000001</v>
          </cell>
        </row>
        <row r="497">
          <cell r="B497" t="str">
            <v>*091347</v>
          </cell>
          <cell r="C497" t="str">
            <v>PASTORAL SIMPLE INC ABRAZDS (CUALQ TIPO); TRAB MASIVO EN CTRL TEC Y CAL SERV</v>
          </cell>
          <cell r="D497" t="str">
            <v>UN</v>
          </cell>
          <cell r="E497">
            <v>11.861000000000001</v>
          </cell>
          <cell r="F497">
            <v>9.6</v>
          </cell>
          <cell r="G497">
            <v>48.053899999999999</v>
          </cell>
          <cell r="H497">
            <v>11.1485048</v>
          </cell>
          <cell r="I497">
            <v>59.202404799999996</v>
          </cell>
        </row>
        <row r="498">
          <cell r="B498" t="str">
            <v>*091348</v>
          </cell>
          <cell r="C498" t="str">
            <v>PASTORAL SIMPLE CUALQUIER TIPO MASIVO MAYOR O IGUAL A 6 PASTORALES</v>
          </cell>
          <cell r="D498" t="str">
            <v>UN</v>
          </cell>
          <cell r="E498">
            <v>27.4803</v>
          </cell>
          <cell r="F498">
            <v>9.6</v>
          </cell>
          <cell r="G498">
            <v>46.326799999999999</v>
          </cell>
          <cell r="H498">
            <v>10.747817599999999</v>
          </cell>
          <cell r="I498">
            <v>57.074617599999996</v>
          </cell>
        </row>
        <row r="499">
          <cell r="B499" t="str">
            <v>*091355</v>
          </cell>
          <cell r="C499" t="str">
            <v>INSTALACIÓN DE PASTORAL ADICIONAL A UNO YA INSTALADO EN EL POSTE A INTERVENIR</v>
          </cell>
          <cell r="D499" t="str">
            <v>UN</v>
          </cell>
          <cell r="E499">
            <v>26.181799999999999</v>
          </cell>
          <cell r="F499">
            <v>9.6</v>
          </cell>
          <cell r="G499">
            <v>65.8964</v>
          </cell>
          <cell r="H499">
            <v>15.287964799999999</v>
          </cell>
          <cell r="I499">
            <v>81.184364799999997</v>
          </cell>
        </row>
        <row r="500">
          <cell r="B500" t="str">
            <v>*091356</v>
          </cell>
          <cell r="C500" t="str">
            <v>TRASLADO PASTORAL SIMPLE CUALQUIER TIPO DISPERSO MENOR A 6 PASTORALES</v>
          </cell>
          <cell r="D500" t="str">
            <v>UN</v>
          </cell>
          <cell r="E500">
            <v>11.9931</v>
          </cell>
          <cell r="F500">
            <v>9.6</v>
          </cell>
          <cell r="G500">
            <v>119.6035</v>
          </cell>
          <cell r="H500">
            <v>27.748011999999996</v>
          </cell>
          <cell r="I500">
            <v>147.35151199999999</v>
          </cell>
        </row>
        <row r="501">
          <cell r="B501" t="str">
            <v>*091357</v>
          </cell>
          <cell r="C501" t="str">
            <v>RETIRO PASTORAL SIMPLE CUALQUIER TIPO DISPERSO MENOR A 6 PASTORALES</v>
          </cell>
          <cell r="D501" t="str">
            <v>UN</v>
          </cell>
          <cell r="E501">
            <v>22.273</v>
          </cell>
          <cell r="F501">
            <v>9.6</v>
          </cell>
          <cell r="G501">
            <v>64.401499999999999</v>
          </cell>
          <cell r="H501">
            <v>14.941147999999998</v>
          </cell>
          <cell r="I501">
            <v>79.342647999999997</v>
          </cell>
        </row>
        <row r="502">
          <cell r="B502" t="str">
            <v>*091358</v>
          </cell>
          <cell r="C502" t="str">
            <v>RETIRO DE PASTORAL SIMPLE CUALQUIER TIPO MASIVO MAYOR O IGUAL A 6 PASTORALES</v>
          </cell>
          <cell r="D502" t="str">
            <v>UN</v>
          </cell>
          <cell r="E502">
            <v>39.257599999999996</v>
          </cell>
          <cell r="F502">
            <v>9.6</v>
          </cell>
          <cell r="G502">
            <v>32.428699999999999</v>
          </cell>
          <cell r="H502">
            <v>7.5234583999999991</v>
          </cell>
          <cell r="I502">
            <v>39.952158400000002</v>
          </cell>
        </row>
        <row r="503">
          <cell r="B503" t="str">
            <v>*091359</v>
          </cell>
          <cell r="C503" t="str">
            <v>TRASLADO DE PASTORAL SIMPLE CUALQUIER TIPO MASIVO MAYOR O IGUAL A 6 PASTORALES</v>
          </cell>
          <cell r="D503" t="str">
            <v>UN</v>
          </cell>
          <cell r="E503">
            <v>21.1386</v>
          </cell>
          <cell r="F503">
            <v>9.6</v>
          </cell>
          <cell r="G503">
            <v>60.225200000000001</v>
          </cell>
          <cell r="H503">
            <v>13.9722464</v>
          </cell>
          <cell r="I503">
            <v>74.197446400000004</v>
          </cell>
        </row>
        <row r="504">
          <cell r="B504" t="str">
            <v>*091360</v>
          </cell>
          <cell r="C504" t="str">
            <v>REACONDICIONAR PASTORAL DE FIERRO DE CUALQUIER TIPO</v>
          </cell>
          <cell r="D504" t="str">
            <v>UN</v>
          </cell>
          <cell r="E504">
            <v>7.5517000000000003</v>
          </cell>
          <cell r="F504">
            <v>9.6</v>
          </cell>
          <cell r="G504">
            <v>43.477899999999998</v>
          </cell>
          <cell r="H504">
            <v>10.086872799999998</v>
          </cell>
          <cell r="I504">
            <v>53.5647728</v>
          </cell>
        </row>
        <row r="505">
          <cell r="B505" t="str">
            <v>*091361</v>
          </cell>
          <cell r="C505" t="str">
            <v>TRASLADO DE PASTORAL SIMPLE INC ABRAZDS (CUALQ TIPO); TRAB MASIVO EN CTRL TEC Y CAL SERV</v>
          </cell>
          <cell r="D505" t="str">
            <v>UN</v>
          </cell>
          <cell r="E505">
            <v>9.1237999999999992</v>
          </cell>
          <cell r="F505">
            <v>9.6</v>
          </cell>
          <cell r="G505">
            <v>62.470299999999995</v>
          </cell>
          <cell r="H505">
            <v>14.493109599999999</v>
          </cell>
          <cell r="I505">
            <v>76.963409599999991</v>
          </cell>
        </row>
        <row r="506">
          <cell r="B506" t="str">
            <v>*091379</v>
          </cell>
          <cell r="C506" t="str">
            <v>RETIRO CABLE CONCENTRICO 6 mm2</v>
          </cell>
          <cell r="D506" t="str">
            <v>M</v>
          </cell>
          <cell r="E506">
            <v>998.04420000000005</v>
          </cell>
          <cell r="F506">
            <v>9.6</v>
          </cell>
          <cell r="G506">
            <v>0.59160000000000001</v>
          </cell>
          <cell r="H506">
            <v>0.13725119999999999</v>
          </cell>
          <cell r="I506">
            <v>0.72885120000000003</v>
          </cell>
        </row>
        <row r="507">
          <cell r="B507" t="str">
            <v>*091380</v>
          </cell>
          <cell r="C507" t="str">
            <v>CABLE CONCENTRICO 6 mm2</v>
          </cell>
          <cell r="D507" t="str">
            <v>M</v>
          </cell>
          <cell r="E507">
            <v>698.6508</v>
          </cell>
          <cell r="F507">
            <v>9.6</v>
          </cell>
          <cell r="G507">
            <v>0.84510000000000007</v>
          </cell>
          <cell r="H507">
            <v>0.19606319999999999</v>
          </cell>
          <cell r="I507">
            <v>1.0411632000000002</v>
          </cell>
        </row>
        <row r="508">
          <cell r="B508" t="str">
            <v>*091381</v>
          </cell>
          <cell r="C508" t="str">
            <v>TRASLADO DE CABLE CONCENTRICO 6 mm2</v>
          </cell>
          <cell r="D508" t="str">
            <v>M</v>
          </cell>
          <cell r="E508">
            <v>537.59500000000003</v>
          </cell>
          <cell r="F508">
            <v>9.6</v>
          </cell>
          <cell r="G508">
            <v>1.0983000000000001</v>
          </cell>
          <cell r="H508">
            <v>0.25480560000000002</v>
          </cell>
          <cell r="I508">
            <v>1.3531056000000001</v>
          </cell>
        </row>
        <row r="509">
          <cell r="B509" t="str">
            <v>*091382</v>
          </cell>
          <cell r="C509" t="str">
            <v>BOTA Y TUBO TERMOCONTRAIBLE PARA CABLE CONCENTRICO BT</v>
          </cell>
          <cell r="D509" t="str">
            <v>UN</v>
          </cell>
          <cell r="E509">
            <v>40.85</v>
          </cell>
          <cell r="F509">
            <v>9.6</v>
          </cell>
          <cell r="G509">
            <v>12.760899999999999</v>
          </cell>
          <cell r="H509">
            <v>2.9605287999999996</v>
          </cell>
          <cell r="I509">
            <v>15.721428799999998</v>
          </cell>
        </row>
        <row r="510">
          <cell r="B510" t="str">
            <v>*091400</v>
          </cell>
          <cell r="C510" t="str">
            <v>FIJACIÓN A POSTE CON CABLE CONCENTRICO</v>
          </cell>
          <cell r="D510" t="str">
            <v>UN</v>
          </cell>
          <cell r="E510">
            <v>741.13049999999998</v>
          </cell>
          <cell r="F510">
            <v>9.6</v>
          </cell>
          <cell r="G510">
            <v>0.53039999999999998</v>
          </cell>
          <cell r="H510">
            <v>0.12305279999999999</v>
          </cell>
          <cell r="I510">
            <v>0.65345279999999994</v>
          </cell>
        </row>
        <row r="511">
          <cell r="B511" t="str">
            <v>*091410</v>
          </cell>
          <cell r="C511" t="str">
            <v>CABLE NYY BT HASTA 3-1x16mm2</v>
          </cell>
          <cell r="D511" t="str">
            <v>M</v>
          </cell>
          <cell r="E511">
            <v>209.19120000000001</v>
          </cell>
          <cell r="F511">
            <v>9.6</v>
          </cell>
          <cell r="G511">
            <v>2.4647999999999999</v>
          </cell>
          <cell r="H511">
            <v>0.57183359999999994</v>
          </cell>
          <cell r="I511">
            <v>3.0366336</v>
          </cell>
        </row>
        <row r="512">
          <cell r="B512" t="str">
            <v>*091411</v>
          </cell>
          <cell r="C512" t="str">
            <v>RETIRO CABLE NYY BT HASTA 3-1x16mm2</v>
          </cell>
          <cell r="D512" t="str">
            <v>M</v>
          </cell>
          <cell r="E512">
            <v>298.83609999999999</v>
          </cell>
          <cell r="F512">
            <v>9.6</v>
          </cell>
          <cell r="G512">
            <v>1.7255</v>
          </cell>
          <cell r="H512">
            <v>0.40031600000000001</v>
          </cell>
          <cell r="I512">
            <v>2.1258159999999999</v>
          </cell>
        </row>
        <row r="513">
          <cell r="B513" t="str">
            <v>*091412</v>
          </cell>
          <cell r="C513" t="str">
            <v>TRASLADO CABLE NYY BT HASTA 3-1x16mm2</v>
          </cell>
          <cell r="D513" t="str">
            <v>M</v>
          </cell>
          <cell r="E513">
            <v>160.91589999999999</v>
          </cell>
          <cell r="F513">
            <v>9.6</v>
          </cell>
          <cell r="G513">
            <v>3.2043999999999997</v>
          </cell>
          <cell r="H513">
            <v>0.74342079999999988</v>
          </cell>
          <cell r="I513">
            <v>3.9478207999999997</v>
          </cell>
        </row>
        <row r="514">
          <cell r="B514" t="str">
            <v>*091419</v>
          </cell>
          <cell r="C514" t="str">
            <v>RETIRO CABLE NYY BT MAYOR A 3-1x16 HASTA 3-1x70 mm2</v>
          </cell>
          <cell r="D514" t="str">
            <v>M</v>
          </cell>
          <cell r="E514">
            <v>291.92059999999998</v>
          </cell>
          <cell r="F514">
            <v>9.6</v>
          </cell>
          <cell r="G514">
            <v>2.2821000000000002</v>
          </cell>
          <cell r="H514">
            <v>0.52944720000000001</v>
          </cell>
          <cell r="I514">
            <v>2.8115472000000001</v>
          </cell>
        </row>
        <row r="515">
          <cell r="B515" t="str">
            <v>*091420</v>
          </cell>
          <cell r="C515" t="str">
            <v>CABLE NYY BT MAYOR A 3-1x16 HASTA 3-1x70 mm2</v>
          </cell>
          <cell r="D515" t="str">
            <v>M</v>
          </cell>
          <cell r="E515">
            <v>204.3502</v>
          </cell>
          <cell r="F515">
            <v>9.6</v>
          </cell>
          <cell r="G515">
            <v>3.2601999999999998</v>
          </cell>
          <cell r="H515">
            <v>0.75636639999999988</v>
          </cell>
          <cell r="I515">
            <v>4.0165663999999994</v>
          </cell>
        </row>
        <row r="516">
          <cell r="B516" t="str">
            <v>*091421</v>
          </cell>
          <cell r="C516" t="str">
            <v>TRASLADO CABLE NYY BT MAYOR A 3-1x16 HASTA 3-1x70 mm2</v>
          </cell>
          <cell r="D516" t="str">
            <v>M</v>
          </cell>
          <cell r="E516">
            <v>157.19210000000001</v>
          </cell>
          <cell r="F516">
            <v>9.6</v>
          </cell>
          <cell r="G516">
            <v>4.2380999999999993</v>
          </cell>
          <cell r="H516">
            <v>0.98323919999999976</v>
          </cell>
          <cell r="I516">
            <v>5.2213391999999992</v>
          </cell>
        </row>
        <row r="517">
          <cell r="B517" t="str">
            <v>*091440</v>
          </cell>
          <cell r="C517" t="str">
            <v>CABLE NYY BT MAYOR A 3-1x70mm2   HASTA 3-1x185mm2</v>
          </cell>
          <cell r="D517" t="str">
            <v>M</v>
          </cell>
          <cell r="E517">
            <v>193.0521</v>
          </cell>
          <cell r="F517">
            <v>9.6</v>
          </cell>
          <cell r="G517">
            <v>4.2789999999999999</v>
          </cell>
          <cell r="H517">
            <v>0.99272799999999994</v>
          </cell>
          <cell r="I517">
            <v>5.2717279999999995</v>
          </cell>
        </row>
        <row r="518">
          <cell r="B518" t="str">
            <v>*091441</v>
          </cell>
          <cell r="C518" t="str">
            <v>RETIRO CABLE NYY BT MAYOR A 3-1x70mm2   HASTA 3-1x185mm2</v>
          </cell>
          <cell r="D518" t="str">
            <v>M</v>
          </cell>
          <cell r="E518">
            <v>275.78089999999997</v>
          </cell>
          <cell r="F518">
            <v>9.6</v>
          </cell>
          <cell r="G518">
            <v>2.9953000000000003</v>
          </cell>
          <cell r="H518">
            <v>0.69490960000000002</v>
          </cell>
          <cell r="I518">
            <v>3.6902096000000002</v>
          </cell>
        </row>
        <row r="519">
          <cell r="B519" t="str">
            <v>*091442</v>
          </cell>
          <cell r="C519" t="str">
            <v>TRASLADO CABLE NYY BT MAYOR A 3-1x70mm2   HASTA 3-1x185mm2</v>
          </cell>
          <cell r="D519" t="str">
            <v>M</v>
          </cell>
          <cell r="E519">
            <v>148.50129999999999</v>
          </cell>
          <cell r="F519">
            <v>9.6</v>
          </cell>
          <cell r="G519">
            <v>5.5626999999999995</v>
          </cell>
          <cell r="H519">
            <v>1.2905463999999998</v>
          </cell>
          <cell r="I519">
            <v>6.8532463999999997</v>
          </cell>
        </row>
        <row r="520">
          <cell r="B520" t="str">
            <v>*091447</v>
          </cell>
          <cell r="C520" t="str">
            <v>RETIRO DE CABLE NYBY BT MAYOR A 3x16mm2 HASTA 3x70mm2</v>
          </cell>
          <cell r="D520" t="str">
            <v>M</v>
          </cell>
          <cell r="E520">
            <v>215.20060000000001</v>
          </cell>
          <cell r="F520">
            <v>9.6</v>
          </cell>
          <cell r="G520">
            <v>3.0741000000000005</v>
          </cell>
          <cell r="H520">
            <v>0.71319120000000003</v>
          </cell>
          <cell r="I520">
            <v>3.7872912000000003</v>
          </cell>
        </row>
        <row r="521">
          <cell r="B521" t="str">
            <v>*091448</v>
          </cell>
          <cell r="C521" t="str">
            <v>RETIRO DE CABLE NYBY BT  HASTA 3x16mm2</v>
          </cell>
          <cell r="D521" t="str">
            <v>M</v>
          </cell>
          <cell r="E521">
            <v>433.13049999999998</v>
          </cell>
          <cell r="F521">
            <v>9.6</v>
          </cell>
          <cell r="G521">
            <v>2.0905</v>
          </cell>
          <cell r="H521">
            <v>0.48499599999999998</v>
          </cell>
          <cell r="I521">
            <v>2.5754960000000002</v>
          </cell>
        </row>
        <row r="522">
          <cell r="B522" t="str">
            <v>*091449</v>
          </cell>
          <cell r="C522" t="str">
            <v>RETIRO CABLE NYY BT MAYOR A 3-1x185mm2</v>
          </cell>
          <cell r="D522" t="str">
            <v>M</v>
          </cell>
          <cell r="E522">
            <v>201.28</v>
          </cell>
          <cell r="F522">
            <v>9.6</v>
          </cell>
          <cell r="G522">
            <v>5.2950999999999997</v>
          </cell>
          <cell r="H522">
            <v>1.2284631999999998</v>
          </cell>
          <cell r="I522">
            <v>6.5235631999999999</v>
          </cell>
        </row>
        <row r="523">
          <cell r="B523" t="str">
            <v>*091450</v>
          </cell>
          <cell r="C523" t="str">
            <v>CABLE NYY BT MAYOR A 3-1x185mm2</v>
          </cell>
          <cell r="D523" t="str">
            <v>M</v>
          </cell>
          <cell r="E523">
            <v>140.9</v>
          </cell>
          <cell r="F523">
            <v>9.6</v>
          </cell>
          <cell r="G523">
            <v>7.5641999999999996</v>
          </cell>
          <cell r="H523">
            <v>1.7548943999999997</v>
          </cell>
          <cell r="I523">
            <v>9.3190943999999991</v>
          </cell>
        </row>
        <row r="524">
          <cell r="B524" t="str">
            <v>*091451</v>
          </cell>
          <cell r="C524" t="str">
            <v>TRASLADO DE CABLE NYY BT MAYOR A 3-1x185mm2</v>
          </cell>
          <cell r="D524" t="str">
            <v>M</v>
          </cell>
          <cell r="E524">
            <v>108.3844</v>
          </cell>
          <cell r="F524">
            <v>9.6</v>
          </cell>
          <cell r="G524">
            <v>9.8337000000000003</v>
          </cell>
          <cell r="H524">
            <v>2.2814183999999997</v>
          </cell>
          <cell r="I524">
            <v>12.1151184</v>
          </cell>
        </row>
        <row r="525">
          <cell r="B525" t="str">
            <v>*091452</v>
          </cell>
          <cell r="C525" t="str">
            <v>CABLE NYBY BT  HASTA 3x16mm2</v>
          </cell>
          <cell r="D525" t="str">
            <v>M</v>
          </cell>
          <cell r="E525">
            <v>303.2</v>
          </cell>
          <cell r="F525">
            <v>9.6</v>
          </cell>
          <cell r="G525">
            <v>2.9863</v>
          </cell>
          <cell r="H525">
            <v>0.69282159999999993</v>
          </cell>
          <cell r="I525">
            <v>3.6791215999999998</v>
          </cell>
        </row>
        <row r="526">
          <cell r="B526" t="str">
            <v>*091453</v>
          </cell>
          <cell r="C526" t="str">
            <v>CABLE NYBY BT MAYOR A 3x16mm2 HASTA 3x70mm2</v>
          </cell>
          <cell r="D526" t="str">
            <v>M</v>
          </cell>
          <cell r="E526">
            <v>150.6447</v>
          </cell>
          <cell r="F526">
            <v>9.6</v>
          </cell>
          <cell r="G526">
            <v>4.3914</v>
          </cell>
          <cell r="H526">
            <v>1.0188047999999998</v>
          </cell>
          <cell r="I526">
            <v>5.4102047999999998</v>
          </cell>
        </row>
        <row r="527">
          <cell r="B527" t="str">
            <v>*091455</v>
          </cell>
          <cell r="C527" t="str">
            <v>Cable NYBY BT mayor a  3 x 70 mm2  hasta 3 x 185 mm2 - 091455</v>
          </cell>
          <cell r="D527" t="str">
            <v>m</v>
          </cell>
          <cell r="E527">
            <v>183.46299999999999</v>
          </cell>
          <cell r="F527">
            <v>9.6</v>
          </cell>
          <cell r="G527">
            <v>5.1924999999999999</v>
          </cell>
          <cell r="H527">
            <v>1.2046599999999998</v>
          </cell>
          <cell r="I527">
            <v>6.3971599999999995</v>
          </cell>
        </row>
        <row r="528">
          <cell r="B528" t="str">
            <v>*091456</v>
          </cell>
          <cell r="C528" t="str">
            <v>RETIRO DE CABLE NYBY BT MAYOR A  3 x 70 mm2  HASTA 3 x 185 mm2</v>
          </cell>
          <cell r="D528" t="str">
            <v>M</v>
          </cell>
          <cell r="E528">
            <v>262.08249999999998</v>
          </cell>
          <cell r="F528">
            <v>9.6</v>
          </cell>
          <cell r="G528">
            <v>3.6349</v>
          </cell>
          <cell r="H528">
            <v>0.84329679999999996</v>
          </cell>
          <cell r="I528">
            <v>4.4781968000000001</v>
          </cell>
        </row>
        <row r="529">
          <cell r="B529" t="str">
            <v>*091459</v>
          </cell>
          <cell r="C529" t="str">
            <v>RETIRO CABLE NKY MT HASTA 16 mm2</v>
          </cell>
          <cell r="D529" t="str">
            <v>M</v>
          </cell>
          <cell r="E529">
            <v>1873.7152000000001</v>
          </cell>
          <cell r="F529">
            <v>9.6</v>
          </cell>
          <cell r="G529">
            <v>3.3473999999999999</v>
          </cell>
          <cell r="H529">
            <v>0.77659679999999998</v>
          </cell>
          <cell r="I529">
            <v>4.1239967999999996</v>
          </cell>
        </row>
        <row r="530">
          <cell r="B530" t="str">
            <v>*091460</v>
          </cell>
          <cell r="C530" t="str">
            <v>CABLE NKY MT HASTA 16 mm2</v>
          </cell>
          <cell r="D530" t="str">
            <v>M</v>
          </cell>
          <cell r="E530">
            <v>912</v>
          </cell>
          <cell r="F530">
            <v>9.6</v>
          </cell>
          <cell r="G530">
            <v>4.8086000000000002</v>
          </cell>
          <cell r="H530">
            <v>1.1155952</v>
          </cell>
          <cell r="I530">
            <v>5.9241951999999998</v>
          </cell>
        </row>
        <row r="531">
          <cell r="B531" t="str">
            <v>*091469</v>
          </cell>
          <cell r="C531" t="str">
            <v>RETIRO DE CABLE NKY MT MAYOR A 16MM2 HASTA 70mm²</v>
          </cell>
          <cell r="D531" t="str">
            <v>M</v>
          </cell>
          <cell r="E531">
            <v>1279.0504000000001</v>
          </cell>
          <cell r="F531">
            <v>9.6</v>
          </cell>
          <cell r="G531">
            <v>4.1059999999999999</v>
          </cell>
          <cell r="H531">
            <v>0.95259199999999988</v>
          </cell>
          <cell r="I531">
            <v>5.058592</v>
          </cell>
        </row>
        <row r="532">
          <cell r="B532" t="str">
            <v>*091470</v>
          </cell>
          <cell r="C532" t="str">
            <v>Cable NKY MT mayor a  16 mm2 hasta 70 mm2 - 091470</v>
          </cell>
          <cell r="D532" t="str">
            <v>M</v>
          </cell>
          <cell r="E532">
            <v>698</v>
          </cell>
          <cell r="F532">
            <v>9.6</v>
          </cell>
          <cell r="G532">
            <v>5.8911999999999995</v>
          </cell>
          <cell r="H532">
            <v>1.3667583999999997</v>
          </cell>
          <cell r="I532">
            <v>7.2579583999999997</v>
          </cell>
        </row>
        <row r="533">
          <cell r="B533" t="str">
            <v>*091489</v>
          </cell>
          <cell r="C533" t="str">
            <v>RETIRO DE CABLE NKY MT MAYOR A 70MM2 HASTA 240mm².</v>
          </cell>
          <cell r="D533" t="str">
            <v>M</v>
          </cell>
          <cell r="E533">
            <v>808.30219999999997</v>
          </cell>
          <cell r="F533">
            <v>9.6</v>
          </cell>
          <cell r="G533">
            <v>5.8419999999999996</v>
          </cell>
          <cell r="H533">
            <v>1.3553439999999999</v>
          </cell>
          <cell r="I533">
            <v>7.1973439999999993</v>
          </cell>
        </row>
        <row r="534">
          <cell r="B534" t="str">
            <v>*091490</v>
          </cell>
          <cell r="C534" t="str">
            <v>Cable NKY MT mayor a  70 mm2 hasta 240 mm2 - 091490</v>
          </cell>
          <cell r="D534" t="str">
            <v>M</v>
          </cell>
          <cell r="E534">
            <v>489.49009999999998</v>
          </cell>
          <cell r="F534">
            <v>9.6</v>
          </cell>
          <cell r="G534">
            <v>8.3694999999999986</v>
          </cell>
          <cell r="H534">
            <v>1.9417239999999996</v>
          </cell>
          <cell r="I534">
            <v>10.311223999999998</v>
          </cell>
        </row>
        <row r="535">
          <cell r="B535" t="str">
            <v>*091508</v>
          </cell>
          <cell r="C535" t="str">
            <v>TRASLADO CABLE SECO MT DE 1x25mm2 hasta 1x35 mm2</v>
          </cell>
          <cell r="D535" t="str">
            <v>M</v>
          </cell>
          <cell r="E535">
            <v>730.47699999999998</v>
          </cell>
          <cell r="F535">
            <v>9.6</v>
          </cell>
          <cell r="G535">
            <v>3.5147000000000004</v>
          </cell>
          <cell r="H535">
            <v>0.81541039999999998</v>
          </cell>
          <cell r="I535">
            <v>4.3301104000000006</v>
          </cell>
        </row>
        <row r="536">
          <cell r="B536" t="str">
            <v>*091509</v>
          </cell>
          <cell r="C536" t="str">
            <v>RETIRO CABLE SECO MT DE 1X25MM2 HASTA 1X35 MM2</v>
          </cell>
          <cell r="D536" t="str">
            <v>M</v>
          </cell>
          <cell r="E536">
            <v>1356.5645999999999</v>
          </cell>
          <cell r="F536">
            <v>9.6</v>
          </cell>
          <cell r="G536">
            <v>1.8926000000000001</v>
          </cell>
          <cell r="H536">
            <v>0.43908320000000001</v>
          </cell>
          <cell r="I536">
            <v>2.3316832000000001</v>
          </cell>
        </row>
        <row r="537">
          <cell r="B537" t="str">
            <v>*091510</v>
          </cell>
          <cell r="C537" t="str">
            <v>Cable seco MT de 1x25mm2 hasta 1x35 mm2</v>
          </cell>
          <cell r="D537" t="str">
            <v>M</v>
          </cell>
          <cell r="E537">
            <v>949.62220000000002</v>
          </cell>
          <cell r="F537">
            <v>9.6</v>
          </cell>
          <cell r="G537">
            <v>2.7035999999999998</v>
          </cell>
          <cell r="H537">
            <v>0.62723519999999988</v>
          </cell>
          <cell r="I537">
            <v>3.3308351999999997</v>
          </cell>
        </row>
        <row r="538">
          <cell r="B538" t="str">
            <v>*091511</v>
          </cell>
          <cell r="C538" t="str">
            <v>RETIRO CABLE SECO MT DE 1x35mm2 HASTA 1x95mm2</v>
          </cell>
          <cell r="D538" t="str">
            <v>M</v>
          </cell>
          <cell r="E538">
            <v>1133.0175999999999</v>
          </cell>
          <cell r="F538">
            <v>9.6</v>
          </cell>
          <cell r="G538">
            <v>2.6471</v>
          </cell>
          <cell r="H538">
            <v>0.61412719999999998</v>
          </cell>
          <cell r="I538">
            <v>3.2612272</v>
          </cell>
        </row>
        <row r="539">
          <cell r="B539" t="str">
            <v>*091512</v>
          </cell>
          <cell r="C539" t="str">
            <v>CABLE SECO MT DE 1x35mm2 HASTA 1x95mm2</v>
          </cell>
          <cell r="D539" t="str">
            <v>M</v>
          </cell>
          <cell r="E539">
            <v>793.13490000000002</v>
          </cell>
          <cell r="F539">
            <v>9.6</v>
          </cell>
          <cell r="G539">
            <v>3.7815999999999996</v>
          </cell>
          <cell r="H539">
            <v>0.87733119999999987</v>
          </cell>
          <cell r="I539">
            <v>4.6589311999999996</v>
          </cell>
        </row>
        <row r="540">
          <cell r="B540" t="str">
            <v>*091513</v>
          </cell>
          <cell r="C540" t="str">
            <v>TRASLADO CABLE SECO MT DE 1x35mm2 HASTA 1x95mm2</v>
          </cell>
          <cell r="D540" t="str">
            <v>M</v>
          </cell>
          <cell r="E540">
            <v>610.10239999999999</v>
          </cell>
          <cell r="F540">
            <v>9.6</v>
          </cell>
          <cell r="G540">
            <v>4.9160000000000004</v>
          </cell>
          <cell r="H540">
            <v>1.140512</v>
          </cell>
          <cell r="I540">
            <v>6.0565120000000006</v>
          </cell>
        </row>
        <row r="541">
          <cell r="B541" t="str">
            <v>*091514</v>
          </cell>
          <cell r="C541" t="str">
            <v>CABLE SECO MT DE 1x120mm2 HASTA 1x400mm2</v>
          </cell>
          <cell r="D541" t="str">
            <v>M</v>
          </cell>
          <cell r="E541">
            <v>682.58510000000001</v>
          </cell>
          <cell r="F541">
            <v>9.6</v>
          </cell>
          <cell r="G541">
            <v>4.3940000000000001</v>
          </cell>
          <cell r="H541">
            <v>1.0194079999999999</v>
          </cell>
          <cell r="I541">
            <v>5.4134080000000004</v>
          </cell>
        </row>
        <row r="542">
          <cell r="B542" t="str">
            <v>*091515</v>
          </cell>
          <cell r="C542" t="str">
            <v>RETIRO CABLE SECO MT DE 1x120mm2 HASTA 1x400mm2</v>
          </cell>
          <cell r="D542" t="str">
            <v>M</v>
          </cell>
          <cell r="E542">
            <v>975.09379999999999</v>
          </cell>
          <cell r="F542">
            <v>9.6</v>
          </cell>
          <cell r="G542">
            <v>3.0758000000000001</v>
          </cell>
          <cell r="H542">
            <v>0.71358559999999993</v>
          </cell>
          <cell r="I542">
            <v>3.7893856000000001</v>
          </cell>
        </row>
        <row r="543">
          <cell r="B543" t="str">
            <v>*091516</v>
          </cell>
          <cell r="C543" t="str">
            <v>TRASLADO CABLE SECO MT DE 1x120mm2 HASTA 1x400mm2</v>
          </cell>
          <cell r="D543" t="str">
            <v>M</v>
          </cell>
          <cell r="E543">
            <v>525.0643</v>
          </cell>
          <cell r="F543">
            <v>9.6</v>
          </cell>
          <cell r="G543">
            <v>5.7121000000000004</v>
          </cell>
          <cell r="H543">
            <v>1.3252071999999999</v>
          </cell>
          <cell r="I543">
            <v>7.0373072000000008</v>
          </cell>
        </row>
        <row r="544">
          <cell r="B544" t="str">
            <v>*091519</v>
          </cell>
          <cell r="C544" t="str">
            <v>RETIRO DE CONECTOR DE CODO C/CABLE SECO N2XSY DE 25 mm2 SCP Y SCB (3 CONECT.)</v>
          </cell>
          <cell r="D544" t="str">
            <v>UN</v>
          </cell>
          <cell r="E544">
            <v>3.2170000000000001</v>
          </cell>
          <cell r="F544">
            <v>9.6</v>
          </cell>
          <cell r="G544">
            <v>134.5181</v>
          </cell>
          <cell r="H544">
            <v>31.208199199999999</v>
          </cell>
          <cell r="I544">
            <v>165.7262992</v>
          </cell>
        </row>
        <row r="545">
          <cell r="B545" t="str">
            <v>*091520</v>
          </cell>
          <cell r="C545" t="str">
            <v>SUBIDA A POSTE MT C/CABLE NKY/N2XSY HASTA 70mm2 TERMINAL TERMORR O SIMILAR</v>
          </cell>
          <cell r="D545" t="str">
            <v>UN</v>
          </cell>
          <cell r="E545">
            <v>3</v>
          </cell>
          <cell r="F545">
            <v>9.6</v>
          </cell>
          <cell r="G545">
            <v>254.61769999999999</v>
          </cell>
          <cell r="H545">
            <v>59.07130639999999</v>
          </cell>
          <cell r="I545">
            <v>313.68900639999998</v>
          </cell>
        </row>
        <row r="546">
          <cell r="B546" t="str">
            <v>*091525</v>
          </cell>
          <cell r="C546" t="str">
            <v>CONECTOR DE CODO C/CABLE SECO N2XSY DE 25 mm2 SCP Y SCB (3 CONECT.)</v>
          </cell>
          <cell r="D546" t="str">
            <v>UN</v>
          </cell>
          <cell r="E546">
            <v>2.2519</v>
          </cell>
          <cell r="F546">
            <v>9.6</v>
          </cell>
          <cell r="G546">
            <v>192.16869999999997</v>
          </cell>
          <cell r="H546">
            <v>44.583138399999989</v>
          </cell>
          <cell r="I546">
            <v>236.75183839999997</v>
          </cell>
        </row>
        <row r="547">
          <cell r="B547" t="str">
            <v>*091527</v>
          </cell>
          <cell r="C547" t="str">
            <v>TERMINAL INTERIOR O EXTERIOR TRIF. TIPO TERMOR. O SIMILAR HASTA 240 MM2.</v>
          </cell>
          <cell r="D547" t="str">
            <v>UN</v>
          </cell>
          <cell r="E547">
            <v>2.4908000000000001</v>
          </cell>
          <cell r="F547">
            <v>9.6</v>
          </cell>
          <cell r="G547">
            <v>193.44889999999998</v>
          </cell>
          <cell r="H547">
            <v>44.880144799999989</v>
          </cell>
          <cell r="I547">
            <v>238.32904479999996</v>
          </cell>
        </row>
        <row r="548">
          <cell r="B548" t="str">
            <v>*091528</v>
          </cell>
          <cell r="C548" t="str">
            <v>RETIRO DE TERMINAL INTERIOR O EXTERIOR TRIF. TIPO TERMOR. O SIMILAR HASTA 240 MM2.</v>
          </cell>
          <cell r="D548" t="str">
            <v>UN</v>
          </cell>
          <cell r="E548">
            <v>3.5583</v>
          </cell>
          <cell r="F548">
            <v>9.6</v>
          </cell>
          <cell r="G548">
            <v>135.41370000000001</v>
          </cell>
          <cell r="H548">
            <v>31.4159784</v>
          </cell>
          <cell r="I548">
            <v>166.82967840000001</v>
          </cell>
        </row>
        <row r="549">
          <cell r="B549" t="str">
            <v>*091529</v>
          </cell>
          <cell r="C549" t="str">
            <v>TRASLADO DE TERMINAL INTERIOR O EXTERIOR TRIF. TIPO TERMOR. O SIMILAR HASTA 240 MM2.</v>
          </cell>
          <cell r="D549" t="str">
            <v>UN</v>
          </cell>
          <cell r="E549">
            <v>1.9159999999999999</v>
          </cell>
          <cell r="F549">
            <v>9.6</v>
          </cell>
          <cell r="G549">
            <v>251.48349999999999</v>
          </cell>
          <cell r="H549">
            <v>58.344171999999993</v>
          </cell>
          <cell r="I549">
            <v>309.82767200000001</v>
          </cell>
        </row>
        <row r="550">
          <cell r="B550" t="str">
            <v>*091531</v>
          </cell>
          <cell r="C550" t="str">
            <v>TUBO CORRUGADO DE 1/2" O 3/4"</v>
          </cell>
          <cell r="D550" t="str">
            <v>JG</v>
          </cell>
          <cell r="E550">
            <v>9.6</v>
          </cell>
          <cell r="F550">
            <v>9.6</v>
          </cell>
          <cell r="G550">
            <v>0.81169999999999998</v>
          </cell>
          <cell r="H550">
            <v>0.18831439999999999</v>
          </cell>
          <cell r="I550">
            <v>1.0000144</v>
          </cell>
        </row>
        <row r="551">
          <cell r="B551" t="str">
            <v>*091532</v>
          </cell>
          <cell r="C551" t="str">
            <v>TORNILLO PARA MEDIDOR</v>
          </cell>
          <cell r="D551" t="str">
            <v>JG</v>
          </cell>
          <cell r="E551">
            <v>9.6</v>
          </cell>
          <cell r="F551">
            <v>9.6</v>
          </cell>
          <cell r="G551">
            <v>0.81169999999999998</v>
          </cell>
          <cell r="H551">
            <v>0.18831439999999999</v>
          </cell>
          <cell r="I551">
            <v>1.0000144</v>
          </cell>
        </row>
        <row r="552">
          <cell r="B552" t="str">
            <v>*091540</v>
          </cell>
          <cell r="C552" t="str">
            <v>SUBIDA A POSTE MT NKY/N2XSY MAYOR DE 70 HASTA 240mm2 TERMINAL TERMOR.O SIMILAR</v>
          </cell>
          <cell r="D552" t="str">
            <v>UN</v>
          </cell>
          <cell r="E552">
            <v>2.3801999999999999</v>
          </cell>
          <cell r="F552">
            <v>9.6</v>
          </cell>
          <cell r="G552">
            <v>283.78230000000002</v>
          </cell>
          <cell r="H552">
            <v>65.837493600000002</v>
          </cell>
          <cell r="I552">
            <v>349.61979360000004</v>
          </cell>
        </row>
        <row r="553">
          <cell r="B553" t="str">
            <v>*091570</v>
          </cell>
          <cell r="C553" t="str">
            <v>SUBIDA A POSTE C/CABLE NYY  HASTA 3-1x70mm2</v>
          </cell>
          <cell r="D553" t="str">
            <v>UN</v>
          </cell>
          <cell r="E553">
            <v>5.3593000000000002</v>
          </cell>
          <cell r="F553">
            <v>9.6</v>
          </cell>
          <cell r="G553">
            <v>130.1421</v>
          </cell>
          <cell r="H553">
            <v>30.192967199999998</v>
          </cell>
          <cell r="I553">
            <v>160.3350672</v>
          </cell>
        </row>
        <row r="554">
          <cell r="B554" t="str">
            <v>*091590</v>
          </cell>
          <cell r="C554" t="str">
            <v>SUBIDA A POSTE C/CABLE NYY MAYOR A 3-1x70 mm2</v>
          </cell>
          <cell r="D554" t="str">
            <v>UN</v>
          </cell>
          <cell r="E554">
            <v>3.4035000000000002</v>
          </cell>
          <cell r="F554">
            <v>9.6</v>
          </cell>
          <cell r="G554">
            <v>153.72559999999999</v>
          </cell>
          <cell r="H554">
            <v>35.664339199999993</v>
          </cell>
          <cell r="I554">
            <v>189.38993919999999</v>
          </cell>
        </row>
        <row r="555">
          <cell r="B555" t="str">
            <v>*091608</v>
          </cell>
          <cell r="C555" t="str">
            <v>Empalme aéreo BT con conector cuña, mecánico o a compresión tubular - Por fase</v>
          </cell>
          <cell r="D555" t="str">
            <v>UN</v>
          </cell>
          <cell r="E555">
            <v>57.6</v>
          </cell>
          <cell r="F555">
            <v>9.6</v>
          </cell>
          <cell r="G555">
            <v>10.907399999999999</v>
          </cell>
          <cell r="H555">
            <v>2.5305167999999996</v>
          </cell>
          <cell r="I555">
            <v>13.437916799999998</v>
          </cell>
        </row>
        <row r="556">
          <cell r="B556" t="str">
            <v>*091610</v>
          </cell>
          <cell r="C556" t="str">
            <v>EMPALME DERECHO TRIFÁSICO MT CABLE NKY HASTA 240 mm2</v>
          </cell>
          <cell r="D556" t="str">
            <v>UN</v>
          </cell>
          <cell r="E556">
            <v>1.3887</v>
          </cell>
          <cell r="F556">
            <v>9.6</v>
          </cell>
          <cell r="G556">
            <v>316.55039999999997</v>
          </cell>
          <cell r="H556">
            <v>73.439692799999989</v>
          </cell>
          <cell r="I556">
            <v>389.99009279999996</v>
          </cell>
        </row>
        <row r="557">
          <cell r="B557" t="str">
            <v>*091626</v>
          </cell>
          <cell r="C557" t="str">
            <v>EMPALME DERECHO UNIPOLAR MT CABLE N2XSY HASTA 70 mm2.</v>
          </cell>
          <cell r="D557" t="str">
            <v>UN</v>
          </cell>
          <cell r="E557">
            <v>3.6714000000000002</v>
          </cell>
          <cell r="F557">
            <v>9.6</v>
          </cell>
          <cell r="G557">
            <v>126.56960000000001</v>
          </cell>
          <cell r="H557">
            <v>29.364147200000001</v>
          </cell>
          <cell r="I557">
            <v>155.9337472</v>
          </cell>
        </row>
        <row r="558">
          <cell r="B558" t="str">
            <v>*091628</v>
          </cell>
          <cell r="C558" t="str">
            <v>EMPALME DERECHO UNIPOLAR MT CABLE N2XSY HASTA 300 mm2.</v>
          </cell>
          <cell r="D558" t="str">
            <v>UN</v>
          </cell>
          <cell r="E558">
            <v>3.1160999999999999</v>
          </cell>
          <cell r="F558">
            <v>9.6</v>
          </cell>
          <cell r="G558">
            <v>157.6353</v>
          </cell>
          <cell r="H558">
            <v>36.571389599999996</v>
          </cell>
          <cell r="I558">
            <v>194.2066896</v>
          </cell>
        </row>
        <row r="559">
          <cell r="B559" t="str">
            <v>*091631</v>
          </cell>
          <cell r="C559" t="str">
            <v>EMPALME UNIPOLAR CABLE NYY RECT.O DERIV. HASTA 35 mm2</v>
          </cell>
          <cell r="D559" t="str">
            <v>UN</v>
          </cell>
          <cell r="E559">
            <v>22.4</v>
          </cell>
          <cell r="F559">
            <v>9.6</v>
          </cell>
          <cell r="G559">
            <v>24.037300000000002</v>
          </cell>
          <cell r="H559">
            <v>5.5766536000000002</v>
          </cell>
          <cell r="I559">
            <v>29.613953600000002</v>
          </cell>
        </row>
        <row r="560">
          <cell r="B560" t="str">
            <v>*091633</v>
          </cell>
          <cell r="C560" t="str">
            <v>EMPALME UNIPOLAR CABLE NYY RECT. O  DERIV. MAYOR DE 35 HASTA 300MM2</v>
          </cell>
          <cell r="D560" t="str">
            <v>UN</v>
          </cell>
          <cell r="E560">
            <v>20.88</v>
          </cell>
          <cell r="F560">
            <v>9.6</v>
          </cell>
          <cell r="G560">
            <v>38.182200000000002</v>
          </cell>
          <cell r="H560">
            <v>8.8582704000000003</v>
          </cell>
          <cell r="I560">
            <v>47.040470400000004</v>
          </cell>
        </row>
        <row r="561">
          <cell r="B561" t="str">
            <v>*091635</v>
          </cell>
          <cell r="C561" t="str">
            <v>EMPALME DERECHO ASIMETRICO MT NKY-N2XSY MAYOR A 35 mm2.</v>
          </cell>
          <cell r="D561" t="str">
            <v>UN</v>
          </cell>
          <cell r="E561">
            <v>1.256</v>
          </cell>
          <cell r="F561">
            <v>9.6</v>
          </cell>
          <cell r="G561">
            <v>517.24770000000001</v>
          </cell>
          <cell r="H561">
            <v>120.0014664</v>
          </cell>
          <cell r="I561">
            <v>637.24916640000004</v>
          </cell>
        </row>
        <row r="562">
          <cell r="B562" t="str">
            <v>*091640</v>
          </cell>
          <cell r="C562" t="str">
            <v>EMPALME DERECHO ASIMETRICO MT NKY-N2XSY HASTA 35 mm2.</v>
          </cell>
          <cell r="D562" t="str">
            <v>UN</v>
          </cell>
          <cell r="E562">
            <v>1.3246</v>
          </cell>
          <cell r="F562">
            <v>9.6</v>
          </cell>
          <cell r="G562">
            <v>351.12239999999997</v>
          </cell>
          <cell r="H562">
            <v>81.460396799999984</v>
          </cell>
          <cell r="I562">
            <v>432.58279679999998</v>
          </cell>
        </row>
        <row r="563">
          <cell r="B563" t="str">
            <v>*091642</v>
          </cell>
          <cell r="C563" t="str">
            <v>EMPALME ASIMETRICO DE 120 A 300MM2 PARA CABLE NKY/NYY RECTO O DERIVADO EN B.T.</v>
          </cell>
          <cell r="D563" t="str">
            <v>UN</v>
          </cell>
          <cell r="E563">
            <v>3.9670000000000001</v>
          </cell>
          <cell r="F563">
            <v>9.6</v>
          </cell>
          <cell r="G563">
            <v>147.172</v>
          </cell>
          <cell r="H563">
            <v>34.143903999999999</v>
          </cell>
          <cell r="I563">
            <v>181.31590399999999</v>
          </cell>
        </row>
        <row r="564">
          <cell r="B564" t="str">
            <v>*091643</v>
          </cell>
          <cell r="C564" t="str">
            <v>EMPALME MANGA MUERTA TRIPOLAR HASTA 300 mm2 BT (NKY /NYY)</v>
          </cell>
          <cell r="D564" t="str">
            <v>UN</v>
          </cell>
          <cell r="E564">
            <v>5.38</v>
          </cell>
          <cell r="F564">
            <v>9.6</v>
          </cell>
          <cell r="G564">
            <v>123.24520000000001</v>
          </cell>
          <cell r="H564">
            <v>28.592886400000001</v>
          </cell>
          <cell r="I564">
            <v>151.83808640000001</v>
          </cell>
        </row>
        <row r="565">
          <cell r="B565" t="str">
            <v>*091645</v>
          </cell>
          <cell r="C565" t="str">
            <v>EMPALME ASIMETRICO HASTA 70 MM2 PARA CABLE NKY/NYY  RECTO O DERIVADO EN B.T.</v>
          </cell>
          <cell r="D565" t="str">
            <v>UN</v>
          </cell>
          <cell r="E565">
            <v>7.1279000000000003</v>
          </cell>
          <cell r="F565">
            <v>9.6</v>
          </cell>
          <cell r="G565">
            <v>103.9693</v>
          </cell>
          <cell r="H565">
            <v>24.1208776</v>
          </cell>
          <cell r="I565">
            <v>128.0901776</v>
          </cell>
        </row>
        <row r="566">
          <cell r="B566" t="str">
            <v>*091649</v>
          </cell>
          <cell r="C566" t="str">
            <v>IDENTIFICACION DE CABLE NKY B.T.</v>
          </cell>
          <cell r="D566" t="str">
            <v>UN</v>
          </cell>
          <cell r="E566">
            <v>12.484999999999999</v>
          </cell>
          <cell r="F566">
            <v>9.6</v>
          </cell>
          <cell r="G566">
            <v>70.307100000000005</v>
          </cell>
          <cell r="H566">
            <v>16.3112472</v>
          </cell>
          <cell r="I566">
            <v>86.618347200000002</v>
          </cell>
        </row>
        <row r="567">
          <cell r="B567" t="str">
            <v>*091669</v>
          </cell>
          <cell r="C567" t="str">
            <v>RETIRO TUBO PVC.A POSTE P/PUNTO DE ALIMENTACION</v>
          </cell>
          <cell r="D567" t="str">
            <v>UN</v>
          </cell>
          <cell r="E567">
            <v>28.852499999999999</v>
          </cell>
          <cell r="F567">
            <v>9.6</v>
          </cell>
          <cell r="G567">
            <v>15.0471</v>
          </cell>
          <cell r="H567">
            <v>3.4909271999999998</v>
          </cell>
          <cell r="I567">
            <v>18.538027200000002</v>
          </cell>
        </row>
        <row r="568">
          <cell r="B568" t="str">
            <v>*091673</v>
          </cell>
          <cell r="C568" t="str">
            <v>COLOC.TUBO PVC.A POSTE P/PUNTO DE ALIMENTACION</v>
          </cell>
          <cell r="D568" t="str">
            <v>UN</v>
          </cell>
          <cell r="E568">
            <v>20.197299999999998</v>
          </cell>
          <cell r="F568">
            <v>9.6</v>
          </cell>
          <cell r="G568">
            <v>21.495099999999997</v>
          </cell>
          <cell r="H568">
            <v>4.9868631999999993</v>
          </cell>
          <cell r="I568">
            <v>26.481963199999996</v>
          </cell>
        </row>
        <row r="569">
          <cell r="B569" t="str">
            <v>*091676</v>
          </cell>
          <cell r="C569" t="str">
            <v>PUNTA MUERTA PARA TERNA MONOFÁSICA O TRIFÁSICA CON MANGA TERMOREST. CABLE NKY / NYY HASTA 300 MM²</v>
          </cell>
          <cell r="D569" t="str">
            <v>UN</v>
          </cell>
          <cell r="E569">
            <v>18.04</v>
          </cell>
          <cell r="F569">
            <v>9.6</v>
          </cell>
          <cell r="G569">
            <v>41.620999999999995</v>
          </cell>
          <cell r="H569">
            <v>9.6560719999999982</v>
          </cell>
          <cell r="I569">
            <v>51.27707199999999</v>
          </cell>
        </row>
        <row r="570">
          <cell r="B570" t="str">
            <v>*091682</v>
          </cell>
          <cell r="C570" t="str">
            <v>PUNTO DE FIJACION CABLE BT. EN PARED</v>
          </cell>
          <cell r="D570" t="str">
            <v>UN</v>
          </cell>
          <cell r="E570">
            <v>23.463100000000001</v>
          </cell>
          <cell r="F570">
            <v>9.6</v>
          </cell>
          <cell r="G570">
            <v>21.107099999999999</v>
          </cell>
          <cell r="H570">
            <v>4.8968471999999998</v>
          </cell>
          <cell r="I570">
            <v>26.003947199999999</v>
          </cell>
        </row>
        <row r="571">
          <cell r="B571" t="str">
            <v>*091683</v>
          </cell>
          <cell r="C571" t="str">
            <v>TRASLADO TUBO PVC.A POSTE P/PUNTO DE ALIMENTACION</v>
          </cell>
          <cell r="D571" t="str">
            <v>UN</v>
          </cell>
          <cell r="E571">
            <v>15.536300000000001</v>
          </cell>
          <cell r="F571">
            <v>9.6</v>
          </cell>
          <cell r="G571">
            <v>27.944000000000003</v>
          </cell>
          <cell r="H571">
            <v>6.4830079999999999</v>
          </cell>
          <cell r="I571">
            <v>34.427008000000001</v>
          </cell>
        </row>
        <row r="572">
          <cell r="B572" t="str">
            <v>*091684</v>
          </cell>
          <cell r="C572" t="str">
            <v>PUNTA MUERTA PARA CABLE N2XSY NO ENERGIZADO (SOLO PROTEGE HUIMEDAD)</v>
          </cell>
          <cell r="D572" t="str">
            <v>UN</v>
          </cell>
          <cell r="E572">
            <v>20.468900000000001</v>
          </cell>
          <cell r="F572">
            <v>9.6</v>
          </cell>
          <cell r="G572">
            <v>24.891600000000004</v>
          </cell>
          <cell r="H572">
            <v>5.7748512000000005</v>
          </cell>
          <cell r="I572">
            <v>30.666451200000004</v>
          </cell>
        </row>
        <row r="573">
          <cell r="B573" t="str">
            <v>*091686</v>
          </cell>
          <cell r="C573" t="str">
            <v>RETIRO PUNTA MUERTA P/TERNA MONOFASICA O TRIFASICA C/MANGA TERMOREST. CABLE NKY/NYY HASTA 300 MM²</v>
          </cell>
          <cell r="D573" t="str">
            <v>UN</v>
          </cell>
          <cell r="E573">
            <v>25.770700000000001</v>
          </cell>
          <cell r="F573">
            <v>9.6</v>
          </cell>
          <cell r="G573">
            <v>29.135400000000001</v>
          </cell>
          <cell r="H573">
            <v>6.7594127999999998</v>
          </cell>
          <cell r="I573">
            <v>35.894812799999997</v>
          </cell>
        </row>
        <row r="574">
          <cell r="B574" t="str">
            <v>*091710</v>
          </cell>
          <cell r="C574" t="str">
            <v>MONTAJE BARRAS MT EN SUBST. DE 3 CELDAS</v>
          </cell>
          <cell r="D574" t="str">
            <v>PQ</v>
          </cell>
          <cell r="E574">
            <v>1.0264</v>
          </cell>
          <cell r="F574">
            <v>9.6</v>
          </cell>
          <cell r="G574">
            <v>879.63880000000006</v>
          </cell>
          <cell r="H574">
            <v>204.07620159999999</v>
          </cell>
          <cell r="I574">
            <v>1083.7150016000001</v>
          </cell>
        </row>
        <row r="575">
          <cell r="B575" t="str">
            <v>*091721</v>
          </cell>
          <cell r="C575" t="str">
            <v>RETIRO DE RELE HB EN CELDA (INCL. VARILLAS)</v>
          </cell>
          <cell r="D575" t="str">
            <v>UN</v>
          </cell>
          <cell r="E575">
            <v>24.5303</v>
          </cell>
          <cell r="F575">
            <v>9.6</v>
          </cell>
          <cell r="G575">
            <v>20.1889</v>
          </cell>
          <cell r="H575">
            <v>4.6838248</v>
          </cell>
          <cell r="I575">
            <v>24.8727248</v>
          </cell>
        </row>
        <row r="576">
          <cell r="B576" t="str">
            <v>*091722</v>
          </cell>
          <cell r="C576" t="str">
            <v>INSTALACION DE RELE HB EN CELDA (INCL. VARILLAS)</v>
          </cell>
          <cell r="D576" t="str">
            <v>UN</v>
          </cell>
          <cell r="E576">
            <v>17.171700000000001</v>
          </cell>
          <cell r="F576">
            <v>9.6</v>
          </cell>
          <cell r="G576">
            <v>28.840400000000002</v>
          </cell>
          <cell r="H576">
            <v>6.6909727999999999</v>
          </cell>
          <cell r="I576">
            <v>35.5313728</v>
          </cell>
        </row>
        <row r="577">
          <cell r="B577" t="str">
            <v>*091729</v>
          </cell>
          <cell r="C577" t="str">
            <v>RETIRO DE PROTECCION MT TRANSFORMADOR TRIFASICO</v>
          </cell>
          <cell r="D577" t="str">
            <v>PQ</v>
          </cell>
          <cell r="E577">
            <v>7.9169</v>
          </cell>
          <cell r="F577">
            <v>9.6</v>
          </cell>
          <cell r="G577">
            <v>105.71</v>
          </cell>
          <cell r="H577">
            <v>24.524719999999999</v>
          </cell>
          <cell r="I577">
            <v>130.23471999999998</v>
          </cell>
        </row>
        <row r="578">
          <cell r="B578" t="str">
            <v>*091730</v>
          </cell>
          <cell r="C578" t="str">
            <v>PROTECCION MT TRANSFORMADOR TRIFASICO</v>
          </cell>
          <cell r="D578" t="str">
            <v>PQ</v>
          </cell>
          <cell r="E578">
            <v>5.2789999999999999</v>
          </cell>
          <cell r="F578">
            <v>9.6</v>
          </cell>
          <cell r="G578">
            <v>151.32139999999998</v>
          </cell>
          <cell r="H578">
            <v>35.106564799999994</v>
          </cell>
          <cell r="I578">
            <v>186.42796479999998</v>
          </cell>
        </row>
        <row r="579">
          <cell r="B579" t="str">
            <v>*091749</v>
          </cell>
          <cell r="C579" t="str">
            <v>RETIRO DE BARRAS MT EN SUBEST. DE 4 CELDAS</v>
          </cell>
          <cell r="D579" t="str">
            <v>PQ</v>
          </cell>
          <cell r="E579">
            <v>1.4757</v>
          </cell>
          <cell r="F579">
            <v>9.6</v>
          </cell>
          <cell r="G579">
            <v>765.91699999999992</v>
          </cell>
          <cell r="H579">
            <v>177.69274399999998</v>
          </cell>
          <cell r="I579">
            <v>943.60974399999986</v>
          </cell>
        </row>
        <row r="580">
          <cell r="B580" t="str">
            <v>*091750</v>
          </cell>
          <cell r="C580" t="str">
            <v>MONTAJE BARRAS MT EN SUBEST. DE 4 CELDAS</v>
          </cell>
          <cell r="D580" t="str">
            <v>PQ</v>
          </cell>
          <cell r="E580">
            <v>1.0329999999999999</v>
          </cell>
          <cell r="F580">
            <v>9.6</v>
          </cell>
          <cell r="G580">
            <v>1094.1565000000001</v>
          </cell>
          <cell r="H580">
            <v>253.84430799999998</v>
          </cell>
          <cell r="I580">
            <v>1348.000808</v>
          </cell>
        </row>
        <row r="581">
          <cell r="B581" t="str">
            <v>*091759</v>
          </cell>
          <cell r="C581" t="str">
            <v>RETIRO DE BARRAS BT EN SE.CONV/COMP.</v>
          </cell>
          <cell r="D581" t="str">
            <v>PQ</v>
          </cell>
          <cell r="E581">
            <v>1.4666999999999999</v>
          </cell>
          <cell r="F581">
            <v>9.6</v>
          </cell>
          <cell r="G581">
            <v>615.57310000000007</v>
          </cell>
          <cell r="H581">
            <v>142.81295919999999</v>
          </cell>
          <cell r="I581">
            <v>758.38605920000009</v>
          </cell>
        </row>
        <row r="582">
          <cell r="B582" t="str">
            <v>*091760</v>
          </cell>
          <cell r="C582" t="str">
            <v>MONTAJE DE BARRAS BT EN SE.CONV/COMP.</v>
          </cell>
          <cell r="D582" t="str">
            <v>PQ</v>
          </cell>
          <cell r="E582">
            <v>1.0266999999999999</v>
          </cell>
          <cell r="F582">
            <v>9.6</v>
          </cell>
          <cell r="G582">
            <v>879.38169999999991</v>
          </cell>
          <cell r="H582">
            <v>204.01655439999996</v>
          </cell>
          <cell r="I582">
            <v>1083.3982543999998</v>
          </cell>
        </row>
        <row r="583">
          <cell r="B583" t="str">
            <v>*091770</v>
          </cell>
          <cell r="C583" t="str">
            <v>APERTURA Y CIERRE ZANJAS BT (0.60 x 0.70 PROF.) C/ APISONADORA MANUAL</v>
          </cell>
          <cell r="D583" t="str">
            <v>M</v>
          </cell>
          <cell r="E583">
            <v>37.26</v>
          </cell>
          <cell r="F583">
            <v>9.6</v>
          </cell>
          <cell r="G583">
            <v>20.862300000000001</v>
          </cell>
          <cell r="H583">
            <v>4.8400536000000001</v>
          </cell>
          <cell r="I583">
            <v>25.702353600000002</v>
          </cell>
        </row>
        <row r="584">
          <cell r="B584" t="str">
            <v>*091775</v>
          </cell>
          <cell r="C584" t="str">
            <v>APERTURA Y CIERRE ZANJAS BT(0,60 x 0,70 PROF.)  C/ APISONADORA MOTORIZ.</v>
          </cell>
          <cell r="D584" t="str">
            <v>M</v>
          </cell>
          <cell r="E584">
            <v>27.381</v>
          </cell>
          <cell r="F584">
            <v>9.6</v>
          </cell>
          <cell r="G584">
            <v>24.420999999999999</v>
          </cell>
          <cell r="H584">
            <v>5.6656719999999998</v>
          </cell>
          <cell r="I584">
            <v>30.086672</v>
          </cell>
        </row>
        <row r="585">
          <cell r="B585" t="str">
            <v>*091777</v>
          </cell>
          <cell r="C585" t="str">
            <v>APERT Y CIERRE ZANJAS BT (0.60 X 0.70 PROF.) C/APISONAD MANUAL; TRAB MASIVO EN CTRL TEC Y CAL SERV</v>
          </cell>
          <cell r="D585" t="str">
            <v>UN</v>
          </cell>
          <cell r="E585">
            <v>49.357999999999997</v>
          </cell>
          <cell r="F585">
            <v>9.6</v>
          </cell>
          <cell r="G585">
            <v>17.054299999999998</v>
          </cell>
          <cell r="H585">
            <v>3.9565975999999994</v>
          </cell>
          <cell r="I585">
            <v>21.010897599999996</v>
          </cell>
        </row>
        <row r="586">
          <cell r="B586" t="str">
            <v>*091780</v>
          </cell>
          <cell r="C586" t="str">
            <v>APERTURA Y CIERRE ZANJAS MT  (0.60 x 1.10 PROF.) C/ APISONADORA MANUAL</v>
          </cell>
          <cell r="D586" t="str">
            <v>M</v>
          </cell>
          <cell r="E586">
            <v>8.8244000000000007</v>
          </cell>
          <cell r="F586">
            <v>9.6</v>
          </cell>
          <cell r="G586">
            <v>28.474299999999999</v>
          </cell>
          <cell r="H586">
            <v>6.6060375999999996</v>
          </cell>
          <cell r="I586">
            <v>35.0803376</v>
          </cell>
        </row>
        <row r="587">
          <cell r="B587" t="str">
            <v>*091785</v>
          </cell>
          <cell r="C587" t="str">
            <v>APERTURA Y CIERRE ZANJAS MT(0,60 x 1,10 PROF.) C/ APISONADORA MOTORIZ.</v>
          </cell>
          <cell r="D587" t="str">
            <v>M</v>
          </cell>
          <cell r="E587">
            <v>21.75</v>
          </cell>
          <cell r="F587">
            <v>9.6</v>
          </cell>
          <cell r="G587">
            <v>40.046300000000002</v>
          </cell>
          <cell r="H587">
            <v>9.2907416000000005</v>
          </cell>
          <cell r="I587">
            <v>49.337041600000006</v>
          </cell>
        </row>
        <row r="588">
          <cell r="B588" t="str">
            <v>*091786</v>
          </cell>
          <cell r="C588" t="str">
            <v>APERTURA Y CIERRE ZANJAS MT(0,60 x 1,10 PROF.) C/ APISONADORA MOTORIZ. - TRABAJO EN SED</v>
          </cell>
          <cell r="D588" t="str">
            <v>M</v>
          </cell>
          <cell r="E588">
            <v>21.75</v>
          </cell>
          <cell r="F588">
            <v>9.6</v>
          </cell>
          <cell r="G588">
            <v>58.867699999999992</v>
          </cell>
          <cell r="H588">
            <v>13.657306399999998</v>
          </cell>
          <cell r="I588">
            <v>72.525006399999995</v>
          </cell>
        </row>
        <row r="589">
          <cell r="B589" t="str">
            <v>*091787</v>
          </cell>
          <cell r="C589" t="str">
            <v>APERTURA Y CIERRE ZANJAS MT(0,60 x 1,10 PROF.) C/ APISONADORA MOTORIZ. - PRESENCIA DE CABLE DE MT</v>
          </cell>
          <cell r="D589" t="str">
            <v>M</v>
          </cell>
          <cell r="E589">
            <v>21.75</v>
          </cell>
          <cell r="F589">
            <v>9.6</v>
          </cell>
          <cell r="G589">
            <v>40.590700000000005</v>
          </cell>
          <cell r="H589">
            <v>9.4170423999999997</v>
          </cell>
          <cell r="I589">
            <v>50.007742400000005</v>
          </cell>
        </row>
        <row r="590">
          <cell r="B590" t="str">
            <v>*091790</v>
          </cell>
          <cell r="C590" t="str">
            <v>APERTURA Y CIERRE ZANJA CUALQUIER TERRENO</v>
          </cell>
          <cell r="D590" t="str">
            <v>M3</v>
          </cell>
          <cell r="E590">
            <v>36</v>
          </cell>
          <cell r="F590">
            <v>9.6</v>
          </cell>
          <cell r="G590">
            <v>38.141400000000004</v>
          </cell>
          <cell r="H590">
            <v>8.8488047999999999</v>
          </cell>
          <cell r="I590">
            <v>46.990204800000001</v>
          </cell>
        </row>
        <row r="591">
          <cell r="B591" t="str">
            <v>*091791</v>
          </cell>
          <cell r="C591" t="str">
            <v>Eliminación de desmonte acopio temporal para volumenes menores a  1,5m3</v>
          </cell>
          <cell r="D591" t="str">
            <v>M3</v>
          </cell>
          <cell r="E591">
            <v>9.9464000000000006</v>
          </cell>
          <cell r="F591">
            <v>9.6</v>
          </cell>
          <cell r="G591">
            <v>28.475900000000003</v>
          </cell>
          <cell r="H591">
            <v>6.6064088000000005</v>
          </cell>
          <cell r="I591">
            <v>35.082308800000007</v>
          </cell>
        </row>
        <row r="592">
          <cell r="B592" t="str">
            <v>*091792</v>
          </cell>
          <cell r="C592" t="str">
            <v>TIERRA CERNIDA  EN TERRENO ROCOSO (ZANJA-TENDIDO DE CABLE)</v>
          </cell>
          <cell r="D592" t="str">
            <v>M</v>
          </cell>
          <cell r="E592">
            <v>190.03739999999999</v>
          </cell>
          <cell r="F592">
            <v>9.6</v>
          </cell>
          <cell r="G592">
            <v>2.2845</v>
          </cell>
          <cell r="H592">
            <v>0.53000399999999992</v>
          </cell>
          <cell r="I592">
            <v>2.8145039999999999</v>
          </cell>
        </row>
        <row r="593">
          <cell r="B593" t="str">
            <v>*091793</v>
          </cell>
          <cell r="C593" t="str">
            <v>RETIRO DE ESCOMBROS / CASCOTES POR METRO</v>
          </cell>
          <cell r="D593" t="str">
            <v>M</v>
          </cell>
          <cell r="E593">
            <v>711.08069999999998</v>
          </cell>
          <cell r="F593">
            <v>9.6</v>
          </cell>
          <cell r="G593">
            <v>1.7610000000000001</v>
          </cell>
          <cell r="H593">
            <v>0.40855200000000003</v>
          </cell>
          <cell r="I593">
            <v>2.1695520000000004</v>
          </cell>
        </row>
        <row r="594">
          <cell r="B594" t="str">
            <v>*091794</v>
          </cell>
          <cell r="C594" t="str">
            <v>RETIRO DE ESCOMBROS / CASCOTES POR M3</v>
          </cell>
          <cell r="D594" t="str">
            <v>M3</v>
          </cell>
          <cell r="E594">
            <v>21.725000000000001</v>
          </cell>
          <cell r="F594">
            <v>9.6</v>
          </cell>
          <cell r="G594">
            <v>38.483800000000002</v>
          </cell>
          <cell r="H594">
            <v>8.9282415999999998</v>
          </cell>
          <cell r="I594">
            <v>47.412041600000002</v>
          </cell>
        </row>
        <row r="595">
          <cell r="B595" t="str">
            <v>*091795</v>
          </cell>
          <cell r="C595" t="str">
            <v>EXCAVACION EN ROCA</v>
          </cell>
          <cell r="D595" t="str">
            <v>M3</v>
          </cell>
          <cell r="E595">
            <v>5.6345999999999998</v>
          </cell>
          <cell r="F595">
            <v>9.6</v>
          </cell>
          <cell r="G595">
            <v>87.892400000000009</v>
          </cell>
          <cell r="H595">
            <v>20.391036800000002</v>
          </cell>
          <cell r="I595">
            <v>108.2834368</v>
          </cell>
        </row>
        <row r="596">
          <cell r="B596" t="str">
            <v>*091796</v>
          </cell>
          <cell r="C596" t="str">
            <v>APERTURA DE HOYO PARA POSTE TERR ROCOSO (&gt;10)</v>
          </cell>
          <cell r="D596" t="str">
            <v>UN</v>
          </cell>
          <cell r="E596">
            <v>4.5751999999999997</v>
          </cell>
          <cell r="F596">
            <v>9.6</v>
          </cell>
          <cell r="G596">
            <v>111.00749999999999</v>
          </cell>
          <cell r="H596">
            <v>25.753739999999997</v>
          </cell>
          <cell r="I596">
            <v>136.76123999999999</v>
          </cell>
        </row>
        <row r="597">
          <cell r="B597" t="str">
            <v>*091797</v>
          </cell>
          <cell r="C597" t="str">
            <v>APERTURA DE HOYO PARA POSTE TERR. NORMAL (&gt;10)</v>
          </cell>
          <cell r="D597" t="str">
            <v>UN</v>
          </cell>
          <cell r="E597">
            <v>6.6201999999999996</v>
          </cell>
          <cell r="F597">
            <v>9.6</v>
          </cell>
          <cell r="G597">
            <v>44.989900000000006</v>
          </cell>
          <cell r="H597">
            <v>10.437656800000001</v>
          </cell>
          <cell r="I597">
            <v>55.427556800000005</v>
          </cell>
        </row>
        <row r="598">
          <cell r="B598" t="str">
            <v>*091798</v>
          </cell>
          <cell r="C598" t="str">
            <v>Ejecución de hoyo para poste de hasta 8,7m en roca con martillo neumático y compresora (PROPIETARIO)</v>
          </cell>
          <cell r="D598" t="str">
            <v>UN</v>
          </cell>
          <cell r="E598">
            <v>1</v>
          </cell>
          <cell r="F598">
            <v>9.6</v>
          </cell>
          <cell r="G598">
            <v>758.45749999999998</v>
          </cell>
          <cell r="H598">
            <v>175.96213999999998</v>
          </cell>
          <cell r="I598">
            <v>934.41963999999996</v>
          </cell>
        </row>
        <row r="599">
          <cell r="B599" t="str">
            <v>*091799</v>
          </cell>
          <cell r="C599" t="str">
            <v>Ejecución de hoyo para poste de hasta 8,7m en roca con martillo neumático y compresora (ALQUILER)</v>
          </cell>
          <cell r="D599" t="str">
            <v>UN</v>
          </cell>
          <cell r="E599">
            <v>1</v>
          </cell>
          <cell r="F599">
            <v>9.6</v>
          </cell>
          <cell r="G599">
            <v>849.00759999999991</v>
          </cell>
          <cell r="H599">
            <v>196.96976319999996</v>
          </cell>
          <cell r="I599">
            <v>1045.9773631999999</v>
          </cell>
        </row>
        <row r="600">
          <cell r="B600" t="str">
            <v>*091800</v>
          </cell>
          <cell r="C600" t="str">
            <v>RETIRO Y RECOLOCACION DE LOCETAS O PISOS ESPECIALES</v>
          </cell>
          <cell r="D600" t="str">
            <v>M2</v>
          </cell>
          <cell r="E600">
            <v>10.456</v>
          </cell>
          <cell r="F600">
            <v>9.6</v>
          </cell>
          <cell r="G600">
            <v>65.346800000000002</v>
          </cell>
          <cell r="H600">
            <v>15.160457599999999</v>
          </cell>
          <cell r="I600">
            <v>80.507257600000003</v>
          </cell>
        </row>
        <row r="601">
          <cell r="B601" t="str">
            <v>*091810</v>
          </cell>
          <cell r="C601" t="str">
            <v>REPOSICION DE GRASS</v>
          </cell>
          <cell r="D601" t="str">
            <v>M2</v>
          </cell>
          <cell r="E601">
            <v>75.020700000000005</v>
          </cell>
          <cell r="F601">
            <v>9.6</v>
          </cell>
          <cell r="G601">
            <v>5.7869999999999999</v>
          </cell>
          <cell r="H601">
            <v>1.342584</v>
          </cell>
          <cell r="I601">
            <v>7.1295839999999995</v>
          </cell>
        </row>
        <row r="602">
          <cell r="B602" t="str">
            <v>*091811</v>
          </cell>
          <cell r="C602" t="str">
            <v>INSTALACIÓN DE GRASS NUEVO</v>
          </cell>
          <cell r="D602" t="str">
            <v>M2</v>
          </cell>
          <cell r="E602">
            <v>209.5455</v>
          </cell>
          <cell r="F602">
            <v>9.6</v>
          </cell>
          <cell r="G602">
            <v>15.226799999999999</v>
          </cell>
          <cell r="H602">
            <v>3.5326175999999996</v>
          </cell>
          <cell r="I602">
            <v>18.759417599999999</v>
          </cell>
        </row>
        <row r="603">
          <cell r="B603" t="str">
            <v>*091820</v>
          </cell>
          <cell r="C603" t="str">
            <v>ROTURA DE ASFALTO</v>
          </cell>
          <cell r="D603" t="str">
            <v>M2</v>
          </cell>
          <cell r="E603">
            <v>51</v>
          </cell>
          <cell r="F603">
            <v>9.6</v>
          </cell>
          <cell r="G603">
            <v>17.868099999999998</v>
          </cell>
          <cell r="H603">
            <v>4.1453991999999991</v>
          </cell>
          <cell r="I603">
            <v>22.013499199999998</v>
          </cell>
        </row>
        <row r="604">
          <cell r="B604" t="str">
            <v>*091830</v>
          </cell>
          <cell r="C604" t="str">
            <v>ROTURA DE PISTA CUALQUIER ESPESOR</v>
          </cell>
          <cell r="D604" t="str">
            <v>M2</v>
          </cell>
          <cell r="E604">
            <v>19.7</v>
          </cell>
          <cell r="F604">
            <v>9.6</v>
          </cell>
          <cell r="G604">
            <v>43.865200000000002</v>
          </cell>
          <cell r="H604">
            <v>10.1767264</v>
          </cell>
          <cell r="I604">
            <v>54.041926400000001</v>
          </cell>
        </row>
        <row r="605">
          <cell r="B605" t="str">
            <v>*091835</v>
          </cell>
          <cell r="C605" t="str">
            <v>Rotura de pista &lt;= 10m2, hasta 30cm de espesor usando minicargador con martillo rompedor.</v>
          </cell>
          <cell r="D605" t="str">
            <v>M2</v>
          </cell>
          <cell r="E605">
            <v>28.69</v>
          </cell>
          <cell r="F605">
            <v>9.6</v>
          </cell>
          <cell r="G605">
            <v>61.251000000000005</v>
          </cell>
          <cell r="H605">
            <v>14.210232</v>
          </cell>
          <cell r="I605">
            <v>75.46123200000001</v>
          </cell>
        </row>
        <row r="606">
          <cell r="B606" t="str">
            <v>*091840</v>
          </cell>
          <cell r="C606" t="str">
            <v>ROTURA DE VEREDA CUALQUIER ESPESOR S/MAQ.CORTADORA</v>
          </cell>
          <cell r="D606" t="str">
            <v>M2</v>
          </cell>
          <cell r="E606">
            <v>40</v>
          </cell>
          <cell r="F606">
            <v>9.6</v>
          </cell>
          <cell r="G606">
            <v>19.927800000000001</v>
          </cell>
          <cell r="H606">
            <v>4.6232496000000003</v>
          </cell>
          <cell r="I606">
            <v>24.551049600000002</v>
          </cell>
        </row>
        <row r="607">
          <cell r="B607" t="str">
            <v>*091842</v>
          </cell>
          <cell r="C607" t="str">
            <v>CORTE DE VEREDA PARA CAMBIO DE POSTE (&lt;2M2)</v>
          </cell>
          <cell r="D607" t="str">
            <v>M2</v>
          </cell>
          <cell r="E607">
            <v>17.45</v>
          </cell>
          <cell r="F607">
            <v>9.6</v>
          </cell>
          <cell r="G607">
            <v>55.495500000000007</v>
          </cell>
          <cell r="H607">
            <v>12.874956000000001</v>
          </cell>
          <cell r="I607">
            <v>68.370456000000004</v>
          </cell>
        </row>
        <row r="608">
          <cell r="B608" t="str">
            <v>*091845</v>
          </cell>
          <cell r="C608" t="str">
            <v>ROTURA DE VEREDA CON MAQUINA CORTADORA EN M2</v>
          </cell>
          <cell r="D608" t="str">
            <v>M2</v>
          </cell>
          <cell r="E608">
            <v>56</v>
          </cell>
          <cell r="F608">
            <v>9.6</v>
          </cell>
          <cell r="G608">
            <v>25.839400000000001</v>
          </cell>
          <cell r="H608">
            <v>5.9947407999999998</v>
          </cell>
          <cell r="I608">
            <v>31.8341408</v>
          </cell>
        </row>
        <row r="609">
          <cell r="B609" t="str">
            <v>*091847</v>
          </cell>
          <cell r="C609" t="str">
            <v>Rotura de Vereda con martillo demoledor - Incluye grupo electrógeno</v>
          </cell>
          <cell r="D609" t="str">
            <v>M2</v>
          </cell>
          <cell r="E609">
            <v>72.202699999999993</v>
          </cell>
          <cell r="F609">
            <v>9.6</v>
          </cell>
          <cell r="G609">
            <v>9.3189999999999991</v>
          </cell>
          <cell r="H609">
            <v>2.1620079999999997</v>
          </cell>
          <cell r="I609">
            <v>11.481007999999999</v>
          </cell>
        </row>
        <row r="610">
          <cell r="B610" t="str">
            <v>*091848</v>
          </cell>
          <cell r="C610" t="str">
            <v>ROTURA DE VEREDA CON MARTILLO DE MINICARGADOR (ROTURA Y APILAMIENTO)</v>
          </cell>
          <cell r="D610" t="str">
            <v>M2</v>
          </cell>
          <cell r="E610">
            <v>104.7</v>
          </cell>
          <cell r="F610">
            <v>9.6</v>
          </cell>
          <cell r="G610">
            <v>7.1840999999999999</v>
          </cell>
          <cell r="H610">
            <v>1.6667111999999999</v>
          </cell>
          <cell r="I610">
            <v>8.850811199999999</v>
          </cell>
        </row>
        <row r="611">
          <cell r="B611" t="str">
            <v>*091849</v>
          </cell>
          <cell r="C611" t="str">
            <v>ROTURA DE VEREDA CON MARTILLO DE MINICARGADOR - ALQUILER (ROTURA Y APILAMIENTO)</v>
          </cell>
          <cell r="D611" t="str">
            <v>M2</v>
          </cell>
          <cell r="E611">
            <v>104.7</v>
          </cell>
          <cell r="F611">
            <v>9.6</v>
          </cell>
          <cell r="G611">
            <v>9.5303000000000004</v>
          </cell>
          <cell r="H611">
            <v>2.2110295999999998</v>
          </cell>
          <cell r="I611">
            <v>11.7413296</v>
          </cell>
        </row>
        <row r="612">
          <cell r="B612" t="str">
            <v>*091850</v>
          </cell>
          <cell r="C612" t="str">
            <v>SOLADO DE CONCRETO DE 5 CM DE ESPESOR</v>
          </cell>
          <cell r="D612" t="str">
            <v>M2</v>
          </cell>
          <cell r="E612">
            <v>42.71</v>
          </cell>
          <cell r="F612">
            <v>9.6</v>
          </cell>
          <cell r="G612">
            <v>11.4237</v>
          </cell>
          <cell r="H612">
            <v>2.6502984000000001</v>
          </cell>
          <cell r="I612">
            <v>14.073998400000001</v>
          </cell>
        </row>
        <row r="613">
          <cell r="B613" t="str">
            <v>*091900</v>
          </cell>
          <cell r="C613" t="str">
            <v>CRUZADA 2 VIAS / TIPO 1 (NO INCLUYE ROTURA  NI REPARACION DE PAVIMENTOS)</v>
          </cell>
          <cell r="D613" t="str">
            <v>M</v>
          </cell>
          <cell r="E613">
            <v>11.2417</v>
          </cell>
          <cell r="F613">
            <v>9.6</v>
          </cell>
          <cell r="G613">
            <v>106.5765</v>
          </cell>
          <cell r="H613">
            <v>24.725747999999996</v>
          </cell>
          <cell r="I613">
            <v>131.30224799999999</v>
          </cell>
        </row>
        <row r="614">
          <cell r="B614" t="str">
            <v>*091905</v>
          </cell>
          <cell r="C614" t="str">
            <v>CRUZADA 4 VIAS / TIPO 3 : (NO INCLUYE ROTURA NI REPARACION DE PAVIMENTOS)</v>
          </cell>
          <cell r="D614" t="str">
            <v>M</v>
          </cell>
          <cell r="E614">
            <v>10.468400000000001</v>
          </cell>
          <cell r="F614">
            <v>9.6</v>
          </cell>
          <cell r="G614">
            <v>113.73090000000002</v>
          </cell>
          <cell r="H614">
            <v>26.385568800000001</v>
          </cell>
          <cell r="I614">
            <v>140.11646880000001</v>
          </cell>
        </row>
        <row r="615">
          <cell r="B615" t="str">
            <v>*091910</v>
          </cell>
          <cell r="C615" t="str">
            <v>CRUZADA 8 VIAS / TIPO 5 (NO INCLUYE ROTURA  NI REPARACION DE PAVIMENTOS)</v>
          </cell>
          <cell r="D615" t="str">
            <v>M</v>
          </cell>
          <cell r="E615">
            <v>9.2024000000000008</v>
          </cell>
          <cell r="F615">
            <v>9.6</v>
          </cell>
          <cell r="G615">
            <v>128.9271</v>
          </cell>
          <cell r="H615">
            <v>29.911087199999997</v>
          </cell>
          <cell r="I615">
            <v>158.83818719999999</v>
          </cell>
        </row>
        <row r="616">
          <cell r="B616" t="str">
            <v>*091915</v>
          </cell>
          <cell r="C616" t="str">
            <v>CRUZADA 8 VIAS / TIPO 7 (NO INCLUYE ROTURA NI REPARACION DE PAVIMENTOS)</v>
          </cell>
          <cell r="D616" t="str">
            <v>M</v>
          </cell>
          <cell r="E616">
            <v>9.91</v>
          </cell>
          <cell r="F616">
            <v>9.6</v>
          </cell>
          <cell r="G616">
            <v>150.5361</v>
          </cell>
          <cell r="H616">
            <v>34.9243752</v>
          </cell>
          <cell r="I616">
            <v>185.46047520000002</v>
          </cell>
        </row>
        <row r="617">
          <cell r="B617" t="str">
            <v>*091920</v>
          </cell>
          <cell r="C617" t="str">
            <v>CRUZADA 16 VIAS / TIPO 9 (NO INCLUYE ROTURA NI REPARACION DE PAVIMENTOS)</v>
          </cell>
          <cell r="D617" t="str">
            <v>M</v>
          </cell>
          <cell r="E617">
            <v>8.4421999999999997</v>
          </cell>
          <cell r="F617">
            <v>9.6</v>
          </cell>
          <cell r="G617">
            <v>175.66460000000001</v>
          </cell>
          <cell r="H617">
            <v>40.754187199999997</v>
          </cell>
          <cell r="I617">
            <v>216.4187872</v>
          </cell>
        </row>
        <row r="618">
          <cell r="B618" t="str">
            <v>*091921</v>
          </cell>
          <cell r="C618" t="str">
            <v>COLOCACIÓN Y RETIRO DE TABLON EN CRUZADA</v>
          </cell>
          <cell r="D618" t="str">
            <v>JG</v>
          </cell>
          <cell r="E618">
            <v>19.190000000000001</v>
          </cell>
          <cell r="F618">
            <v>9.6</v>
          </cell>
          <cell r="G618">
            <v>52.381400000000006</v>
          </cell>
          <cell r="H618">
            <v>12.1524848</v>
          </cell>
          <cell r="I618">
            <v>64.53388480000001</v>
          </cell>
        </row>
        <row r="619">
          <cell r="B619" t="str">
            <v>*091922</v>
          </cell>
          <cell r="C619" t="str">
            <v>INSTALACIÓN Y RETIRO DE PLANCHA METALICA EN CRUZADAS</v>
          </cell>
          <cell r="D619" t="str">
            <v>M</v>
          </cell>
          <cell r="E619">
            <v>37.931199999999997</v>
          </cell>
          <cell r="F619">
            <v>9.6</v>
          </cell>
          <cell r="G619">
            <v>66.894000000000005</v>
          </cell>
          <cell r="H619">
            <v>15.519408</v>
          </cell>
          <cell r="I619">
            <v>82.413408000000004</v>
          </cell>
        </row>
        <row r="620">
          <cell r="B620" t="str">
            <v>*091923</v>
          </cell>
          <cell r="C620" t="str">
            <v>COLOCACIÓN Y RETIRO DE GRILLA DE 0.60 X 0.90 M EN CRUZADA</v>
          </cell>
          <cell r="D620" t="str">
            <v>UN</v>
          </cell>
          <cell r="E620">
            <v>228.19300000000001</v>
          </cell>
          <cell r="F620">
            <v>9.6</v>
          </cell>
          <cell r="G620">
            <v>7.6417999999999999</v>
          </cell>
          <cell r="H620">
            <v>1.7728975999999999</v>
          </cell>
          <cell r="I620">
            <v>9.4146976000000002</v>
          </cell>
        </row>
        <row r="621">
          <cell r="B621" t="str">
            <v>*091924</v>
          </cell>
          <cell r="C621" t="str">
            <v>REEMPLAZO DE BATERIA DE MEDIDOR ELECTRONICO MULTIFUNCION BT MT</v>
          </cell>
          <cell r="D621" t="str">
            <v>UN</v>
          </cell>
          <cell r="E621">
            <v>28.8</v>
          </cell>
          <cell r="F621">
            <v>9.6</v>
          </cell>
          <cell r="G621">
            <v>14.74</v>
          </cell>
          <cell r="H621">
            <v>3.4196799999999996</v>
          </cell>
          <cell r="I621">
            <v>18.159680000000002</v>
          </cell>
        </row>
        <row r="622">
          <cell r="B622" t="str">
            <v>*091927</v>
          </cell>
          <cell r="C622" t="str">
            <v>Medición de electrizamiento en zanjas y cruzadas - Incl. 3 niveles cada 5 metros</v>
          </cell>
          <cell r="D622" t="str">
            <v>UN</v>
          </cell>
          <cell r="E622">
            <v>233.38740000000001</v>
          </cell>
          <cell r="F622">
            <v>9.6</v>
          </cell>
          <cell r="G622">
            <v>1.0676999999999999</v>
          </cell>
          <cell r="H622">
            <v>0.24770639999999997</v>
          </cell>
          <cell r="I622">
            <v>1.3154063999999999</v>
          </cell>
        </row>
        <row r="623">
          <cell r="B623" t="str">
            <v>*091928</v>
          </cell>
          <cell r="C623" t="str">
            <v>"INSTALACION DE DUCTO PVC (POR UNIDAD DE 3M ) DE HASTA 6"" EN ZANJA DE MT O BT"</v>
          </cell>
          <cell r="D623" t="str">
            <v>UN</v>
          </cell>
          <cell r="E623">
            <v>113.0004</v>
          </cell>
          <cell r="F623">
            <v>9.6</v>
          </cell>
          <cell r="G623">
            <v>8.6638000000000002</v>
          </cell>
          <cell r="H623">
            <v>2.0100015999999998</v>
          </cell>
          <cell r="I623">
            <v>10.673801600000001</v>
          </cell>
        </row>
        <row r="624">
          <cell r="B624" t="str">
            <v>*091929</v>
          </cell>
          <cell r="C624" t="str">
            <v>RETIRO DE DUCTO PVC (POR UNIDAD DE 3M ) DE HASTA 6"" EN ZANJA DE MT O BT"</v>
          </cell>
          <cell r="D624" t="str">
            <v>UN</v>
          </cell>
          <cell r="E624">
            <v>161.4246</v>
          </cell>
          <cell r="F624">
            <v>9.6</v>
          </cell>
          <cell r="G624">
            <v>6.0648</v>
          </cell>
          <cell r="H624">
            <v>1.4070335999999999</v>
          </cell>
          <cell r="I624">
            <v>7.4718336000000001</v>
          </cell>
        </row>
        <row r="625">
          <cell r="B625" t="str">
            <v>*091930</v>
          </cell>
          <cell r="C625" t="str">
            <v>COLOCACIÓN Y RETIRO DE TAPA PROTECTORA DE MADERA</v>
          </cell>
          <cell r="D625" t="str">
            <v>UN</v>
          </cell>
          <cell r="E625">
            <v>288</v>
          </cell>
          <cell r="F625">
            <v>9.6</v>
          </cell>
          <cell r="G625">
            <v>2.7673000000000001</v>
          </cell>
          <cell r="H625">
            <v>0.64201359999999996</v>
          </cell>
          <cell r="I625">
            <v>3.4093135999999999</v>
          </cell>
        </row>
        <row r="626">
          <cell r="B626" t="str">
            <v>*092000</v>
          </cell>
          <cell r="C626" t="str">
            <v>REVISION Y CAMBIO DE LAMPARA</v>
          </cell>
          <cell r="D626" t="str">
            <v>UN</v>
          </cell>
          <cell r="E626">
            <v>72.012500000000003</v>
          </cell>
          <cell r="F626">
            <v>9.6</v>
          </cell>
          <cell r="G626">
            <v>16.5623</v>
          </cell>
          <cell r="H626">
            <v>3.8424535999999998</v>
          </cell>
          <cell r="I626">
            <v>20.404753599999999</v>
          </cell>
        </row>
        <row r="627">
          <cell r="B627" t="str">
            <v>*092030</v>
          </cell>
          <cell r="C627" t="str">
            <v>MANTENIMIENTO EQUIPOS DE CONTROL</v>
          </cell>
          <cell r="D627" t="str">
            <v>UN</v>
          </cell>
          <cell r="E627">
            <v>58.853700000000003</v>
          </cell>
          <cell r="F627">
            <v>9.6</v>
          </cell>
          <cell r="G627">
            <v>7.2990000000000004</v>
          </cell>
          <cell r="H627">
            <v>1.693368</v>
          </cell>
          <cell r="I627">
            <v>8.9923680000000008</v>
          </cell>
        </row>
        <row r="628">
          <cell r="B628" t="str">
            <v>*092031</v>
          </cell>
          <cell r="C628" t="str">
            <v>Reconocimiento adicional para equipo analizador de calidad de energia</v>
          </cell>
          <cell r="D628" t="str">
            <v>UN</v>
          </cell>
          <cell r="E628">
            <v>9.6</v>
          </cell>
          <cell r="F628">
            <v>9.6</v>
          </cell>
          <cell r="G628">
            <v>24.175599999999999</v>
          </cell>
          <cell r="H628">
            <v>5.6087391999999996</v>
          </cell>
          <cell r="I628">
            <v>29.784339199999998</v>
          </cell>
        </row>
        <row r="629">
          <cell r="B629" t="str">
            <v>*092040</v>
          </cell>
          <cell r="C629" t="str">
            <v>MANTENIMIENTO DE CELULA FOTOELECTRICA SIN BASE</v>
          </cell>
          <cell r="D629" t="str">
            <v>UN</v>
          </cell>
          <cell r="E629">
            <v>140.476</v>
          </cell>
          <cell r="F629">
            <v>9.6</v>
          </cell>
          <cell r="G629">
            <v>8.8199000000000005</v>
          </cell>
          <cell r="H629">
            <v>2.0462167999999998</v>
          </cell>
          <cell r="I629">
            <v>10.8661168</v>
          </cell>
        </row>
        <row r="630">
          <cell r="B630" t="str">
            <v>*092160</v>
          </cell>
          <cell r="C630" t="str">
            <v>PINTAR POSTES  MT Y BT</v>
          </cell>
          <cell r="D630" t="str">
            <v>UN</v>
          </cell>
          <cell r="E630">
            <v>11.450699999999999</v>
          </cell>
          <cell r="F630">
            <v>9.6</v>
          </cell>
          <cell r="G630">
            <v>43.249699999999997</v>
          </cell>
          <cell r="H630">
            <v>10.033930399999999</v>
          </cell>
          <cell r="I630">
            <v>53.283630399999993</v>
          </cell>
        </row>
        <row r="631">
          <cell r="B631" t="str">
            <v>*092162</v>
          </cell>
          <cell r="C631" t="str">
            <v>PINTADO DE POSTE DE FIERRO (COMPLETO)</v>
          </cell>
          <cell r="D631" t="str">
            <v>UN</v>
          </cell>
          <cell r="E631">
            <v>6.4865000000000004</v>
          </cell>
          <cell r="F631">
            <v>9.6</v>
          </cell>
          <cell r="G631">
            <v>215.5377</v>
          </cell>
          <cell r="H631">
            <v>50.004746399999995</v>
          </cell>
          <cell r="I631">
            <v>265.54244640000002</v>
          </cell>
        </row>
        <row r="632">
          <cell r="B632" t="str">
            <v>*092180</v>
          </cell>
          <cell r="C632" t="str">
            <v>DESPEJAR FALLAS DE CIRCUITOS DE A.P.</v>
          </cell>
          <cell r="D632" t="str">
            <v>UN</v>
          </cell>
          <cell r="E632">
            <v>12.0443</v>
          </cell>
          <cell r="F632">
            <v>9.6</v>
          </cell>
          <cell r="G632">
            <v>69.611499999999992</v>
          </cell>
          <cell r="H632">
            <v>16.149867999999998</v>
          </cell>
          <cell r="I632">
            <v>85.76136799999999</v>
          </cell>
        </row>
        <row r="633">
          <cell r="B633" t="str">
            <v>*092225</v>
          </cell>
          <cell r="C633" t="str">
            <v>DETECCIÓN DE CORTOCIRCUITO EN CABLE SUBTERRÁNEO DE A P</v>
          </cell>
          <cell r="D633" t="str">
            <v>UN</v>
          </cell>
          <cell r="E633">
            <v>1.7426999999999999</v>
          </cell>
          <cell r="F633">
            <v>9.6</v>
          </cell>
          <cell r="G633">
            <v>541.20060000000001</v>
          </cell>
          <cell r="H633">
            <v>125.5585392</v>
          </cell>
          <cell r="I633">
            <v>666.75913920000005</v>
          </cell>
        </row>
        <row r="634">
          <cell r="B634" t="str">
            <v>*092226</v>
          </cell>
          <cell r="C634" t="str">
            <v>DETECCIÓN DE CABLE SUBTERRÁNEO DE AP SECCIONADO</v>
          </cell>
          <cell r="D634" t="str">
            <v>UN</v>
          </cell>
          <cell r="E634">
            <v>16.057700000000001</v>
          </cell>
          <cell r="F634">
            <v>9.6</v>
          </cell>
          <cell r="G634">
            <v>77.762699999999995</v>
          </cell>
          <cell r="H634">
            <v>18.040946399999999</v>
          </cell>
          <cell r="I634">
            <v>95.803646399999991</v>
          </cell>
        </row>
        <row r="635">
          <cell r="B635" t="str">
            <v>*092240</v>
          </cell>
          <cell r="C635" t="str">
            <v>LIMPIAR LUMINARIAS O FAROLAS (DESMONTAJE   Y MONTAJE TOTAL)</v>
          </cell>
          <cell r="D635" t="str">
            <v>UN</v>
          </cell>
          <cell r="E635">
            <v>16</v>
          </cell>
          <cell r="F635">
            <v>9.6</v>
          </cell>
          <cell r="G635">
            <v>67.498899999999992</v>
          </cell>
          <cell r="H635">
            <v>15.659744799999997</v>
          </cell>
          <cell r="I635">
            <v>83.15864479999999</v>
          </cell>
        </row>
        <row r="636">
          <cell r="B636" t="str">
            <v>*092999</v>
          </cell>
          <cell r="C636" t="str">
            <v>RETIRO DE CONEXION MONOF. O TRIF. AÉREA C/SEGURO</v>
          </cell>
          <cell r="D636" t="str">
            <v>UN</v>
          </cell>
          <cell r="E636">
            <v>13.985799999999999</v>
          </cell>
          <cell r="F636">
            <v>9.6</v>
          </cell>
          <cell r="G636">
            <v>50.720299999999995</v>
          </cell>
          <cell r="H636">
            <v>11.767109599999998</v>
          </cell>
          <cell r="I636">
            <v>62.487409599999992</v>
          </cell>
        </row>
        <row r="637">
          <cell r="B637" t="str">
            <v>*093000</v>
          </cell>
          <cell r="C637" t="str">
            <v>CONEXION MONOF. O TRIF. AÉREA C/SEGURO</v>
          </cell>
          <cell r="D637" t="str">
            <v>UN</v>
          </cell>
          <cell r="E637">
            <v>9.2119999999999997</v>
          </cell>
          <cell r="F637">
            <v>9.6</v>
          </cell>
          <cell r="G637">
            <v>72.597300000000004</v>
          </cell>
          <cell r="H637">
            <v>16.842573600000001</v>
          </cell>
          <cell r="I637">
            <v>89.439873599999999</v>
          </cell>
        </row>
        <row r="638">
          <cell r="B638" t="str">
            <v>*093004</v>
          </cell>
          <cell r="C638" t="str">
            <v>RETIRO DE CONEXION MONOF.O TRIF.AEREA S/SEGURO</v>
          </cell>
          <cell r="D638" t="str">
            <v>UN</v>
          </cell>
          <cell r="E638">
            <v>7.6492000000000004</v>
          </cell>
          <cell r="F638">
            <v>9.6</v>
          </cell>
          <cell r="G638">
            <v>66.979800000000012</v>
          </cell>
          <cell r="H638">
            <v>15.539313600000002</v>
          </cell>
          <cell r="I638">
            <v>82.519113600000011</v>
          </cell>
        </row>
        <row r="639">
          <cell r="B639" t="str">
            <v>*093005</v>
          </cell>
          <cell r="C639" t="str">
            <v>CONEXION MONOF.O TRIF.AEREA S/SEGURO</v>
          </cell>
          <cell r="D639" t="str">
            <v>UN</v>
          </cell>
          <cell r="E639">
            <v>5.2695999999999996</v>
          </cell>
          <cell r="F639">
            <v>9.6</v>
          </cell>
          <cell r="G639">
            <v>95.750699999999995</v>
          </cell>
          <cell r="H639">
            <v>22.214162399999996</v>
          </cell>
          <cell r="I639">
            <v>117.96486239999999</v>
          </cell>
        </row>
        <row r="640">
          <cell r="B640" t="str">
            <v>*093016</v>
          </cell>
          <cell r="C640" t="str">
            <v>CONEXION PARA SOPORTE DE PRFV MONOF.O TRIF.AEREA S/SEGURO</v>
          </cell>
          <cell r="D640" t="str">
            <v>UN</v>
          </cell>
          <cell r="E640">
            <v>8.2833000000000006</v>
          </cell>
          <cell r="F640">
            <v>9.6</v>
          </cell>
          <cell r="G640">
            <v>68.530100000000004</v>
          </cell>
          <cell r="H640">
            <v>15.8989832</v>
          </cell>
          <cell r="I640">
            <v>84.429083200000008</v>
          </cell>
        </row>
        <row r="641">
          <cell r="B641" t="str">
            <v>*093018</v>
          </cell>
          <cell r="C641" t="str">
            <v>CONEXION PARA SOPORTE DE PRFV O CAJA EXISTENTE MONOF.O TRIF. SUBT.S/VER.S/SEG.HASTA 20KW</v>
          </cell>
          <cell r="D641" t="str">
            <v>UN</v>
          </cell>
          <cell r="E641">
            <v>3.4698000000000002</v>
          </cell>
          <cell r="F641">
            <v>9.6</v>
          </cell>
          <cell r="G641">
            <v>179.3963</v>
          </cell>
          <cell r="H641">
            <v>41.619941599999997</v>
          </cell>
          <cell r="I641">
            <v>221.0162416</v>
          </cell>
        </row>
        <row r="642">
          <cell r="B642" t="str">
            <v>*093019</v>
          </cell>
          <cell r="C642" t="str">
            <v>CONEX.PARA SOPORTE DE PRFV O CAJA EXISTENTE MONOF.O TRIF. AEREO SUBT. (TIPO V) CAJA L, LT S/SEGURO</v>
          </cell>
          <cell r="D642" t="str">
            <v>UN</v>
          </cell>
          <cell r="E642">
            <v>2.0518000000000001</v>
          </cell>
          <cell r="F642">
            <v>9.6</v>
          </cell>
          <cell r="G642">
            <v>329.14049999999997</v>
          </cell>
          <cell r="H642">
            <v>76.360595999999987</v>
          </cell>
          <cell r="I642">
            <v>405.50109599999996</v>
          </cell>
        </row>
        <row r="643">
          <cell r="B643" t="str">
            <v>*093021</v>
          </cell>
          <cell r="C643" t="str">
            <v>RETIRO DE CONEXIÓN  MONOFASICA TRIFASICA  AÉREA C/S PUNTA MUERTA</v>
          </cell>
          <cell r="D643" t="str">
            <v>UN</v>
          </cell>
          <cell r="E643">
            <v>12.164300000000001</v>
          </cell>
          <cell r="F643">
            <v>9.6</v>
          </cell>
          <cell r="G643">
            <v>51.125200000000007</v>
          </cell>
          <cell r="H643">
            <v>11.861046400000001</v>
          </cell>
          <cell r="I643">
            <v>62.986246400000006</v>
          </cell>
        </row>
        <row r="644">
          <cell r="B644" t="str">
            <v>*093022</v>
          </cell>
          <cell r="C644" t="str">
            <v>RETIRO DE CONEXIÓN  MONOFASICA TRIFASICA  AÉREA (INCLUYE RETIRO DE CAJAPORTAMEDIDOR C/S PUNTA MUERTA</v>
          </cell>
          <cell r="D644" t="str">
            <v>UN</v>
          </cell>
          <cell r="E644">
            <v>10.379899999999999</v>
          </cell>
          <cell r="F644">
            <v>9.6</v>
          </cell>
          <cell r="G644">
            <v>59.914000000000001</v>
          </cell>
          <cell r="H644">
            <v>13.900048</v>
          </cell>
          <cell r="I644">
            <v>73.814048</v>
          </cell>
        </row>
        <row r="645">
          <cell r="B645" t="str">
            <v>*093039</v>
          </cell>
          <cell r="C645" t="str">
            <v>RETIRO DE MASTIL DE 1,8 A 6 M</v>
          </cell>
          <cell r="D645" t="str">
            <v>UN</v>
          </cell>
          <cell r="E645">
            <v>65.349599999999995</v>
          </cell>
          <cell r="F645">
            <v>9.6</v>
          </cell>
          <cell r="G645">
            <v>9.0349000000000004</v>
          </cell>
          <cell r="H645">
            <v>2.0960967999999998</v>
          </cell>
          <cell r="I645">
            <v>11.1309968</v>
          </cell>
        </row>
        <row r="646">
          <cell r="B646" t="str">
            <v>*093040</v>
          </cell>
          <cell r="C646" t="str">
            <v>INSTALACIÓN DE MASTIL DE 1,8 A 6 M</v>
          </cell>
          <cell r="D646" t="str">
            <v>UN</v>
          </cell>
          <cell r="E646">
            <v>45.746000000000002</v>
          </cell>
          <cell r="F646">
            <v>9.6</v>
          </cell>
          <cell r="G646">
            <v>12.906500000000001</v>
          </cell>
          <cell r="H646">
            <v>2.9943080000000002</v>
          </cell>
          <cell r="I646">
            <v>15.900808000000001</v>
          </cell>
        </row>
        <row r="647">
          <cell r="B647" t="str">
            <v>*093041</v>
          </cell>
          <cell r="C647" t="str">
            <v>INSTALACION DE MÁSTIL-MURETE INTEGRADO MONOFÁSICO O TRIFÁSICO DE 3,5 METROS</v>
          </cell>
          <cell r="D647" t="str">
            <v>UN</v>
          </cell>
          <cell r="E647">
            <v>9.3928999999999991</v>
          </cell>
          <cell r="F647">
            <v>9.6</v>
          </cell>
          <cell r="G647">
            <v>46.396599999999999</v>
          </cell>
          <cell r="H647">
            <v>10.764011199999999</v>
          </cell>
          <cell r="I647">
            <v>57.160611199999998</v>
          </cell>
        </row>
        <row r="648">
          <cell r="B648" t="str">
            <v>*093042</v>
          </cell>
          <cell r="C648" t="str">
            <v>TRASLADO DE MASTIL DE 1,8 A 6 M</v>
          </cell>
          <cell r="D648" t="str">
            <v>UN</v>
          </cell>
          <cell r="E648">
            <v>35.1892</v>
          </cell>
          <cell r="F648">
            <v>9.6</v>
          </cell>
          <cell r="G648">
            <v>16.778600000000001</v>
          </cell>
          <cell r="H648">
            <v>3.8926352</v>
          </cell>
          <cell r="I648">
            <v>20.671235200000002</v>
          </cell>
        </row>
        <row r="649">
          <cell r="B649" t="str">
            <v>*093043</v>
          </cell>
          <cell r="C649" t="str">
            <v>TRASLADO DE CORONA 4 GANCHOS PARA ACOMETIDA DOMICILIARIA</v>
          </cell>
          <cell r="D649" t="str">
            <v>UN</v>
          </cell>
          <cell r="E649">
            <v>70.443200000000004</v>
          </cell>
          <cell r="F649">
            <v>9.6</v>
          </cell>
          <cell r="G649">
            <v>8.3815000000000008</v>
          </cell>
          <cell r="H649">
            <v>1.9445080000000001</v>
          </cell>
          <cell r="I649">
            <v>10.326008000000002</v>
          </cell>
        </row>
        <row r="650">
          <cell r="B650" t="str">
            <v>*093044</v>
          </cell>
          <cell r="C650" t="str">
            <v>RETIRO CORONA 4 GANCHOS PARA ACOMETIDA DOMICILIARIA</v>
          </cell>
          <cell r="D650" t="str">
            <v>UN</v>
          </cell>
          <cell r="E650">
            <v>130.81970000000001</v>
          </cell>
          <cell r="F650">
            <v>9.6</v>
          </cell>
          <cell r="G650">
            <v>4.5132999999999992</v>
          </cell>
          <cell r="H650">
            <v>1.0470855999999997</v>
          </cell>
          <cell r="I650">
            <v>5.5603855999999992</v>
          </cell>
        </row>
        <row r="651">
          <cell r="B651" t="str">
            <v>*093045</v>
          </cell>
          <cell r="C651" t="str">
            <v>CORONA 4 GANCHOS PARA ACOMETIDA DOMICILIARIA</v>
          </cell>
          <cell r="D651" t="str">
            <v>UN</v>
          </cell>
          <cell r="E651">
            <v>91.576400000000007</v>
          </cell>
          <cell r="F651">
            <v>9.6</v>
          </cell>
          <cell r="G651">
            <v>6.4473000000000011</v>
          </cell>
          <cell r="H651">
            <v>1.4957736000000001</v>
          </cell>
          <cell r="I651">
            <v>7.9430736000000017</v>
          </cell>
        </row>
        <row r="652">
          <cell r="B652" t="str">
            <v>*093049</v>
          </cell>
          <cell r="C652" t="str">
            <v>RETIRO DE CAJA SUMINISTRO BT-6</v>
          </cell>
          <cell r="D652" t="str">
            <v>UN</v>
          </cell>
          <cell r="E652">
            <v>101.42570000000001</v>
          </cell>
          <cell r="F652">
            <v>9.6</v>
          </cell>
          <cell r="G652">
            <v>3.7668999999999997</v>
          </cell>
          <cell r="H652">
            <v>0.87392079999999983</v>
          </cell>
          <cell r="I652">
            <v>4.6408207999999993</v>
          </cell>
        </row>
        <row r="653">
          <cell r="B653" t="str">
            <v>*093050</v>
          </cell>
          <cell r="C653" t="str">
            <v>Instalación de caja suministro BT-6 - 093050</v>
          </cell>
          <cell r="D653" t="str">
            <v>Un</v>
          </cell>
          <cell r="E653">
            <v>71</v>
          </cell>
          <cell r="F653">
            <v>9.6</v>
          </cell>
          <cell r="G653">
            <v>5.3809999999999993</v>
          </cell>
          <cell r="H653">
            <v>1.2483919999999997</v>
          </cell>
          <cell r="I653">
            <v>6.6293919999999993</v>
          </cell>
        </row>
        <row r="654">
          <cell r="B654" t="str">
            <v>*093051</v>
          </cell>
          <cell r="C654" t="str">
            <v>Traslado de caja suministro BT-6 - 093050</v>
          </cell>
          <cell r="D654" t="str">
            <v>UN</v>
          </cell>
          <cell r="E654">
            <v>54.615299999999998</v>
          </cell>
          <cell r="F654">
            <v>9.6</v>
          </cell>
          <cell r="G654">
            <v>6.9952999999999994</v>
          </cell>
          <cell r="H654">
            <v>1.6229095999999998</v>
          </cell>
          <cell r="I654">
            <v>8.6182096000000001</v>
          </cell>
        </row>
        <row r="655">
          <cell r="B655" t="str">
            <v>*093069</v>
          </cell>
          <cell r="C655" t="str">
            <v>RETIRO ACOMETIDA AEREA Y ACCESORIOS</v>
          </cell>
          <cell r="D655" t="str">
            <v>UN</v>
          </cell>
          <cell r="E655">
            <v>19.770900000000001</v>
          </cell>
          <cell r="F655">
            <v>9.6</v>
          </cell>
          <cell r="G655">
            <v>25.3294</v>
          </cell>
          <cell r="H655">
            <v>5.8764207999999991</v>
          </cell>
          <cell r="I655">
            <v>31.205820799999998</v>
          </cell>
        </row>
        <row r="656">
          <cell r="B656" t="str">
            <v>*093070</v>
          </cell>
          <cell r="C656" t="str">
            <v>INSTALAR ACOMETIDA AEREA Y ACCESORIOS</v>
          </cell>
          <cell r="D656" t="str">
            <v>UN</v>
          </cell>
          <cell r="E656">
            <v>13.84</v>
          </cell>
          <cell r="F656">
            <v>9.6</v>
          </cell>
          <cell r="G656">
            <v>36.183900000000001</v>
          </cell>
          <cell r="H656">
            <v>8.3946647999999993</v>
          </cell>
          <cell r="I656">
            <v>44.578564800000002</v>
          </cell>
        </row>
        <row r="657">
          <cell r="B657" t="str">
            <v>*093071</v>
          </cell>
          <cell r="C657" t="str">
            <v>TRASALDO DE ACOMETIDA AEREA Y ACCESORIOS</v>
          </cell>
          <cell r="D657" t="str">
            <v>UN</v>
          </cell>
          <cell r="E657">
            <v>10.646100000000001</v>
          </cell>
          <cell r="F657">
            <v>9.6</v>
          </cell>
          <cell r="G657">
            <v>47.039400000000001</v>
          </cell>
          <cell r="H657">
            <v>10.913140799999999</v>
          </cell>
          <cell r="I657">
            <v>57.952540800000001</v>
          </cell>
        </row>
        <row r="658">
          <cell r="B658" t="str">
            <v>*093079</v>
          </cell>
          <cell r="C658" t="str">
            <v>RETIRO DE ACOMETIDA AÉREA</v>
          </cell>
          <cell r="D658" t="str">
            <v>UN</v>
          </cell>
          <cell r="E658">
            <v>68.025599999999997</v>
          </cell>
          <cell r="F658">
            <v>9.6</v>
          </cell>
          <cell r="G658">
            <v>8.6794999999999991</v>
          </cell>
          <cell r="H658">
            <v>2.0136439999999998</v>
          </cell>
          <cell r="I658">
            <v>10.693143999999998</v>
          </cell>
        </row>
        <row r="659">
          <cell r="B659" t="str">
            <v>*093080</v>
          </cell>
          <cell r="C659" t="str">
            <v>INSTALAR SOLO ACOMETIDA AÉREA</v>
          </cell>
          <cell r="D659" t="str">
            <v>UN</v>
          </cell>
          <cell r="E659">
            <v>47.619300000000003</v>
          </cell>
          <cell r="F659">
            <v>9.6</v>
          </cell>
          <cell r="G659">
            <v>12.2491</v>
          </cell>
          <cell r="H659">
            <v>2.8417911999999999</v>
          </cell>
          <cell r="I659">
            <v>15.0908912</v>
          </cell>
        </row>
        <row r="660">
          <cell r="B660" t="str">
            <v>*093081</v>
          </cell>
          <cell r="C660" t="str">
            <v>TRASLADO SOLO ACOMETIDA AÉREA</v>
          </cell>
          <cell r="D660" t="str">
            <v>UN</v>
          </cell>
          <cell r="E660">
            <v>36.630099999999999</v>
          </cell>
          <cell r="F660">
            <v>9.6</v>
          </cell>
          <cell r="G660">
            <v>15.9237</v>
          </cell>
          <cell r="H660">
            <v>3.6942983999999996</v>
          </cell>
          <cell r="I660">
            <v>19.617998400000001</v>
          </cell>
        </row>
        <row r="661">
          <cell r="B661" t="str">
            <v>*093085</v>
          </cell>
          <cell r="C661" t="str">
            <v>Soldado de tapa CP antihurto (disperso)</v>
          </cell>
          <cell r="D661" t="str">
            <v>UN</v>
          </cell>
          <cell r="E661">
            <v>20.1309</v>
          </cell>
          <cell r="F661">
            <v>9.6</v>
          </cell>
          <cell r="G661">
            <v>21.688700000000001</v>
          </cell>
          <cell r="H661">
            <v>5.0317783999999994</v>
          </cell>
          <cell r="I661">
            <v>26.720478400000001</v>
          </cell>
        </row>
        <row r="662">
          <cell r="B662" t="str">
            <v>*093086</v>
          </cell>
          <cell r="C662" t="str">
            <v>Soldado de tapas CP antihurto (Masivo y/o en banco de medidores)</v>
          </cell>
          <cell r="D662" t="str">
            <v>UN</v>
          </cell>
          <cell r="E662">
            <v>94.22</v>
          </cell>
          <cell r="F662">
            <v>9.6</v>
          </cell>
          <cell r="G662">
            <v>7.3472000000000008</v>
          </cell>
          <cell r="H662">
            <v>1.7045504</v>
          </cell>
          <cell r="I662">
            <v>9.0517504000000013</v>
          </cell>
        </row>
        <row r="663">
          <cell r="B663" t="str">
            <v>*093089</v>
          </cell>
          <cell r="C663" t="str">
            <v>RETIRO DE CAJA COMPLETA MONOFASICA O TRIFASICA - L, LT O ESTANDAR</v>
          </cell>
          <cell r="D663" t="str">
            <v>UN</v>
          </cell>
          <cell r="E663">
            <v>19.437999999999999</v>
          </cell>
          <cell r="F663">
            <v>9.6</v>
          </cell>
          <cell r="G663">
            <v>30.374800000000004</v>
          </cell>
          <cell r="H663">
            <v>7.0469536000000002</v>
          </cell>
          <cell r="I663">
            <v>37.421753600000002</v>
          </cell>
        </row>
        <row r="664">
          <cell r="B664" t="str">
            <v>*093090</v>
          </cell>
          <cell r="C664" t="str">
            <v>INSTALAR CAJA COMPLETA MONOFASICA O TRIFASICA - L, LT O ESTANDAR</v>
          </cell>
          <cell r="D664" t="str">
            <v>UN</v>
          </cell>
          <cell r="E664">
            <v>13.6066</v>
          </cell>
          <cell r="F664">
            <v>9.6</v>
          </cell>
          <cell r="G664">
            <v>43.392499999999998</v>
          </cell>
          <cell r="H664">
            <v>10.06706</v>
          </cell>
          <cell r="I664">
            <v>53.459559999999996</v>
          </cell>
        </row>
        <row r="665">
          <cell r="B665" t="str">
            <v>*093119</v>
          </cell>
          <cell r="C665" t="str">
            <v>RETIRO CAJA L, LT O ESTANDAR SOLA O EN BANCO DE MEDIDORES</v>
          </cell>
          <cell r="D665" t="str">
            <v>UN</v>
          </cell>
          <cell r="E665">
            <v>52.728999999999999</v>
          </cell>
          <cell r="F665">
            <v>9.6</v>
          </cell>
          <cell r="G665">
            <v>13.601200000000002</v>
          </cell>
          <cell r="H665">
            <v>3.1554784000000002</v>
          </cell>
          <cell r="I665">
            <v>16.756678400000002</v>
          </cell>
        </row>
        <row r="666">
          <cell r="B666" t="str">
            <v>*093120</v>
          </cell>
          <cell r="C666" t="str">
            <v>INSTALAR CAJA L, LT O ESTANDAR SOLA O EN BANCO DE MEDIDORES</v>
          </cell>
          <cell r="D666" t="str">
            <v>UN</v>
          </cell>
          <cell r="E666">
            <v>34.596600000000002</v>
          </cell>
          <cell r="F666">
            <v>9.6</v>
          </cell>
          <cell r="G666">
            <v>19.469899999999999</v>
          </cell>
          <cell r="H666">
            <v>4.5170167999999995</v>
          </cell>
          <cell r="I666">
            <v>23.986916799999999</v>
          </cell>
        </row>
        <row r="667">
          <cell r="B667" t="str">
            <v>*093121</v>
          </cell>
          <cell r="C667" t="str">
            <v>Traslado DE CAJA L, LT O ESTANDAR SOLA O EN BANCO DE MEDIDORES</v>
          </cell>
          <cell r="D667" t="str">
            <v>UN</v>
          </cell>
          <cell r="E667">
            <v>25.743600000000001</v>
          </cell>
          <cell r="F667">
            <v>9.6</v>
          </cell>
          <cell r="G667">
            <v>25.338800000000003</v>
          </cell>
          <cell r="H667">
            <v>5.8786016000000005</v>
          </cell>
          <cell r="I667">
            <v>31.217401600000002</v>
          </cell>
        </row>
        <row r="668">
          <cell r="B668" t="str">
            <v>*093140</v>
          </cell>
          <cell r="C668" t="str">
            <v>CONEXION DERIVADA MONOF. O TRIF. C/SEGURO</v>
          </cell>
          <cell r="D668" t="str">
            <v>UN</v>
          </cell>
          <cell r="E668">
            <v>18.779199999999999</v>
          </cell>
          <cell r="F668">
            <v>9.6</v>
          </cell>
          <cell r="G668">
            <v>45.198</v>
          </cell>
          <cell r="H668">
            <v>10.485935999999999</v>
          </cell>
          <cell r="I668">
            <v>55.683936000000003</v>
          </cell>
        </row>
        <row r="669">
          <cell r="B669" t="str">
            <v>*093143</v>
          </cell>
          <cell r="C669" t="str">
            <v>RETIRO DE CONEXIÓN DERIVADA EN CAJA EXISTENTE TIPO L, LT O LRM</v>
          </cell>
          <cell r="D669" t="str">
            <v>UN</v>
          </cell>
          <cell r="E669">
            <v>20.392600000000002</v>
          </cell>
          <cell r="F669">
            <v>9.6</v>
          </cell>
          <cell r="G669">
            <v>34.479100000000003</v>
          </cell>
          <cell r="H669">
            <v>7.9991512</v>
          </cell>
          <cell r="I669">
            <v>42.478251200000003</v>
          </cell>
        </row>
        <row r="670">
          <cell r="B670" t="str">
            <v>*093144</v>
          </cell>
          <cell r="C670" t="str">
            <v>RETIRO CONEXION DERIVADA MONOF.O TRIF.S/SEGURO</v>
          </cell>
          <cell r="D670" t="str">
            <v>UN</v>
          </cell>
          <cell r="E670">
            <v>25.2303</v>
          </cell>
          <cell r="F670">
            <v>9.6</v>
          </cell>
          <cell r="G670">
            <v>27.868099999999998</v>
          </cell>
          <cell r="H670">
            <v>6.4653991999999993</v>
          </cell>
          <cell r="I670">
            <v>34.333499199999999</v>
          </cell>
        </row>
        <row r="671">
          <cell r="B671" t="str">
            <v>*093145</v>
          </cell>
          <cell r="C671" t="str">
            <v>CONEXION DERIVADA MONOF.O TRIF.S/SEGURO</v>
          </cell>
          <cell r="D671" t="str">
            <v>UN</v>
          </cell>
          <cell r="E671">
            <v>17.6617</v>
          </cell>
          <cell r="F671">
            <v>9.6</v>
          </cell>
          <cell r="G671">
            <v>39.810400000000001</v>
          </cell>
          <cell r="H671">
            <v>9.2360127999999992</v>
          </cell>
          <cell r="I671">
            <v>49.046412799999999</v>
          </cell>
        </row>
        <row r="672">
          <cell r="B672" t="str">
            <v>*093147</v>
          </cell>
          <cell r="C672" t="str">
            <v>CONEXIÓN DERIVADA EN CAJA EXISTENTE TIPO L, LT O LRM</v>
          </cell>
          <cell r="D672" t="str">
            <v>UN</v>
          </cell>
          <cell r="E672">
            <v>14.274800000000001</v>
          </cell>
          <cell r="F672">
            <v>9.6</v>
          </cell>
          <cell r="G672">
            <v>49.256</v>
          </cell>
          <cell r="H672">
            <v>11.427391999999999</v>
          </cell>
          <cell r="I672">
            <v>60.683391999999998</v>
          </cell>
        </row>
        <row r="673">
          <cell r="B673" t="str">
            <v>*093160</v>
          </cell>
          <cell r="C673" t="str">
            <v>ALAMBRADO DE CAJA MONOFÁSICA  O TRIFÁSICA (MANTENIMIENTO)</v>
          </cell>
          <cell r="D673" t="str">
            <v>UN</v>
          </cell>
          <cell r="E673">
            <v>46.68</v>
          </cell>
          <cell r="F673">
            <v>9.6</v>
          </cell>
          <cell r="G673">
            <v>10.912600000000001</v>
          </cell>
          <cell r="H673">
            <v>2.5317232000000001</v>
          </cell>
          <cell r="I673">
            <v>13.444323200000001</v>
          </cell>
        </row>
        <row r="674">
          <cell r="B674" t="str">
            <v>*093161</v>
          </cell>
          <cell r="C674" t="str">
            <v>RETIRO ALAMBRADO DE CAJA MONOFÁSICA  O TRIFÁSICA (MANTENIMIENTO)</v>
          </cell>
          <cell r="D674" t="str">
            <v>UN</v>
          </cell>
          <cell r="E674">
            <v>66.683800000000005</v>
          </cell>
          <cell r="F674">
            <v>9.6</v>
          </cell>
          <cell r="G674">
            <v>7.6388999999999996</v>
          </cell>
          <cell r="H674">
            <v>1.7722247999999998</v>
          </cell>
          <cell r="I674">
            <v>9.4111247999999996</v>
          </cell>
        </row>
        <row r="675">
          <cell r="B675" t="str">
            <v>*093162</v>
          </cell>
          <cell r="C675" t="str">
            <v>TRASLADO ALAMBRADO DE CAJA MONOFÁSICA  O TRIFÁSICA (MANTENIMIENTO)</v>
          </cell>
          <cell r="D675" t="str">
            <v>UN</v>
          </cell>
          <cell r="E675">
            <v>35.907600000000002</v>
          </cell>
          <cell r="F675">
            <v>9.6</v>
          </cell>
          <cell r="G675">
            <v>14.186299999999999</v>
          </cell>
          <cell r="H675">
            <v>3.2912215999999996</v>
          </cell>
          <cell r="I675">
            <v>17.477521599999999</v>
          </cell>
        </row>
        <row r="676">
          <cell r="B676" t="str">
            <v>*093200</v>
          </cell>
          <cell r="C676" t="str">
            <v>TRABAJOS MINIMOS</v>
          </cell>
          <cell r="D676" t="str">
            <v>UN</v>
          </cell>
          <cell r="E676">
            <v>94</v>
          </cell>
          <cell r="F676">
            <v>9.6</v>
          </cell>
          <cell r="G676">
            <v>4.0603999999999996</v>
          </cell>
          <cell r="H676">
            <v>0.94201279999999987</v>
          </cell>
          <cell r="I676">
            <v>5.0024127999999992</v>
          </cell>
        </row>
        <row r="677">
          <cell r="B677" t="str">
            <v>*093230</v>
          </cell>
          <cell r="C677" t="str">
            <v>PICADO P/TUBERIA P/ACOMETIDA AEREA</v>
          </cell>
          <cell r="D677" t="str">
            <v>Un</v>
          </cell>
          <cell r="E677">
            <v>5.5865999999999998</v>
          </cell>
          <cell r="F677">
            <v>9.6</v>
          </cell>
          <cell r="G677">
            <v>36.118499999999997</v>
          </cell>
          <cell r="H677">
            <v>8.3794919999999991</v>
          </cell>
          <cell r="I677">
            <v>44.497991999999996</v>
          </cell>
        </row>
        <row r="678">
          <cell r="B678" t="str">
            <v>*093240</v>
          </cell>
          <cell r="C678" t="str">
            <v>PICADO P/TUBERIA P/ACOMETIDA SUBTERRANEA</v>
          </cell>
          <cell r="D678" t="str">
            <v>UN</v>
          </cell>
          <cell r="E678">
            <v>25.017499999999998</v>
          </cell>
          <cell r="F678">
            <v>9.6</v>
          </cell>
          <cell r="G678">
            <v>23.6005</v>
          </cell>
          <cell r="H678">
            <v>5.4753159999999994</v>
          </cell>
          <cell r="I678">
            <v>29.075816</v>
          </cell>
        </row>
        <row r="679">
          <cell r="B679" t="str">
            <v>*093241</v>
          </cell>
          <cell r="C679" t="str">
            <v>RETIRO CAJA DE DISTRIBUC. ACOM. DOMIC. EN POSTE O PARED  (INCLUYE ALIMENTACION A CAJA)</v>
          </cell>
          <cell r="D679" t="str">
            <v>UN</v>
          </cell>
          <cell r="E679">
            <v>18.508299999999998</v>
          </cell>
          <cell r="F679">
            <v>9.6</v>
          </cell>
          <cell r="G679">
            <v>25.547000000000001</v>
          </cell>
          <cell r="H679">
            <v>5.9269039999999995</v>
          </cell>
          <cell r="I679">
            <v>31.473904000000001</v>
          </cell>
        </row>
        <row r="680">
          <cell r="B680" t="str">
            <v>*093242</v>
          </cell>
          <cell r="C680" t="str">
            <v>CAJA DE DISTRIBUC. ACOM. DOMIC. EN POSTE O PARED  (INCLUYE ALIMENTACION A CAJA)</v>
          </cell>
          <cell r="D680" t="str">
            <v>UN</v>
          </cell>
          <cell r="E680">
            <v>12.956200000000001</v>
          </cell>
          <cell r="F680">
            <v>9.6</v>
          </cell>
          <cell r="G680">
            <v>36.494500000000002</v>
          </cell>
          <cell r="H680">
            <v>8.4667239999999993</v>
          </cell>
          <cell r="I680">
            <v>44.961224000000001</v>
          </cell>
        </row>
        <row r="681">
          <cell r="B681" t="str">
            <v>*093243</v>
          </cell>
          <cell r="C681" t="str">
            <v>RETIRO DE REDUCTORES Y CONEXION CABLE CLIENTE</v>
          </cell>
          <cell r="D681" t="str">
            <v>UN</v>
          </cell>
          <cell r="E681">
            <v>20.115600000000001</v>
          </cell>
          <cell r="F681">
            <v>9.6</v>
          </cell>
          <cell r="G681">
            <v>30.541800000000002</v>
          </cell>
          <cell r="H681">
            <v>7.0856975999999996</v>
          </cell>
          <cell r="I681">
            <v>37.627497599999998</v>
          </cell>
        </row>
        <row r="682">
          <cell r="B682" t="str">
            <v>*093245</v>
          </cell>
          <cell r="C682" t="str">
            <v>COLOC.REDUCTORES Y CONEXION CABLE CLIENTE</v>
          </cell>
          <cell r="D682" t="str">
            <v>UN</v>
          </cell>
          <cell r="E682">
            <v>14.0809</v>
          </cell>
          <cell r="F682">
            <v>9.6</v>
          </cell>
          <cell r="G682">
            <v>43.631100000000004</v>
          </cell>
          <cell r="H682">
            <v>10.122415200000001</v>
          </cell>
          <cell r="I682">
            <v>53.753515200000002</v>
          </cell>
        </row>
        <row r="683">
          <cell r="B683" t="str">
            <v>*093246</v>
          </cell>
          <cell r="C683" t="str">
            <v>RETIRO ACOMETIDA SUBTERRANEA SOLA SIN CAJA CONEXION</v>
          </cell>
          <cell r="D683" t="str">
            <v>UN</v>
          </cell>
          <cell r="E683">
            <v>11.3286</v>
          </cell>
          <cell r="F683">
            <v>9.6</v>
          </cell>
          <cell r="G683">
            <v>44.205399999999997</v>
          </cell>
          <cell r="H683">
            <v>10.255652799999998</v>
          </cell>
          <cell r="I683">
            <v>54.461052799999997</v>
          </cell>
        </row>
        <row r="684">
          <cell r="B684" t="str">
            <v>*093247</v>
          </cell>
          <cell r="C684" t="str">
            <v>TRASLADO CAJA DE DISTRIBUC. ACOM. DOMIC. EN POSTE O PARED  (INCLUYE ALIMENTACION A CAJA)</v>
          </cell>
          <cell r="D684" t="str">
            <v>UN</v>
          </cell>
          <cell r="E684">
            <v>9.9663000000000004</v>
          </cell>
          <cell r="F684">
            <v>9.6</v>
          </cell>
          <cell r="G684">
            <v>47.442999999999998</v>
          </cell>
          <cell r="H684">
            <v>11.006775999999999</v>
          </cell>
          <cell r="I684">
            <v>58.449776</v>
          </cell>
        </row>
        <row r="685">
          <cell r="B685" t="str">
            <v>*093248</v>
          </cell>
          <cell r="C685" t="str">
            <v>ACOMETIDA SUBTERRANEA SOLA SIN CAJA CONEXION</v>
          </cell>
          <cell r="D685" t="str">
            <v>UN</v>
          </cell>
          <cell r="E685">
            <v>7.93</v>
          </cell>
          <cell r="F685">
            <v>9.6</v>
          </cell>
          <cell r="G685">
            <v>63.150700000000008</v>
          </cell>
          <cell r="H685">
            <v>14.650962400000001</v>
          </cell>
          <cell r="I685">
            <v>77.801662400000012</v>
          </cell>
        </row>
        <row r="686">
          <cell r="B686" t="str">
            <v>*093251</v>
          </cell>
          <cell r="C686" t="str">
            <v>TRASLADO ACOMETIDA SUBTERRANEA SOLA SIN CAJA CONEXION</v>
          </cell>
          <cell r="D686" t="str">
            <v>UN</v>
          </cell>
          <cell r="E686">
            <v>6.1</v>
          </cell>
          <cell r="F686">
            <v>9.6</v>
          </cell>
          <cell r="G686">
            <v>82.096000000000004</v>
          </cell>
          <cell r="H686">
            <v>19.046271999999998</v>
          </cell>
          <cell r="I686">
            <v>101.14227200000001</v>
          </cell>
        </row>
        <row r="687">
          <cell r="B687" t="str">
            <v>*093252</v>
          </cell>
          <cell r="C687" t="str">
            <v>TRASLADO DE REDUCTORES Y CABLE CLIENTE</v>
          </cell>
          <cell r="D687" t="str">
            <v>UN</v>
          </cell>
          <cell r="E687">
            <v>10.8314</v>
          </cell>
          <cell r="F687">
            <v>9.6</v>
          </cell>
          <cell r="G687">
            <v>56.720699999999994</v>
          </cell>
          <cell r="H687">
            <v>13.159202399999998</v>
          </cell>
          <cell r="I687">
            <v>69.879902399999992</v>
          </cell>
        </row>
        <row r="688">
          <cell r="B688" t="str">
            <v>*093270</v>
          </cell>
          <cell r="C688" t="str">
            <v>PASE A TRIFÁSICO CONEX. AEREA CAJA LT O ESTANDAR DE 3 A 20 KW.</v>
          </cell>
          <cell r="D688" t="str">
            <v>UN</v>
          </cell>
          <cell r="E688">
            <v>5.7159000000000004</v>
          </cell>
          <cell r="F688">
            <v>9.6</v>
          </cell>
          <cell r="G688">
            <v>72.996200000000002</v>
          </cell>
          <cell r="H688">
            <v>16.9351184</v>
          </cell>
          <cell r="I688">
            <v>89.931318400000009</v>
          </cell>
        </row>
        <row r="689">
          <cell r="B689" t="str">
            <v>*093300</v>
          </cell>
          <cell r="C689" t="str">
            <v>PASE A TRIFÁSICO CONEXIÓN SUBTERRANEA C/VEREDA DE 3 A 20 KW.</v>
          </cell>
          <cell r="D689" t="str">
            <v>UN</v>
          </cell>
          <cell r="E689">
            <v>2.69</v>
          </cell>
          <cell r="F689">
            <v>9.6</v>
          </cell>
          <cell r="G689">
            <v>355.07730000000004</v>
          </cell>
          <cell r="H689">
            <v>82.377933600000006</v>
          </cell>
          <cell r="I689">
            <v>437.45523360000004</v>
          </cell>
        </row>
        <row r="690">
          <cell r="B690" t="str">
            <v>*093309</v>
          </cell>
          <cell r="C690" t="str">
            <v>RETIRO DE CONEXIÓN MONOF.O TRIF.SUB.S/VER.C/SEG.HASTA 20KW</v>
          </cell>
          <cell r="D690" t="str">
            <v>UN</v>
          </cell>
          <cell r="E690">
            <v>5.9396000000000004</v>
          </cell>
          <cell r="F690">
            <v>9.6</v>
          </cell>
          <cell r="G690">
            <v>99.404799999999994</v>
          </cell>
          <cell r="H690">
            <v>23.061913599999997</v>
          </cell>
          <cell r="I690">
            <v>122.46671359999999</v>
          </cell>
        </row>
        <row r="691">
          <cell r="B691" t="str">
            <v>*093310</v>
          </cell>
          <cell r="C691" t="str">
            <v>CONEXIÓN MONOF.O TRIF.SUB.S/VER.C/SEG.HASTA 20KW</v>
          </cell>
          <cell r="D691" t="str">
            <v>UN</v>
          </cell>
          <cell r="E691">
            <v>4.1577000000000002</v>
          </cell>
          <cell r="F691">
            <v>9.6</v>
          </cell>
          <cell r="G691">
            <v>142.0076</v>
          </cell>
          <cell r="H691">
            <v>32.945763199999995</v>
          </cell>
          <cell r="I691">
            <v>174.95336319999998</v>
          </cell>
        </row>
        <row r="692">
          <cell r="B692" t="str">
            <v>*093314</v>
          </cell>
          <cell r="C692" t="str">
            <v>RETIRO DE CONEXION MONOF. O TRIF. SUBT. S/VER. S/SEG. HASTA 20KW</v>
          </cell>
          <cell r="D692" t="str">
            <v>UN</v>
          </cell>
          <cell r="E692">
            <v>3.5331999999999999</v>
          </cell>
          <cell r="F692">
            <v>9.6</v>
          </cell>
          <cell r="G692">
            <v>171.35910000000001</v>
          </cell>
          <cell r="H692">
            <v>39.755311200000001</v>
          </cell>
          <cell r="I692">
            <v>211.11441120000001</v>
          </cell>
        </row>
        <row r="693">
          <cell r="B693" t="str">
            <v>*093315</v>
          </cell>
          <cell r="C693" t="str">
            <v>CONEXION MONOF.O TRIF. SUBT.S/VER.S/SEG.HASTA 20KW</v>
          </cell>
          <cell r="D693" t="str">
            <v>UN</v>
          </cell>
          <cell r="E693">
            <v>2.4575</v>
          </cell>
          <cell r="F693">
            <v>9.6</v>
          </cell>
          <cell r="G693">
            <v>244.8544</v>
          </cell>
          <cell r="H693">
            <v>56.806220799999998</v>
          </cell>
          <cell r="I693">
            <v>301.6606208</v>
          </cell>
        </row>
        <row r="694">
          <cell r="B694" t="str">
            <v>*093330</v>
          </cell>
          <cell r="C694" t="str">
            <v>PASE A TRIF.CONEX.SUBT.S/VEREDA C/SEGURO HASTA 20KW</v>
          </cell>
          <cell r="D694" t="str">
            <v>UN</v>
          </cell>
          <cell r="E694">
            <v>4.8221999999999996</v>
          </cell>
          <cell r="F694">
            <v>9.6</v>
          </cell>
          <cell r="G694">
            <v>137.32409999999999</v>
          </cell>
          <cell r="H694">
            <v>31.859191199999994</v>
          </cell>
          <cell r="I694">
            <v>169.18329119999999</v>
          </cell>
        </row>
        <row r="695">
          <cell r="B695" t="str">
            <v>*093400</v>
          </cell>
          <cell r="C695" t="str">
            <v>Retiro de Cnx Subt Monofásica / Trifásica hasta 20 kW sin caja</v>
          </cell>
          <cell r="D695" t="str">
            <v>UN</v>
          </cell>
          <cell r="E695">
            <v>6.3951000000000002</v>
          </cell>
          <cell r="F695">
            <v>9.6</v>
          </cell>
          <cell r="G695">
            <v>94.865399999999994</v>
          </cell>
          <cell r="H695">
            <v>22.008772799999996</v>
          </cell>
          <cell r="I695">
            <v>116.8741728</v>
          </cell>
        </row>
        <row r="696">
          <cell r="B696" t="str">
            <v>*093401</v>
          </cell>
          <cell r="C696" t="str">
            <v>Retiro de Cnx Subt Monofásica / Trifásica hasta 20 kW con caja</v>
          </cell>
          <cell r="D696" t="str">
            <v>UN</v>
          </cell>
          <cell r="E696">
            <v>6.0114999999999998</v>
          </cell>
          <cell r="F696">
            <v>9.6</v>
          </cell>
          <cell r="G696">
            <v>100.9188</v>
          </cell>
          <cell r="H696">
            <v>23.413161599999999</v>
          </cell>
          <cell r="I696">
            <v>124.3319616</v>
          </cell>
        </row>
        <row r="697">
          <cell r="B697" t="str">
            <v>*093402</v>
          </cell>
          <cell r="C697" t="str">
            <v>Retiro de Conexión Subt Trifásica con medición indirecta hasta 75 kW sin caja</v>
          </cell>
          <cell r="D697" t="str">
            <v>UN</v>
          </cell>
          <cell r="E697">
            <v>2.7907999999999999</v>
          </cell>
          <cell r="F697">
            <v>9.6</v>
          </cell>
          <cell r="G697">
            <v>217.38339999999999</v>
          </cell>
          <cell r="H697">
            <v>50.432948799999998</v>
          </cell>
          <cell r="I697">
            <v>267.81634880000001</v>
          </cell>
        </row>
        <row r="698">
          <cell r="B698" t="str">
            <v>*093403</v>
          </cell>
          <cell r="C698" t="str">
            <v>Retiro de Conexión Subt Trifásica con medición indirecta hasta 75 kW con caja</v>
          </cell>
          <cell r="D698" t="str">
            <v>UN</v>
          </cell>
          <cell r="E698">
            <v>2.2210000000000001</v>
          </cell>
          <cell r="F698">
            <v>9.6</v>
          </cell>
          <cell r="G698">
            <v>273.15320000000003</v>
          </cell>
          <cell r="H698">
            <v>63.371542400000003</v>
          </cell>
          <cell r="I698">
            <v>336.52474240000004</v>
          </cell>
        </row>
        <row r="699">
          <cell r="B699" t="str">
            <v>*093404</v>
          </cell>
          <cell r="C699" t="str">
            <v>Retiro de Conx BT6 Subterránea en murete</v>
          </cell>
          <cell r="D699" t="str">
            <v>UN</v>
          </cell>
          <cell r="E699">
            <v>5.3224</v>
          </cell>
          <cell r="F699">
            <v>9.6</v>
          </cell>
          <cell r="G699">
            <v>113.98490000000001</v>
          </cell>
          <cell r="H699">
            <v>26.4444968</v>
          </cell>
          <cell r="I699">
            <v>140.42939680000001</v>
          </cell>
        </row>
        <row r="700">
          <cell r="B700" t="str">
            <v>*093405</v>
          </cell>
          <cell r="C700" t="str">
            <v>Retiro de Conx BT6 Subterránea en poste</v>
          </cell>
          <cell r="D700" t="str">
            <v>UN</v>
          </cell>
          <cell r="E700">
            <v>5.8480999999999996</v>
          </cell>
          <cell r="F700">
            <v>9.6</v>
          </cell>
          <cell r="G700">
            <v>103.7385</v>
          </cell>
          <cell r="H700">
            <v>24.067332</v>
          </cell>
          <cell r="I700">
            <v>127.80583200000001</v>
          </cell>
        </row>
        <row r="701">
          <cell r="B701" t="str">
            <v>*093406</v>
          </cell>
          <cell r="C701" t="str">
            <v>Disminución de potencia sin cambio de transformador de corriente</v>
          </cell>
          <cell r="D701" t="str">
            <v>UN</v>
          </cell>
          <cell r="E701">
            <v>12.5181</v>
          </cell>
          <cell r="F701">
            <v>9.6</v>
          </cell>
          <cell r="G701">
            <v>45.932999999999993</v>
          </cell>
          <cell r="H701">
            <v>10.656455999999997</v>
          </cell>
          <cell r="I701">
            <v>56.589455999999991</v>
          </cell>
        </row>
        <row r="702">
          <cell r="B702" t="str">
            <v>*093407</v>
          </cell>
          <cell r="C702" t="str">
            <v>Disminución de potencia con cambio de transformador de corriente</v>
          </cell>
          <cell r="D702" t="str">
            <v>UN</v>
          </cell>
          <cell r="E702">
            <v>3.7343999999999999</v>
          </cell>
          <cell r="F702">
            <v>9.6</v>
          </cell>
          <cell r="G702">
            <v>153.97219999999999</v>
          </cell>
          <cell r="H702">
            <v>35.721550399999991</v>
          </cell>
          <cell r="I702">
            <v>189.69375039999997</v>
          </cell>
        </row>
        <row r="703">
          <cell r="B703" t="str">
            <v>*093424</v>
          </cell>
          <cell r="C703" t="str">
            <v>TRASLADO DE MED. ELECTRONICO CON SEGURO</v>
          </cell>
          <cell r="D703" t="str">
            <v>UN</v>
          </cell>
          <cell r="E703">
            <v>4.1485000000000003</v>
          </cell>
          <cell r="F703">
            <v>9.6</v>
          </cell>
          <cell r="G703">
            <v>133.70849999999999</v>
          </cell>
          <cell r="H703">
            <v>31.020371999999995</v>
          </cell>
          <cell r="I703">
            <v>164.72887199999997</v>
          </cell>
        </row>
        <row r="704">
          <cell r="B704" t="str">
            <v>*093426</v>
          </cell>
          <cell r="C704" t="str">
            <v>VIAJE INDEBIDO DE REEMPLAZO DE MEDIDORES (1ra visita)</v>
          </cell>
          <cell r="D704" t="str">
            <v>UN</v>
          </cell>
          <cell r="E704">
            <v>43</v>
          </cell>
          <cell r="F704">
            <v>9.6</v>
          </cell>
          <cell r="G704">
            <v>10.2364</v>
          </cell>
          <cell r="H704">
            <v>2.3748448</v>
          </cell>
          <cell r="I704">
            <v>12.6112448</v>
          </cell>
        </row>
        <row r="705">
          <cell r="B705" t="str">
            <v>*093427</v>
          </cell>
          <cell r="C705" t="str">
            <v>VIAJE INDEBIDO DE REEMPLAZO DE MEDIDORES (2° VISITA)</v>
          </cell>
          <cell r="D705" t="str">
            <v>UN</v>
          </cell>
          <cell r="E705">
            <v>32.25</v>
          </cell>
          <cell r="F705">
            <v>9.6</v>
          </cell>
          <cell r="G705">
            <v>13.6485</v>
          </cell>
          <cell r="H705">
            <v>3.166452</v>
          </cell>
          <cell r="I705">
            <v>16.814952000000002</v>
          </cell>
        </row>
        <row r="706">
          <cell r="B706" t="str">
            <v>*093428</v>
          </cell>
          <cell r="C706" t="str">
            <v>INSPECCION PREVIA PARA CAMBIO DE MEDIDOR (Masivo)</v>
          </cell>
          <cell r="D706" t="str">
            <v>UN</v>
          </cell>
          <cell r="E706">
            <v>33.725499999999997</v>
          </cell>
          <cell r="F706">
            <v>9.6</v>
          </cell>
          <cell r="G706">
            <v>7.1665999999999999</v>
          </cell>
          <cell r="H706">
            <v>1.6626511999999998</v>
          </cell>
          <cell r="I706">
            <v>8.8292511999999999</v>
          </cell>
        </row>
        <row r="707">
          <cell r="B707" t="str">
            <v>*093429</v>
          </cell>
          <cell r="C707" t="str">
            <v>INSPECCION PREVIA PARA CAMBIO DE MEDIDOR SIN APERTURA DE TAPA</v>
          </cell>
          <cell r="D707" t="str">
            <v>UN</v>
          </cell>
          <cell r="E707">
            <v>40</v>
          </cell>
          <cell r="F707">
            <v>9.6</v>
          </cell>
          <cell r="G707">
            <v>10.3409</v>
          </cell>
          <cell r="H707">
            <v>2.3990887999999999</v>
          </cell>
          <cell r="I707">
            <v>12.739988799999999</v>
          </cell>
        </row>
        <row r="708">
          <cell r="B708" t="str">
            <v>*093431</v>
          </cell>
          <cell r="C708" t="str">
            <v>INSPECCION  PREVIA PARA CAMBIO DE MEDIDOR CON APERTURA DE TAPA</v>
          </cell>
          <cell r="D708" t="str">
            <v>UN</v>
          </cell>
          <cell r="E708">
            <v>20</v>
          </cell>
          <cell r="F708">
            <v>9.6</v>
          </cell>
          <cell r="G708">
            <v>21.354800000000001</v>
          </cell>
          <cell r="H708">
            <v>4.9543135999999999</v>
          </cell>
          <cell r="I708">
            <v>26.3091136</v>
          </cell>
        </row>
        <row r="709">
          <cell r="B709" t="str">
            <v>*093432</v>
          </cell>
          <cell r="C709" t="str">
            <v>INSTALACION MEDIDOR MONOF.SIN SEGURO - CON DIFERENTE CUADRILLA</v>
          </cell>
          <cell r="D709" t="str">
            <v>UN</v>
          </cell>
          <cell r="E709">
            <v>15.984</v>
          </cell>
          <cell r="F709">
            <v>9.6</v>
          </cell>
          <cell r="G709">
            <v>35.973099999999995</v>
          </cell>
          <cell r="H709">
            <v>8.345759199999998</v>
          </cell>
          <cell r="I709">
            <v>44.318859199999991</v>
          </cell>
        </row>
        <row r="710">
          <cell r="B710" t="str">
            <v>*093433</v>
          </cell>
          <cell r="C710" t="str">
            <v>INSTALACION MEDIDOR TRIFASICO SIN SEGURO - CON DIFERENTE CUADRILLA</v>
          </cell>
          <cell r="D710" t="str">
            <v>UN</v>
          </cell>
          <cell r="E710">
            <v>12.76</v>
          </cell>
          <cell r="F710">
            <v>9.6</v>
          </cell>
          <cell r="G710">
            <v>45.113599999999998</v>
          </cell>
          <cell r="H710">
            <v>10.466355199999999</v>
          </cell>
          <cell r="I710">
            <v>55.579955200000001</v>
          </cell>
        </row>
        <row r="711">
          <cell r="B711" t="str">
            <v>*093434</v>
          </cell>
          <cell r="C711" t="str">
            <v>INSTALACION MEDIDOR ELECTRONICO SIN SEGURO</v>
          </cell>
          <cell r="D711" t="str">
            <v>UN</v>
          </cell>
          <cell r="E711">
            <v>3.1469999999999998</v>
          </cell>
          <cell r="F711">
            <v>9.6</v>
          </cell>
          <cell r="G711">
            <v>105.51830000000001</v>
          </cell>
          <cell r="H711">
            <v>24.4802456</v>
          </cell>
          <cell r="I711">
            <v>129.9985456</v>
          </cell>
        </row>
        <row r="712">
          <cell r="B712" t="str">
            <v>*093435</v>
          </cell>
          <cell r="C712" t="str">
            <v>INSTAL. MED. MONOFASICO CON SEGURO</v>
          </cell>
          <cell r="D712" t="str">
            <v>UN</v>
          </cell>
          <cell r="E712">
            <v>13.7</v>
          </cell>
          <cell r="F712">
            <v>9.6</v>
          </cell>
          <cell r="G712">
            <v>48.158500000000004</v>
          </cell>
          <cell r="H712">
            <v>11.172772</v>
          </cell>
          <cell r="I712">
            <v>59.331272000000006</v>
          </cell>
        </row>
        <row r="713">
          <cell r="B713" t="str">
            <v>*093436</v>
          </cell>
          <cell r="C713" t="str">
            <v>INSTAL. MED. TRIFASICO CON SEGURO</v>
          </cell>
          <cell r="D713" t="str">
            <v>UN</v>
          </cell>
          <cell r="E713">
            <v>14.31</v>
          </cell>
          <cell r="F713">
            <v>9.6</v>
          </cell>
          <cell r="G713">
            <v>46.135400000000004</v>
          </cell>
          <cell r="H713">
            <v>10.703412800000001</v>
          </cell>
          <cell r="I713">
            <v>56.838812800000007</v>
          </cell>
        </row>
        <row r="714">
          <cell r="B714" t="str">
            <v>*093437</v>
          </cell>
          <cell r="C714" t="str">
            <v>INSTAL. MED. ELECTRONICO CON SEGURO</v>
          </cell>
          <cell r="D714" t="str">
            <v>UN</v>
          </cell>
          <cell r="E714">
            <v>5.3930999999999996</v>
          </cell>
          <cell r="F714">
            <v>9.6</v>
          </cell>
          <cell r="G714">
            <v>102.85169999999999</v>
          </cell>
          <cell r="H714">
            <v>23.861594399999998</v>
          </cell>
          <cell r="I714">
            <v>126.7132944</v>
          </cell>
        </row>
        <row r="715">
          <cell r="B715" t="str">
            <v>*093438</v>
          </cell>
          <cell r="C715" t="str">
            <v>VIAJE INDEBIDO INSTALACION MEDIDOR</v>
          </cell>
          <cell r="D715" t="str">
            <v>UN</v>
          </cell>
          <cell r="E715">
            <v>30.373799999999999</v>
          </cell>
          <cell r="F715">
            <v>9.6</v>
          </cell>
          <cell r="G715">
            <v>22.948400000000003</v>
          </cell>
          <cell r="H715">
            <v>5.3240288000000007</v>
          </cell>
          <cell r="I715">
            <v>28.272428800000004</v>
          </cell>
        </row>
        <row r="716">
          <cell r="B716" t="str">
            <v>*093441</v>
          </cell>
          <cell r="C716" t="str">
            <v>RETIRO DE MEDIDOR MONOFASICO O TRIFASICO</v>
          </cell>
          <cell r="D716" t="str">
            <v>UN</v>
          </cell>
          <cell r="E716">
            <v>51.681800000000003</v>
          </cell>
          <cell r="F716">
            <v>9.6</v>
          </cell>
          <cell r="G716">
            <v>9.0107999999999997</v>
          </cell>
          <cell r="H716">
            <v>2.0905055999999997</v>
          </cell>
          <cell r="I716">
            <v>11.1013056</v>
          </cell>
        </row>
        <row r="717">
          <cell r="B717" t="str">
            <v>*093443</v>
          </cell>
          <cell r="C717" t="str">
            <v>DIGITACIÓN Y CONTROL DE ACTAS DE INSTALACIÓN DE MEDIDORES</v>
          </cell>
          <cell r="D717" t="str">
            <v>UN</v>
          </cell>
          <cell r="E717">
            <v>149.07</v>
          </cell>
          <cell r="F717">
            <v>9.6</v>
          </cell>
          <cell r="G717">
            <v>0.99930000000000008</v>
          </cell>
          <cell r="H717">
            <v>0.2318376</v>
          </cell>
          <cell r="I717">
            <v>1.2311376000000001</v>
          </cell>
        </row>
        <row r="718">
          <cell r="B718" t="str">
            <v>*093444</v>
          </cell>
          <cell r="C718" t="str">
            <v>RETIRO DE MEDIDOR ELECTRONICO TRIFASICO</v>
          </cell>
          <cell r="D718" t="str">
            <v>UN</v>
          </cell>
          <cell r="E718">
            <v>24.786100000000001</v>
          </cell>
          <cell r="F718">
            <v>9.6</v>
          </cell>
          <cell r="G718">
            <v>18.788700000000002</v>
          </cell>
          <cell r="H718">
            <v>4.3589783999999998</v>
          </cell>
          <cell r="I718">
            <v>23.147678400000004</v>
          </cell>
        </row>
        <row r="719">
          <cell r="B719" t="str">
            <v>*093447</v>
          </cell>
          <cell r="C719" t="str">
            <v>REEMPLAZO MED.MONOFASICO</v>
          </cell>
          <cell r="D719" t="str">
            <v>UN</v>
          </cell>
          <cell r="E719">
            <v>10.829700000000001</v>
          </cell>
          <cell r="F719">
            <v>9.6</v>
          </cell>
          <cell r="G719">
            <v>40.872299999999996</v>
          </cell>
          <cell r="H719">
            <v>9.482373599999999</v>
          </cell>
          <cell r="I719">
            <v>50.354673599999998</v>
          </cell>
        </row>
        <row r="720">
          <cell r="B720" t="str">
            <v>*093448</v>
          </cell>
          <cell r="C720" t="str">
            <v>REEMPLAZO MED.TRIFASICO</v>
          </cell>
          <cell r="D720" t="str">
            <v>UN</v>
          </cell>
          <cell r="E720">
            <v>7.2914000000000003</v>
          </cell>
          <cell r="F720">
            <v>9.6</v>
          </cell>
          <cell r="G720">
            <v>60.706400000000002</v>
          </cell>
          <cell r="H720">
            <v>14.0838848</v>
          </cell>
          <cell r="I720">
            <v>74.790284799999995</v>
          </cell>
        </row>
        <row r="721">
          <cell r="B721" t="str">
            <v>*093449</v>
          </cell>
          <cell r="C721" t="str">
            <v>VIAJE INDEBIDO DE REEMPLAZO DE MEDIDORES - DISPERSO</v>
          </cell>
          <cell r="D721" t="str">
            <v>UN</v>
          </cell>
          <cell r="E721">
            <v>27.172799999999999</v>
          </cell>
          <cell r="F721">
            <v>9.6</v>
          </cell>
          <cell r="G721">
            <v>20.913899999999998</v>
          </cell>
          <cell r="H721">
            <v>4.8520247999999988</v>
          </cell>
          <cell r="I721">
            <v>25.765924799999997</v>
          </cell>
        </row>
        <row r="722">
          <cell r="B722" t="str">
            <v>*093451</v>
          </cell>
          <cell r="C722" t="str">
            <v>CONEXIÓN AEREA TRIFÁSICA DE MAYOR A 20 KW HASTA 35 KW (LTT+LTM)</v>
          </cell>
          <cell r="D722" t="str">
            <v>UN</v>
          </cell>
          <cell r="E722">
            <v>6.8577000000000004</v>
          </cell>
          <cell r="F722">
            <v>9.6</v>
          </cell>
          <cell r="G722">
            <v>101.28339999999997</v>
          </cell>
          <cell r="H722">
            <v>23.497748799999993</v>
          </cell>
          <cell r="I722">
            <v>124.78114879999997</v>
          </cell>
        </row>
        <row r="723">
          <cell r="B723" t="str">
            <v>*093454</v>
          </cell>
          <cell r="C723" t="str">
            <v>CONEXION AEREA TRIFASICA MAYOR A 35KW (F1+LTM) HASTA 50KW</v>
          </cell>
          <cell r="D723" t="str">
            <v>UN</v>
          </cell>
          <cell r="E723">
            <v>4.0235000000000003</v>
          </cell>
          <cell r="F723">
            <v>9.6</v>
          </cell>
          <cell r="G723">
            <v>169.23649999999998</v>
          </cell>
          <cell r="H723">
            <v>39.26286799999999</v>
          </cell>
          <cell r="I723">
            <v>208.49936799999998</v>
          </cell>
        </row>
        <row r="724">
          <cell r="B724" t="str">
            <v>*093456</v>
          </cell>
          <cell r="C724" t="str">
            <v>CONEXION AEREA TRIFASICA MAYOR A 50KW (F1+LTM)  HASTA 75KW</v>
          </cell>
          <cell r="D724" t="str">
            <v>UN</v>
          </cell>
          <cell r="E724">
            <v>4.2266000000000004</v>
          </cell>
          <cell r="F724">
            <v>9.6</v>
          </cell>
          <cell r="G724">
            <v>205.20580000000001</v>
          </cell>
          <cell r="H724">
            <v>47.607745600000001</v>
          </cell>
          <cell r="I724">
            <v>252.8135456</v>
          </cell>
        </row>
        <row r="725">
          <cell r="B725" t="str">
            <v>*093457</v>
          </cell>
          <cell r="C725" t="str">
            <v>DIGITACIÓN Y CONTROL DE ACTAS DE REEMPLAZO DE MEDIDORES</v>
          </cell>
          <cell r="D725" t="str">
            <v>UN</v>
          </cell>
          <cell r="E725">
            <v>171.22</v>
          </cell>
          <cell r="F725">
            <v>9.6</v>
          </cell>
          <cell r="G725">
            <v>0.86990000000000001</v>
          </cell>
          <cell r="H725">
            <v>0.20181679999999999</v>
          </cell>
          <cell r="I725">
            <v>1.0717167999999999</v>
          </cell>
        </row>
        <row r="726">
          <cell r="B726" t="str">
            <v>*093460</v>
          </cell>
          <cell r="C726" t="str">
            <v>CONEX.MONOF.O TRIF. AEREO SUBT. (TIPO V) CAJA L, LT S/SEGURO</v>
          </cell>
          <cell r="D726" t="str">
            <v>UN</v>
          </cell>
          <cell r="E726">
            <v>1.9935</v>
          </cell>
          <cell r="F726">
            <v>9.6</v>
          </cell>
          <cell r="G726">
            <v>338.62540000000007</v>
          </cell>
          <cell r="H726">
            <v>78.561092800000011</v>
          </cell>
          <cell r="I726">
            <v>417.18649280000011</v>
          </cell>
        </row>
        <row r="727">
          <cell r="B727" t="str">
            <v>*093461</v>
          </cell>
          <cell r="C727" t="str">
            <v>REEMPLAZO MED. MONOFASICO (DISPERSO)</v>
          </cell>
          <cell r="D727" t="str">
            <v>UN</v>
          </cell>
          <cell r="E727">
            <v>7.25</v>
          </cell>
          <cell r="F727">
            <v>9.6</v>
          </cell>
          <cell r="G727">
            <v>61.053000000000004</v>
          </cell>
          <cell r="H727">
            <v>14.164296</v>
          </cell>
          <cell r="I727">
            <v>75.217296000000005</v>
          </cell>
        </row>
        <row r="728">
          <cell r="B728" t="str">
            <v>*093462</v>
          </cell>
          <cell r="C728" t="str">
            <v>REEMPLAZO MED. TRIFASICO (DISPERSO)</v>
          </cell>
          <cell r="D728" t="str">
            <v>UN</v>
          </cell>
          <cell r="E728">
            <v>6</v>
          </cell>
          <cell r="F728">
            <v>9.6</v>
          </cell>
          <cell r="G728">
            <v>73.772400000000005</v>
          </cell>
          <cell r="H728">
            <v>17.1151968</v>
          </cell>
          <cell r="I728">
            <v>90.887596800000011</v>
          </cell>
        </row>
        <row r="729">
          <cell r="B729" t="str">
            <v>*093465</v>
          </cell>
          <cell r="C729" t="str">
            <v>VIAJE INDEBIDO EN CONEXIONES B.T.</v>
          </cell>
          <cell r="D729" t="str">
            <v>UN</v>
          </cell>
          <cell r="E729">
            <v>16.07</v>
          </cell>
          <cell r="F729">
            <v>9.6</v>
          </cell>
          <cell r="G729">
            <v>52.060099999999991</v>
          </cell>
          <cell r="H729">
            <v>12.077943199999996</v>
          </cell>
          <cell r="I729">
            <v>64.138043199999984</v>
          </cell>
        </row>
        <row r="730">
          <cell r="B730" t="str">
            <v>*093466</v>
          </cell>
          <cell r="C730" t="str">
            <v>Viaje indebido programa Mntto Preventivo Conexiones - Medición directa</v>
          </cell>
          <cell r="D730" t="str">
            <v>UN</v>
          </cell>
          <cell r="E730">
            <v>57.6</v>
          </cell>
          <cell r="F730">
            <v>9.6</v>
          </cell>
          <cell r="G730">
            <v>4.1196000000000002</v>
          </cell>
          <cell r="H730">
            <v>0.95574720000000002</v>
          </cell>
          <cell r="I730">
            <v>5.0753472000000004</v>
          </cell>
        </row>
        <row r="731">
          <cell r="B731" t="str">
            <v>*093467</v>
          </cell>
          <cell r="C731" t="str">
            <v>Viaje indebido programa Mntto Preventivo Conexiones - Medición indirecta</v>
          </cell>
          <cell r="D731" t="str">
            <v>UN</v>
          </cell>
          <cell r="E731">
            <v>31.135100000000001</v>
          </cell>
          <cell r="F731">
            <v>9.6</v>
          </cell>
          <cell r="G731">
            <v>12.5943</v>
          </cell>
          <cell r="H731">
            <v>2.9218775999999997</v>
          </cell>
          <cell r="I731">
            <v>15.516177600000001</v>
          </cell>
        </row>
        <row r="732">
          <cell r="B732" t="str">
            <v>*093471</v>
          </cell>
          <cell r="C732" t="str">
            <v>RETIRO MEDIDOR ELECTRONICO CON SEGURO</v>
          </cell>
          <cell r="D732" t="str">
            <v>UN</v>
          </cell>
          <cell r="E732">
            <v>7.7043999999999997</v>
          </cell>
          <cell r="F732">
            <v>9.6</v>
          </cell>
          <cell r="G732">
            <v>71.996600000000001</v>
          </cell>
          <cell r="H732">
            <v>16.703211199999998</v>
          </cell>
          <cell r="I732">
            <v>88.699811199999999</v>
          </cell>
        </row>
        <row r="733">
          <cell r="B733" t="str">
            <v>*093472</v>
          </cell>
          <cell r="C733" t="str">
            <v>RETIRO DE MEDIDOR ELECTRONICO SIN SEGURO</v>
          </cell>
          <cell r="D733" t="str">
            <v>UN</v>
          </cell>
          <cell r="E733">
            <v>4.4957000000000003</v>
          </cell>
          <cell r="F733">
            <v>9.6</v>
          </cell>
          <cell r="G733">
            <v>73.863</v>
          </cell>
          <cell r="H733">
            <v>17.136215999999997</v>
          </cell>
          <cell r="I733">
            <v>90.99921599999999</v>
          </cell>
        </row>
        <row r="734">
          <cell r="B734" t="str">
            <v>*093480</v>
          </cell>
          <cell r="C734" t="str">
            <v>PASE A TRIF.AERO SUBTERRANEO CAJA LT DE 3 A 20 KW  S/VEREDA</v>
          </cell>
          <cell r="D734" t="str">
            <v>UN</v>
          </cell>
          <cell r="E734">
            <v>2.1560000000000001</v>
          </cell>
          <cell r="F734">
            <v>9.6</v>
          </cell>
          <cell r="G734">
            <v>313.4658</v>
          </cell>
          <cell r="H734">
            <v>72.724065599999989</v>
          </cell>
          <cell r="I734">
            <v>386.18986559999996</v>
          </cell>
        </row>
        <row r="735">
          <cell r="B735" t="str">
            <v>*093500</v>
          </cell>
          <cell r="C735" t="str">
            <v>CONEX. TRIF.AERO SUBTERRANEA DE 20 A 35KW CAJAS F1+LTM</v>
          </cell>
          <cell r="D735" t="str">
            <v>UN</v>
          </cell>
          <cell r="E735">
            <v>1.726</v>
          </cell>
          <cell r="F735">
            <v>9.6</v>
          </cell>
          <cell r="G735">
            <v>390.36</v>
          </cell>
          <cell r="H735">
            <v>90.563519999999997</v>
          </cell>
          <cell r="I735">
            <v>480.92352</v>
          </cell>
        </row>
        <row r="736">
          <cell r="B736" t="str">
            <v>*093525</v>
          </cell>
          <cell r="C736" t="str">
            <v>CONEX.TRIF.SUBT.HASTA 35KW CJA.LTT+LTM S/VER.S/SEG</v>
          </cell>
          <cell r="D736" t="str">
            <v>UN</v>
          </cell>
          <cell r="E736">
            <v>1.6677999999999999</v>
          </cell>
          <cell r="F736">
            <v>9.6</v>
          </cell>
          <cell r="G736">
            <v>398.99880000000002</v>
          </cell>
          <cell r="H736">
            <v>92.567721599999999</v>
          </cell>
          <cell r="I736">
            <v>491.56652159999999</v>
          </cell>
        </row>
        <row r="737">
          <cell r="B737" t="str">
            <v>*093534</v>
          </cell>
          <cell r="C737" t="str">
            <v>RETIRO CONEX.TRIF.SUBT.&gt;50 HASTA 75 KW F1+LTM S/VER S/SEG</v>
          </cell>
          <cell r="D737" t="str">
            <v>UN</v>
          </cell>
          <cell r="E737">
            <v>2.5188999999999999</v>
          </cell>
          <cell r="F737">
            <v>9.6</v>
          </cell>
          <cell r="G737">
            <v>257.7321</v>
          </cell>
          <cell r="H737">
            <v>59.793847199999995</v>
          </cell>
          <cell r="I737">
            <v>317.52594720000002</v>
          </cell>
        </row>
        <row r="738">
          <cell r="B738" t="str">
            <v>*093535</v>
          </cell>
          <cell r="C738" t="str">
            <v>CONEX.TRIF.SUBT.&gt;50 HASTA 75 KW F1+LTM S/VER S/SEG</v>
          </cell>
          <cell r="D738" t="str">
            <v>UN</v>
          </cell>
          <cell r="E738">
            <v>1.7632000000000001</v>
          </cell>
          <cell r="F738">
            <v>9.6</v>
          </cell>
          <cell r="G738">
            <v>368.19510000000002</v>
          </cell>
          <cell r="H738">
            <v>85.421263199999999</v>
          </cell>
          <cell r="I738">
            <v>453.61636320000002</v>
          </cell>
        </row>
        <row r="739">
          <cell r="B739" t="str">
            <v>*093540</v>
          </cell>
          <cell r="C739" t="str">
            <v>CONEX. TRIF.SUBT. MAYOR A 75KW HASTA 150 KW CAJA</v>
          </cell>
          <cell r="D739" t="str">
            <v>UN</v>
          </cell>
          <cell r="E739">
            <v>1.4331</v>
          </cell>
          <cell r="F739">
            <v>9.6</v>
          </cell>
          <cell r="G739">
            <v>591.00559999999996</v>
          </cell>
          <cell r="H739">
            <v>137.11329919999997</v>
          </cell>
          <cell r="I739">
            <v>728.11889919999999</v>
          </cell>
        </row>
        <row r="740">
          <cell r="B740" t="str">
            <v>*093544</v>
          </cell>
          <cell r="C740" t="str">
            <v>RETIRO DE CONEX.TRIF.SUBT.&gt; A 75 - 150 KW F2+LTM S/VER.S/SEG</v>
          </cell>
          <cell r="D740" t="str">
            <v>UN</v>
          </cell>
          <cell r="E740">
            <v>2.5123000000000002</v>
          </cell>
          <cell r="F740">
            <v>9.6</v>
          </cell>
          <cell r="G740">
            <v>389.27009999999996</v>
          </cell>
          <cell r="H740">
            <v>90.310663199999979</v>
          </cell>
          <cell r="I740">
            <v>479.58076319999992</v>
          </cell>
        </row>
        <row r="741">
          <cell r="B741" t="str">
            <v>*093545</v>
          </cell>
          <cell r="C741" t="str">
            <v>CONEX.TRIF.SUBT.&gt; A 75 - 150 KW F2+LTM S/VER.S/SEG</v>
          </cell>
          <cell r="D741" t="str">
            <v>UN</v>
          </cell>
          <cell r="E741">
            <v>1.7585999999999999</v>
          </cell>
          <cell r="F741">
            <v>9.6</v>
          </cell>
          <cell r="G741">
            <v>556.10349999999994</v>
          </cell>
          <cell r="H741">
            <v>129.01601199999999</v>
          </cell>
          <cell r="I741">
            <v>685.11951199999999</v>
          </cell>
        </row>
        <row r="742">
          <cell r="B742" t="str">
            <v>*093549</v>
          </cell>
          <cell r="C742" t="str">
            <v>RETIRO DE CONEX. TRIF.SUBT. MAYOR A 150 KW CAJA F3+LTM S/VER</v>
          </cell>
          <cell r="D742" t="str">
            <v>UN</v>
          </cell>
          <cell r="E742">
            <v>1.8655999999999999</v>
          </cell>
          <cell r="F742">
            <v>9.6</v>
          </cell>
          <cell r="G742">
            <v>451.20479999999998</v>
          </cell>
          <cell r="H742">
            <v>104.67951359999999</v>
          </cell>
          <cell r="I742">
            <v>555.88431359999993</v>
          </cell>
        </row>
        <row r="743">
          <cell r="B743" t="str">
            <v>*093550</v>
          </cell>
          <cell r="C743" t="str">
            <v>CONEX. TRIF.SUBT. MAYOR A 150 KW CAJA F3+LTM S/VER</v>
          </cell>
          <cell r="D743" t="str">
            <v>UN</v>
          </cell>
          <cell r="E743">
            <v>1.3059000000000001</v>
          </cell>
          <cell r="F743">
            <v>9.6</v>
          </cell>
          <cell r="G743">
            <v>648.572</v>
          </cell>
          <cell r="H743">
            <v>150.468704</v>
          </cell>
          <cell r="I743">
            <v>799.04070400000001</v>
          </cell>
        </row>
        <row r="744">
          <cell r="B744" t="str">
            <v>*093554</v>
          </cell>
          <cell r="C744" t="str">
            <v>RETIRO DE CONEX.TRIF.SUBT.&gt; A 150-225 KW F3+LTM S/VER S/SEG</v>
          </cell>
          <cell r="D744" t="str">
            <v>UN</v>
          </cell>
          <cell r="E744">
            <v>1.8983000000000001</v>
          </cell>
          <cell r="F744">
            <v>9.6</v>
          </cell>
          <cell r="G744">
            <v>443.43249999999995</v>
          </cell>
          <cell r="H744">
            <v>102.87633999999998</v>
          </cell>
          <cell r="I744">
            <v>546.30883999999992</v>
          </cell>
        </row>
        <row r="745">
          <cell r="B745" t="str">
            <v>*093555</v>
          </cell>
          <cell r="C745" t="str">
            <v>CONEX.TRIF.SUBT.&gt; A 150-225 KW F3+LTM S/VER S/SEG</v>
          </cell>
          <cell r="D745" t="str">
            <v>UN</v>
          </cell>
          <cell r="E745">
            <v>1.3288</v>
          </cell>
          <cell r="F745">
            <v>9.6</v>
          </cell>
          <cell r="G745">
            <v>637.39469999999994</v>
          </cell>
          <cell r="H745">
            <v>147.87557039999999</v>
          </cell>
          <cell r="I745">
            <v>785.27027039999996</v>
          </cell>
        </row>
        <row r="746">
          <cell r="B746" t="str">
            <v>*093557</v>
          </cell>
          <cell r="C746" t="str">
            <v>RETIRO DE CONEXIÓN BT6 SUBTERRÁNEA</v>
          </cell>
          <cell r="D746" t="str">
            <v>UN</v>
          </cell>
          <cell r="E746">
            <v>4.6040000000000001</v>
          </cell>
          <cell r="F746">
            <v>9.6</v>
          </cell>
          <cell r="G746">
            <v>105.85420000000001</v>
          </cell>
          <cell r="H746">
            <v>24.558174399999999</v>
          </cell>
          <cell r="I746">
            <v>130.4123744</v>
          </cell>
        </row>
        <row r="747">
          <cell r="B747" t="str">
            <v>*093558</v>
          </cell>
          <cell r="C747" t="str">
            <v>RETIRO DE CAJAS DERIVADAS  MAYOR DE 20 KW LTT-LTM</v>
          </cell>
          <cell r="D747" t="str">
            <v>UN</v>
          </cell>
          <cell r="E747">
            <v>22.758600000000001</v>
          </cell>
          <cell r="F747">
            <v>9.6</v>
          </cell>
          <cell r="G747">
            <v>25.942999999999998</v>
          </cell>
          <cell r="H747">
            <v>6.018775999999999</v>
          </cell>
          <cell r="I747">
            <v>31.961775999999997</v>
          </cell>
        </row>
        <row r="748">
          <cell r="B748" t="str">
            <v>*093559</v>
          </cell>
          <cell r="C748" t="str">
            <v>RETIRO DE CONEXIÓN BT6 AÉREA</v>
          </cell>
          <cell r="D748" t="str">
            <v>UN</v>
          </cell>
          <cell r="E748">
            <v>12.558</v>
          </cell>
          <cell r="F748">
            <v>9.6</v>
          </cell>
          <cell r="G748">
            <v>38.808100000000003</v>
          </cell>
          <cell r="H748">
            <v>9.0034791999999992</v>
          </cell>
          <cell r="I748">
            <v>47.811579200000004</v>
          </cell>
        </row>
        <row r="749">
          <cell r="B749" t="str">
            <v>*093560</v>
          </cell>
          <cell r="C749" t="str">
            <v>CAJAS DERIVADAS  MAYOR DE 20 KW LTT-LTM</v>
          </cell>
          <cell r="D749" t="str">
            <v>UN</v>
          </cell>
          <cell r="E749">
            <v>15.9315</v>
          </cell>
          <cell r="F749">
            <v>9.6</v>
          </cell>
          <cell r="G749">
            <v>37.060299999999998</v>
          </cell>
          <cell r="H749">
            <v>8.5979895999999982</v>
          </cell>
          <cell r="I749">
            <v>45.658289599999996</v>
          </cell>
        </row>
        <row r="750">
          <cell r="B750" t="str">
            <v>*093561</v>
          </cell>
          <cell r="C750" t="str">
            <v>CONEXIÓN BT6 AÉREA</v>
          </cell>
          <cell r="D750" t="str">
            <v>UN</v>
          </cell>
          <cell r="E750">
            <v>8.7905999999999995</v>
          </cell>
          <cell r="F750">
            <v>9.6</v>
          </cell>
          <cell r="G750">
            <v>55.440200000000004</v>
          </cell>
          <cell r="H750">
            <v>12.862126399999999</v>
          </cell>
          <cell r="I750">
            <v>68.302326399999998</v>
          </cell>
        </row>
        <row r="751">
          <cell r="B751" t="str">
            <v>*093562</v>
          </cell>
          <cell r="C751" t="str">
            <v>CONEXIÓN BT6 SUBTERRÁNEA</v>
          </cell>
          <cell r="D751" t="str">
            <v>UN</v>
          </cell>
          <cell r="E751">
            <v>3.2227999999999999</v>
          </cell>
          <cell r="F751">
            <v>9.6</v>
          </cell>
          <cell r="G751">
            <v>151.22020000000001</v>
          </cell>
          <cell r="H751">
            <v>35.083086399999999</v>
          </cell>
          <cell r="I751">
            <v>186.30328639999999</v>
          </cell>
        </row>
        <row r="752">
          <cell r="B752" t="str">
            <v>*093571</v>
          </cell>
          <cell r="C752" t="str">
            <v>REEMPLAZO DE MEDIDOR INTELIGENTE MONOFASICO</v>
          </cell>
          <cell r="D752" t="str">
            <v>UN</v>
          </cell>
          <cell r="E752">
            <v>11.111000000000001</v>
          </cell>
          <cell r="F752">
            <v>9.6</v>
          </cell>
          <cell r="G752">
            <v>42.529800000000002</v>
          </cell>
          <cell r="H752">
            <v>9.8669136000000002</v>
          </cell>
          <cell r="I752">
            <v>52.396713599999998</v>
          </cell>
        </row>
        <row r="753">
          <cell r="B753" t="str">
            <v>*093572</v>
          </cell>
          <cell r="C753" t="str">
            <v>REEMPLAZO DE MEDIDOR INTELIGENTE TRIFASICO</v>
          </cell>
          <cell r="D753" t="str">
            <v>UN</v>
          </cell>
          <cell r="E753">
            <v>9.0442</v>
          </cell>
          <cell r="F753">
            <v>9.6</v>
          </cell>
          <cell r="G753">
            <v>52.321199999999997</v>
          </cell>
          <cell r="H753">
            <v>12.138518399999999</v>
          </cell>
          <cell r="I753">
            <v>64.4597184</v>
          </cell>
        </row>
        <row r="754">
          <cell r="B754" t="str">
            <v>*093573</v>
          </cell>
          <cell r="C754" t="str">
            <v>Instalación de Concentrador para Medidor Inteligente</v>
          </cell>
          <cell r="D754" t="str">
            <v>UN</v>
          </cell>
          <cell r="E754">
            <v>3.7208000000000001</v>
          </cell>
          <cell r="F754">
            <v>9.6</v>
          </cell>
          <cell r="G754">
            <v>281.42939999999999</v>
          </cell>
          <cell r="H754">
            <v>65.29162079999999</v>
          </cell>
          <cell r="I754">
            <v>346.72102079999996</v>
          </cell>
        </row>
        <row r="755">
          <cell r="B755" t="str">
            <v>*093574</v>
          </cell>
          <cell r="C755" t="str">
            <v>RETIRO DE SEGURO DE MEDIDOR ELECTROMECÁNICO PARA REEMPLAZO POR MEDIDOR INTELIGENTE</v>
          </cell>
          <cell r="D755" t="str">
            <v>UN</v>
          </cell>
          <cell r="E755">
            <v>288</v>
          </cell>
          <cell r="F755">
            <v>9.6</v>
          </cell>
          <cell r="G755">
            <v>1.6451</v>
          </cell>
          <cell r="H755">
            <v>0.38166319999999998</v>
          </cell>
          <cell r="I755">
            <v>2.0267632</v>
          </cell>
        </row>
        <row r="756">
          <cell r="B756" t="str">
            <v>*093575</v>
          </cell>
          <cell r="C756" t="str">
            <v>SOLDADO DE REJA DE CONEXIÓN PARA REEMPLAZO POR MEDIDOR INTELIGENTE</v>
          </cell>
          <cell r="D756" t="str">
            <v>UN</v>
          </cell>
          <cell r="E756">
            <v>28.8</v>
          </cell>
          <cell r="F756">
            <v>9.6</v>
          </cell>
          <cell r="G756">
            <v>17.476700000000001</v>
          </cell>
          <cell r="H756">
            <v>4.0545944</v>
          </cell>
          <cell r="I756">
            <v>21.5312944</v>
          </cell>
        </row>
        <row r="757">
          <cell r="B757" t="str">
            <v>*093576</v>
          </cell>
          <cell r="C757" t="str">
            <v>RETIRO DE REJA O CANDADO DE CONEXIÓN PARA REEMPLAZO POR MEDIDOR INTELIGENTE</v>
          </cell>
          <cell r="D757" t="str">
            <v>UN</v>
          </cell>
          <cell r="E757">
            <v>38.4</v>
          </cell>
          <cell r="F757">
            <v>9.6</v>
          </cell>
          <cell r="G757">
            <v>12.356999999999999</v>
          </cell>
          <cell r="H757">
            <v>2.8668239999999998</v>
          </cell>
          <cell r="I757">
            <v>15.223823999999999</v>
          </cell>
        </row>
        <row r="758">
          <cell r="B758" t="str">
            <v>*093577</v>
          </cell>
          <cell r="C758" t="str">
            <v>PEGADO DE TABLERO A CAJA PORTAMEDIDOR CON SILICONA</v>
          </cell>
          <cell r="D758" t="str">
            <v>UN</v>
          </cell>
          <cell r="E758">
            <v>115.2</v>
          </cell>
          <cell r="F758">
            <v>9.6</v>
          </cell>
          <cell r="G758">
            <v>4.6673</v>
          </cell>
          <cell r="H758">
            <v>1.0828135999999999</v>
          </cell>
          <cell r="I758">
            <v>5.7501135999999997</v>
          </cell>
        </row>
        <row r="759">
          <cell r="B759" t="str">
            <v>*093578</v>
          </cell>
          <cell r="C759" t="str">
            <v>DIGITACIÓN Y CONTROL DE ACTAS DE REEMPLAZO DE MEDIDORES INTELIGENTES (POR MEDIDOR)</v>
          </cell>
          <cell r="D759" t="str">
            <v>UN</v>
          </cell>
          <cell r="E759">
            <v>185.8065</v>
          </cell>
          <cell r="F759">
            <v>9.6</v>
          </cell>
          <cell r="G759">
            <v>1.0991</v>
          </cell>
          <cell r="H759">
            <v>0.25499119999999997</v>
          </cell>
          <cell r="I759">
            <v>1.3540912000000001</v>
          </cell>
        </row>
        <row r="760">
          <cell r="B760" t="str">
            <v>*093649</v>
          </cell>
          <cell r="C760" t="str">
            <v>RETIRO DE CAJA TOMA F1 C/ACOMET DE HASTA 75 KW. PARA USO NO INDUSTRIAL S/VEREDA</v>
          </cell>
          <cell r="D760" t="str">
            <v>UN</v>
          </cell>
          <cell r="E760">
            <v>2.7027000000000001</v>
          </cell>
          <cell r="F760">
            <v>9.6</v>
          </cell>
          <cell r="G760">
            <v>263.90819999999997</v>
          </cell>
          <cell r="H760">
            <v>61.226702399999986</v>
          </cell>
          <cell r="I760">
            <v>325.13490239999993</v>
          </cell>
        </row>
        <row r="761">
          <cell r="B761" t="str">
            <v>*093650</v>
          </cell>
          <cell r="C761" t="str">
            <v>CAJA TOMA F1 C/ACOMET DE HASTA 75 KW. PARA USO NO INDUSTRIAL S/VEREDA</v>
          </cell>
          <cell r="D761" t="str">
            <v>UN</v>
          </cell>
          <cell r="E761">
            <v>1.8918999999999999</v>
          </cell>
          <cell r="F761">
            <v>9.6</v>
          </cell>
          <cell r="G761">
            <v>377.00969999999995</v>
          </cell>
          <cell r="H761">
            <v>87.466250399999979</v>
          </cell>
          <cell r="I761">
            <v>464.47595039999993</v>
          </cell>
        </row>
        <row r="762">
          <cell r="B762" t="str">
            <v>*093655</v>
          </cell>
          <cell r="C762" t="str">
            <v>INSTALACIÓN Y EQUIPAMIENTO DE CAJA TOMA F1 C/ACOMETIDA PARA INSTALACIÓN DE BANCO DE MEDIDORES</v>
          </cell>
          <cell r="D762" t="str">
            <v>UN</v>
          </cell>
          <cell r="E762">
            <v>1.8167</v>
          </cell>
          <cell r="F762">
            <v>9.6</v>
          </cell>
          <cell r="G762">
            <v>400.66310000000004</v>
          </cell>
          <cell r="H762">
            <v>92.953839200000004</v>
          </cell>
          <cell r="I762">
            <v>493.61693920000005</v>
          </cell>
        </row>
        <row r="763">
          <cell r="B763" t="str">
            <v>*093656</v>
          </cell>
          <cell r="C763" t="str">
            <v>INSTALACIÓN Y EQUIPAMIENTO DE CAJA TOMA F2 C/ACOMETIDA PARA INSTALACIÓN DE BANCO DE MEDIDORES</v>
          </cell>
          <cell r="D763" t="str">
            <v>UN</v>
          </cell>
          <cell r="E763">
            <v>1.4282999999999999</v>
          </cell>
          <cell r="F763">
            <v>9.6</v>
          </cell>
          <cell r="G763">
            <v>598.36349999999993</v>
          </cell>
          <cell r="H763">
            <v>138.82033199999998</v>
          </cell>
          <cell r="I763">
            <v>737.18383199999994</v>
          </cell>
        </row>
        <row r="764">
          <cell r="B764" t="str">
            <v>*093657</v>
          </cell>
          <cell r="C764" t="str">
            <v>INSTALACIÓN Y EQUIPAMIENTO DE CAJA TOMA F3 C/ACOMETIDA PARA INSTALACIÓN DE BANCO DE MEDIDORES</v>
          </cell>
          <cell r="D764" t="str">
            <v>UN</v>
          </cell>
          <cell r="E764">
            <v>0.95760000000000001</v>
          </cell>
          <cell r="F764">
            <v>9.6</v>
          </cell>
          <cell r="G764">
            <v>848.34699999999998</v>
          </cell>
          <cell r="H764">
            <v>196.81650399999998</v>
          </cell>
          <cell r="I764">
            <v>1045.1635039999999</v>
          </cell>
        </row>
        <row r="765">
          <cell r="B765" t="str">
            <v>*093658</v>
          </cell>
          <cell r="C765" t="str">
            <v>INSTALACIÓN Y EQUIPAMIENTO DE CAJA TOMA F4 C/ACOMETIDA PARA INSTALACIÓN DE BANCO DE MEDIDORES</v>
          </cell>
          <cell r="D765" t="str">
            <v>UN</v>
          </cell>
          <cell r="E765">
            <v>0.8659</v>
          </cell>
          <cell r="F765">
            <v>9.6</v>
          </cell>
          <cell r="G765">
            <v>966.12440000000015</v>
          </cell>
          <cell r="H765">
            <v>224.14086080000001</v>
          </cell>
          <cell r="I765">
            <v>1190.2652608000001</v>
          </cell>
        </row>
        <row r="766">
          <cell r="B766" t="str">
            <v>*093659</v>
          </cell>
          <cell r="C766" t="str">
            <v>RETIRO DE CAJA TOMA F1 S/ACOMET HASTA 75 KW PARA USO NO INDUSTRIAL</v>
          </cell>
          <cell r="D766" t="str">
            <v>UN</v>
          </cell>
          <cell r="E766">
            <v>16.253399999999999</v>
          </cell>
          <cell r="F766">
            <v>9.6</v>
          </cell>
          <cell r="G766">
            <v>68.117599999999996</v>
          </cell>
          <cell r="H766">
            <v>15.803283199999997</v>
          </cell>
          <cell r="I766">
            <v>83.920883199999992</v>
          </cell>
        </row>
        <row r="767">
          <cell r="B767" t="str">
            <v>*093660</v>
          </cell>
          <cell r="C767" t="str">
            <v>CAJA TOMA F1 S/ACOMET HASTA 75 KW PARA USO NO INDUSTRIAL</v>
          </cell>
          <cell r="D767" t="str">
            <v>UN</v>
          </cell>
          <cell r="E767">
            <v>11.3774</v>
          </cell>
          <cell r="F767">
            <v>9.6</v>
          </cell>
          <cell r="G767">
            <v>97.310700000000011</v>
          </cell>
          <cell r="H767">
            <v>22.576082400000001</v>
          </cell>
          <cell r="I767">
            <v>119.88678240000002</v>
          </cell>
        </row>
        <row r="768">
          <cell r="B768" t="str">
            <v>*093689</v>
          </cell>
          <cell r="C768" t="str">
            <v>RETIRO DE CAJA TOMA F2 C/ACOMET MAYOR A 75KW HASTA 150KW P/USO NO INDUSTRIAL  S/VEREDA</v>
          </cell>
          <cell r="D768" t="str">
            <v>UN</v>
          </cell>
          <cell r="E768">
            <v>2.2400000000000002</v>
          </cell>
          <cell r="F768">
            <v>9.6</v>
          </cell>
          <cell r="G768">
            <v>375.62109999999996</v>
          </cell>
          <cell r="H768">
            <v>87.144095199999981</v>
          </cell>
          <cell r="I768">
            <v>462.76519519999994</v>
          </cell>
        </row>
        <row r="769">
          <cell r="B769" t="str">
            <v>*093690</v>
          </cell>
          <cell r="C769" t="str">
            <v>CAJA TOMA F2 C/ACOMET MAYOR A 75KW HASTA 150KW P/USO NO INDUSTRIAL  S/VEREDA</v>
          </cell>
          <cell r="D769" t="str">
            <v>UN</v>
          </cell>
          <cell r="E769">
            <v>1.5680000000000001</v>
          </cell>
          <cell r="F769">
            <v>9.6</v>
          </cell>
          <cell r="G769">
            <v>536.60149999999999</v>
          </cell>
          <cell r="H769">
            <v>124.49154799999999</v>
          </cell>
          <cell r="I769">
            <v>661.09304799999995</v>
          </cell>
        </row>
        <row r="770">
          <cell r="B770" t="str">
            <v>*093699</v>
          </cell>
          <cell r="C770" t="str">
            <v>RETIRO DE CAJA TOMA F2 S/ACOMET MAYOR A 75KW A HASTA 150 KW P/USO NO INDUSTRIAL</v>
          </cell>
          <cell r="D770" t="str">
            <v>UN</v>
          </cell>
          <cell r="E770">
            <v>8.8683999999999994</v>
          </cell>
          <cell r="F770">
            <v>9.6</v>
          </cell>
          <cell r="G770">
            <v>102.6468</v>
          </cell>
          <cell r="H770">
            <v>23.814057599999998</v>
          </cell>
          <cell r="I770">
            <v>126.4608576</v>
          </cell>
        </row>
        <row r="771">
          <cell r="B771" t="str">
            <v>*093700</v>
          </cell>
          <cell r="C771" t="str">
            <v>CAJA TOMA F2 S/ACOMET MAYOR A 75KW A HASTA 150 KW P/USO NO INDUSTRIAL</v>
          </cell>
          <cell r="D771" t="str">
            <v>UN</v>
          </cell>
          <cell r="E771">
            <v>6.0716000000000001</v>
          </cell>
          <cell r="F771">
            <v>9.6</v>
          </cell>
          <cell r="G771">
            <v>146.7337</v>
          </cell>
          <cell r="H771">
            <v>34.042218399999996</v>
          </cell>
          <cell r="I771">
            <v>180.77591839999999</v>
          </cell>
        </row>
        <row r="772">
          <cell r="B772" t="str">
            <v>*093709</v>
          </cell>
          <cell r="C772" t="str">
            <v>RETIRO DE CAJA TOMA F3 C/ACOMET MAYOR A 150KW HASTA 225 KW P/USO NO INDUSTRIAL</v>
          </cell>
          <cell r="D772" t="str">
            <v>UN</v>
          </cell>
          <cell r="E772">
            <v>1.857</v>
          </cell>
          <cell r="F772">
            <v>9.6</v>
          </cell>
          <cell r="G772">
            <v>435.37999999999994</v>
          </cell>
          <cell r="H772">
            <v>101.00815999999998</v>
          </cell>
          <cell r="I772">
            <v>536.38815999999997</v>
          </cell>
        </row>
        <row r="773">
          <cell r="B773" t="str">
            <v>*093710</v>
          </cell>
          <cell r="C773" t="str">
            <v>CAJA TOMA F3 C/ACOMET MAYOR A 150KW HASTA 225 KW P/USO NO INDUSTRIAL</v>
          </cell>
          <cell r="D773" t="str">
            <v>UN</v>
          </cell>
          <cell r="E773">
            <v>1.2928999999999999</v>
          </cell>
          <cell r="F773">
            <v>9.6</v>
          </cell>
          <cell r="G773">
            <v>622.06920000000002</v>
          </cell>
          <cell r="H773">
            <v>144.3200544</v>
          </cell>
          <cell r="I773">
            <v>766.38925440000003</v>
          </cell>
        </row>
        <row r="774">
          <cell r="B774" t="str">
            <v>*093719</v>
          </cell>
          <cell r="C774" t="str">
            <v>RETIRO DE CAJA TOMA F3 S/ACOMET MAYOR A 150KW HASTA 225 KW PARA USO NO INDUSTRIAL</v>
          </cell>
          <cell r="D774" t="str">
            <v>UN</v>
          </cell>
          <cell r="E774">
            <v>4.4714</v>
          </cell>
          <cell r="F774">
            <v>9.6</v>
          </cell>
          <cell r="G774">
            <v>147.95110000000003</v>
          </cell>
          <cell r="H774">
            <v>34.324655200000002</v>
          </cell>
          <cell r="I774">
            <v>182.27575520000002</v>
          </cell>
        </row>
        <row r="775">
          <cell r="B775" t="str">
            <v>*093720</v>
          </cell>
          <cell r="C775" t="str">
            <v>CAJA TOMA F3 S/ACOMET MAYOR A 150KW HASTA 225 KW PARA USO NO INDUSTRIAL</v>
          </cell>
          <cell r="D775" t="str">
            <v>UN</v>
          </cell>
          <cell r="E775">
            <v>3.13</v>
          </cell>
          <cell r="F775">
            <v>9.6</v>
          </cell>
          <cell r="G775">
            <v>211.35729999999998</v>
          </cell>
          <cell r="H775">
            <v>49.03489359999999</v>
          </cell>
          <cell r="I775">
            <v>260.39219359999998</v>
          </cell>
        </row>
        <row r="776">
          <cell r="B776" t="str">
            <v>*093729</v>
          </cell>
          <cell r="C776" t="str">
            <v>RETIRO DE CAJA TOMA F4 C/ACOMET DE MAYOR A 225KW HASTA 300 KW PARA USO NO INDUSTRIAL</v>
          </cell>
          <cell r="D776" t="str">
            <v>UN</v>
          </cell>
          <cell r="E776">
            <v>1.5296000000000001</v>
          </cell>
          <cell r="F776">
            <v>9.6</v>
          </cell>
          <cell r="G776">
            <v>539.61890000000005</v>
          </cell>
          <cell r="H776">
            <v>125.1915848</v>
          </cell>
          <cell r="I776">
            <v>664.81048480000004</v>
          </cell>
        </row>
        <row r="777">
          <cell r="B777" t="str">
            <v>*093730</v>
          </cell>
          <cell r="C777" t="str">
            <v>CAJA TOMA F4 C/ACOMET DE MAYOR A 225KW HASTA 300 KW PARA USO NO INDUSTRIAL.</v>
          </cell>
          <cell r="D777" t="str">
            <v>UN</v>
          </cell>
          <cell r="E777">
            <v>1.0707</v>
          </cell>
          <cell r="F777">
            <v>9.6</v>
          </cell>
          <cell r="G777">
            <v>770.89859999999999</v>
          </cell>
          <cell r="H777">
            <v>178.8484752</v>
          </cell>
          <cell r="I777">
            <v>949.74707519999993</v>
          </cell>
        </row>
        <row r="778">
          <cell r="B778" t="str">
            <v>*093763</v>
          </cell>
          <cell r="C778" t="str">
            <v>CAJA PORTAEQUIPO DE CONTROL TÉCNICO ADOSADA EN PARED DE SEE CONVENCIONAL</v>
          </cell>
          <cell r="D778" t="str">
            <v>UN</v>
          </cell>
          <cell r="E778">
            <v>3.2778</v>
          </cell>
          <cell r="F778">
            <v>9.6</v>
          </cell>
          <cell r="G778">
            <v>258.19749999999999</v>
          </cell>
          <cell r="H778">
            <v>59.901819999999994</v>
          </cell>
          <cell r="I778">
            <v>318.09931999999998</v>
          </cell>
        </row>
        <row r="779">
          <cell r="B779" t="str">
            <v>*093767</v>
          </cell>
          <cell r="C779" t="str">
            <v>CAJA PORTAEQUIPO DE CONTROL TÉCNICO EMPOTRADA EN PARED DE SEE CONVENCIONAL</v>
          </cell>
          <cell r="D779" t="str">
            <v>UN</v>
          </cell>
          <cell r="E779">
            <v>1.5563</v>
          </cell>
          <cell r="F779">
            <v>9.6</v>
          </cell>
          <cell r="G779">
            <v>543.80240000000003</v>
          </cell>
          <cell r="H779">
            <v>126.16215680000001</v>
          </cell>
          <cell r="I779">
            <v>669.96455680000008</v>
          </cell>
        </row>
        <row r="780">
          <cell r="B780" t="str">
            <v>*093870</v>
          </cell>
          <cell r="C780" t="str">
            <v>CONEX.AEREA MT PMI CAJA LTM HASTA 1000 KW.</v>
          </cell>
          <cell r="D780" t="str">
            <v>UN</v>
          </cell>
          <cell r="E780">
            <v>1.3399000000000001</v>
          </cell>
          <cell r="F780">
            <v>9.6</v>
          </cell>
          <cell r="G780">
            <v>1894.546</v>
          </cell>
          <cell r="H780">
            <v>439.534672</v>
          </cell>
          <cell r="I780">
            <v>2334.080672</v>
          </cell>
        </row>
        <row r="781">
          <cell r="B781" t="str">
            <v>*094190</v>
          </cell>
          <cell r="C781" t="str">
            <v>ADECUACION CONEX.AEREA MONOF. O TRIF.</v>
          </cell>
          <cell r="D781" t="str">
            <v>UN</v>
          </cell>
          <cell r="E781">
            <v>21.363499999999998</v>
          </cell>
          <cell r="F781">
            <v>9.6</v>
          </cell>
          <cell r="G781">
            <v>20.352599999999999</v>
          </cell>
          <cell r="H781">
            <v>4.7218031999999992</v>
          </cell>
          <cell r="I781">
            <v>25.074403199999999</v>
          </cell>
        </row>
        <row r="782">
          <cell r="B782" t="str">
            <v>*094210</v>
          </cell>
          <cell r="C782" t="str">
            <v>ADECUACION CONEX.SUBT.MONOF. O TRIF.</v>
          </cell>
          <cell r="D782" t="str">
            <v>UN</v>
          </cell>
          <cell r="E782">
            <v>12.433199999999999</v>
          </cell>
          <cell r="F782">
            <v>9.6</v>
          </cell>
          <cell r="G782">
            <v>34.971000000000004</v>
          </cell>
          <cell r="H782">
            <v>8.1132720000000003</v>
          </cell>
          <cell r="I782">
            <v>43.084272000000006</v>
          </cell>
        </row>
        <row r="783">
          <cell r="B783" t="str">
            <v>*094230</v>
          </cell>
          <cell r="C783" t="str">
            <v>Adecuaciones en conexiones para Control Técnico</v>
          </cell>
          <cell r="D783" t="str">
            <v>UN</v>
          </cell>
          <cell r="E783">
            <v>2.1212</v>
          </cell>
          <cell r="F783">
            <v>9.6</v>
          </cell>
          <cell r="G783">
            <v>535.70519999999999</v>
          </cell>
          <cell r="H783">
            <v>124.28360639999998</v>
          </cell>
          <cell r="I783">
            <v>659.98880639999993</v>
          </cell>
        </row>
        <row r="784">
          <cell r="B784" t="str">
            <v>*094335</v>
          </cell>
          <cell r="C784" t="str">
            <v>Traslado de maxímetro a Dpto. Mantenimiento BT concexiones</v>
          </cell>
          <cell r="D784" t="str">
            <v>UN</v>
          </cell>
          <cell r="E784">
            <v>6.2977999999999996</v>
          </cell>
          <cell r="F784">
            <v>9.6</v>
          </cell>
          <cell r="G784">
            <v>82.716200000000001</v>
          </cell>
          <cell r="H784">
            <v>19.190158399999998</v>
          </cell>
          <cell r="I784">
            <v>101.9063584</v>
          </cell>
        </row>
        <row r="785">
          <cell r="B785" t="str">
            <v>*094360</v>
          </cell>
          <cell r="C785" t="str">
            <v>APOYO TECNICO EN LA INSTALACION DE REDUCTORES FIJOS EN SS.EE. (CHACARILLA)</v>
          </cell>
          <cell r="D785" t="str">
            <v>UN</v>
          </cell>
          <cell r="E785">
            <v>25.68</v>
          </cell>
          <cell r="F785">
            <v>9.6</v>
          </cell>
          <cell r="G785">
            <v>23.745800000000003</v>
          </cell>
          <cell r="H785">
            <v>5.5090256000000002</v>
          </cell>
          <cell r="I785">
            <v>29.254825600000004</v>
          </cell>
        </row>
        <row r="786">
          <cell r="B786" t="str">
            <v>*094390</v>
          </cell>
          <cell r="C786" t="str">
            <v>INSPECCION POR VERIFICACION TECNICA DE MEDIDOR (CHACARILLA)</v>
          </cell>
          <cell r="D786" t="str">
            <v>UN</v>
          </cell>
          <cell r="E786">
            <v>35.222200000000001</v>
          </cell>
          <cell r="F786">
            <v>9.6</v>
          </cell>
          <cell r="G786">
            <v>14.491400000000001</v>
          </cell>
          <cell r="H786">
            <v>3.3620047999999998</v>
          </cell>
          <cell r="I786">
            <v>17.8534048</v>
          </cell>
        </row>
        <row r="787">
          <cell r="B787" t="str">
            <v>*094392</v>
          </cell>
          <cell r="C787" t="str">
            <v>INSPECCION PREVIA PARA CALIDAD DE PRODUCTO</v>
          </cell>
          <cell r="D787" t="str">
            <v>UN</v>
          </cell>
          <cell r="E787">
            <v>9.6</v>
          </cell>
          <cell r="F787">
            <v>9.6</v>
          </cell>
          <cell r="G787">
            <v>71.414999999999992</v>
          </cell>
          <cell r="H787">
            <v>16.568279999999998</v>
          </cell>
          <cell r="I787">
            <v>87.983279999999993</v>
          </cell>
        </row>
        <row r="788">
          <cell r="B788" t="str">
            <v>*094393</v>
          </cell>
          <cell r="C788" t="str">
            <v>INSPECCION PREVIA A MANIOBRA DE REDES</v>
          </cell>
          <cell r="D788" t="str">
            <v>UN</v>
          </cell>
          <cell r="E788">
            <v>2</v>
          </cell>
          <cell r="F788">
            <v>9.6</v>
          </cell>
          <cell r="G788">
            <v>215.9693</v>
          </cell>
          <cell r="H788">
            <v>50.104877599999995</v>
          </cell>
          <cell r="I788">
            <v>266.07417759999998</v>
          </cell>
        </row>
        <row r="789">
          <cell r="B789" t="str">
            <v>*094394</v>
          </cell>
          <cell r="C789" t="str">
            <v>INSPECCION PREVIA A REFORZAMIENTO DE POSTES MT</v>
          </cell>
          <cell r="D789" t="str">
            <v>UN</v>
          </cell>
          <cell r="E789">
            <v>15</v>
          </cell>
          <cell r="F789">
            <v>9.6</v>
          </cell>
          <cell r="G789">
            <v>28.7959</v>
          </cell>
          <cell r="H789">
            <v>6.6806487999999993</v>
          </cell>
          <cell r="I789">
            <v>35.476548799999996</v>
          </cell>
        </row>
        <row r="790">
          <cell r="B790" t="str">
            <v>*094395</v>
          </cell>
          <cell r="C790" t="str">
            <v>Inspección previa por reforma de redes por refuerzo o cambio de poste</v>
          </cell>
          <cell r="D790" t="str">
            <v>UN</v>
          </cell>
          <cell r="E790">
            <v>9.1</v>
          </cell>
          <cell r="F790">
            <v>9.6</v>
          </cell>
          <cell r="G790">
            <v>43.2652</v>
          </cell>
          <cell r="H790">
            <v>10.037526399999999</v>
          </cell>
          <cell r="I790">
            <v>53.302726399999997</v>
          </cell>
        </row>
        <row r="791">
          <cell r="B791" t="str">
            <v>*094911</v>
          </cell>
          <cell r="C791" t="str">
            <v>SOLERA DE CONCRETO PARA CUALQUIER TIPO DE POSTE</v>
          </cell>
          <cell r="D791" t="str">
            <v>M3</v>
          </cell>
          <cell r="E791">
            <v>28.7</v>
          </cell>
          <cell r="F791">
            <v>9.6</v>
          </cell>
          <cell r="G791">
            <v>17.598500000000001</v>
          </cell>
          <cell r="H791">
            <v>4.0828519999999999</v>
          </cell>
          <cell r="I791">
            <v>21.681352</v>
          </cell>
        </row>
        <row r="792">
          <cell r="B792" t="str">
            <v>*094912</v>
          </cell>
          <cell r="C792" t="str">
            <v>RETIRO DE CIMENTACIÓN PARA POSTE HASTA 9m  POSTE NUEVO (SIN SOLERA)</v>
          </cell>
          <cell r="D792" t="str">
            <v>UN</v>
          </cell>
          <cell r="E792">
            <v>52.661999999999999</v>
          </cell>
          <cell r="F792">
            <v>9.6</v>
          </cell>
          <cell r="G792">
            <v>106.07529999999998</v>
          </cell>
          <cell r="H792">
            <v>24.609469599999994</v>
          </cell>
          <cell r="I792">
            <v>130.68476959999998</v>
          </cell>
        </row>
        <row r="793">
          <cell r="B793" t="str">
            <v>*094913</v>
          </cell>
          <cell r="C793" t="str">
            <v>Punta de diamante para cimentacion de postes BT</v>
          </cell>
          <cell r="D793" t="str">
            <v>UN</v>
          </cell>
          <cell r="E793">
            <v>40.186</v>
          </cell>
          <cell r="F793">
            <v>9.6</v>
          </cell>
          <cell r="G793">
            <v>22.356900000000003</v>
          </cell>
          <cell r="H793">
            <v>5.1868008000000003</v>
          </cell>
          <cell r="I793">
            <v>27.543700800000003</v>
          </cell>
        </row>
        <row r="794">
          <cell r="B794" t="str">
            <v>*094914</v>
          </cell>
          <cell r="C794" t="str">
            <v>Punta de diamante para cimentacion de postes MT</v>
          </cell>
          <cell r="D794" t="str">
            <v>UN</v>
          </cell>
          <cell r="E794">
            <v>29.793099999999999</v>
          </cell>
          <cell r="F794">
            <v>9.6</v>
          </cell>
          <cell r="G794">
            <v>59.200800000000001</v>
          </cell>
          <cell r="H794">
            <v>13.734585599999999</v>
          </cell>
          <cell r="I794">
            <v>72.935385600000004</v>
          </cell>
        </row>
        <row r="795">
          <cell r="B795" t="str">
            <v>*094917</v>
          </cell>
          <cell r="C795" t="str">
            <v>CIMENTACION PARA POSTE 8,7 m (POSTE EXISTENTE)</v>
          </cell>
          <cell r="D795" t="str">
            <v>UN</v>
          </cell>
          <cell r="E795">
            <v>5.2337999999999996</v>
          </cell>
          <cell r="F795">
            <v>9.6</v>
          </cell>
          <cell r="G795">
            <v>332.67439999999999</v>
          </cell>
          <cell r="H795">
            <v>77.180460799999992</v>
          </cell>
          <cell r="I795">
            <v>409.85486079999998</v>
          </cell>
        </row>
        <row r="796">
          <cell r="B796" t="str">
            <v>*094918</v>
          </cell>
          <cell r="C796" t="str">
            <v>CIMENTACIÓN PARA POSTE HASTA 9m  POSTE NUEVO (SIN SOLERA)</v>
          </cell>
          <cell r="D796" t="str">
            <v>UN</v>
          </cell>
          <cell r="E796">
            <v>23.757200000000001</v>
          </cell>
          <cell r="F796">
            <v>9.6</v>
          </cell>
          <cell r="G796">
            <v>151.99359999999999</v>
          </cell>
          <cell r="H796">
            <v>35.262515199999996</v>
          </cell>
          <cell r="I796">
            <v>187.25611519999998</v>
          </cell>
        </row>
        <row r="797">
          <cell r="B797" t="str">
            <v>*094919</v>
          </cell>
          <cell r="C797" t="str">
            <v>Cimentación complementaria para trabajos en postes existentes de BT</v>
          </cell>
          <cell r="D797" t="str">
            <v>UN</v>
          </cell>
          <cell r="E797">
            <v>36</v>
          </cell>
          <cell r="F797">
            <v>9.6</v>
          </cell>
          <cell r="G797">
            <v>42.805199999999999</v>
          </cell>
          <cell r="H797">
            <v>9.9308063999999998</v>
          </cell>
          <cell r="I797">
            <v>52.736006400000001</v>
          </cell>
        </row>
        <row r="798">
          <cell r="B798" t="str">
            <v>*094920</v>
          </cell>
          <cell r="C798" t="str">
            <v>CIMENTACION POSTE 11 m TERRENO NORMAL (Incl. solera)</v>
          </cell>
          <cell r="D798" t="str">
            <v>UN</v>
          </cell>
          <cell r="E798">
            <v>17.600999999999999</v>
          </cell>
          <cell r="F798">
            <v>9.6</v>
          </cell>
          <cell r="G798">
            <v>182.09840000000003</v>
          </cell>
          <cell r="H798">
            <v>42.246828800000003</v>
          </cell>
          <cell r="I798">
            <v>224.34522880000003</v>
          </cell>
        </row>
        <row r="799">
          <cell r="B799" t="str">
            <v>*094921</v>
          </cell>
          <cell r="C799" t="str">
            <v>CIMENTACION POSTE 11 m TERRENO ROCOSO</v>
          </cell>
          <cell r="D799" t="str">
            <v>UN</v>
          </cell>
          <cell r="E799">
            <v>18.75</v>
          </cell>
          <cell r="F799">
            <v>9.6</v>
          </cell>
          <cell r="G799">
            <v>165.11339999999998</v>
          </cell>
          <cell r="H799">
            <v>38.306308799999996</v>
          </cell>
          <cell r="I799">
            <v>203.41970879999997</v>
          </cell>
        </row>
        <row r="800">
          <cell r="B800" t="str">
            <v>*094927</v>
          </cell>
          <cell r="C800" t="str">
            <v>CIMENTACIÓN PARA POSTE 13m POSTE NUEVO (SIN SOLERA)</v>
          </cell>
          <cell r="D800" t="str">
            <v>UN</v>
          </cell>
          <cell r="E800">
            <v>17.239999999999998</v>
          </cell>
          <cell r="F800">
            <v>9.6</v>
          </cell>
          <cell r="G800">
            <v>245.1609</v>
          </cell>
          <cell r="H800">
            <v>56.877328799999994</v>
          </cell>
          <cell r="I800">
            <v>302.03822880000001</v>
          </cell>
        </row>
        <row r="801">
          <cell r="B801" t="str">
            <v>*094930</v>
          </cell>
          <cell r="C801" t="str">
            <v>CIMENTACION POSTE 15 m TERRENO PANTANOSO (Incl. solera)</v>
          </cell>
          <cell r="D801" t="str">
            <v>UN</v>
          </cell>
          <cell r="E801">
            <v>14.997999999999999</v>
          </cell>
          <cell r="F801">
            <v>9.6</v>
          </cell>
          <cell r="G801">
            <v>355.09649999999999</v>
          </cell>
          <cell r="H801">
            <v>82.382387999999992</v>
          </cell>
          <cell r="I801">
            <v>437.47888799999998</v>
          </cell>
        </row>
        <row r="802">
          <cell r="B802" t="str">
            <v>*094931</v>
          </cell>
          <cell r="C802" t="str">
            <v>CIMENTACION POSTE 15 m TERRENO NORMAL (Incl. Solera)</v>
          </cell>
          <cell r="D802" t="str">
            <v>UN</v>
          </cell>
          <cell r="E802">
            <v>16.11</v>
          </cell>
          <cell r="F802">
            <v>9.6</v>
          </cell>
          <cell r="G802">
            <v>281.39319999999998</v>
          </cell>
          <cell r="H802">
            <v>65.283222399999985</v>
          </cell>
          <cell r="I802">
            <v>346.67642239999998</v>
          </cell>
        </row>
        <row r="803">
          <cell r="B803" t="str">
            <v>*094933</v>
          </cell>
          <cell r="C803" t="str">
            <v>CIMENTACION POSTE 10 m TERRENO PANTANOSO (Incl. solera)</v>
          </cell>
          <cell r="D803" t="str">
            <v>UN</v>
          </cell>
          <cell r="E803">
            <v>19.36</v>
          </cell>
          <cell r="F803">
            <v>9.6</v>
          </cell>
          <cell r="G803">
            <v>165.6661</v>
          </cell>
          <cell r="H803">
            <v>38.434535199999999</v>
          </cell>
          <cell r="I803">
            <v>204.1006352</v>
          </cell>
        </row>
        <row r="804">
          <cell r="B804" t="str">
            <v>*094934</v>
          </cell>
          <cell r="C804" t="str">
            <v>CIMENTACION POSTE 10 m TERRENO NORMAL (Incl. solera)</v>
          </cell>
          <cell r="D804" t="str">
            <v>UN</v>
          </cell>
          <cell r="E804">
            <v>20.625</v>
          </cell>
          <cell r="F804">
            <v>9.6</v>
          </cell>
          <cell r="G804">
            <v>150.41729999999998</v>
          </cell>
          <cell r="H804">
            <v>34.896813599999994</v>
          </cell>
          <cell r="I804">
            <v>185.31411359999998</v>
          </cell>
        </row>
        <row r="805">
          <cell r="B805" t="str">
            <v>*095001</v>
          </cell>
          <cell r="C805" t="str">
            <v>Apoyo en seguridad por hora. Considera un efectivo policial</v>
          </cell>
          <cell r="D805" t="str">
            <v>HH</v>
          </cell>
          <cell r="E805">
            <v>9.6</v>
          </cell>
          <cell r="F805">
            <v>9.6</v>
          </cell>
          <cell r="G805">
            <v>15.702500000000001</v>
          </cell>
          <cell r="H805">
            <v>3.6429799999999997</v>
          </cell>
          <cell r="I805">
            <v>19.345480000000002</v>
          </cell>
        </row>
        <row r="806">
          <cell r="B806" t="str">
            <v>*095002</v>
          </cell>
          <cell r="C806" t="str">
            <v>Apoyo en dirección de tránsito por hora. Considera un efectivo policial</v>
          </cell>
          <cell r="D806" t="str">
            <v>HH</v>
          </cell>
          <cell r="E806">
            <v>9.6</v>
          </cell>
          <cell r="F806">
            <v>9.6</v>
          </cell>
          <cell r="G806">
            <v>15.702500000000001</v>
          </cell>
          <cell r="H806">
            <v>3.6429799999999997</v>
          </cell>
          <cell r="I806">
            <v>19.345480000000002</v>
          </cell>
        </row>
        <row r="807">
          <cell r="B807" t="str">
            <v>*095210</v>
          </cell>
          <cell r="C807" t="str">
            <v>SONDEOS VARIOS (RECONOCIMIENTO)</v>
          </cell>
          <cell r="D807" t="str">
            <v>M3</v>
          </cell>
          <cell r="E807">
            <v>5.2759999999999998</v>
          </cell>
          <cell r="F807">
            <v>9.6</v>
          </cell>
          <cell r="G807">
            <v>123.71310000000001</v>
          </cell>
          <cell r="H807">
            <v>28.701439199999999</v>
          </cell>
          <cell r="I807">
            <v>152.41453920000001</v>
          </cell>
        </row>
        <row r="808">
          <cell r="B808" t="str">
            <v>*095220</v>
          </cell>
          <cell r="C808" t="str">
            <v>Relleno varios - 095200</v>
          </cell>
          <cell r="D808" t="str">
            <v>m3</v>
          </cell>
          <cell r="E808">
            <v>4.6079999999999997</v>
          </cell>
          <cell r="F808">
            <v>9.6</v>
          </cell>
          <cell r="G808">
            <v>54.113700000000001</v>
          </cell>
          <cell r="H808">
            <v>12.554378399999999</v>
          </cell>
          <cell r="I808">
            <v>66.668078399999999</v>
          </cell>
        </row>
        <row r="809">
          <cell r="B809" t="str">
            <v>*095221</v>
          </cell>
          <cell r="C809" t="str">
            <v>AFIRMADO &gt;6M EN PISTA (20CM AFIRMADO) INC. COMPACTADO</v>
          </cell>
          <cell r="D809" t="str">
            <v>M</v>
          </cell>
          <cell r="E809">
            <v>50.118499999999997</v>
          </cell>
          <cell r="F809">
            <v>9.6</v>
          </cell>
          <cell r="G809">
            <v>25.9162</v>
          </cell>
          <cell r="H809">
            <v>6.0125583999999996</v>
          </cell>
          <cell r="I809">
            <v>31.9287584</v>
          </cell>
        </row>
        <row r="810">
          <cell r="B810" t="str">
            <v>*095222</v>
          </cell>
          <cell r="C810" t="str">
            <v>AFIRMADO &lt;6M ENPISTA(20CM AFIRMADO) INC. COMPACTADO</v>
          </cell>
          <cell r="D810" t="str">
            <v>M</v>
          </cell>
          <cell r="E810">
            <v>26.8</v>
          </cell>
          <cell r="F810">
            <v>9.6</v>
          </cell>
          <cell r="G810">
            <v>35.352600000000002</v>
          </cell>
          <cell r="H810">
            <v>8.2018032000000005</v>
          </cell>
          <cell r="I810">
            <v>43.554403200000003</v>
          </cell>
        </row>
        <row r="811">
          <cell r="B811" t="str">
            <v>*095225</v>
          </cell>
          <cell r="C811" t="str">
            <v>RELLENO CON DESMONTE</v>
          </cell>
          <cell r="D811" t="str">
            <v>M3</v>
          </cell>
          <cell r="E811">
            <v>8.1523000000000003</v>
          </cell>
          <cell r="F811">
            <v>9.6</v>
          </cell>
          <cell r="G811">
            <v>30.746699999999997</v>
          </cell>
          <cell r="H811">
            <v>7.1332343999999992</v>
          </cell>
          <cell r="I811">
            <v>37.879934399999996</v>
          </cell>
        </row>
        <row r="812">
          <cell r="B812" t="str">
            <v>*095227</v>
          </cell>
          <cell r="C812" t="str">
            <v>AFIRMADO &gt;6M EN VEREDA (10CM AFIRMADO+10CM TIERRA DEL LUGAR) INC. COMPACTADO</v>
          </cell>
          <cell r="D812" t="str">
            <v>M</v>
          </cell>
          <cell r="E812">
            <v>50.118499999999997</v>
          </cell>
          <cell r="F812">
            <v>9.6</v>
          </cell>
          <cell r="G812">
            <v>21.621799999999997</v>
          </cell>
          <cell r="H812">
            <v>5.0162575999999985</v>
          </cell>
          <cell r="I812">
            <v>26.638057599999996</v>
          </cell>
        </row>
        <row r="813">
          <cell r="B813" t="str">
            <v>*095229</v>
          </cell>
          <cell r="C813" t="str">
            <v>AFIRMADO &lt;6M EN VEREDA (10CM AFIRMADO+10CM TIERRA DEL LUGAR) INC. COMPACTADO</v>
          </cell>
          <cell r="D813" t="str">
            <v>M</v>
          </cell>
          <cell r="E813">
            <v>26.8</v>
          </cell>
          <cell r="F813">
            <v>9.6</v>
          </cell>
          <cell r="G813">
            <v>31.058199999999999</v>
          </cell>
          <cell r="H813">
            <v>7.2055023999999994</v>
          </cell>
          <cell r="I813">
            <v>38.2637024</v>
          </cell>
        </row>
        <row r="814">
          <cell r="B814" t="str">
            <v>*095230</v>
          </cell>
          <cell r="C814" t="str">
            <v>REPARACION DE ASFALTO (5 CM. DE ESPESOR X 60CM DE ANCHO)</v>
          </cell>
          <cell r="D814" t="str">
            <v>M</v>
          </cell>
          <cell r="E814">
            <v>10.470800000000001</v>
          </cell>
          <cell r="F814">
            <v>9.6</v>
          </cell>
          <cell r="G814">
            <v>99.368900000000011</v>
          </cell>
          <cell r="H814">
            <v>23.053584799999999</v>
          </cell>
          <cell r="I814">
            <v>122.42248480000001</v>
          </cell>
        </row>
        <row r="815">
          <cell r="B815" t="str">
            <v>*095231</v>
          </cell>
          <cell r="C815" t="str">
            <v>Rotura y reparación de vereda 175 kg/cm2 en conexiones, postes - sin corte</v>
          </cell>
          <cell r="D815" t="str">
            <v>M2</v>
          </cell>
          <cell r="E815">
            <v>6.2782999999999998</v>
          </cell>
          <cell r="F815">
            <v>9.6</v>
          </cell>
          <cell r="G815">
            <v>112.74229999999999</v>
          </cell>
          <cell r="H815">
            <v>26.156213599999994</v>
          </cell>
          <cell r="I815">
            <v>138.89851359999997</v>
          </cell>
        </row>
        <row r="816">
          <cell r="B816" t="str">
            <v>*095232</v>
          </cell>
          <cell r="C816" t="str">
            <v>Rotura y reparación de vereda 175 kg/cm2 en conexiones, postes - con corte</v>
          </cell>
          <cell r="D816" t="str">
            <v>M2</v>
          </cell>
          <cell r="E816">
            <v>13.6751</v>
          </cell>
          <cell r="F816">
            <v>9.6</v>
          </cell>
          <cell r="G816">
            <v>169.2516</v>
          </cell>
          <cell r="H816">
            <v>39.266371199999995</v>
          </cell>
          <cell r="I816">
            <v>208.51797119999998</v>
          </cell>
        </row>
        <row r="817">
          <cell r="B817" t="str">
            <v>*095233</v>
          </cell>
          <cell r="C817" t="str">
            <v>Rotura y reparación de vereda 175 Kg/cm2 en conexiones - con y sin máquina cortadora</v>
          </cell>
          <cell r="D817" t="str">
            <v>M2</v>
          </cell>
          <cell r="E817">
            <v>8.4566999999999997</v>
          </cell>
          <cell r="F817">
            <v>9.6</v>
          </cell>
          <cell r="G817">
            <v>119.20359999999999</v>
          </cell>
          <cell r="H817">
            <v>27.655235199999996</v>
          </cell>
          <cell r="I817">
            <v>146.85883519999999</v>
          </cell>
        </row>
        <row r="818">
          <cell r="B818" t="str">
            <v>*095234</v>
          </cell>
          <cell r="C818" t="str">
            <v>Rotura, corte, preparación y vaciado de concreto de 5 cm adicional, 175 Kg/cm2 en conexiones.</v>
          </cell>
          <cell r="D818" t="str">
            <v>M2</v>
          </cell>
          <cell r="E818">
            <v>34.822000000000003</v>
          </cell>
          <cell r="F818">
            <v>9.6</v>
          </cell>
          <cell r="G818">
            <v>37.594700000000003</v>
          </cell>
          <cell r="H818">
            <v>8.7219704</v>
          </cell>
          <cell r="I818">
            <v>46.316670400000007</v>
          </cell>
        </row>
        <row r="819">
          <cell r="B819" t="str">
            <v>*095240</v>
          </cell>
          <cell r="C819" t="str">
            <v>REPARACION DE HORMIGON 5 CM ESPESOR 140KG/CM2</v>
          </cell>
          <cell r="D819" t="str">
            <v>M2</v>
          </cell>
          <cell r="E819">
            <v>41.328200000000002</v>
          </cell>
          <cell r="F819">
            <v>9.6</v>
          </cell>
          <cell r="G819">
            <v>35.934700000000007</v>
          </cell>
          <cell r="H819">
            <v>8.3368504000000012</v>
          </cell>
          <cell r="I819">
            <v>44.27155040000001</v>
          </cell>
        </row>
        <row r="820">
          <cell r="B820" t="str">
            <v>*095241</v>
          </cell>
          <cell r="C820" t="str">
            <v>REPARACION DE VEREDA 5 CM ESPESOR 140KG/CM2 &lt;= 2m2</v>
          </cell>
          <cell r="D820" t="str">
            <v>M2</v>
          </cell>
          <cell r="E820">
            <v>24.985499999999998</v>
          </cell>
          <cell r="F820">
            <v>9.6</v>
          </cell>
          <cell r="G820">
            <v>44.227300000000007</v>
          </cell>
          <cell r="H820">
            <v>10.2607336</v>
          </cell>
          <cell r="I820">
            <v>54.488033600000009</v>
          </cell>
        </row>
        <row r="821">
          <cell r="B821" t="str">
            <v>*095242</v>
          </cell>
          <cell r="C821" t="str">
            <v>REPARACION DE VEREDA 5 CM ESPESOR 140KG/CM2 &gt; 2m2</v>
          </cell>
          <cell r="D821" t="str">
            <v>M2</v>
          </cell>
          <cell r="E821">
            <v>20.134599999999999</v>
          </cell>
          <cell r="F821">
            <v>9.6</v>
          </cell>
          <cell r="G821">
            <v>38.364600000000003</v>
          </cell>
          <cell r="H821">
            <v>8.9005872000000004</v>
          </cell>
          <cell r="I821">
            <v>47.2651872</v>
          </cell>
        </row>
        <row r="822">
          <cell r="B822" t="str">
            <v>*095250</v>
          </cell>
          <cell r="C822" t="str">
            <v>REPARACION DE HORMIGON 7 CM. ESPESOR 140KG/CM2</v>
          </cell>
          <cell r="D822" t="str">
            <v>M2</v>
          </cell>
          <cell r="E822">
            <v>40</v>
          </cell>
          <cell r="F822">
            <v>9.6</v>
          </cell>
          <cell r="G822">
            <v>46.148100000000007</v>
          </cell>
          <cell r="H822">
            <v>10.706359200000001</v>
          </cell>
          <cell r="I822">
            <v>56.854459200000008</v>
          </cell>
        </row>
        <row r="823">
          <cell r="B823" t="str">
            <v>*095260</v>
          </cell>
          <cell r="C823" t="str">
            <v>REPARACION DE HORMIGON 10 CM ESPESOR 140KG/CM2</v>
          </cell>
          <cell r="D823" t="str">
            <v>M2</v>
          </cell>
          <cell r="E823">
            <v>21.456499999999998</v>
          </cell>
          <cell r="F823">
            <v>9.6</v>
          </cell>
          <cell r="G823">
            <v>71.845800000000011</v>
          </cell>
          <cell r="H823">
            <v>16.668225600000003</v>
          </cell>
          <cell r="I823">
            <v>88.514025600000011</v>
          </cell>
        </row>
        <row r="824">
          <cell r="B824" t="str">
            <v>*095261</v>
          </cell>
          <cell r="C824" t="str">
            <v>REPARACION DE VEREDA 10 CM ESPESOR 175 KG/CM2 &lt;= 2m2</v>
          </cell>
          <cell r="D824" t="str">
            <v>M2</v>
          </cell>
          <cell r="E824">
            <v>15.305400000000001</v>
          </cell>
          <cell r="F824">
            <v>9.6</v>
          </cell>
          <cell r="G824">
            <v>74.682500000000005</v>
          </cell>
          <cell r="H824">
            <v>17.326339999999998</v>
          </cell>
          <cell r="I824">
            <v>92.008840000000006</v>
          </cell>
        </row>
        <row r="825">
          <cell r="B825" t="str">
            <v>*095262</v>
          </cell>
          <cell r="C825" t="str">
            <v>REPARACION DE VEREDA 10 CM ESPESOR 175KG/CM2 &gt; 2m2</v>
          </cell>
          <cell r="D825" t="str">
            <v>M2</v>
          </cell>
          <cell r="E825">
            <v>11.6662</v>
          </cell>
          <cell r="F825">
            <v>9.6</v>
          </cell>
          <cell r="G825">
            <v>68.055499999999995</v>
          </cell>
          <cell r="H825">
            <v>15.788875999999998</v>
          </cell>
          <cell r="I825">
            <v>83.844375999999997</v>
          </cell>
        </row>
        <row r="826">
          <cell r="B826" t="str">
            <v>*095264</v>
          </cell>
          <cell r="C826" t="str">
            <v>REPARACION  DE VEREDA PARA CAMBIO DE POSTE (&lt;2M2)</v>
          </cell>
          <cell r="D826" t="str">
            <v>M2</v>
          </cell>
          <cell r="E826">
            <v>15.958</v>
          </cell>
          <cell r="F826">
            <v>9.6</v>
          </cell>
          <cell r="G826">
            <v>132.2242</v>
          </cell>
          <cell r="H826">
            <v>30.676014399999996</v>
          </cell>
          <cell r="I826">
            <v>162.90021439999998</v>
          </cell>
        </row>
        <row r="827">
          <cell r="B827" t="str">
            <v>*095265</v>
          </cell>
          <cell r="C827" t="str">
            <v>REPARACION DE HORMIGON 10 CM ESPESOR 175 KG/CM2 &gt;3M2</v>
          </cell>
          <cell r="D827" t="str">
            <v>M2</v>
          </cell>
          <cell r="E827">
            <v>19.84</v>
          </cell>
          <cell r="F827">
            <v>9.6</v>
          </cell>
          <cell r="G827">
            <v>68.890799999999999</v>
          </cell>
          <cell r="H827">
            <v>15.982665599999999</v>
          </cell>
          <cell r="I827">
            <v>84.873465600000003</v>
          </cell>
        </row>
        <row r="828">
          <cell r="B828" t="str">
            <v>*095266</v>
          </cell>
          <cell r="C828" t="str">
            <v>Reparación de vereda para trabajos en poste</v>
          </cell>
          <cell r="D828" t="str">
            <v>M2</v>
          </cell>
          <cell r="E828">
            <v>11.5519</v>
          </cell>
          <cell r="F828">
            <v>9.6</v>
          </cell>
          <cell r="G828">
            <v>93.678200000000004</v>
          </cell>
          <cell r="H828">
            <v>21.733342399999998</v>
          </cell>
          <cell r="I828">
            <v>115.4115424</v>
          </cell>
        </row>
        <row r="829">
          <cell r="B829" t="str">
            <v>*095267</v>
          </cell>
          <cell r="C829" t="str">
            <v>ROTURA Y REPARACION DE HORMIGON 10 CM ESPESOR 175 KG/CM2 HASTA 3M2</v>
          </cell>
          <cell r="D829" t="str">
            <v>M2</v>
          </cell>
          <cell r="E829">
            <v>7</v>
          </cell>
          <cell r="F829">
            <v>9.6</v>
          </cell>
          <cell r="G829">
            <v>104.51859999999999</v>
          </cell>
          <cell r="H829">
            <v>24.248315199999997</v>
          </cell>
          <cell r="I829">
            <v>128.7669152</v>
          </cell>
        </row>
        <row r="830">
          <cell r="B830" t="str">
            <v>*095270</v>
          </cell>
          <cell r="C830" t="str">
            <v>REPARACION DE HORMIGON 15 CM DE ESPESOR 140 KG/CM2</v>
          </cell>
          <cell r="D830" t="str">
            <v>M2</v>
          </cell>
          <cell r="E830">
            <v>33</v>
          </cell>
          <cell r="F830">
            <v>9.6</v>
          </cell>
          <cell r="G830">
            <v>84.689700000000002</v>
          </cell>
          <cell r="H830">
            <v>19.6480104</v>
          </cell>
          <cell r="I830">
            <v>104.33771040000001</v>
          </cell>
        </row>
        <row r="831">
          <cell r="B831" t="str">
            <v>*095271</v>
          </cell>
          <cell r="C831" t="str">
            <v>REPARACION DE VEREDA 15 CM ESPESOR 175 KG/CM2 &lt;= 2m2</v>
          </cell>
          <cell r="D831" t="str">
            <v>M2</v>
          </cell>
          <cell r="E831">
            <v>13.4055</v>
          </cell>
          <cell r="F831">
            <v>9.6</v>
          </cell>
          <cell r="G831">
            <v>97.651399999999995</v>
          </cell>
          <cell r="H831">
            <v>22.655124799999996</v>
          </cell>
          <cell r="I831">
            <v>120.30652479999999</v>
          </cell>
        </row>
        <row r="832">
          <cell r="B832" t="str">
            <v>*095272</v>
          </cell>
          <cell r="C832" t="str">
            <v>REPARACION DE VEREDA 15 CM ESPESOR 175 KG/CM2 &gt; 2m2</v>
          </cell>
          <cell r="D832" t="str">
            <v>M2</v>
          </cell>
          <cell r="E832">
            <v>9.4591999999999992</v>
          </cell>
          <cell r="F832">
            <v>9.6</v>
          </cell>
          <cell r="G832">
            <v>89.1387</v>
          </cell>
          <cell r="H832">
            <v>20.680178399999999</v>
          </cell>
          <cell r="I832">
            <v>109.8188784</v>
          </cell>
        </row>
        <row r="833">
          <cell r="B833" t="str">
            <v>*095273</v>
          </cell>
          <cell r="C833" t="str">
            <v>REPARACION DE CONCRETO 15 CM ESPESOR 210 KG/CM2</v>
          </cell>
          <cell r="D833" t="str">
            <v>M2</v>
          </cell>
          <cell r="E833">
            <v>13.484400000000001</v>
          </cell>
          <cell r="F833">
            <v>9.6</v>
          </cell>
          <cell r="G833">
            <v>89.715900000000005</v>
          </cell>
          <cell r="H833">
            <v>20.8140888</v>
          </cell>
          <cell r="I833">
            <v>110.52998880000001</v>
          </cell>
        </row>
        <row r="834">
          <cell r="B834" t="str">
            <v>*095275</v>
          </cell>
          <cell r="C834" t="str">
            <v>REPARACION DE HORMIGON 15 CM ESPESOR 175 KG/CM2</v>
          </cell>
          <cell r="D834" t="str">
            <v>M2</v>
          </cell>
          <cell r="E834">
            <v>10.059799999999999</v>
          </cell>
          <cell r="F834">
            <v>9.6</v>
          </cell>
          <cell r="G834">
            <v>98.110300000000009</v>
          </cell>
          <cell r="H834">
            <v>22.761589600000001</v>
          </cell>
          <cell r="I834">
            <v>120.8718896</v>
          </cell>
        </row>
        <row r="835">
          <cell r="B835" t="str">
            <v>*095278</v>
          </cell>
          <cell r="C835" t="str">
            <v>REPARACION DE HORMIGON 15 CM ESPESOR 210 KG/CM2</v>
          </cell>
          <cell r="D835" t="str">
            <v>M2</v>
          </cell>
          <cell r="E835">
            <v>31</v>
          </cell>
          <cell r="F835">
            <v>9.6</v>
          </cell>
          <cell r="G835">
            <v>97.010099999999994</v>
          </cell>
          <cell r="H835">
            <v>22.506343199999996</v>
          </cell>
          <cell r="I835">
            <v>119.5164432</v>
          </cell>
        </row>
        <row r="836">
          <cell r="B836" t="str">
            <v>*095279</v>
          </cell>
          <cell r="C836" t="str">
            <v>RETIRO DE JUNTA DE DILATACION PARA VEREDA DE CUALQUIER ESPESOR OBRA VENDIDA</v>
          </cell>
          <cell r="D836" t="str">
            <v>M</v>
          </cell>
          <cell r="E836">
            <v>70.8947</v>
          </cell>
          <cell r="F836">
            <v>9.6</v>
          </cell>
          <cell r="G836">
            <v>11.261299999999999</v>
          </cell>
          <cell r="H836">
            <v>2.6126215999999993</v>
          </cell>
          <cell r="I836">
            <v>13.873921599999997</v>
          </cell>
        </row>
        <row r="837">
          <cell r="B837" t="str">
            <v>*095280</v>
          </cell>
          <cell r="C837" t="str">
            <v>REPARACION DE HORMIGON 20 CM ESPESOR 140KG/CM2</v>
          </cell>
          <cell r="D837" t="str">
            <v>M2</v>
          </cell>
          <cell r="E837">
            <v>8.7899999999999991</v>
          </cell>
          <cell r="F837">
            <v>9.6</v>
          </cell>
          <cell r="G837">
            <v>146.65619999999998</v>
          </cell>
          <cell r="H837">
            <v>34.024238399999994</v>
          </cell>
          <cell r="I837">
            <v>180.68043839999999</v>
          </cell>
        </row>
        <row r="838">
          <cell r="B838" t="str">
            <v>*095281</v>
          </cell>
          <cell r="C838" t="str">
            <v>REPARACION DE CONCRETO 20 CM ESPESOR 210 KG/CM2</v>
          </cell>
          <cell r="D838" t="str">
            <v>M2</v>
          </cell>
          <cell r="E838">
            <v>10.6203</v>
          </cell>
          <cell r="F838">
            <v>9.6</v>
          </cell>
          <cell r="G838">
            <v>113.717</v>
          </cell>
          <cell r="H838">
            <v>26.382343999999996</v>
          </cell>
          <cell r="I838">
            <v>140.099344</v>
          </cell>
        </row>
        <row r="839">
          <cell r="B839" t="str">
            <v>*095282</v>
          </cell>
          <cell r="C839" t="str">
            <v>JUNTA DE DILATACION PARA VEREDA DE CUALQUIER ESPESOR OBRA VENDIDA</v>
          </cell>
          <cell r="D839" t="str">
            <v>M</v>
          </cell>
          <cell r="E839">
            <v>43.5</v>
          </cell>
          <cell r="F839">
            <v>9.6</v>
          </cell>
          <cell r="G839">
            <v>16.1492</v>
          </cell>
          <cell r="H839">
            <v>3.7466143999999999</v>
          </cell>
          <cell r="I839">
            <v>19.895814399999999</v>
          </cell>
        </row>
        <row r="840">
          <cell r="B840" t="str">
            <v>*095283</v>
          </cell>
          <cell r="C840" t="str">
            <v>TRANSPORTE MANUAL DE CAJA AUTOSOPORTADA, MATERIALES Y HERRAMIENTAS EN ZONA DE DIFICIL ACCESO</v>
          </cell>
          <cell r="D840" t="str">
            <v>M</v>
          </cell>
          <cell r="E840">
            <v>2865.2784999999999</v>
          </cell>
          <cell r="F840">
            <v>9.6</v>
          </cell>
          <cell r="G840">
            <v>0.15329999999999999</v>
          </cell>
          <cell r="H840">
            <v>3.5565599999999996E-2</v>
          </cell>
          <cell r="I840">
            <v>0.18886559999999999</v>
          </cell>
        </row>
        <row r="841">
          <cell r="B841" t="str">
            <v>*095284</v>
          </cell>
          <cell r="C841" t="str">
            <v>TRANSPORTE MANUAL DE MURETE EN ZONA DE DIFICIL ACCESO</v>
          </cell>
          <cell r="D841" t="str">
            <v>M</v>
          </cell>
          <cell r="E841">
            <v>1576</v>
          </cell>
          <cell r="F841">
            <v>9.6</v>
          </cell>
          <cell r="G841">
            <v>0.57450000000000001</v>
          </cell>
          <cell r="H841">
            <v>0.13328399999999999</v>
          </cell>
          <cell r="I841">
            <v>0.70778399999999997</v>
          </cell>
        </row>
        <row r="842">
          <cell r="B842" t="str">
            <v>*095285</v>
          </cell>
          <cell r="C842" t="str">
            <v>INSTALACION DE MURETE PREFABRICADO, INCLUYE  MANO DE OBRA Y TRANSPORTE</v>
          </cell>
          <cell r="D842" t="str">
            <v>UN</v>
          </cell>
          <cell r="E842">
            <v>13.0669</v>
          </cell>
          <cell r="F842">
            <v>9.6</v>
          </cell>
          <cell r="G842">
            <v>33.627300000000005</v>
          </cell>
          <cell r="H842">
            <v>7.8015336000000008</v>
          </cell>
          <cell r="I842">
            <v>41.428833600000004</v>
          </cell>
        </row>
        <row r="843">
          <cell r="B843" t="str">
            <v>*095286</v>
          </cell>
          <cell r="C843" t="str">
            <v>Instalación de soporte de PRFV para caja portamedidor</v>
          </cell>
          <cell r="D843" t="str">
            <v>UN</v>
          </cell>
          <cell r="E843">
            <v>16.170000000000002</v>
          </cell>
          <cell r="F843">
            <v>9.6</v>
          </cell>
          <cell r="G843">
            <v>28.206100000000003</v>
          </cell>
          <cell r="H843">
            <v>6.5438152000000001</v>
          </cell>
          <cell r="I843">
            <v>34.749915200000004</v>
          </cell>
        </row>
        <row r="844">
          <cell r="B844" t="str">
            <v>*095287</v>
          </cell>
          <cell r="C844" t="str">
            <v>RETIRO DE MURETE PREFABRICADO, INCLUYE  MANO DE OBRA Y TRANSPORTE</v>
          </cell>
          <cell r="D844" t="str">
            <v>UN</v>
          </cell>
          <cell r="E844">
            <v>18.922499999999999</v>
          </cell>
          <cell r="F844">
            <v>9.6</v>
          </cell>
          <cell r="G844">
            <v>23.525100000000002</v>
          </cell>
          <cell r="H844">
            <v>5.4578232</v>
          </cell>
          <cell r="I844">
            <v>28.982923200000002</v>
          </cell>
        </row>
        <row r="845">
          <cell r="B845" t="str">
            <v>*095288</v>
          </cell>
          <cell r="C845" t="str">
            <v>TRASLADO DE MURETE PREFABRICADO, INCLUYE  MANO DE OBRA Y TRANSPORTE</v>
          </cell>
          <cell r="D845" t="str">
            <v>UN</v>
          </cell>
          <cell r="E845">
            <v>9.9788999999999994</v>
          </cell>
          <cell r="F845">
            <v>9.6</v>
          </cell>
          <cell r="G845">
            <v>43.729700000000001</v>
          </cell>
          <cell r="H845">
            <v>10.1452904</v>
          </cell>
          <cell r="I845">
            <v>53.874990400000002</v>
          </cell>
        </row>
        <row r="846">
          <cell r="B846" t="str">
            <v>*095289</v>
          </cell>
          <cell r="C846" t="str">
            <v>RETIRO DE MURETE PARA CAJA F1 F2 F3 + 3B   (FABRICADO EN OBRA)</v>
          </cell>
          <cell r="D846" t="str">
            <v>UN</v>
          </cell>
          <cell r="E846">
            <v>20.165800000000001</v>
          </cell>
          <cell r="F846">
            <v>9.6</v>
          </cell>
          <cell r="G846">
            <v>117.264</v>
          </cell>
          <cell r="H846">
            <v>27.205247999999997</v>
          </cell>
          <cell r="I846">
            <v>144.46924799999999</v>
          </cell>
        </row>
        <row r="847">
          <cell r="B847" t="str">
            <v>*095290</v>
          </cell>
          <cell r="C847" t="str">
            <v>CONSTRUCCION MURETE PARA CAJA TIPO L O LT (FABRICADO EN OBRA)</v>
          </cell>
          <cell r="D847" t="str">
            <v>UN</v>
          </cell>
          <cell r="E847">
            <v>4</v>
          </cell>
          <cell r="F847">
            <v>9.6</v>
          </cell>
          <cell r="G847">
            <v>167.5959</v>
          </cell>
          <cell r="H847">
            <v>38.882248799999999</v>
          </cell>
          <cell r="I847">
            <v>206.47814879999999</v>
          </cell>
        </row>
        <row r="848">
          <cell r="B848" t="str">
            <v>*095291</v>
          </cell>
          <cell r="C848" t="str">
            <v>CONSTRUCCION MURETE PARA CAJA F1 F2 F3 + 3B   (FABRICADO EN OBRA)</v>
          </cell>
          <cell r="D848" t="str">
            <v>UN</v>
          </cell>
          <cell r="E848">
            <v>6.3</v>
          </cell>
          <cell r="F848">
            <v>9.6</v>
          </cell>
          <cell r="G848">
            <v>169.3107</v>
          </cell>
          <cell r="H848">
            <v>39.280082399999998</v>
          </cell>
          <cell r="I848">
            <v>208.59078239999999</v>
          </cell>
        </row>
        <row r="849">
          <cell r="B849" t="str">
            <v>*095298</v>
          </cell>
          <cell r="C849" t="str">
            <v>MURETE (1,30X0,50X0,25 M9 PARA CAJA PORTAEQUIPO DE CONTROL TÉCNICO DE PMI OBRA VENDIDA</v>
          </cell>
          <cell r="D849" t="str">
            <v>UN</v>
          </cell>
          <cell r="E849">
            <v>1.8120000000000001</v>
          </cell>
          <cell r="F849">
            <v>9.6</v>
          </cell>
          <cell r="G849">
            <v>554.69320000000005</v>
          </cell>
          <cell r="H849">
            <v>128.68882239999999</v>
          </cell>
          <cell r="I849">
            <v>683.3820224000001</v>
          </cell>
        </row>
        <row r="850">
          <cell r="B850" t="str">
            <v>*096001</v>
          </cell>
          <cell r="C850" t="str">
            <v>VERIFICACIÓN DE CONDICIONES DE PREDIO</v>
          </cell>
          <cell r="D850" t="str">
            <v>UN</v>
          </cell>
          <cell r="E850">
            <v>450.63679999999999</v>
          </cell>
          <cell r="F850">
            <v>9.6</v>
          </cell>
          <cell r="G850">
            <v>1.0226000000000002</v>
          </cell>
          <cell r="H850">
            <v>0.23724320000000002</v>
          </cell>
          <cell r="I850">
            <v>1.2598432000000002</v>
          </cell>
        </row>
        <row r="851">
          <cell r="B851" t="str">
            <v>*096002</v>
          </cell>
          <cell r="C851" t="str">
            <v>VERIFICACIÓN DE CUMPLIMIENTO DE REQUISITOS - RUTINA - TECNICO ELECTRICISTA</v>
          </cell>
          <cell r="D851" t="str">
            <v>UN</v>
          </cell>
          <cell r="E851">
            <v>12.7585</v>
          </cell>
          <cell r="F851">
            <v>9.6</v>
          </cell>
          <cell r="G851">
            <v>32.290900000000001</v>
          </cell>
          <cell r="H851">
            <v>7.4914887999999999</v>
          </cell>
          <cell r="I851">
            <v>39.7823888</v>
          </cell>
        </row>
        <row r="852">
          <cell r="B852" t="str">
            <v>*096003</v>
          </cell>
          <cell r="C852" t="str">
            <v>VERIFICACIÓN DE CUMPLIMIENTO DE REQUISITOS - MASIVO - TECNICO ELECTRICISTA</v>
          </cell>
          <cell r="D852" t="str">
            <v>UN</v>
          </cell>
          <cell r="E852">
            <v>52.741900000000001</v>
          </cell>
          <cell r="F852">
            <v>9.6</v>
          </cell>
          <cell r="G852">
            <v>11.790900000000001</v>
          </cell>
          <cell r="H852">
            <v>2.7354888000000002</v>
          </cell>
          <cell r="I852">
            <v>14.526388800000001</v>
          </cell>
        </row>
        <row r="853">
          <cell r="B853" t="str">
            <v>*096034</v>
          </cell>
          <cell r="C853" t="str">
            <v>CATASTRO DE POSTES DE BAJA TENSIÓN - MASIVO</v>
          </cell>
          <cell r="D853" t="str">
            <v>UN</v>
          </cell>
          <cell r="E853">
            <v>72.817800000000005</v>
          </cell>
          <cell r="F853">
            <v>9.6</v>
          </cell>
          <cell r="G853">
            <v>6.9804000000000004</v>
          </cell>
          <cell r="H853">
            <v>1.6194527999999999</v>
          </cell>
          <cell r="I853">
            <v>8.5998528000000007</v>
          </cell>
        </row>
        <row r="854">
          <cell r="B854" t="str">
            <v>*096035</v>
          </cell>
          <cell r="C854" t="str">
            <v>CATASTRO DE POSTES DE BAJA TENSIÓN - DISPERSO</v>
          </cell>
          <cell r="D854" t="str">
            <v>UN</v>
          </cell>
          <cell r="E854">
            <v>37.6053</v>
          </cell>
          <cell r="F854">
            <v>9.6</v>
          </cell>
          <cell r="G854">
            <v>13.060599999999999</v>
          </cell>
          <cell r="H854">
            <v>3.0300591999999997</v>
          </cell>
          <cell r="I854">
            <v>16.090659199999997</v>
          </cell>
        </row>
        <row r="855">
          <cell r="B855" t="str">
            <v>*096036</v>
          </cell>
          <cell r="C855" t="str">
            <v>CATASTRO DE POSTES DE MEDIA TENSIÓN</v>
          </cell>
          <cell r="D855" t="str">
            <v>UN</v>
          </cell>
          <cell r="E855">
            <v>40</v>
          </cell>
          <cell r="F855">
            <v>9.6</v>
          </cell>
          <cell r="G855">
            <v>13.429499999999999</v>
          </cell>
          <cell r="H855">
            <v>3.1156439999999996</v>
          </cell>
          <cell r="I855">
            <v>16.545144000000001</v>
          </cell>
        </row>
        <row r="856">
          <cell r="B856" t="str">
            <v>*096100</v>
          </cell>
          <cell r="C856" t="str">
            <v>MOVILIZACIÓN Y DESMOVILIZACIÓN PARA PMS</v>
          </cell>
          <cell r="D856" t="str">
            <v>UN</v>
          </cell>
          <cell r="E856">
            <v>1</v>
          </cell>
          <cell r="F856">
            <v>9.6</v>
          </cell>
          <cell r="G856">
            <v>2451.1732000000002</v>
          </cell>
          <cell r="H856">
            <v>568.6721824</v>
          </cell>
          <cell r="I856">
            <v>3019.8453824000003</v>
          </cell>
        </row>
        <row r="857">
          <cell r="B857" t="str">
            <v>*096101</v>
          </cell>
          <cell r="C857" t="str">
            <v>PROVISIÓN DE AGUA PARA LA CONSTRUCCIÓN DE PMS</v>
          </cell>
          <cell r="D857" t="str">
            <v>UN</v>
          </cell>
          <cell r="E857">
            <v>1</v>
          </cell>
          <cell r="F857">
            <v>9.6</v>
          </cell>
          <cell r="G857">
            <v>248.1405</v>
          </cell>
          <cell r="H857">
            <v>57.568595999999999</v>
          </cell>
          <cell r="I857">
            <v>305.70909599999999</v>
          </cell>
        </row>
        <row r="858">
          <cell r="B858" t="str">
            <v>*096102</v>
          </cell>
          <cell r="C858" t="str">
            <v>INSTALACIÓN DE SEÑALIZACIÓN PARA OBRAS CIVILES</v>
          </cell>
          <cell r="D858" t="str">
            <v>M</v>
          </cell>
          <cell r="E858">
            <v>268.8</v>
          </cell>
          <cell r="F858">
            <v>9.6</v>
          </cell>
          <cell r="G858">
            <v>1.6387</v>
          </cell>
          <cell r="H858">
            <v>0.38017839999999997</v>
          </cell>
          <cell r="I858">
            <v>2.0188784000000002</v>
          </cell>
        </row>
        <row r="859">
          <cell r="B859" t="str">
            <v>*096103</v>
          </cell>
          <cell r="C859" t="str">
            <v>SEÑALIZACIÓN PARA OBRAS CIVILES</v>
          </cell>
          <cell r="D859" t="str">
            <v>UN</v>
          </cell>
          <cell r="E859">
            <v>1</v>
          </cell>
          <cell r="F859">
            <v>9.6</v>
          </cell>
          <cell r="G859">
            <v>540.21690000000001</v>
          </cell>
          <cell r="H859">
            <v>125.3303208</v>
          </cell>
          <cell r="I859">
            <v>665.54722079999999</v>
          </cell>
        </row>
        <row r="860">
          <cell r="B860" t="str">
            <v>*096104</v>
          </cell>
          <cell r="C860" t="str">
            <v>SONDEOS PARA OBRAS CIVILES</v>
          </cell>
          <cell r="D860" t="str">
            <v>M3</v>
          </cell>
          <cell r="E860">
            <v>5.5</v>
          </cell>
          <cell r="F860">
            <v>9.6</v>
          </cell>
          <cell r="G860">
            <v>104.1254</v>
          </cell>
          <cell r="H860">
            <v>24.157092799999997</v>
          </cell>
          <cell r="I860">
            <v>128.2824928</v>
          </cell>
        </row>
        <row r="861">
          <cell r="B861" t="str">
            <v>*096105</v>
          </cell>
          <cell r="C861" t="str">
            <v>EXCAVACIÓN MANUAL</v>
          </cell>
          <cell r="D861" t="str">
            <v>M3</v>
          </cell>
          <cell r="E861">
            <v>5</v>
          </cell>
          <cell r="F861">
            <v>9.6</v>
          </cell>
          <cell r="G861">
            <v>94.7547</v>
          </cell>
          <cell r="H861">
            <v>21.983090399999998</v>
          </cell>
          <cell r="I861">
            <v>116.73779039999999</v>
          </cell>
        </row>
        <row r="862">
          <cell r="B862" t="str">
            <v>*096106</v>
          </cell>
          <cell r="C862" t="str">
            <v>RELLENO CON MATERIAL PROPIO</v>
          </cell>
          <cell r="D862" t="str">
            <v>M3</v>
          </cell>
          <cell r="E862">
            <v>15</v>
          </cell>
          <cell r="F862">
            <v>9.6</v>
          </cell>
          <cell r="G862">
            <v>51.244399999999999</v>
          </cell>
          <cell r="H862">
            <v>11.888700799999999</v>
          </cell>
          <cell r="I862">
            <v>63.133100799999994</v>
          </cell>
        </row>
        <row r="863">
          <cell r="B863" t="str">
            <v>*096107</v>
          </cell>
          <cell r="C863" t="str">
            <v>ACARREO DE MATERIAL EXCEDENTE</v>
          </cell>
          <cell r="D863" t="str">
            <v>M3</v>
          </cell>
          <cell r="E863">
            <v>6</v>
          </cell>
          <cell r="F863">
            <v>9.6</v>
          </cell>
          <cell r="G863">
            <v>30.489400000000003</v>
          </cell>
          <cell r="H863">
            <v>7.0735408</v>
          </cell>
          <cell r="I863">
            <v>37.562940800000007</v>
          </cell>
        </row>
        <row r="864">
          <cell r="B864" t="str">
            <v>*096108</v>
          </cell>
          <cell r="C864" t="str">
            <v>ELIMINACIÓN DE MATERIAL EXCEDENTE EN OBRAS CIVILES</v>
          </cell>
          <cell r="D864" t="str">
            <v>M3</v>
          </cell>
          <cell r="E864">
            <v>12</v>
          </cell>
          <cell r="F864">
            <v>9.6</v>
          </cell>
          <cell r="G864">
            <v>85.242699999999999</v>
          </cell>
          <cell r="H864">
            <v>19.776306399999999</v>
          </cell>
          <cell r="I864">
            <v>105.01900639999999</v>
          </cell>
        </row>
        <row r="865">
          <cell r="B865" t="str">
            <v>*096109</v>
          </cell>
          <cell r="C865" t="str">
            <v>SOLADO DE 5 CM 100KG/CM2</v>
          </cell>
          <cell r="D865" t="str">
            <v>M2</v>
          </cell>
          <cell r="E865">
            <v>60</v>
          </cell>
          <cell r="F865">
            <v>9.6</v>
          </cell>
          <cell r="G865">
            <v>35.965499999999999</v>
          </cell>
          <cell r="H865">
            <v>8.3439959999999989</v>
          </cell>
          <cell r="I865">
            <v>44.309495999999996</v>
          </cell>
        </row>
        <row r="866">
          <cell r="B866" t="str">
            <v>*096110</v>
          </cell>
          <cell r="C866" t="str">
            <v>CONCRETO f´c: 210 kg/cm2 /TIPO CISTERNA</v>
          </cell>
          <cell r="D866" t="str">
            <v>M3</v>
          </cell>
          <cell r="E866">
            <v>7.5</v>
          </cell>
          <cell r="F866">
            <v>9.6</v>
          </cell>
          <cell r="G866">
            <v>628.05250000000001</v>
          </cell>
          <cell r="H866">
            <v>145.70818</v>
          </cell>
          <cell r="I866">
            <v>773.76067999999998</v>
          </cell>
        </row>
        <row r="867">
          <cell r="B867" t="str">
            <v>*096111</v>
          </cell>
          <cell r="C867" t="str">
            <v>COLOCACIÓN DE ACERO DE REFUERZO Fy: 4200 KG/CM2</v>
          </cell>
          <cell r="D867" t="str">
            <v>KG</v>
          </cell>
          <cell r="E867">
            <v>200</v>
          </cell>
          <cell r="F867">
            <v>9.6</v>
          </cell>
          <cell r="G867">
            <v>8.0368999999999993</v>
          </cell>
          <cell r="H867">
            <v>1.8645607999999998</v>
          </cell>
          <cell r="I867">
            <v>9.9014607999999988</v>
          </cell>
        </row>
        <row r="868">
          <cell r="B868" t="str">
            <v>*096112</v>
          </cell>
          <cell r="C868" t="str">
            <v>INSTALACIÓN DE PASE DE TUBERIA PVC-SAP Ø 4"</v>
          </cell>
          <cell r="D868" t="str">
            <v>UN</v>
          </cell>
          <cell r="E868">
            <v>12</v>
          </cell>
          <cell r="F868">
            <v>9.6</v>
          </cell>
          <cell r="G868">
            <v>80.197099999999992</v>
          </cell>
          <cell r="H868">
            <v>18.605727199999997</v>
          </cell>
          <cell r="I868">
            <v>98.802827199999996</v>
          </cell>
        </row>
        <row r="869">
          <cell r="B869" t="str">
            <v>*096113</v>
          </cell>
          <cell r="C869" t="str">
            <v>PINTURA DE MUROS CON ESMALTE VERDE</v>
          </cell>
          <cell r="D869" t="str">
            <v>M2</v>
          </cell>
          <cell r="E869">
            <v>15</v>
          </cell>
          <cell r="F869">
            <v>9.6</v>
          </cell>
          <cell r="G869">
            <v>26.290699999999998</v>
          </cell>
          <cell r="H869">
            <v>6.0994423999999992</v>
          </cell>
          <cell r="I869">
            <v>32.390142399999995</v>
          </cell>
        </row>
        <row r="870">
          <cell r="B870" t="str">
            <v>*096114</v>
          </cell>
          <cell r="C870" t="str">
            <v>TAPA METÁLICA GALVANIZADA PARA PMS DE 2X2.2M</v>
          </cell>
          <cell r="D870" t="str">
            <v>UN</v>
          </cell>
          <cell r="E870">
            <v>1.5</v>
          </cell>
          <cell r="F870">
            <v>9.6</v>
          </cell>
          <cell r="G870">
            <v>4234.2978999999996</v>
          </cell>
          <cell r="H870">
            <v>982.35711279999987</v>
          </cell>
          <cell r="I870">
            <v>5216.6550127999999</v>
          </cell>
        </row>
        <row r="871">
          <cell r="B871" t="str">
            <v>*096115</v>
          </cell>
          <cell r="C871" t="str">
            <v>SUMIDERO CON REJILLA METÁLICA 1.7X0.5 M PARA PMS</v>
          </cell>
          <cell r="D871" t="str">
            <v>UN</v>
          </cell>
          <cell r="E871">
            <v>2.5</v>
          </cell>
          <cell r="F871">
            <v>9.6</v>
          </cell>
          <cell r="G871">
            <v>1052.4405000000002</v>
          </cell>
          <cell r="H871">
            <v>244.16619600000001</v>
          </cell>
          <cell r="I871">
            <v>1296.6066960000003</v>
          </cell>
        </row>
        <row r="872">
          <cell r="B872" t="str">
            <v>*096116</v>
          </cell>
          <cell r="C872" t="str">
            <v>MURETE DE CONCRETO 210 KG/CM2</v>
          </cell>
          <cell r="D872" t="str">
            <v>UN</v>
          </cell>
          <cell r="E872">
            <v>1</v>
          </cell>
          <cell r="F872">
            <v>9.6</v>
          </cell>
          <cell r="G872">
            <v>364.92320000000001</v>
          </cell>
          <cell r="H872">
            <v>84.662182399999992</v>
          </cell>
          <cell r="I872">
            <v>449.58538240000001</v>
          </cell>
        </row>
        <row r="873">
          <cell r="B873" t="str">
            <v>*096117</v>
          </cell>
          <cell r="C873" t="str">
            <v>TRAZO Y REPLANTEO TOPOGRÁFICO</v>
          </cell>
          <cell r="D873" t="str">
            <v>M2</v>
          </cell>
          <cell r="E873">
            <v>14</v>
          </cell>
          <cell r="F873">
            <v>9.6</v>
          </cell>
          <cell r="G873">
            <v>53.564299999999996</v>
          </cell>
          <cell r="H873">
            <v>12.426917599999998</v>
          </cell>
          <cell r="I873">
            <v>65.991217599999999</v>
          </cell>
        </row>
        <row r="874">
          <cell r="B874" t="str">
            <v>*096118</v>
          </cell>
          <cell r="C874" t="str">
            <v>ENCOFRADO Y DESENCOFRADO TIPO CARAVISTA</v>
          </cell>
          <cell r="D874" t="str">
            <v>M2</v>
          </cell>
          <cell r="E874">
            <v>8.5</v>
          </cell>
          <cell r="F874">
            <v>9.6</v>
          </cell>
          <cell r="G874">
            <v>70.750100000000003</v>
          </cell>
          <cell r="H874">
            <v>16.414023199999999</v>
          </cell>
          <cell r="I874">
            <v>87.164123200000006</v>
          </cell>
        </row>
        <row r="875">
          <cell r="B875" t="str">
            <v>*096119</v>
          </cell>
          <cell r="C875" t="str">
            <v>IMPERMEABILIZANTE CONTRA SALES Y SULFATOS</v>
          </cell>
          <cell r="D875" t="str">
            <v>M2</v>
          </cell>
          <cell r="E875">
            <v>15</v>
          </cell>
          <cell r="F875">
            <v>9.6</v>
          </cell>
          <cell r="G875">
            <v>47.131300000000003</v>
          </cell>
          <cell r="H875">
            <v>10.934461600000001</v>
          </cell>
          <cell r="I875">
            <v>58.065761600000002</v>
          </cell>
        </row>
        <row r="876">
          <cell r="B876" t="str">
            <v>*096120</v>
          </cell>
          <cell r="C876" t="str">
            <v>SUMINISTRO E INSTALACIÓN DE MURETE PREFABRICADO PARA PMS</v>
          </cell>
          <cell r="D876" t="str">
            <v>M2</v>
          </cell>
          <cell r="E876">
            <v>1</v>
          </cell>
          <cell r="F876">
            <v>9.6</v>
          </cell>
          <cell r="G876">
            <v>955.93099999999993</v>
          </cell>
          <cell r="H876">
            <v>221.77599199999997</v>
          </cell>
          <cell r="I876">
            <v>1177.7069919999999</v>
          </cell>
        </row>
        <row r="877">
          <cell r="B877" t="str">
            <v>*096150</v>
          </cell>
          <cell r="C877" t="str">
            <v>COLOCACIÓN Y RETIRO PISO GRATING PRFV</v>
          </cell>
          <cell r="D877" t="str">
            <v>UN</v>
          </cell>
          <cell r="E877">
            <v>288</v>
          </cell>
          <cell r="F877">
            <v>9.6</v>
          </cell>
          <cell r="G877">
            <v>3.1619999999999999</v>
          </cell>
          <cell r="H877">
            <v>0.7335839999999999</v>
          </cell>
          <cell r="I877">
            <v>3.8955839999999999</v>
          </cell>
        </row>
        <row r="878">
          <cell r="B878" t="str">
            <v>*096200</v>
          </cell>
          <cell r="C878" t="str">
            <v>Instalación de Cajas de Medición y Protección, 10kV, Caja Portamedidor,</v>
          </cell>
          <cell r="D878" t="str">
            <v>UN</v>
          </cell>
          <cell r="E878">
            <v>1</v>
          </cell>
          <cell r="F878">
            <v>9.6</v>
          </cell>
          <cell r="G878">
            <v>628.19090000000006</v>
          </cell>
          <cell r="H878">
            <v>145.7402888</v>
          </cell>
          <cell r="I878">
            <v>773.93118880000009</v>
          </cell>
        </row>
        <row r="879">
          <cell r="B879" t="str">
            <v>*096201</v>
          </cell>
          <cell r="C879" t="str">
            <v>Instalación de Medidor, 10kV, Electrónico, Trifásico, Multifunción</v>
          </cell>
          <cell r="D879" t="str">
            <v>UN</v>
          </cell>
          <cell r="E879">
            <v>1</v>
          </cell>
          <cell r="F879">
            <v>9.6</v>
          </cell>
          <cell r="G879">
            <v>57.860199999999992</v>
          </cell>
          <cell r="H879">
            <v>13.423566399999997</v>
          </cell>
          <cell r="I879">
            <v>71.28376639999999</v>
          </cell>
        </row>
        <row r="880">
          <cell r="B880" t="str">
            <v>*096203</v>
          </cell>
          <cell r="C880" t="str">
            <v>Instalación Transformadores de Medida (PMS)10kV Interior Potencia Conectada Trifásica hasta 700 kW</v>
          </cell>
          <cell r="D880" t="str">
            <v>UN</v>
          </cell>
          <cell r="E880">
            <v>1</v>
          </cell>
          <cell r="F880">
            <v>9.6</v>
          </cell>
          <cell r="G880">
            <v>386.68470000000002</v>
          </cell>
          <cell r="H880">
            <v>89.710850399999998</v>
          </cell>
          <cell r="I880">
            <v>476.39555040000005</v>
          </cell>
        </row>
        <row r="881">
          <cell r="B881" t="str">
            <v>*096204</v>
          </cell>
          <cell r="C881" t="str">
            <v>Instalación de Cable de Acometida, 10kV, PMS, Potencia Conectada Trifásica hasta 1000 kW</v>
          </cell>
          <cell r="D881" t="str">
            <v>UN</v>
          </cell>
          <cell r="E881">
            <v>1</v>
          </cell>
          <cell r="F881">
            <v>9.6</v>
          </cell>
          <cell r="G881">
            <v>847.92789999999991</v>
          </cell>
          <cell r="H881">
            <v>196.71927279999997</v>
          </cell>
          <cell r="I881">
            <v>1044.6471727999999</v>
          </cell>
        </row>
        <row r="882">
          <cell r="B882" t="str">
            <v>*096205</v>
          </cell>
          <cell r="C882" t="str">
            <v>Empalme Acometida, 10kV, Subterráneo para PMS, Empalme, Trifásico, Potencia Conectada hasta 1000 Kw</v>
          </cell>
          <cell r="D882" t="str">
            <v>UN</v>
          </cell>
          <cell r="E882">
            <v>1</v>
          </cell>
          <cell r="F882">
            <v>9.6</v>
          </cell>
          <cell r="G882">
            <v>170.4624</v>
          </cell>
          <cell r="H882">
            <v>39.547276799999999</v>
          </cell>
          <cell r="I882">
            <v>210.00967679999999</v>
          </cell>
        </row>
        <row r="883">
          <cell r="B883" t="str">
            <v>*096500</v>
          </cell>
          <cell r="C883" t="str">
            <v>Habilitación de caseta para Oficina de Supervisión, Oficina Técnica, Sala reuniones.</v>
          </cell>
          <cell r="D883" t="str">
            <v>UN</v>
          </cell>
          <cell r="E883">
            <v>27</v>
          </cell>
          <cell r="F883">
            <v>9.6</v>
          </cell>
          <cell r="G883">
            <v>139.37590000000003</v>
          </cell>
          <cell r="H883">
            <v>32.335208800000004</v>
          </cell>
          <cell r="I883">
            <v>171.71110880000003</v>
          </cell>
        </row>
        <row r="884">
          <cell r="B884" t="str">
            <v>*096501</v>
          </cell>
          <cell r="C884" t="str">
            <v>Señalización de obra civil en SED</v>
          </cell>
          <cell r="D884" t="str">
            <v>M</v>
          </cell>
          <cell r="E884">
            <v>1173.6355000000001</v>
          </cell>
          <cell r="F884">
            <v>9.6</v>
          </cell>
          <cell r="G884">
            <v>0.37809999999999999</v>
          </cell>
          <cell r="H884">
            <v>8.7719199999999997E-2</v>
          </cell>
          <cell r="I884">
            <v>0.46581919999999999</v>
          </cell>
        </row>
        <row r="885">
          <cell r="B885" t="str">
            <v>*096502</v>
          </cell>
          <cell r="C885" t="str">
            <v>Limpieza y nivelación de Terreno con Maquinaria</v>
          </cell>
          <cell r="D885" t="str">
            <v>M2</v>
          </cell>
          <cell r="E885">
            <v>600</v>
          </cell>
          <cell r="F885">
            <v>9.6</v>
          </cell>
          <cell r="G885">
            <v>3.0773000000000001</v>
          </cell>
          <cell r="H885">
            <v>0.71393359999999995</v>
          </cell>
          <cell r="I885">
            <v>3.7912336</v>
          </cell>
        </row>
        <row r="886">
          <cell r="B886" t="str">
            <v>*096503</v>
          </cell>
          <cell r="C886" t="str">
            <v>Trazo y replanteo ejes y niveles</v>
          </cell>
          <cell r="D886" t="str">
            <v>M2</v>
          </cell>
          <cell r="E886">
            <v>550</v>
          </cell>
          <cell r="F886">
            <v>9.6</v>
          </cell>
          <cell r="G886">
            <v>2.5355000000000003</v>
          </cell>
          <cell r="H886">
            <v>0.58823599999999998</v>
          </cell>
          <cell r="I886">
            <v>3.1237360000000001</v>
          </cell>
        </row>
        <row r="887">
          <cell r="B887" t="str">
            <v>*096504</v>
          </cell>
          <cell r="C887" t="str">
            <v>Excavación Manual de hoyos para Zapatas H=1.00M material suelto</v>
          </cell>
          <cell r="D887" t="str">
            <v>M3</v>
          </cell>
          <cell r="E887">
            <v>3.5</v>
          </cell>
          <cell r="F887">
            <v>9.6</v>
          </cell>
          <cell r="G887">
            <v>53.573399999999999</v>
          </cell>
          <cell r="H887">
            <v>12.429028799999999</v>
          </cell>
          <cell r="I887">
            <v>66.002428800000004</v>
          </cell>
        </row>
        <row r="888">
          <cell r="B888" t="str">
            <v>*096505</v>
          </cell>
          <cell r="C888" t="str">
            <v>Excavación Masiva de zanja para Sotanos con retroexcavadora</v>
          </cell>
          <cell r="D888" t="str">
            <v>M3</v>
          </cell>
          <cell r="E888">
            <v>800</v>
          </cell>
          <cell r="F888">
            <v>9.6</v>
          </cell>
          <cell r="G888">
            <v>4.8900000000000006</v>
          </cell>
          <cell r="H888">
            <v>1.1344800000000002</v>
          </cell>
          <cell r="I888">
            <v>6.0244800000000005</v>
          </cell>
        </row>
        <row r="889">
          <cell r="B889" t="str">
            <v>*096506</v>
          </cell>
          <cell r="C889" t="str">
            <v>Eliminacion de escombros / cascotes con retroexcavadora y traslado en volquete</v>
          </cell>
          <cell r="D889" t="str">
            <v>M3</v>
          </cell>
          <cell r="E889">
            <v>345</v>
          </cell>
          <cell r="F889">
            <v>9.6</v>
          </cell>
          <cell r="G889">
            <v>8.7919</v>
          </cell>
          <cell r="H889">
            <v>2.0397208</v>
          </cell>
          <cell r="I889">
            <v>10.8316208</v>
          </cell>
        </row>
        <row r="890">
          <cell r="B890" t="str">
            <v>*096507</v>
          </cell>
          <cell r="C890" t="str">
            <v>Habilitación y Colocación de Armadura para cimientos reforzados</v>
          </cell>
          <cell r="D890" t="str">
            <v>KG</v>
          </cell>
          <cell r="E890">
            <v>250</v>
          </cell>
          <cell r="F890">
            <v>9.6</v>
          </cell>
          <cell r="G890">
            <v>4.6563999999999997</v>
          </cell>
          <cell r="H890">
            <v>1.0802847999999998</v>
          </cell>
          <cell r="I890">
            <v>5.736684799999999</v>
          </cell>
        </row>
        <row r="891">
          <cell r="B891" t="str">
            <v>*096508</v>
          </cell>
          <cell r="C891" t="str">
            <v>Preparación y Colocación de Concreto para cimientos Reforzados fc=210 Kg/cm2</v>
          </cell>
          <cell r="D891" t="str">
            <v>M3</v>
          </cell>
          <cell r="E891">
            <v>25</v>
          </cell>
          <cell r="F891">
            <v>9.6</v>
          </cell>
          <cell r="G891">
            <v>373.35240000000005</v>
          </cell>
          <cell r="H891">
            <v>86.617756800000009</v>
          </cell>
          <cell r="I891">
            <v>459.97015680000004</v>
          </cell>
        </row>
        <row r="892">
          <cell r="B892" t="str">
            <v>*096509</v>
          </cell>
          <cell r="C892" t="str">
            <v>Encofrado / Desencofrado Normal para Cimientos reforzados</v>
          </cell>
          <cell r="D892" t="str">
            <v>M2</v>
          </cell>
          <cell r="E892">
            <v>10</v>
          </cell>
          <cell r="F892">
            <v>9.6</v>
          </cell>
          <cell r="G892">
            <v>58.844300000000004</v>
          </cell>
          <cell r="H892">
            <v>13.651877600000001</v>
          </cell>
          <cell r="I892">
            <v>72.49617760000001</v>
          </cell>
        </row>
        <row r="893">
          <cell r="B893" t="str">
            <v>*096510</v>
          </cell>
          <cell r="C893" t="str">
            <v>Habilitación y Colocación de Armadura para muros de contención</v>
          </cell>
          <cell r="D893" t="str">
            <v>KG</v>
          </cell>
          <cell r="E893">
            <v>250</v>
          </cell>
          <cell r="F893">
            <v>9.6</v>
          </cell>
          <cell r="G893">
            <v>4.6563999999999997</v>
          </cell>
          <cell r="H893">
            <v>1.0802847999999998</v>
          </cell>
          <cell r="I893">
            <v>5.736684799999999</v>
          </cell>
        </row>
        <row r="894">
          <cell r="B894" t="str">
            <v>*096511</v>
          </cell>
          <cell r="C894" t="str">
            <v>Preparación y colocación de Concreto para Muros de Contención fc=175 Kg/cm2</v>
          </cell>
          <cell r="D894" t="str">
            <v>M3</v>
          </cell>
          <cell r="E894">
            <v>11</v>
          </cell>
          <cell r="F894">
            <v>9.6</v>
          </cell>
          <cell r="G894">
            <v>527.0053999999999</v>
          </cell>
          <cell r="H894">
            <v>122.26525279999997</v>
          </cell>
          <cell r="I894">
            <v>649.27065279999988</v>
          </cell>
        </row>
        <row r="895">
          <cell r="B895" t="str">
            <v>*096512</v>
          </cell>
          <cell r="C895" t="str">
            <v>Encofrado y Desencofrado Caravista para Muros de Contención</v>
          </cell>
          <cell r="D895" t="str">
            <v>M2</v>
          </cell>
          <cell r="E895">
            <v>8</v>
          </cell>
          <cell r="F895">
            <v>9.6</v>
          </cell>
          <cell r="G895">
            <v>73.847800000000007</v>
          </cell>
          <cell r="H895">
            <v>17.132689599999999</v>
          </cell>
          <cell r="I895">
            <v>90.980489599999999</v>
          </cell>
        </row>
        <row r="896">
          <cell r="B896" t="str">
            <v>*096513</v>
          </cell>
          <cell r="C896" t="str">
            <v>Habilitación y Colocación de Armadura para columnas</v>
          </cell>
          <cell r="D896" t="str">
            <v>KG</v>
          </cell>
          <cell r="E896">
            <v>250</v>
          </cell>
          <cell r="F896">
            <v>9.6</v>
          </cell>
          <cell r="G896">
            <v>4.6563999999999997</v>
          </cell>
          <cell r="H896">
            <v>1.0802847999999998</v>
          </cell>
          <cell r="I896">
            <v>5.736684799999999</v>
          </cell>
        </row>
        <row r="897">
          <cell r="B897" t="str">
            <v>*096514</v>
          </cell>
          <cell r="C897" t="str">
            <v>Preparación y Colocación de Concreto para columnas fc=210 Kg/cm2</v>
          </cell>
          <cell r="D897" t="str">
            <v>M3</v>
          </cell>
          <cell r="E897">
            <v>12</v>
          </cell>
          <cell r="F897">
            <v>9.6</v>
          </cell>
          <cell r="G897">
            <v>524.40129999999999</v>
          </cell>
          <cell r="H897">
            <v>121.66110159999999</v>
          </cell>
          <cell r="I897">
            <v>646.06240159999993</v>
          </cell>
        </row>
        <row r="898">
          <cell r="B898" t="str">
            <v>*096515</v>
          </cell>
          <cell r="C898" t="str">
            <v>Encofrado y Desencofrado Caravista para Columnas</v>
          </cell>
          <cell r="D898" t="str">
            <v>M2</v>
          </cell>
          <cell r="E898">
            <v>6.8</v>
          </cell>
          <cell r="F898">
            <v>9.6</v>
          </cell>
          <cell r="G898">
            <v>89.303400000000011</v>
          </cell>
          <cell r="H898">
            <v>20.7183888</v>
          </cell>
          <cell r="I898">
            <v>110.02178880000001</v>
          </cell>
        </row>
        <row r="899">
          <cell r="B899" t="str">
            <v>*096516</v>
          </cell>
          <cell r="C899" t="str">
            <v>Habilitación y Colocación de Armadura para vigas</v>
          </cell>
          <cell r="D899" t="str">
            <v>KG</v>
          </cell>
          <cell r="E899">
            <v>250</v>
          </cell>
          <cell r="F899">
            <v>9.6</v>
          </cell>
          <cell r="G899">
            <v>4.6563999999999997</v>
          </cell>
          <cell r="H899">
            <v>1.0802847999999998</v>
          </cell>
          <cell r="I899">
            <v>5.736684799999999</v>
          </cell>
        </row>
        <row r="900">
          <cell r="B900" t="str">
            <v>*096517</v>
          </cell>
          <cell r="C900" t="str">
            <v>Preparación y Colocación de Concreto para vigas fc=210 Kg/cm2</v>
          </cell>
          <cell r="D900" t="str">
            <v>M3</v>
          </cell>
          <cell r="E900">
            <v>20</v>
          </cell>
          <cell r="F900">
            <v>9.6</v>
          </cell>
          <cell r="G900">
            <v>431.12720000000002</v>
          </cell>
          <cell r="H900">
            <v>100.0215104</v>
          </cell>
          <cell r="I900">
            <v>531.14871040000003</v>
          </cell>
        </row>
        <row r="901">
          <cell r="B901" t="str">
            <v>*096518</v>
          </cell>
          <cell r="C901" t="str">
            <v>Encofrado y Desencofrado Caravista para Vigas</v>
          </cell>
          <cell r="D901" t="str">
            <v>M2</v>
          </cell>
          <cell r="E901">
            <v>4.5</v>
          </cell>
          <cell r="F901">
            <v>9.6</v>
          </cell>
          <cell r="G901">
            <v>121.01740000000001</v>
          </cell>
          <cell r="H901">
            <v>28.076036800000001</v>
          </cell>
          <cell r="I901">
            <v>149.09343680000001</v>
          </cell>
        </row>
        <row r="902">
          <cell r="B902" t="str">
            <v>*096519</v>
          </cell>
          <cell r="C902" t="str">
            <v>Habilitación y Colocación de Armadura para losas macizas</v>
          </cell>
          <cell r="D902" t="str">
            <v>KG</v>
          </cell>
          <cell r="E902">
            <v>250</v>
          </cell>
          <cell r="F902">
            <v>9.6</v>
          </cell>
          <cell r="G902">
            <v>4.6563999999999997</v>
          </cell>
          <cell r="H902">
            <v>1.0802847999999998</v>
          </cell>
          <cell r="I902">
            <v>5.736684799999999</v>
          </cell>
        </row>
        <row r="903">
          <cell r="B903" t="str">
            <v>*096520</v>
          </cell>
          <cell r="C903" t="str">
            <v>Preparación y Colocación de Concreto para losas macizas fc=210 Kg/cm2</v>
          </cell>
          <cell r="D903" t="str">
            <v>M3</v>
          </cell>
          <cell r="E903">
            <v>18</v>
          </cell>
          <cell r="F903">
            <v>9.6</v>
          </cell>
          <cell r="G903">
            <v>447.64189999999996</v>
          </cell>
          <cell r="H903">
            <v>103.85292079999998</v>
          </cell>
          <cell r="I903">
            <v>551.49482079999996</v>
          </cell>
        </row>
        <row r="904">
          <cell r="B904" t="str">
            <v>*096521</v>
          </cell>
          <cell r="C904" t="str">
            <v>Encofrado y Desencofrado Caravista para Losa Maciza</v>
          </cell>
          <cell r="D904" t="str">
            <v>M2</v>
          </cell>
          <cell r="E904">
            <v>7</v>
          </cell>
          <cell r="F904">
            <v>9.6</v>
          </cell>
          <cell r="G904">
            <v>85.641199999999998</v>
          </cell>
          <cell r="H904">
            <v>19.868758399999997</v>
          </cell>
          <cell r="I904">
            <v>105.50995839999999</v>
          </cell>
        </row>
        <row r="905">
          <cell r="B905" t="str">
            <v>*096522</v>
          </cell>
          <cell r="C905" t="str">
            <v>Habilitación y Colocación de Armadura para losas aligeradas</v>
          </cell>
          <cell r="D905" t="str">
            <v>KG</v>
          </cell>
          <cell r="E905">
            <v>250</v>
          </cell>
          <cell r="F905">
            <v>9.6</v>
          </cell>
          <cell r="G905">
            <v>4.6563999999999997</v>
          </cell>
          <cell r="H905">
            <v>1.0802847999999998</v>
          </cell>
          <cell r="I905">
            <v>5.736684799999999</v>
          </cell>
        </row>
        <row r="906">
          <cell r="B906" t="str">
            <v>*096523</v>
          </cell>
          <cell r="C906" t="str">
            <v>Preparación y Colocación de Concreto para losa aligerada fc=210 kg/cm2</v>
          </cell>
          <cell r="D906" t="str">
            <v>M3</v>
          </cell>
          <cell r="E906">
            <v>25</v>
          </cell>
          <cell r="F906">
            <v>9.6</v>
          </cell>
          <cell r="G906">
            <v>413.53829999999999</v>
          </cell>
          <cell r="H906">
            <v>95.940885599999987</v>
          </cell>
          <cell r="I906">
            <v>509.47918559999999</v>
          </cell>
        </row>
        <row r="907">
          <cell r="B907" t="str">
            <v>*096524</v>
          </cell>
          <cell r="C907" t="str">
            <v>Colocación de ladrillo de arcilla para losa aligerada 15x30x30</v>
          </cell>
          <cell r="D907" t="str">
            <v>UN</v>
          </cell>
          <cell r="E907">
            <v>1600</v>
          </cell>
          <cell r="F907">
            <v>9.6</v>
          </cell>
          <cell r="G907">
            <v>2.5799999999999996</v>
          </cell>
          <cell r="H907">
            <v>0.59855999999999987</v>
          </cell>
          <cell r="I907">
            <v>3.1785599999999996</v>
          </cell>
        </row>
        <row r="908">
          <cell r="B908" t="str">
            <v>*096525</v>
          </cell>
          <cell r="C908" t="str">
            <v>Encofrado y Desencofrado Caravista para losa aligerada</v>
          </cell>
          <cell r="D908" t="str">
            <v>M2</v>
          </cell>
          <cell r="E908">
            <v>6.1</v>
          </cell>
          <cell r="F908">
            <v>9.6</v>
          </cell>
          <cell r="G908">
            <v>90.227399999999989</v>
          </cell>
          <cell r="H908">
            <v>20.932756799999996</v>
          </cell>
          <cell r="I908">
            <v>111.16015679999998</v>
          </cell>
        </row>
        <row r="909">
          <cell r="B909" t="str">
            <v>*096526</v>
          </cell>
          <cell r="C909" t="str">
            <v>Construcción de muro de ladrillo KK de arcilla, cv-cabeza mezcla 1:5</v>
          </cell>
          <cell r="D909" t="str">
            <v>M2</v>
          </cell>
          <cell r="E909">
            <v>5</v>
          </cell>
          <cell r="F909">
            <v>9.6</v>
          </cell>
          <cell r="G909">
            <v>73.534599999999998</v>
          </cell>
          <cell r="H909">
            <v>17.060027199999997</v>
          </cell>
          <cell r="I909">
            <v>90.594627199999991</v>
          </cell>
        </row>
        <row r="910">
          <cell r="B910" t="str">
            <v>*096527</v>
          </cell>
          <cell r="C910" t="str">
            <v>Cubierta con ladrillo pastelero 25x25 asentado con mezcla</v>
          </cell>
          <cell r="D910" t="str">
            <v>M2</v>
          </cell>
          <cell r="E910">
            <v>20</v>
          </cell>
          <cell r="F910">
            <v>9.6</v>
          </cell>
          <cell r="G910">
            <v>30.645700000000001</v>
          </cell>
          <cell r="H910">
            <v>7.1098023999999995</v>
          </cell>
          <cell r="I910">
            <v>37.755502399999997</v>
          </cell>
        </row>
        <row r="911">
          <cell r="B911" t="str">
            <v>*096528</v>
          </cell>
          <cell r="C911" t="str">
            <v>Manufactura y colocación de Puerta de Fierro</v>
          </cell>
          <cell r="D911" t="str">
            <v>M2</v>
          </cell>
          <cell r="E911">
            <v>2</v>
          </cell>
          <cell r="F911">
            <v>9.6</v>
          </cell>
          <cell r="G911">
            <v>217.44280000000001</v>
          </cell>
          <cell r="H911">
            <v>50.446729599999998</v>
          </cell>
          <cell r="I911">
            <v>267.8895296</v>
          </cell>
        </row>
        <row r="912">
          <cell r="B912" t="str">
            <v>*096529</v>
          </cell>
          <cell r="C912" t="str">
            <v>Manufactura y colocación de ventana de Fierro con reja de Seguridad</v>
          </cell>
          <cell r="D912" t="str">
            <v>M2</v>
          </cell>
          <cell r="E912">
            <v>1.5</v>
          </cell>
          <cell r="F912">
            <v>9.6</v>
          </cell>
          <cell r="G912">
            <v>320.61340000000001</v>
          </cell>
          <cell r="H912">
            <v>74.382308800000004</v>
          </cell>
          <cell r="I912">
            <v>394.99570879999999</v>
          </cell>
        </row>
        <row r="913">
          <cell r="B913" t="str">
            <v>*096530</v>
          </cell>
          <cell r="C913" t="str">
            <v>Manufactura y colocación de pasamanos de Tubo Galvanizado de 1"</v>
          </cell>
          <cell r="D913" t="str">
            <v>M</v>
          </cell>
          <cell r="E913">
            <v>6</v>
          </cell>
          <cell r="F913">
            <v>9.6</v>
          </cell>
          <cell r="G913">
            <v>77.578099999999992</v>
          </cell>
          <cell r="H913">
            <v>17.998119199999998</v>
          </cell>
          <cell r="I913">
            <v>95.576219199999997</v>
          </cell>
        </row>
        <row r="914">
          <cell r="B914" t="str">
            <v>*096531</v>
          </cell>
          <cell r="C914" t="str">
            <v>Manufactura y colocación de escalera de Gato, Tubo F.G. 1 1/2" y 3/4"</v>
          </cell>
          <cell r="D914" t="str">
            <v>M</v>
          </cell>
          <cell r="E914">
            <v>5</v>
          </cell>
          <cell r="F914">
            <v>9.6</v>
          </cell>
          <cell r="G914">
            <v>116.751</v>
          </cell>
          <cell r="H914">
            <v>27.086231999999999</v>
          </cell>
          <cell r="I914">
            <v>143.837232</v>
          </cell>
        </row>
        <row r="915">
          <cell r="B915" t="str">
            <v>*096532</v>
          </cell>
          <cell r="C915" t="str">
            <v>Colocación de bisagra tipo Capuchina Aluminizada de 4"</v>
          </cell>
          <cell r="D915" t="str">
            <v>UN</v>
          </cell>
          <cell r="E915">
            <v>12</v>
          </cell>
          <cell r="F915">
            <v>9.6</v>
          </cell>
          <cell r="G915">
            <v>41.064500000000002</v>
          </cell>
          <cell r="H915">
            <v>9.5269639999999995</v>
          </cell>
          <cell r="I915">
            <v>50.591464000000002</v>
          </cell>
        </row>
        <row r="916">
          <cell r="B916" t="str">
            <v>*096533</v>
          </cell>
          <cell r="C916" t="str">
            <v>Colocación de cerradura Puerta Principal Pesada</v>
          </cell>
          <cell r="D916" t="str">
            <v>UN</v>
          </cell>
          <cell r="E916">
            <v>4</v>
          </cell>
          <cell r="F916">
            <v>9.6</v>
          </cell>
          <cell r="G916">
            <v>95.731999999999999</v>
          </cell>
          <cell r="H916">
            <v>22.209823999999998</v>
          </cell>
          <cell r="I916">
            <v>117.941824</v>
          </cell>
        </row>
        <row r="917">
          <cell r="B917" t="str">
            <v>*096534</v>
          </cell>
          <cell r="C917" t="str">
            <v>Manufactura de buzón de desagüe STD de 0,60 m x 0,60 m</v>
          </cell>
          <cell r="D917" t="str">
            <v>UN</v>
          </cell>
          <cell r="E917">
            <v>0.5</v>
          </cell>
          <cell r="F917">
            <v>9.6</v>
          </cell>
          <cell r="G917">
            <v>2134.1554000000001</v>
          </cell>
          <cell r="H917">
            <v>495.12405280000002</v>
          </cell>
          <cell r="I917">
            <v>2629.2794527999999</v>
          </cell>
        </row>
        <row r="918">
          <cell r="B918" t="str">
            <v>*096535</v>
          </cell>
          <cell r="C918" t="str">
            <v>Colocación y habilitación de salida de techo, PVC-SEL cable TW12</v>
          </cell>
          <cell r="D918" t="str">
            <v>UN</v>
          </cell>
          <cell r="E918">
            <v>5</v>
          </cell>
          <cell r="F918">
            <v>9.6</v>
          </cell>
          <cell r="G918">
            <v>138.7287</v>
          </cell>
          <cell r="H918">
            <v>32.185058399999996</v>
          </cell>
          <cell r="I918">
            <v>170.91375840000001</v>
          </cell>
        </row>
        <row r="919">
          <cell r="B919" t="str">
            <v>*096536</v>
          </cell>
          <cell r="C919" t="str">
            <v>Colocación y habilitación de salida de pared, PVC-SEL cable TW12</v>
          </cell>
          <cell r="D919" t="str">
            <v>UN</v>
          </cell>
          <cell r="E919">
            <v>5</v>
          </cell>
          <cell r="F919">
            <v>9.6</v>
          </cell>
          <cell r="G919">
            <v>138.7287</v>
          </cell>
          <cell r="H919">
            <v>32.185058399999996</v>
          </cell>
          <cell r="I919">
            <v>170.91375840000001</v>
          </cell>
        </row>
        <row r="920">
          <cell r="B920" t="str">
            <v>*096537</v>
          </cell>
          <cell r="C920" t="str">
            <v>Colocación y habilitación de salida tomacorriente simple, PVC-SEL cable TW12</v>
          </cell>
          <cell r="D920" t="str">
            <v>UN</v>
          </cell>
          <cell r="E920">
            <v>4</v>
          </cell>
          <cell r="F920">
            <v>9.6</v>
          </cell>
          <cell r="G920">
            <v>155.6773</v>
          </cell>
          <cell r="H920">
            <v>36.117133599999995</v>
          </cell>
          <cell r="I920">
            <v>191.79443359999999</v>
          </cell>
        </row>
        <row r="921">
          <cell r="B921" t="str">
            <v>*096538</v>
          </cell>
          <cell r="C921" t="str">
            <v>Colocación de Tubo PVC SAP Ø=2"</v>
          </cell>
          <cell r="D921" t="str">
            <v>M</v>
          </cell>
          <cell r="E921">
            <v>60</v>
          </cell>
          <cell r="F921">
            <v>9.6</v>
          </cell>
          <cell r="G921">
            <v>4.4452999999999996</v>
          </cell>
          <cell r="H921">
            <v>1.0313095999999999</v>
          </cell>
          <cell r="I921">
            <v>5.4766095999999997</v>
          </cell>
        </row>
        <row r="922">
          <cell r="B922" t="str">
            <v>*096539</v>
          </cell>
          <cell r="C922" t="str">
            <v>Suministro y colocación de Grava para Sumidero</v>
          </cell>
          <cell r="D922" t="str">
            <v>M3</v>
          </cell>
          <cell r="E922">
            <v>30</v>
          </cell>
          <cell r="F922">
            <v>9.6</v>
          </cell>
          <cell r="G922">
            <v>50.978800000000007</v>
          </cell>
          <cell r="H922">
            <v>11.827081600000001</v>
          </cell>
          <cell r="I922">
            <v>62.805881600000006</v>
          </cell>
        </row>
        <row r="923">
          <cell r="B923" t="str">
            <v>*096540</v>
          </cell>
          <cell r="C923" t="str">
            <v>Suministro y colocación reja 0,40 m x 0,40 m para sumidero</v>
          </cell>
          <cell r="D923" t="str">
            <v>UN</v>
          </cell>
          <cell r="E923">
            <v>10</v>
          </cell>
          <cell r="F923">
            <v>9.6</v>
          </cell>
          <cell r="G923">
            <v>345.46000000000004</v>
          </cell>
          <cell r="H923">
            <v>80.146720000000002</v>
          </cell>
          <cell r="I923">
            <v>425.60672000000005</v>
          </cell>
        </row>
        <row r="924">
          <cell r="B924" t="str">
            <v>*096541</v>
          </cell>
          <cell r="C924" t="str">
            <v>Suministro y colocación de tapas metálicas de 1,20 m  x 0,60 m</v>
          </cell>
          <cell r="D924" t="str">
            <v>UN</v>
          </cell>
          <cell r="E924">
            <v>2</v>
          </cell>
          <cell r="F924">
            <v>9.6</v>
          </cell>
          <cell r="G924">
            <v>278.94030000000004</v>
          </cell>
          <cell r="H924">
            <v>64.714149599999999</v>
          </cell>
          <cell r="I924">
            <v>343.65444960000002</v>
          </cell>
        </row>
        <row r="925">
          <cell r="B925" t="str">
            <v>*096542</v>
          </cell>
          <cell r="C925" t="str">
            <v>Aplicación de Impermeabilizante</v>
          </cell>
          <cell r="D925" t="str">
            <v>M2</v>
          </cell>
          <cell r="E925">
            <v>15</v>
          </cell>
          <cell r="F925">
            <v>9.6</v>
          </cell>
          <cell r="G925">
            <v>62.794000000000004</v>
          </cell>
          <cell r="H925">
            <v>14.568208</v>
          </cell>
          <cell r="I925">
            <v>77.36220800000001</v>
          </cell>
        </row>
        <row r="926">
          <cell r="B926" t="str">
            <v>*096543</v>
          </cell>
          <cell r="C926" t="str">
            <v>Colocación de ductos de concreto de un metro lineal</v>
          </cell>
          <cell r="D926" t="str">
            <v>UN</v>
          </cell>
          <cell r="E926">
            <v>45</v>
          </cell>
          <cell r="F926">
            <v>9.6</v>
          </cell>
          <cell r="G926">
            <v>4.1667999999999994</v>
          </cell>
          <cell r="H926">
            <v>0.96669759999999982</v>
          </cell>
          <cell r="I926">
            <v>5.1334975999999992</v>
          </cell>
        </row>
        <row r="927">
          <cell r="B927" t="str">
            <v>*096544</v>
          </cell>
          <cell r="C927" t="str">
            <v>Colocación de ductos de PVC -Paso Cables</v>
          </cell>
          <cell r="D927" t="str">
            <v>M</v>
          </cell>
          <cell r="E927">
            <v>5</v>
          </cell>
          <cell r="F927">
            <v>9.6</v>
          </cell>
          <cell r="G927">
            <v>37.501300000000001</v>
          </cell>
          <cell r="H927">
            <v>8.7003015999999995</v>
          </cell>
          <cell r="I927">
            <v>46.201601600000004</v>
          </cell>
        </row>
        <row r="928">
          <cell r="B928" t="str">
            <v>*096545</v>
          </cell>
          <cell r="C928" t="str">
            <v>Relleno con material de préstamo-Tierra de Chacra</v>
          </cell>
          <cell r="D928" t="str">
            <v>M3</v>
          </cell>
          <cell r="E928">
            <v>30</v>
          </cell>
          <cell r="F928">
            <v>9.6</v>
          </cell>
          <cell r="G928">
            <v>82.463399999999993</v>
          </cell>
          <cell r="H928">
            <v>19.131508799999995</v>
          </cell>
          <cell r="I928">
            <v>101.59490879999998</v>
          </cell>
        </row>
        <row r="929">
          <cell r="B929" t="str">
            <v>*096546</v>
          </cell>
          <cell r="C929" t="str">
            <v>ENCONFRADO Y DESENCOFRADO PARA SARDINEL</v>
          </cell>
          <cell r="D929" t="str">
            <v>M2</v>
          </cell>
          <cell r="E929">
            <v>24.610800000000001</v>
          </cell>
          <cell r="F929">
            <v>9.6</v>
          </cell>
          <cell r="G929">
            <v>40.953499999999998</v>
          </cell>
          <cell r="H929">
            <v>9.5012119999999989</v>
          </cell>
          <cell r="I929">
            <v>50.454712000000001</v>
          </cell>
        </row>
        <row r="930">
          <cell r="B930" t="str">
            <v>*096547</v>
          </cell>
          <cell r="C930" t="str">
            <v>Preparación y colocación de Concreto PARA REPARACIÓN fc=175 Kg/cm2</v>
          </cell>
          <cell r="D930" t="str">
            <v>M3</v>
          </cell>
          <cell r="E930">
            <v>20</v>
          </cell>
          <cell r="F930">
            <v>9.6</v>
          </cell>
          <cell r="G930">
            <v>387.08679999999998</v>
          </cell>
          <cell r="H930">
            <v>89.80413759999999</v>
          </cell>
          <cell r="I930">
            <v>476.89093759999997</v>
          </cell>
        </row>
        <row r="931">
          <cell r="B931" t="str">
            <v>*096548</v>
          </cell>
          <cell r="C931" t="str">
            <v>Preparación y colocación de Concreto PARA REPARACIÓN fc=140 Kg/cm2</v>
          </cell>
          <cell r="D931" t="str">
            <v>M3</v>
          </cell>
          <cell r="E931">
            <v>20</v>
          </cell>
          <cell r="F931">
            <v>9.6</v>
          </cell>
          <cell r="G931">
            <v>357.83069999999998</v>
          </cell>
          <cell r="H931">
            <v>83.016722399999992</v>
          </cell>
          <cell r="I931">
            <v>440.84742239999997</v>
          </cell>
        </row>
        <row r="932">
          <cell r="B932" t="str">
            <v>*096549</v>
          </cell>
          <cell r="C932" t="str">
            <v>RETIRO DE CERRADURA PUERTA PRINCIPAL PESADA</v>
          </cell>
          <cell r="D932" t="str">
            <v>UN</v>
          </cell>
          <cell r="E932">
            <v>8.0374999999999996</v>
          </cell>
          <cell r="F932">
            <v>9.6</v>
          </cell>
          <cell r="G932">
            <v>66.258899999999997</v>
          </cell>
          <cell r="H932">
            <v>15.372064799999999</v>
          </cell>
          <cell r="I932">
            <v>81.630964800000001</v>
          </cell>
        </row>
        <row r="933">
          <cell r="B933" t="str">
            <v>*097020</v>
          </cell>
          <cell r="C933" t="str">
            <v>INSTALACION DE TAPA EN BUZON VEREDA  O SEMICAMARILLA</v>
          </cell>
          <cell r="D933" t="str">
            <v>Un</v>
          </cell>
          <cell r="E933">
            <v>18.495999999999999</v>
          </cell>
          <cell r="F933">
            <v>9.6</v>
          </cell>
          <cell r="G933">
            <v>34.852499999999999</v>
          </cell>
          <cell r="H933">
            <v>8.0857799999999997</v>
          </cell>
          <cell r="I933">
            <v>42.938279999999999</v>
          </cell>
        </row>
        <row r="934">
          <cell r="B934" t="str">
            <v>*097040</v>
          </cell>
          <cell r="C934" t="str">
            <v>INSTALACION DE TAPA EN BUZON CALZADA</v>
          </cell>
          <cell r="D934" t="str">
            <v>Un</v>
          </cell>
          <cell r="E934">
            <v>8.5559999999999992</v>
          </cell>
          <cell r="F934">
            <v>9.6</v>
          </cell>
          <cell r="G934">
            <v>75.342600000000004</v>
          </cell>
          <cell r="H934">
            <v>17.479483200000001</v>
          </cell>
          <cell r="I934">
            <v>92.822083200000009</v>
          </cell>
        </row>
        <row r="935">
          <cell r="B935" t="str">
            <v>*097080</v>
          </cell>
          <cell r="C935" t="str">
            <v>CONCRETAR TAPA DE SEMICAMARILLA</v>
          </cell>
          <cell r="D935" t="str">
            <v>Un</v>
          </cell>
          <cell r="E935">
            <v>7.2610000000000001</v>
          </cell>
          <cell r="F935">
            <v>9.6</v>
          </cell>
          <cell r="G935">
            <v>95.278099999999995</v>
          </cell>
          <cell r="H935">
            <v>22.104519199999999</v>
          </cell>
          <cell r="I935">
            <v>117.38261919999999</v>
          </cell>
        </row>
        <row r="936">
          <cell r="B936" t="str">
            <v>*097090</v>
          </cell>
          <cell r="C936" t="str">
            <v>INSTALACION DE MARCO DE BOVEDAS</v>
          </cell>
          <cell r="D936" t="str">
            <v>Un</v>
          </cell>
          <cell r="E936">
            <v>2.6937000000000002</v>
          </cell>
          <cell r="F936">
            <v>9.6</v>
          </cell>
          <cell r="G936">
            <v>313.88370000000003</v>
          </cell>
          <cell r="H936">
            <v>72.8210184</v>
          </cell>
          <cell r="I936">
            <v>386.70471840000005</v>
          </cell>
        </row>
        <row r="937">
          <cell r="B937" t="str">
            <v>*097100</v>
          </cell>
          <cell r="C937" t="str">
            <v>INSTALACION DE TAPA DE BOVEDA</v>
          </cell>
          <cell r="D937" t="str">
            <v>Un</v>
          </cell>
          <cell r="E937">
            <v>6.0076999999999998</v>
          </cell>
          <cell r="F937">
            <v>9.6</v>
          </cell>
          <cell r="G937">
            <v>128.62780000000001</v>
          </cell>
          <cell r="H937">
            <v>29.8416496</v>
          </cell>
          <cell r="I937">
            <v>158.46944960000002</v>
          </cell>
        </row>
        <row r="938">
          <cell r="B938" t="str">
            <v>*097130</v>
          </cell>
          <cell r="C938" t="str">
            <v>REPARACIONES(PARCHES)EN INTERIORES DE BUZONES SEMICAMARILLAS Y BOVEDAS</v>
          </cell>
          <cell r="D938" t="str">
            <v>UN</v>
          </cell>
          <cell r="E938">
            <v>9.1173999999999999</v>
          </cell>
          <cell r="F938">
            <v>9.6</v>
          </cell>
          <cell r="G938">
            <v>106.5342</v>
          </cell>
          <cell r="H938">
            <v>24.715934399999998</v>
          </cell>
          <cell r="I938">
            <v>131.25013440000001</v>
          </cell>
        </row>
        <row r="939">
          <cell r="B939" t="str">
            <v>*097170</v>
          </cell>
          <cell r="C939" t="str">
            <v>REPARACION DE FACHADA EDIFICIOS DAÑADOS EN MUROS POR NORMALIZACION DE CONEXIONES</v>
          </cell>
          <cell r="D939" t="str">
            <v>UN</v>
          </cell>
          <cell r="E939">
            <v>5.4276999999999997</v>
          </cell>
          <cell r="F939">
            <v>9.6</v>
          </cell>
          <cell r="G939">
            <v>127.45230000000001</v>
          </cell>
          <cell r="H939">
            <v>29.568933600000001</v>
          </cell>
          <cell r="I939">
            <v>157.02123360000002</v>
          </cell>
        </row>
        <row r="940">
          <cell r="B940" t="str">
            <v>*097200</v>
          </cell>
          <cell r="C940" t="str">
            <v>Relleno compactado y recuperación de nivel de terreno por retiro de equipos - 097200</v>
          </cell>
          <cell r="D940" t="str">
            <v>m3</v>
          </cell>
          <cell r="E940">
            <v>4.6954000000000002</v>
          </cell>
          <cell r="F940">
            <v>9.6</v>
          </cell>
          <cell r="G940">
            <v>118.2208</v>
          </cell>
          <cell r="H940">
            <v>27.427225599999996</v>
          </cell>
          <cell r="I940">
            <v>145.64802559999998</v>
          </cell>
        </row>
        <row r="941">
          <cell r="B941" t="str">
            <v>*097212</v>
          </cell>
          <cell r="C941" t="str">
            <v>SOLDAR CANDADO A CADENA</v>
          </cell>
          <cell r="D941" t="str">
            <v>UN</v>
          </cell>
          <cell r="E941">
            <v>21.177800000000001</v>
          </cell>
          <cell r="F941">
            <v>9.6</v>
          </cell>
          <cell r="G941">
            <v>23.9419</v>
          </cell>
          <cell r="H941">
            <v>5.5545207999999997</v>
          </cell>
          <cell r="I941">
            <v>29.496420799999999</v>
          </cell>
        </row>
        <row r="942">
          <cell r="B942" t="str">
            <v>*097230</v>
          </cell>
          <cell r="C942" t="str">
            <v>INSTALACION DE ESCALERA DE BOVEDA</v>
          </cell>
          <cell r="D942" t="str">
            <v>UN</v>
          </cell>
          <cell r="E942">
            <v>3.9094000000000002</v>
          </cell>
          <cell r="F942">
            <v>9.6</v>
          </cell>
          <cell r="G942">
            <v>178.32739999999998</v>
          </cell>
          <cell r="H942">
            <v>41.371956799999992</v>
          </cell>
          <cell r="I942">
            <v>219.69935679999998</v>
          </cell>
        </row>
        <row r="943">
          <cell r="B943" t="str">
            <v>*097260</v>
          </cell>
          <cell r="C943" t="str">
            <v>CAMBIAR BISAGRA EN ACCESO A BOVEDA</v>
          </cell>
          <cell r="D943" t="str">
            <v>UN</v>
          </cell>
          <cell r="E943">
            <v>11.098000000000001</v>
          </cell>
          <cell r="F943">
            <v>9.6</v>
          </cell>
          <cell r="G943">
            <v>102.1335</v>
          </cell>
          <cell r="H943">
            <v>23.694971999999996</v>
          </cell>
          <cell r="I943">
            <v>125.82847199999999</v>
          </cell>
        </row>
        <row r="944">
          <cell r="B944" t="str">
            <v>*097270</v>
          </cell>
          <cell r="C944" t="str">
            <v>CONFECCIONAR E INST. TAPA CUBRECANDADO EN TABL. O S.E. CUALQUIER TIPO</v>
          </cell>
          <cell r="D944" t="str">
            <v>UN</v>
          </cell>
          <cell r="E944">
            <v>7.0233999999999996</v>
          </cell>
          <cell r="F944">
            <v>9.6</v>
          </cell>
          <cell r="G944">
            <v>117.5254</v>
          </cell>
          <cell r="H944">
            <v>27.2658928</v>
          </cell>
          <cell r="I944">
            <v>144.79129280000001</v>
          </cell>
        </row>
        <row r="945">
          <cell r="B945" t="str">
            <v>*097280</v>
          </cell>
          <cell r="C945" t="str">
            <v>REPONER PLETINA EN REJILLA DE ACCESO O REJILLA CENTRAL EN BOVEDA</v>
          </cell>
          <cell r="D945" t="str">
            <v>UN</v>
          </cell>
          <cell r="E945">
            <v>49.932200000000002</v>
          </cell>
          <cell r="F945">
            <v>9.6</v>
          </cell>
          <cell r="G945">
            <v>39.841499999999996</v>
          </cell>
          <cell r="H945">
            <v>9.2432279999999984</v>
          </cell>
          <cell r="I945">
            <v>49.084727999999998</v>
          </cell>
        </row>
        <row r="946">
          <cell r="B946" t="str">
            <v>*097290</v>
          </cell>
          <cell r="C946" t="str">
            <v>SOLDAR PLETINA DESPRENDIDA DE REJILLA DE ACCESO TAPA CENTRAL O MARCO DE BOVED.</v>
          </cell>
          <cell r="D946" t="str">
            <v>UN</v>
          </cell>
          <cell r="E946">
            <v>5.8133999999999997</v>
          </cell>
          <cell r="F946">
            <v>9.6</v>
          </cell>
          <cell r="G946">
            <v>115.17129999999999</v>
          </cell>
          <cell r="H946">
            <v>26.719741599999995</v>
          </cell>
          <cell r="I946">
            <v>141.89104159999999</v>
          </cell>
        </row>
        <row r="947">
          <cell r="B947" t="str">
            <v>*097310</v>
          </cell>
          <cell r="C947" t="str">
            <v>SOLDAR PERNO Y/O ARANDELA P/INSTALAR  PLETINA DIAGONAL EN ACCESO A BOVEDA</v>
          </cell>
          <cell r="D947" t="str">
            <v>UN</v>
          </cell>
          <cell r="E947">
            <v>8.2097999999999995</v>
          </cell>
          <cell r="F947">
            <v>9.6</v>
          </cell>
          <cell r="G947">
            <v>102.51769999999999</v>
          </cell>
          <cell r="H947">
            <v>23.784106399999995</v>
          </cell>
          <cell r="I947">
            <v>126.30180639999999</v>
          </cell>
        </row>
        <row r="948">
          <cell r="B948" t="str">
            <v>*097330</v>
          </cell>
          <cell r="C948" t="str">
            <v>DEMOLICION Y RECONSTRUCCION LOSAS DE HORMIGON ARMADO EN BOVEDA</v>
          </cell>
          <cell r="D948" t="str">
            <v>m2</v>
          </cell>
          <cell r="E948">
            <v>2.2452999999999999</v>
          </cell>
          <cell r="F948">
            <v>9.6</v>
          </cell>
          <cell r="G948">
            <v>536.59699999999998</v>
          </cell>
          <cell r="H948">
            <v>124.49050399999999</v>
          </cell>
          <cell r="I948">
            <v>661.08750399999997</v>
          </cell>
        </row>
        <row r="949">
          <cell r="B949" t="str">
            <v>*097350</v>
          </cell>
          <cell r="C949" t="str">
            <v>PINTAR NUMEROS EN CAMARAS Y BOVEDAS</v>
          </cell>
          <cell r="D949" t="str">
            <v>UN</v>
          </cell>
          <cell r="E949">
            <v>23.5686</v>
          </cell>
          <cell r="F949">
            <v>9.6</v>
          </cell>
          <cell r="G949">
            <v>22.674699999999998</v>
          </cell>
          <cell r="H949">
            <v>5.2605303999999995</v>
          </cell>
          <cell r="I949">
            <v>27.935230399999998</v>
          </cell>
        </row>
        <row r="950">
          <cell r="B950" t="str">
            <v>*097360</v>
          </cell>
          <cell r="C950" t="str">
            <v>PINTAR Y COLOCAR LETREROS EN BOVEDAS, TRANSF. Y EQUIPOS</v>
          </cell>
          <cell r="D950" t="str">
            <v>UN</v>
          </cell>
          <cell r="E950">
            <v>7.2417999999999996</v>
          </cell>
          <cell r="F950">
            <v>9.6</v>
          </cell>
          <cell r="G950">
            <v>70.048099999999991</v>
          </cell>
          <cell r="H950">
            <v>16.251159199999996</v>
          </cell>
          <cell r="I950">
            <v>86.299259199999995</v>
          </cell>
        </row>
        <row r="951">
          <cell r="B951" t="str">
            <v>*097420</v>
          </cell>
          <cell r="C951" t="str">
            <v>RETIRO DE BASURA Y BARRO EN CAMARA Y BOVEDA</v>
          </cell>
          <cell r="D951" t="str">
            <v>UN</v>
          </cell>
          <cell r="E951">
            <v>20.651399999999999</v>
          </cell>
          <cell r="F951">
            <v>9.6</v>
          </cell>
          <cell r="G951">
            <v>34.2483</v>
          </cell>
          <cell r="H951">
            <v>7.9456055999999995</v>
          </cell>
          <cell r="I951">
            <v>42.193905600000001</v>
          </cell>
        </row>
        <row r="952">
          <cell r="B952" t="str">
            <v>*097450</v>
          </cell>
          <cell r="C952" t="str">
            <v>CONSTRUCCION DE BASES DE CONCRETO PARA  POSTE AT/BT (OBRA VENDIDA)</v>
          </cell>
          <cell r="D952" t="str">
            <v>Un</v>
          </cell>
          <cell r="E952">
            <v>8.8423999999999996</v>
          </cell>
          <cell r="F952">
            <v>9.6</v>
          </cell>
          <cell r="G952">
            <v>185.26130000000001</v>
          </cell>
          <cell r="H952">
            <v>42.980621599999999</v>
          </cell>
          <cell r="I952">
            <v>228.24192160000001</v>
          </cell>
        </row>
        <row r="953">
          <cell r="B953" t="str">
            <v>*097999</v>
          </cell>
          <cell r="C953" t="str">
            <v>RETIRO DE ABRAZADERA P/PASTORAL DE FIERRO SIMPLE O DOBLE (mantenimiento)</v>
          </cell>
          <cell r="D953" t="str">
            <v>UN</v>
          </cell>
          <cell r="E953">
            <v>57.341200000000001</v>
          </cell>
          <cell r="F953">
            <v>9.6</v>
          </cell>
          <cell r="G953">
            <v>9.7988999999999997</v>
          </cell>
          <cell r="H953">
            <v>2.2733447999999998</v>
          </cell>
          <cell r="I953">
            <v>12.0722448</v>
          </cell>
        </row>
        <row r="954">
          <cell r="B954" t="str">
            <v>*098000</v>
          </cell>
          <cell r="C954" t="str">
            <v>COLOCACIÓN DE ABRAZADERA P/PASTORAL DE FIERRO SIMPLE O DOBLE (mantenimiento)</v>
          </cell>
          <cell r="D954" t="str">
            <v>UN</v>
          </cell>
          <cell r="E954">
            <v>40.14</v>
          </cell>
          <cell r="F954">
            <v>9.6</v>
          </cell>
          <cell r="G954">
            <v>13.998099999999999</v>
          </cell>
          <cell r="H954">
            <v>3.2475591999999995</v>
          </cell>
          <cell r="I954">
            <v>17.245659199999999</v>
          </cell>
        </row>
        <row r="955">
          <cell r="B955" t="str">
            <v>*098020</v>
          </cell>
          <cell r="C955" t="str">
            <v>COLOCACIÓN DE ZÓCALO PARA POSTE</v>
          </cell>
          <cell r="D955" t="str">
            <v>UN</v>
          </cell>
          <cell r="E955">
            <v>25</v>
          </cell>
          <cell r="F955">
            <v>9.6</v>
          </cell>
          <cell r="G955">
            <v>40.628699999999988</v>
          </cell>
          <cell r="H955">
            <v>9.4258583999999956</v>
          </cell>
          <cell r="I955">
            <v>50.054558399999983</v>
          </cell>
        </row>
        <row r="956">
          <cell r="B956" t="str">
            <v>*098040</v>
          </cell>
          <cell r="C956" t="str">
            <v>INSTALACIÓN DE MANGA MUERTA (ANILLO)</v>
          </cell>
          <cell r="D956" t="str">
            <v>UN</v>
          </cell>
          <cell r="E956">
            <v>25.8399</v>
          </cell>
          <cell r="F956">
            <v>9.6</v>
          </cell>
          <cell r="G956">
            <v>25.424099999999996</v>
          </cell>
          <cell r="H956">
            <v>5.8983911999999989</v>
          </cell>
          <cell r="I956">
            <v>31.322491199999995</v>
          </cell>
        </row>
        <row r="957">
          <cell r="B957" t="str">
            <v>*098070</v>
          </cell>
          <cell r="C957" t="str">
            <v>REACONDICIONAMIENTO PASTORAL CUALQUIER TIPO EN TALLER</v>
          </cell>
          <cell r="D957" t="str">
            <v>UN</v>
          </cell>
          <cell r="E957">
            <v>13</v>
          </cell>
          <cell r="F957">
            <v>9.6</v>
          </cell>
          <cell r="G957">
            <v>63.325700000000005</v>
          </cell>
          <cell r="H957">
            <v>14.6915624</v>
          </cell>
          <cell r="I957">
            <v>78.017262400000007</v>
          </cell>
        </row>
        <row r="958">
          <cell r="B958" t="str">
            <v>*098100</v>
          </cell>
          <cell r="C958" t="str">
            <v>CAMBIO CORTACIRCUITO TIPO T-30</v>
          </cell>
          <cell r="D958" t="str">
            <v>UN</v>
          </cell>
          <cell r="E958">
            <v>25.289400000000001</v>
          </cell>
          <cell r="F958">
            <v>9.6</v>
          </cell>
          <cell r="G958">
            <v>19.582899999999999</v>
          </cell>
          <cell r="H958">
            <v>4.5432327999999993</v>
          </cell>
          <cell r="I958">
            <v>24.126132799999997</v>
          </cell>
        </row>
        <row r="959">
          <cell r="B959" t="str">
            <v>*098110</v>
          </cell>
          <cell r="C959" t="str">
            <v>CAMBIO BASE PORTAFUSIBLE UNIPOLAR EN CAJA F1,F2</v>
          </cell>
          <cell r="D959" t="str">
            <v>UN</v>
          </cell>
          <cell r="E959">
            <v>38.495100000000001</v>
          </cell>
          <cell r="F959">
            <v>9.6</v>
          </cell>
          <cell r="G959">
            <v>12.8651</v>
          </cell>
          <cell r="H959">
            <v>2.9847031999999998</v>
          </cell>
          <cell r="I959">
            <v>15.8498032</v>
          </cell>
        </row>
        <row r="960">
          <cell r="B960" t="str">
            <v>*098120</v>
          </cell>
          <cell r="C960" t="str">
            <v>CAMBIO DE CAJA F1 O 3B, INCLUYE RETIRO</v>
          </cell>
          <cell r="D960" t="str">
            <v>UN</v>
          </cell>
          <cell r="E960">
            <v>5.4260999999999999</v>
          </cell>
          <cell r="F960">
            <v>9.6</v>
          </cell>
          <cell r="G960">
            <v>91.269900000000007</v>
          </cell>
          <cell r="H960">
            <v>21.174616799999999</v>
          </cell>
          <cell r="I960">
            <v>112.4445168</v>
          </cell>
        </row>
        <row r="961">
          <cell r="B961" t="str">
            <v>*098141</v>
          </cell>
          <cell r="C961" t="str">
            <v>RETIRO DE EQUPAMIENTO DE CAJA F2</v>
          </cell>
          <cell r="D961" t="str">
            <v>UN</v>
          </cell>
          <cell r="E961">
            <v>9.8895999999999997</v>
          </cell>
          <cell r="F961">
            <v>9.6</v>
          </cell>
          <cell r="G961">
            <v>46.235399999999998</v>
          </cell>
          <cell r="H961">
            <v>10.726612799999998</v>
          </cell>
          <cell r="I961">
            <v>56.962012799999997</v>
          </cell>
        </row>
        <row r="962">
          <cell r="B962" t="str">
            <v>*098142</v>
          </cell>
          <cell r="C962" t="str">
            <v>EQUPAMIENTO DE CAJA F2</v>
          </cell>
          <cell r="D962" t="str">
            <v>UN</v>
          </cell>
          <cell r="E962">
            <v>6.9226999999999999</v>
          </cell>
          <cell r="F962">
            <v>9.6</v>
          </cell>
          <cell r="G962">
            <v>66.050700000000006</v>
          </cell>
          <cell r="H962">
            <v>15.3237624</v>
          </cell>
          <cell r="I962">
            <v>81.374462399999999</v>
          </cell>
        </row>
        <row r="963">
          <cell r="B963" t="str">
            <v>*098144</v>
          </cell>
          <cell r="C963" t="str">
            <v>EQUIPAMIENTO DE CAJA F3</v>
          </cell>
          <cell r="D963" t="str">
            <v>UN</v>
          </cell>
          <cell r="E963">
            <v>3.4609999999999999</v>
          </cell>
          <cell r="F963">
            <v>9.6</v>
          </cell>
          <cell r="G963">
            <v>149.76679999999999</v>
          </cell>
          <cell r="H963">
            <v>34.745897599999992</v>
          </cell>
          <cell r="I963">
            <v>184.51269759999997</v>
          </cell>
        </row>
        <row r="964">
          <cell r="B964" t="str">
            <v>*098145</v>
          </cell>
          <cell r="C964" t="str">
            <v>RETIRO DE EQUIPAMIENTO DE CAJA F4</v>
          </cell>
          <cell r="D964" t="str">
            <v>UN</v>
          </cell>
          <cell r="E964">
            <v>3.6225999999999998</v>
          </cell>
          <cell r="F964">
            <v>9.6</v>
          </cell>
          <cell r="G964">
            <v>136.70819999999998</v>
          </cell>
          <cell r="H964">
            <v>31.716302399999993</v>
          </cell>
          <cell r="I964">
            <v>168.42450239999997</v>
          </cell>
        </row>
        <row r="965">
          <cell r="B965" t="str">
            <v>*098146</v>
          </cell>
          <cell r="C965" t="str">
            <v>EQUIPAMIENTO DE CAJA F4</v>
          </cell>
          <cell r="D965" t="str">
            <v>UN</v>
          </cell>
          <cell r="E965">
            <v>2.5358000000000001</v>
          </cell>
          <cell r="F965">
            <v>9.6</v>
          </cell>
          <cell r="G965">
            <v>195.29900000000001</v>
          </cell>
          <cell r="H965">
            <v>45.309367999999999</v>
          </cell>
          <cell r="I965">
            <v>240.60836800000001</v>
          </cell>
        </row>
        <row r="966">
          <cell r="B966" t="str">
            <v>*098150</v>
          </cell>
          <cell r="C966" t="str">
            <v>CAMBIO DE CAJA L O LT, INCLUYE RETIRO</v>
          </cell>
          <cell r="D966" t="str">
            <v>UN</v>
          </cell>
          <cell r="E966">
            <v>8.9390999999999998</v>
          </cell>
          <cell r="F966">
            <v>9.6</v>
          </cell>
          <cell r="G966">
            <v>51.329099999999997</v>
          </cell>
          <cell r="H966">
            <v>11.908351199999998</v>
          </cell>
          <cell r="I966">
            <v>63.237451199999995</v>
          </cell>
        </row>
        <row r="967">
          <cell r="B967" t="str">
            <v>*098160</v>
          </cell>
          <cell r="C967" t="str">
            <v>CAMBIO DE CERRADURA CAJA L, LT,F1,F2,F3 Ó 3B</v>
          </cell>
          <cell r="D967" t="str">
            <v>UN</v>
          </cell>
          <cell r="E967">
            <v>60.3217</v>
          </cell>
          <cell r="F967">
            <v>9.6</v>
          </cell>
          <cell r="G967">
            <v>5.6276000000000002</v>
          </cell>
          <cell r="H967">
            <v>1.3056032</v>
          </cell>
          <cell r="I967">
            <v>6.9332032000000003</v>
          </cell>
        </row>
        <row r="968">
          <cell r="B968" t="str">
            <v>*098161</v>
          </cell>
          <cell r="C968" t="str">
            <v>CAMBIO DE CERRADURA CAJA L, LT,F1,F2,F3 Ó 3B MASIVO</v>
          </cell>
          <cell r="D968" t="str">
            <v>UN</v>
          </cell>
          <cell r="E968">
            <v>128</v>
          </cell>
          <cell r="F968">
            <v>9.6</v>
          </cell>
          <cell r="G968">
            <v>2.2178999999999998</v>
          </cell>
          <cell r="H968">
            <v>0.51455279999999992</v>
          </cell>
          <cell r="I968">
            <v>2.7324527999999999</v>
          </cell>
        </row>
        <row r="969">
          <cell r="B969" t="str">
            <v>*098162</v>
          </cell>
          <cell r="C969" t="str">
            <v>CAMBIO DE CERRADURA CAJA L, LT,F1,F2,F3 Ó 3B DISPERSO</v>
          </cell>
          <cell r="D969" t="str">
            <v>UN</v>
          </cell>
          <cell r="E969">
            <v>128</v>
          </cell>
          <cell r="F969">
            <v>9.6</v>
          </cell>
          <cell r="G969">
            <v>3.4274999999999998</v>
          </cell>
          <cell r="H969">
            <v>0.79517999999999989</v>
          </cell>
          <cell r="I969">
            <v>4.2226799999999995</v>
          </cell>
        </row>
        <row r="970">
          <cell r="B970" t="str">
            <v>*098170</v>
          </cell>
          <cell r="C970" t="str">
            <v>CAMBIO DE CORTACIRCUITO TIPO C</v>
          </cell>
          <cell r="D970" t="str">
            <v>UN</v>
          </cell>
          <cell r="E970">
            <v>46.770200000000003</v>
          </cell>
          <cell r="F970">
            <v>9.6</v>
          </cell>
          <cell r="G970">
            <v>7.2581999999999995</v>
          </cell>
          <cell r="H970">
            <v>1.6839023999999998</v>
          </cell>
          <cell r="I970">
            <v>8.9421023999999996</v>
          </cell>
        </row>
        <row r="971">
          <cell r="B971" t="str">
            <v>*098171</v>
          </cell>
          <cell r="C971" t="str">
            <v>CAMBIO DE LOZA PORTAFUSIBLE O ITM HASTA 20KW - USO MANTENIMIENTO (CON CAMIONETA STATION)</v>
          </cell>
          <cell r="D971" t="str">
            <v>UN</v>
          </cell>
          <cell r="E971">
            <v>43.243200000000002</v>
          </cell>
          <cell r="F971">
            <v>9.6</v>
          </cell>
          <cell r="G971">
            <v>10.1995</v>
          </cell>
          <cell r="H971">
            <v>2.3662839999999998</v>
          </cell>
          <cell r="I971">
            <v>12.565784000000001</v>
          </cell>
        </row>
        <row r="972">
          <cell r="B972" t="str">
            <v>*098172</v>
          </cell>
          <cell r="C972" t="str">
            <v>CAMBIO DE LOZA PORTAFUSIBLE O ITM HASTA 20KW EN TRABAJOS MAYORES (CON CAMIÓN 4 TON)</v>
          </cell>
          <cell r="D972" t="str">
            <v>UN</v>
          </cell>
          <cell r="E972">
            <v>43.243200000000002</v>
          </cell>
          <cell r="F972">
            <v>9.6</v>
          </cell>
          <cell r="G972">
            <v>7.2843</v>
          </cell>
          <cell r="H972">
            <v>1.6899575999999998</v>
          </cell>
          <cell r="I972">
            <v>8.9742575999999996</v>
          </cell>
        </row>
        <row r="973">
          <cell r="B973" t="str">
            <v>*098173</v>
          </cell>
          <cell r="C973" t="str">
            <v>CAMBIO DE LOZA PORTAFUSIBLE O ITM HASTA 20KW CON CUADRILLA DE CONEXIONES</v>
          </cell>
          <cell r="D973" t="str">
            <v>UN</v>
          </cell>
          <cell r="E973">
            <v>18.6892</v>
          </cell>
          <cell r="F973">
            <v>9.6</v>
          </cell>
          <cell r="G973">
            <v>34.736699999999999</v>
          </cell>
          <cell r="H973">
            <v>8.058914399999999</v>
          </cell>
          <cell r="I973">
            <v>42.795614399999998</v>
          </cell>
        </row>
        <row r="974">
          <cell r="B974" t="str">
            <v>*098180</v>
          </cell>
          <cell r="C974" t="str">
            <v>CAMBIO DE FUSIBLES TIPO C</v>
          </cell>
          <cell r="D974" t="str">
            <v>UN</v>
          </cell>
          <cell r="E974">
            <v>161.34270000000001</v>
          </cell>
          <cell r="F974">
            <v>9.6</v>
          </cell>
          <cell r="G974">
            <v>2.1040999999999999</v>
          </cell>
          <cell r="H974">
            <v>0.48815119999999995</v>
          </cell>
          <cell r="I974">
            <v>2.5922511999999998</v>
          </cell>
        </row>
        <row r="975">
          <cell r="B975" t="str">
            <v>*098190</v>
          </cell>
          <cell r="C975" t="str">
            <v>CAMBIO DE FUSIBLE TIPO LAMINA POR FASE</v>
          </cell>
          <cell r="D975" t="str">
            <v>UN</v>
          </cell>
          <cell r="E975">
            <v>52.026899999999998</v>
          </cell>
          <cell r="F975">
            <v>9.6</v>
          </cell>
          <cell r="G975">
            <v>6.5247000000000002</v>
          </cell>
          <cell r="H975">
            <v>1.5137304</v>
          </cell>
          <cell r="I975">
            <v>8.0384303999999993</v>
          </cell>
        </row>
        <row r="976">
          <cell r="B976" t="str">
            <v>*098191</v>
          </cell>
          <cell r="C976" t="str">
            <v>CAMBIO DE FUSIBLES TIPO LÁMINA EN CAJA F1, F2, F3 O F4 PARA CUADRILLA DE CONEXIONES PROYECTOS</v>
          </cell>
          <cell r="D976" t="str">
            <v>UN</v>
          </cell>
          <cell r="E976">
            <v>8.9939999999999998</v>
          </cell>
          <cell r="F976">
            <v>9.6</v>
          </cell>
          <cell r="G976">
            <v>53.6783</v>
          </cell>
          <cell r="H976">
            <v>12.4533656</v>
          </cell>
          <cell r="I976">
            <v>66.131665600000005</v>
          </cell>
        </row>
        <row r="977">
          <cell r="B977" t="str">
            <v>*098198</v>
          </cell>
          <cell r="C977" t="str">
            <v>Traslado de tubo corrugado</v>
          </cell>
          <cell r="D977" t="str">
            <v>UN</v>
          </cell>
          <cell r="E977">
            <v>82.061000000000007</v>
          </cell>
          <cell r="F977">
            <v>9.6</v>
          </cell>
          <cell r="G977">
            <v>4.2837000000000005</v>
          </cell>
          <cell r="H977">
            <v>0.9938184000000001</v>
          </cell>
          <cell r="I977">
            <v>5.2775184000000008</v>
          </cell>
        </row>
        <row r="978">
          <cell r="B978" t="str">
            <v>*098199</v>
          </cell>
          <cell r="C978" t="str">
            <v>RETIRO DE TUBO CORRUGADO/APLICACIÓN DE SILICONA EN CAMIONETA TIPO COMBI</v>
          </cell>
          <cell r="D978" t="str">
            <v>UN</v>
          </cell>
          <cell r="E978">
            <v>193.34119999999999</v>
          </cell>
          <cell r="F978">
            <v>9.6</v>
          </cell>
          <cell r="G978">
            <v>2.2761999999999998</v>
          </cell>
          <cell r="H978">
            <v>0.52807839999999995</v>
          </cell>
          <cell r="I978">
            <v>2.8042783999999998</v>
          </cell>
        </row>
        <row r="979">
          <cell r="B979" t="str">
            <v>*098200</v>
          </cell>
          <cell r="C979" t="str">
            <v>CAMBIO DE MICA CAJA L O LT DISPERSO</v>
          </cell>
          <cell r="D979" t="str">
            <v>UN</v>
          </cell>
          <cell r="E979">
            <v>86.469899999999996</v>
          </cell>
          <cell r="F979">
            <v>9.6</v>
          </cell>
          <cell r="G979">
            <v>3.5464000000000002</v>
          </cell>
          <cell r="H979">
            <v>0.82276479999999996</v>
          </cell>
          <cell r="I979">
            <v>4.3691648000000001</v>
          </cell>
        </row>
        <row r="980">
          <cell r="B980" t="str">
            <v>*098201</v>
          </cell>
          <cell r="C980" t="str">
            <v>CAMBIO DE MICA CAJA L O LT MASIVO</v>
          </cell>
          <cell r="D980" t="str">
            <v>UN</v>
          </cell>
          <cell r="E980">
            <v>311.37060000000002</v>
          </cell>
          <cell r="F980">
            <v>9.6</v>
          </cell>
          <cell r="G980">
            <v>0.87429999999999997</v>
          </cell>
          <cell r="H980">
            <v>0.20283759999999998</v>
          </cell>
          <cell r="I980">
            <v>1.0771375999999999</v>
          </cell>
        </row>
        <row r="981">
          <cell r="B981" t="str">
            <v>*098202</v>
          </cell>
          <cell r="C981" t="str">
            <v>CAMBIO DE MICA CAJA L O LT DISPERSO</v>
          </cell>
          <cell r="D981" t="str">
            <v>UN</v>
          </cell>
          <cell r="E981">
            <v>311.37060000000002</v>
          </cell>
          <cell r="F981">
            <v>9.6</v>
          </cell>
          <cell r="G981">
            <v>1.3714999999999999</v>
          </cell>
          <cell r="H981">
            <v>0.31818799999999997</v>
          </cell>
          <cell r="I981">
            <v>1.6896879999999999</v>
          </cell>
        </row>
        <row r="982">
          <cell r="B982" t="str">
            <v>*098203</v>
          </cell>
          <cell r="C982" t="str">
            <v>Instalación de tubo corrugado/aplicación de silicona en camioneta tipo combi</v>
          </cell>
          <cell r="D982" t="str">
            <v>UN</v>
          </cell>
          <cell r="E982">
            <v>115.2</v>
          </cell>
          <cell r="F982">
            <v>9.6</v>
          </cell>
          <cell r="G982">
            <v>3.2803999999999998</v>
          </cell>
          <cell r="H982">
            <v>0.76105279999999986</v>
          </cell>
          <cell r="I982">
            <v>4.0414528000000001</v>
          </cell>
        </row>
        <row r="983">
          <cell r="B983" t="str">
            <v>*098204</v>
          </cell>
          <cell r="C983" t="str">
            <v>Instalación de tubo corrugado/aplicación de silicona en camioneta station wagon</v>
          </cell>
          <cell r="D983" t="str">
            <v>UN</v>
          </cell>
          <cell r="E983">
            <v>115.2</v>
          </cell>
          <cell r="F983">
            <v>9.6</v>
          </cell>
          <cell r="G983">
            <v>4.6243999999999996</v>
          </cell>
          <cell r="H983">
            <v>1.0728607999999999</v>
          </cell>
          <cell r="I983">
            <v>5.6972607999999996</v>
          </cell>
        </row>
        <row r="984">
          <cell r="B984" t="str">
            <v>*098205</v>
          </cell>
          <cell r="C984" t="str">
            <v>Limpieza y ajuste de conexiones (masivo)</v>
          </cell>
          <cell r="D984" t="str">
            <v>UN</v>
          </cell>
          <cell r="E984">
            <v>46.323700000000002</v>
          </cell>
          <cell r="F984">
            <v>9.6</v>
          </cell>
          <cell r="G984">
            <v>5.9976000000000012</v>
          </cell>
          <cell r="H984">
            <v>1.3914432000000001</v>
          </cell>
          <cell r="I984">
            <v>7.3890432000000015</v>
          </cell>
        </row>
        <row r="985">
          <cell r="B985" t="str">
            <v>*098206</v>
          </cell>
          <cell r="C985" t="str">
            <v>Limpieza y ajuste de conexiones (disperso)</v>
          </cell>
          <cell r="D985" t="str">
            <v>UN</v>
          </cell>
          <cell r="E985">
            <v>26.264500000000002</v>
          </cell>
          <cell r="F985">
            <v>9.6</v>
          </cell>
          <cell r="G985">
            <v>16.3962</v>
          </cell>
          <cell r="H985">
            <v>3.8039183999999997</v>
          </cell>
          <cell r="I985">
            <v>20.200118400000001</v>
          </cell>
        </row>
        <row r="986">
          <cell r="B986" t="str">
            <v>*098207</v>
          </cell>
          <cell r="C986" t="str">
            <v>Pintado y rotulado de tapa de conexiones (complemento a limpieza y ajuste de conexiones masivo)</v>
          </cell>
          <cell r="D986" t="str">
            <v>UN</v>
          </cell>
          <cell r="E986">
            <v>58.181800000000003</v>
          </cell>
          <cell r="F986">
            <v>9.6</v>
          </cell>
          <cell r="G986">
            <v>5.5271000000000008</v>
          </cell>
          <cell r="H986">
            <v>1.2822872000000001</v>
          </cell>
          <cell r="I986">
            <v>6.8093872000000006</v>
          </cell>
        </row>
        <row r="987">
          <cell r="B987" t="str">
            <v>*098208</v>
          </cell>
          <cell r="C987" t="str">
            <v>Rotulado de tapa de conexiones sin pintado de tapa</v>
          </cell>
          <cell r="D987" t="str">
            <v>UN</v>
          </cell>
          <cell r="E987">
            <v>102.6865</v>
          </cell>
          <cell r="F987">
            <v>9.6</v>
          </cell>
          <cell r="G987">
            <v>2.2533000000000003</v>
          </cell>
          <cell r="H987">
            <v>0.52276560000000005</v>
          </cell>
          <cell r="I987">
            <v>2.7760656000000004</v>
          </cell>
        </row>
        <row r="988">
          <cell r="B988" t="str">
            <v>*098210</v>
          </cell>
          <cell r="C988" t="str">
            <v>CAMBIO DE REDUCTORES DE CORRIENTE (CADA UNO)</v>
          </cell>
          <cell r="D988" t="str">
            <v>UN</v>
          </cell>
          <cell r="E988">
            <v>26.828700000000001</v>
          </cell>
          <cell r="F988">
            <v>9.6</v>
          </cell>
          <cell r="G988">
            <v>19.003800000000002</v>
          </cell>
          <cell r="H988">
            <v>4.4088816</v>
          </cell>
          <cell r="I988">
            <v>23.412681600000003</v>
          </cell>
        </row>
        <row r="989">
          <cell r="B989" t="str">
            <v>*098211</v>
          </cell>
          <cell r="C989" t="str">
            <v>PINTADO DE CRUCE PEATONAL POR METRO LINEAL DE CRUZADA</v>
          </cell>
          <cell r="D989" t="str">
            <v>M</v>
          </cell>
          <cell r="E989">
            <v>25.769200000000001</v>
          </cell>
          <cell r="F989">
            <v>9.6</v>
          </cell>
          <cell r="G989">
            <v>38.348600000000005</v>
          </cell>
          <cell r="H989">
            <v>8.8968752000000002</v>
          </cell>
          <cell r="I989">
            <v>47.245475200000001</v>
          </cell>
        </row>
        <row r="990">
          <cell r="B990" t="str">
            <v>*098212</v>
          </cell>
          <cell r="C990" t="str">
            <v>PINTADO DE CRUCE PEATONAL, FLECHAS, LÍNEAS EN PISTA Y BORDE DE VEREDA POR M2</v>
          </cell>
          <cell r="D990" t="str">
            <v>M2</v>
          </cell>
          <cell r="E990">
            <v>51.461500000000001</v>
          </cell>
          <cell r="F990">
            <v>9.6</v>
          </cell>
          <cell r="G990">
            <v>19.377400000000002</v>
          </cell>
          <cell r="H990">
            <v>4.4955568000000001</v>
          </cell>
          <cell r="I990">
            <v>23.872956800000001</v>
          </cell>
        </row>
        <row r="991">
          <cell r="B991" t="str">
            <v>*098213</v>
          </cell>
          <cell r="C991" t="str">
            <v>Limpieza y ajuste de conexiones para medición indirecta (disperso)</v>
          </cell>
          <cell r="D991" t="str">
            <v>UN</v>
          </cell>
          <cell r="E991">
            <v>14.4915</v>
          </cell>
          <cell r="F991">
            <v>9.6</v>
          </cell>
          <cell r="G991">
            <v>29.678999999999998</v>
          </cell>
          <cell r="H991">
            <v>6.885527999999999</v>
          </cell>
          <cell r="I991">
            <v>36.564527999999996</v>
          </cell>
        </row>
        <row r="992">
          <cell r="B992" t="str">
            <v>*098214</v>
          </cell>
          <cell r="C992" t="str">
            <v>Limpieza y ajuste de conexiones para medición indirecta (masivo)</v>
          </cell>
          <cell r="D992" t="str">
            <v>UN</v>
          </cell>
          <cell r="E992">
            <v>20.4146</v>
          </cell>
          <cell r="F992">
            <v>9.6</v>
          </cell>
          <cell r="G992">
            <v>13.512099999999998</v>
          </cell>
          <cell r="H992">
            <v>3.1348071999999996</v>
          </cell>
          <cell r="I992">
            <v>16.646907199999998</v>
          </cell>
        </row>
        <row r="993">
          <cell r="B993" t="str">
            <v>*098215</v>
          </cell>
          <cell r="C993" t="str">
            <v>Pintado y rotulado de tapa de conexiones para medición indirecta (complemento a limpieza y ajuste de</v>
          </cell>
          <cell r="D993" t="str">
            <v>UN</v>
          </cell>
          <cell r="E993">
            <v>29.491599999999998</v>
          </cell>
          <cell r="F993">
            <v>9.6</v>
          </cell>
          <cell r="G993">
            <v>10.602399999999999</v>
          </cell>
          <cell r="H993">
            <v>2.4597567999999996</v>
          </cell>
          <cell r="I993">
            <v>13.062156799999999</v>
          </cell>
        </row>
        <row r="994">
          <cell r="B994" t="str">
            <v>*098220</v>
          </cell>
          <cell r="C994" t="str">
            <v>CAMBIO DE TAPA CAJA L O LT</v>
          </cell>
          <cell r="D994" t="str">
            <v>UN</v>
          </cell>
          <cell r="E994">
            <v>161.34270000000001</v>
          </cell>
          <cell r="F994">
            <v>9.6</v>
          </cell>
          <cell r="G994">
            <v>2.1324000000000001</v>
          </cell>
          <cell r="H994">
            <v>0.49471679999999996</v>
          </cell>
          <cell r="I994">
            <v>2.6271168</v>
          </cell>
        </row>
        <row r="995">
          <cell r="B995" t="str">
            <v>*098221</v>
          </cell>
          <cell r="C995" t="str">
            <v>CAMBIO DE TAPA CAJA L O LT MASIVO</v>
          </cell>
          <cell r="D995" t="str">
            <v>UN</v>
          </cell>
          <cell r="E995">
            <v>576</v>
          </cell>
          <cell r="F995">
            <v>9.6</v>
          </cell>
          <cell r="G995">
            <v>0.50080000000000002</v>
          </cell>
          <cell r="H995">
            <v>0.1161856</v>
          </cell>
          <cell r="I995">
            <v>0.61698560000000002</v>
          </cell>
        </row>
        <row r="996">
          <cell r="B996" t="str">
            <v>*098222</v>
          </cell>
          <cell r="C996" t="str">
            <v>CAMBIO DE TAPA CAJA L O LT DISPERSO</v>
          </cell>
          <cell r="D996" t="str">
            <v>UN</v>
          </cell>
          <cell r="E996">
            <v>576</v>
          </cell>
          <cell r="F996">
            <v>9.6</v>
          </cell>
          <cell r="G996">
            <v>0.76960000000000006</v>
          </cell>
          <cell r="H996">
            <v>0.17854719999999999</v>
          </cell>
          <cell r="I996">
            <v>0.94814720000000008</v>
          </cell>
        </row>
        <row r="997">
          <cell r="B997" t="str">
            <v>*098250</v>
          </cell>
          <cell r="C997" t="str">
            <v>CAMBIO TABLERO DE MAD., INCL. RECOLOCACIÓN MEDIDOR, CORTACIRCUITO Y CABLEADO</v>
          </cell>
          <cell r="D997" t="str">
            <v>UN</v>
          </cell>
          <cell r="E997">
            <v>39.566000000000003</v>
          </cell>
          <cell r="F997">
            <v>9.6</v>
          </cell>
          <cell r="G997">
            <v>10.857099999999999</v>
          </cell>
          <cell r="H997">
            <v>2.5188471999999997</v>
          </cell>
          <cell r="I997">
            <v>13.375947199999999</v>
          </cell>
        </row>
        <row r="998">
          <cell r="B998" t="str">
            <v>*098300</v>
          </cell>
          <cell r="C998" t="str">
            <v>REPARAC. CONEX. SUBTER. C/CAMBIO CABLE NYY C/EMP. C/S/ROTURA VEREDA HASTA 20KW</v>
          </cell>
          <cell r="D998" t="str">
            <v>UN</v>
          </cell>
          <cell r="E998">
            <v>3.2787000000000002</v>
          </cell>
          <cell r="F998">
            <v>9.6</v>
          </cell>
          <cell r="G998">
            <v>202.11439999999999</v>
          </cell>
          <cell r="H998">
            <v>46.890540799999997</v>
          </cell>
          <cell r="I998">
            <v>249.00494079999999</v>
          </cell>
        </row>
        <row r="999">
          <cell r="B999" t="str">
            <v>*098305</v>
          </cell>
          <cell r="C999" t="str">
            <v>REPARACION CONEX.SUBT.C/CAMBIO CABLE NKY C/EMP.C/ROTURA VEREDA HASTA 20KW</v>
          </cell>
          <cell r="D999" t="str">
            <v>UN</v>
          </cell>
          <cell r="E999">
            <v>2.4359999999999999</v>
          </cell>
          <cell r="F999">
            <v>9.6</v>
          </cell>
          <cell r="G999">
            <v>353.36419999999998</v>
          </cell>
          <cell r="H999">
            <v>81.980494399999984</v>
          </cell>
          <cell r="I999">
            <v>435.34469439999998</v>
          </cell>
        </row>
        <row r="1000">
          <cell r="B1000" t="str">
            <v>*098320</v>
          </cell>
          <cell r="C1000" t="str">
            <v>REPARACIÓN CONEX.DOMIC.SUBTERR. S/CAMBIO  CABLE NYY C/EMP. C/S/ROTURA VEREDA</v>
          </cell>
          <cell r="D1000" t="str">
            <v>UN</v>
          </cell>
          <cell r="E1000">
            <v>2.7787000000000002</v>
          </cell>
          <cell r="F1000">
            <v>9.6</v>
          </cell>
          <cell r="G1000">
            <v>158.37939999999998</v>
          </cell>
          <cell r="H1000">
            <v>36.744020799999994</v>
          </cell>
          <cell r="I1000">
            <v>195.12342079999996</v>
          </cell>
        </row>
        <row r="1001">
          <cell r="B1001" t="str">
            <v>*098330</v>
          </cell>
          <cell r="C1001" t="str">
            <v>REPARAC. CONEX.TRIFÁSICA C/VEREDA  MAYOR DE 20KW. NO INCLUYE REPARACIÓN VEREDA</v>
          </cell>
          <cell r="D1001" t="str">
            <v>UN</v>
          </cell>
          <cell r="E1001">
            <v>1.3081</v>
          </cell>
          <cell r="F1001">
            <v>9.6</v>
          </cell>
          <cell r="G1001">
            <v>333.87889999999999</v>
          </cell>
          <cell r="H1001">
            <v>77.45990479999999</v>
          </cell>
          <cell r="I1001">
            <v>411.33880479999999</v>
          </cell>
        </row>
        <row r="1002">
          <cell r="B1002" t="str">
            <v>*098379</v>
          </cell>
          <cell r="C1002" t="str">
            <v>RETIRO DE SEGUROS PARA MEDIDOR MONO O TRIFÁSICO  ELECTROMECÁNICO CON PLATINA DE FIERRO</v>
          </cell>
          <cell r="D1002" t="str">
            <v>UN</v>
          </cell>
          <cell r="E1002">
            <v>64.701599999999999</v>
          </cell>
          <cell r="F1002">
            <v>9.6</v>
          </cell>
          <cell r="G1002">
            <v>9.1254000000000008</v>
          </cell>
          <cell r="H1002">
            <v>2.1170928</v>
          </cell>
          <cell r="I1002">
            <v>11.242492800000001</v>
          </cell>
        </row>
        <row r="1003">
          <cell r="B1003" t="str">
            <v>*098380</v>
          </cell>
          <cell r="C1003" t="str">
            <v>SEGUROS PARA MEDIDOR MONO O TRIFÁSICO  ELECTROMECÁNICO CON PLATINA DE FIERRO</v>
          </cell>
          <cell r="D1003" t="str">
            <v>UN</v>
          </cell>
          <cell r="E1003">
            <v>45.292400000000001</v>
          </cell>
          <cell r="F1003">
            <v>9.6</v>
          </cell>
          <cell r="G1003">
            <v>13.0358</v>
          </cell>
          <cell r="H1003">
            <v>3.0243055999999999</v>
          </cell>
          <cell r="I1003">
            <v>16.0601056</v>
          </cell>
        </row>
        <row r="1004">
          <cell r="B1004" t="str">
            <v>*098381</v>
          </cell>
          <cell r="C1004" t="str">
            <v>INSTALACIÓN DE SEGURO PARA MEDIDOR ELECTRONICO</v>
          </cell>
          <cell r="D1004" t="str">
            <v>UN</v>
          </cell>
          <cell r="E1004">
            <v>57.6</v>
          </cell>
          <cell r="F1004">
            <v>9.6</v>
          </cell>
          <cell r="G1004">
            <v>7.2680999999999996</v>
          </cell>
          <cell r="H1004">
            <v>1.6861991999999997</v>
          </cell>
          <cell r="I1004">
            <v>8.9542991999999995</v>
          </cell>
        </row>
        <row r="1005">
          <cell r="B1005" t="str">
            <v>*098382</v>
          </cell>
          <cell r="C1005" t="str">
            <v>RETIRO DE SEGURO PARA INTERRUPTOR TERMOMAGNETICO MONOFASICO</v>
          </cell>
          <cell r="D1005" t="str">
            <v>UN</v>
          </cell>
          <cell r="E1005">
            <v>195.02629999999999</v>
          </cell>
          <cell r="F1005">
            <v>9.6</v>
          </cell>
          <cell r="G1005">
            <v>1.7027000000000001</v>
          </cell>
          <cell r="H1005">
            <v>0.3950264</v>
          </cell>
          <cell r="I1005">
            <v>2.0977264</v>
          </cell>
        </row>
        <row r="1006">
          <cell r="B1006" t="str">
            <v>*098383</v>
          </cell>
          <cell r="C1006" t="str">
            <v>SEGURO PARA INTERRUPTOR TERMOMAGNETICO MONOFASICO O TRIFASICO HASTA 20 KW. (TORNILLO)</v>
          </cell>
          <cell r="D1006" t="str">
            <v>UN</v>
          </cell>
          <cell r="E1006">
            <v>136.5223</v>
          </cell>
          <cell r="F1006">
            <v>9.6</v>
          </cell>
          <cell r="G1006">
            <v>2.4323999999999999</v>
          </cell>
          <cell r="H1006">
            <v>0.56431679999999995</v>
          </cell>
          <cell r="I1006">
            <v>2.9967167999999997</v>
          </cell>
        </row>
        <row r="1007">
          <cell r="B1007" t="str">
            <v>*098385</v>
          </cell>
          <cell r="C1007" t="str">
            <v>SEGURO PARA INTERRUPTOR TERMOMAG. MONO O TRIF. HASTA 20KW (OBRA VENDIDA)</v>
          </cell>
          <cell r="D1007" t="str">
            <v>UN</v>
          </cell>
          <cell r="E1007">
            <v>44.494799999999998</v>
          </cell>
          <cell r="F1007">
            <v>9.6</v>
          </cell>
          <cell r="G1007">
            <v>7.4030999999999993</v>
          </cell>
          <cell r="H1007">
            <v>1.7175191999999997</v>
          </cell>
          <cell r="I1007">
            <v>9.1206191999999984</v>
          </cell>
        </row>
        <row r="1008">
          <cell r="B1008" t="str">
            <v>*098386</v>
          </cell>
          <cell r="C1008" t="str">
            <v>SEGURO PARA INTERRUPTOR TERMOMAG. &gt; 20 KW HASTA 75KW   (OBRA VENDIDA)</v>
          </cell>
          <cell r="D1008" t="str">
            <v>UN</v>
          </cell>
          <cell r="E1008">
            <v>38.497700000000002</v>
          </cell>
          <cell r="F1008">
            <v>9.6</v>
          </cell>
          <cell r="G1008">
            <v>10.200800000000001</v>
          </cell>
          <cell r="H1008">
            <v>2.3665856000000001</v>
          </cell>
          <cell r="I1008">
            <v>12.567385600000001</v>
          </cell>
        </row>
        <row r="1009">
          <cell r="B1009" t="str">
            <v>*098387</v>
          </cell>
          <cell r="C1009" t="str">
            <v>SEGURO PARA INTERRUPTOR TERMOMAG.MAYOR A 75KW HASTA 300KW  (OBRA VENDIDA)</v>
          </cell>
          <cell r="D1009" t="str">
            <v>UN</v>
          </cell>
          <cell r="E1009">
            <v>14.4956</v>
          </cell>
          <cell r="F1009">
            <v>9.6</v>
          </cell>
          <cell r="G1009">
            <v>31.323300000000003</v>
          </cell>
          <cell r="H1009">
            <v>7.2670056000000001</v>
          </cell>
          <cell r="I1009">
            <v>38.590305600000001</v>
          </cell>
        </row>
        <row r="1010">
          <cell r="B1010" t="str">
            <v>*098388</v>
          </cell>
          <cell r="C1010" t="str">
            <v>RETIRO FUSIBLES E INSTALAC.TERMOMAG.HASTA 20KW</v>
          </cell>
          <cell r="D1010" t="str">
            <v>UN</v>
          </cell>
          <cell r="E1010">
            <v>30.61</v>
          </cell>
          <cell r="F1010">
            <v>9.6</v>
          </cell>
          <cell r="G1010">
            <v>16.674900000000001</v>
          </cell>
          <cell r="H1010">
            <v>3.8685768</v>
          </cell>
          <cell r="I1010">
            <v>20.543476800000001</v>
          </cell>
        </row>
        <row r="1011">
          <cell r="B1011" t="str">
            <v>*098389</v>
          </cell>
          <cell r="C1011" t="str">
            <v>RETIRO FUSIBLES E INSTALAC.TERMOMAG.HASTA 75KW</v>
          </cell>
          <cell r="D1011" t="str">
            <v>UN</v>
          </cell>
          <cell r="E1011">
            <v>16.619900000000001</v>
          </cell>
          <cell r="F1011">
            <v>9.6</v>
          </cell>
          <cell r="G1011">
            <v>26.122</v>
          </cell>
          <cell r="H1011">
            <v>6.0603039999999995</v>
          </cell>
          <cell r="I1011">
            <v>32.182304000000002</v>
          </cell>
        </row>
        <row r="1012">
          <cell r="B1012" t="str">
            <v>*098391</v>
          </cell>
          <cell r="C1012" t="str">
            <v>RETIRO FUSIBLES E INSTALAC.TERMOMAG.HASTA 300KW</v>
          </cell>
          <cell r="D1012" t="str">
            <v>UN</v>
          </cell>
          <cell r="E1012">
            <v>9.6613000000000007</v>
          </cell>
          <cell r="F1012">
            <v>9.6</v>
          </cell>
          <cell r="G1012">
            <v>44.936599999999999</v>
          </cell>
          <cell r="H1012">
            <v>10.425291199999998</v>
          </cell>
          <cell r="I1012">
            <v>55.361891199999995</v>
          </cell>
        </row>
        <row r="1013">
          <cell r="B1013" t="str">
            <v>*098392</v>
          </cell>
          <cell r="C1013" t="str">
            <v>RETIRO DE SEGURO SOLDADO DE 2 PATAS PARA MEDIDOR ELECTRÓNICO MULTIFUNCIÓN</v>
          </cell>
          <cell r="D1013" t="str">
            <v>UN</v>
          </cell>
          <cell r="E1013">
            <v>57.6</v>
          </cell>
          <cell r="F1013">
            <v>9.6</v>
          </cell>
          <cell r="G1013">
            <v>7.3675999999999995</v>
          </cell>
          <cell r="H1013">
            <v>1.7092831999999998</v>
          </cell>
          <cell r="I1013">
            <v>9.0768831999999993</v>
          </cell>
        </row>
        <row r="1014">
          <cell r="B1014" t="str">
            <v>*098393</v>
          </cell>
          <cell r="C1014" t="str">
            <v>RETIRO DE SEGURO SOLDADO DE 4 PATAS PARA MEDIDOR ELECTRÓNICO MULTIFUNCIÓN</v>
          </cell>
          <cell r="D1014" t="str">
            <v>UN</v>
          </cell>
          <cell r="E1014">
            <v>25.043500000000002</v>
          </cell>
          <cell r="F1014">
            <v>9.6</v>
          </cell>
          <cell r="G1014">
            <v>16.945700000000002</v>
          </cell>
          <cell r="H1014">
            <v>3.9314024000000001</v>
          </cell>
          <cell r="I1014">
            <v>20.877102400000002</v>
          </cell>
        </row>
        <row r="1015">
          <cell r="B1015" t="str">
            <v>*098394</v>
          </cell>
          <cell r="C1015" t="str">
            <v>RETIRO Y COLOCACIÓN DE CANDADO PARA CONEXIONES CON MEDICIÓN INDIRECTA</v>
          </cell>
          <cell r="D1015" t="str">
            <v>UN</v>
          </cell>
          <cell r="E1015">
            <v>115.2</v>
          </cell>
          <cell r="F1015">
            <v>9.6</v>
          </cell>
          <cell r="G1015">
            <v>4.0556999999999999</v>
          </cell>
          <cell r="H1015">
            <v>0.94092239999999994</v>
          </cell>
          <cell r="I1015">
            <v>4.9966223999999997</v>
          </cell>
        </row>
        <row r="1016">
          <cell r="B1016" t="str">
            <v>*098400</v>
          </cell>
          <cell r="C1016" t="str">
            <v>VERIFICACIÓN SUMINISTROS AISLADOS</v>
          </cell>
          <cell r="D1016" t="str">
            <v>UN</v>
          </cell>
          <cell r="E1016">
            <v>74.817499999999995</v>
          </cell>
          <cell r="F1016">
            <v>9.6</v>
          </cell>
          <cell r="G1016">
            <v>5.7141000000000002</v>
          </cell>
          <cell r="H1016">
            <v>1.3256711999999999</v>
          </cell>
          <cell r="I1016">
            <v>7.0397712000000006</v>
          </cell>
        </row>
        <row r="1017">
          <cell r="B1017" t="str">
            <v>*098410</v>
          </cell>
          <cell r="C1017" t="str">
            <v>VERIFICACIÓN SUMINISTROS INVERTIDOS</v>
          </cell>
          <cell r="D1017" t="str">
            <v>UN</v>
          </cell>
          <cell r="E1017">
            <v>46.018900000000002</v>
          </cell>
          <cell r="F1017">
            <v>9.6</v>
          </cell>
          <cell r="G1017">
            <v>9.2899999999999991</v>
          </cell>
          <cell r="H1017">
            <v>2.1552799999999999</v>
          </cell>
          <cell r="I1017">
            <v>11.445279999999999</v>
          </cell>
        </row>
        <row r="1018">
          <cell r="B1018" t="str">
            <v>*098420</v>
          </cell>
          <cell r="C1018" t="str">
            <v>VERIFICACIÓN SUMINISTROS MASIVOS DOMICILIARIOS</v>
          </cell>
          <cell r="D1018" t="str">
            <v>UN</v>
          </cell>
          <cell r="E1018">
            <v>206.7312</v>
          </cell>
          <cell r="F1018">
            <v>9.6</v>
          </cell>
          <cell r="G1018">
            <v>4.0341000000000005</v>
          </cell>
          <cell r="H1018">
            <v>0.93591120000000005</v>
          </cell>
          <cell r="I1018">
            <v>4.9700112000000001</v>
          </cell>
        </row>
        <row r="1019">
          <cell r="B1019" t="str">
            <v>*098425</v>
          </cell>
          <cell r="C1019" t="str">
            <v>Catastro de suministros disperso (&lt;=100 sum x km2)</v>
          </cell>
          <cell r="D1019" t="str">
            <v>UN</v>
          </cell>
          <cell r="E1019">
            <v>124.4182</v>
          </cell>
          <cell r="F1019">
            <v>9.6</v>
          </cell>
          <cell r="G1019">
            <v>7.2119</v>
          </cell>
          <cell r="H1019">
            <v>1.6731607999999998</v>
          </cell>
          <cell r="I1019">
            <v>8.8850607999999998</v>
          </cell>
        </row>
        <row r="1020">
          <cell r="B1020" t="str">
            <v>*098426</v>
          </cell>
          <cell r="C1020" t="str">
            <v>Catastro Conexiones Medición Directa - Programa Mtto. Preventivo</v>
          </cell>
          <cell r="D1020" t="str">
            <v>UN</v>
          </cell>
          <cell r="E1020">
            <v>90.017799999999994</v>
          </cell>
          <cell r="F1020">
            <v>9.6</v>
          </cell>
          <cell r="G1020">
            <v>2.7519999999999998</v>
          </cell>
          <cell r="H1020">
            <v>0.63846399999999992</v>
          </cell>
          <cell r="I1020">
            <v>3.3904639999999997</v>
          </cell>
        </row>
        <row r="1021">
          <cell r="B1021" t="str">
            <v>*098427</v>
          </cell>
          <cell r="C1021" t="str">
            <v>Catastro Conexiones Medición Directa - Programa de Catastro</v>
          </cell>
          <cell r="D1021" t="str">
            <v>UN</v>
          </cell>
          <cell r="E1021">
            <v>57.423999999999999</v>
          </cell>
          <cell r="F1021">
            <v>9.6</v>
          </cell>
          <cell r="G1021">
            <v>4.3140000000000001</v>
          </cell>
          <cell r="H1021">
            <v>1.000848</v>
          </cell>
          <cell r="I1021">
            <v>5.3148479999999996</v>
          </cell>
        </row>
        <row r="1022">
          <cell r="B1022" t="str">
            <v>*098428</v>
          </cell>
          <cell r="C1022" t="str">
            <v>Catastro Conexiones Medición Indirecta - Programa Mtto. Preventivo</v>
          </cell>
          <cell r="D1022" t="str">
            <v>UN</v>
          </cell>
          <cell r="E1022">
            <v>79.058800000000005</v>
          </cell>
          <cell r="F1022">
            <v>9.6</v>
          </cell>
          <cell r="G1022">
            <v>5.0918999999999999</v>
          </cell>
          <cell r="H1022">
            <v>1.1813207999999999</v>
          </cell>
          <cell r="I1022">
            <v>6.2732207999999998</v>
          </cell>
        </row>
        <row r="1023">
          <cell r="B1023" t="str">
            <v>*098429</v>
          </cell>
          <cell r="C1023" t="str">
            <v>Catastro Conexiones Medición Indirecta - Totalizadores</v>
          </cell>
          <cell r="D1023" t="str">
            <v>UN</v>
          </cell>
          <cell r="E1023">
            <v>21.912700000000001</v>
          </cell>
          <cell r="F1023">
            <v>9.6</v>
          </cell>
          <cell r="G1023">
            <v>18.370799999999999</v>
          </cell>
          <cell r="H1023">
            <v>4.2620255999999994</v>
          </cell>
          <cell r="I1023">
            <v>22.632825599999997</v>
          </cell>
        </row>
        <row r="1024">
          <cell r="B1024" t="str">
            <v>*098435</v>
          </cell>
          <cell r="C1024" t="str">
            <v>Catastro de mástiles masivo (&gt; 100 sum x km2)</v>
          </cell>
          <cell r="D1024" t="str">
            <v>UN</v>
          </cell>
          <cell r="E1024">
            <v>284.58819999999997</v>
          </cell>
          <cell r="F1024">
            <v>9.6</v>
          </cell>
          <cell r="G1024">
            <v>3.2084000000000001</v>
          </cell>
          <cell r="H1024">
            <v>0.74434880000000003</v>
          </cell>
          <cell r="I1024">
            <v>3.9527488000000002</v>
          </cell>
        </row>
        <row r="1025">
          <cell r="B1025" t="str">
            <v>*098440</v>
          </cell>
          <cell r="C1025" t="str">
            <v>EMPALME AÉREO A COMPRESIÓN TUBULAR  CONDUCTOR CU. O AL.</v>
          </cell>
          <cell r="D1025" t="str">
            <v>UN</v>
          </cell>
          <cell r="E1025">
            <v>15.798</v>
          </cell>
          <cell r="F1025">
            <v>9.6</v>
          </cell>
          <cell r="G1025">
            <v>44.058200000000006</v>
          </cell>
          <cell r="H1025">
            <v>10.2215024</v>
          </cell>
          <cell r="I1025">
            <v>54.279702400000005</v>
          </cell>
        </row>
        <row r="1026">
          <cell r="B1026" t="str">
            <v>*098450</v>
          </cell>
          <cell r="C1026" t="str">
            <v>ESCALAR ESTRUCTURA SOLO PARA REPARACIÓN Y  MANTENIMIENTO DE AISLADORES</v>
          </cell>
          <cell r="D1026" t="str">
            <v>UN</v>
          </cell>
          <cell r="E1026">
            <v>52.295099999999998</v>
          </cell>
          <cell r="F1026">
            <v>9.6</v>
          </cell>
          <cell r="G1026">
            <v>9.4700999999999986</v>
          </cell>
          <cell r="H1026">
            <v>2.1970631999999997</v>
          </cell>
          <cell r="I1026">
            <v>11.667163199999997</v>
          </cell>
        </row>
        <row r="1027">
          <cell r="B1027" t="str">
            <v>*098470</v>
          </cell>
          <cell r="C1027" t="str">
            <v>INSTALACIÓN Y RETIRO PUESTA A TIERRA  CON REVELADO DE TENSIÓN EN RED AÉREA</v>
          </cell>
          <cell r="D1027" t="str">
            <v>UN</v>
          </cell>
          <cell r="E1027">
            <v>22.4863</v>
          </cell>
          <cell r="F1027">
            <v>9.6</v>
          </cell>
          <cell r="G1027">
            <v>19.470400000000001</v>
          </cell>
          <cell r="H1027">
            <v>4.5171327999999997</v>
          </cell>
          <cell r="I1027">
            <v>23.9875328</v>
          </cell>
        </row>
        <row r="1028">
          <cell r="B1028" t="str">
            <v>*098480</v>
          </cell>
          <cell r="C1028" t="str">
            <v>LIMPIEZA TERMINAL EXTERIOR MT 10 KV</v>
          </cell>
          <cell r="D1028" t="str">
            <v>UN</v>
          </cell>
          <cell r="E1028">
            <v>58.035499999999999</v>
          </cell>
          <cell r="F1028">
            <v>9.6</v>
          </cell>
          <cell r="G1028">
            <v>8.5334000000000003</v>
          </cell>
          <cell r="H1028">
            <v>1.9797487999999999</v>
          </cell>
          <cell r="I1028">
            <v>10.5131488</v>
          </cell>
        </row>
        <row r="1029">
          <cell r="B1029" t="str">
            <v>*098485</v>
          </cell>
          <cell r="C1029" t="str">
            <v>LIMPIEZA DE CUT-OUT UNIPOLAR</v>
          </cell>
          <cell r="D1029" t="str">
            <v>UN</v>
          </cell>
          <cell r="E1029">
            <v>70.711200000000005</v>
          </cell>
          <cell r="F1029">
            <v>9.6</v>
          </cell>
          <cell r="G1029">
            <v>4.4550000000000001</v>
          </cell>
          <cell r="H1029">
            <v>1.03356</v>
          </cell>
          <cell r="I1029">
            <v>5.4885599999999997</v>
          </cell>
        </row>
        <row r="1030">
          <cell r="B1030" t="str">
            <v>*098490</v>
          </cell>
          <cell r="C1030" t="str">
            <v>PODA DE ÁRBOLES CON ELIMINACIÓN DE MALEZA</v>
          </cell>
          <cell r="D1030" t="str">
            <v>M</v>
          </cell>
          <cell r="E1030">
            <v>72.222300000000004</v>
          </cell>
          <cell r="F1030">
            <v>9.6</v>
          </cell>
          <cell r="G1030">
            <v>27.595199999999998</v>
          </cell>
          <cell r="H1030">
            <v>6.4020863999999991</v>
          </cell>
          <cell r="I1030">
            <v>33.9972864</v>
          </cell>
        </row>
        <row r="1031">
          <cell r="B1031" t="str">
            <v>*098491</v>
          </cell>
          <cell r="C1031" t="str">
            <v>VIAJE INDEBIDO DE PODA DE ÁRBOLES</v>
          </cell>
          <cell r="D1031" t="str">
            <v>UN</v>
          </cell>
          <cell r="E1031">
            <v>67.319999999999993</v>
          </cell>
          <cell r="F1031">
            <v>9.6</v>
          </cell>
          <cell r="G1031">
            <v>26.622900000000001</v>
          </cell>
          <cell r="H1031">
            <v>6.1765128000000002</v>
          </cell>
          <cell r="I1031">
            <v>32.799412799999999</v>
          </cell>
        </row>
        <row r="1032">
          <cell r="B1032" t="str">
            <v>*098493</v>
          </cell>
          <cell r="C1032" t="str">
            <v>PODA DE ARBUSTOS EN CONEXIONES A NIVEL CON CAMIÓN O CAMIONETA</v>
          </cell>
          <cell r="D1032" t="str">
            <v>UN</v>
          </cell>
          <cell r="E1032">
            <v>28.8</v>
          </cell>
          <cell r="F1032">
            <v>9.6</v>
          </cell>
          <cell r="G1032">
            <v>12.8599</v>
          </cell>
          <cell r="H1032">
            <v>2.9834967999999997</v>
          </cell>
          <cell r="I1032">
            <v>15.843396799999999</v>
          </cell>
        </row>
        <row r="1033">
          <cell r="B1033" t="str">
            <v>*098494</v>
          </cell>
          <cell r="C1033" t="str">
            <v>PODA DE ÁRBOLES CON ELIMINACIÓN DE MALEZA - BRAZO PROPORCIONADO POR LDS</v>
          </cell>
          <cell r="D1033" t="str">
            <v>KG</v>
          </cell>
          <cell r="E1033">
            <v>72.222300000000004</v>
          </cell>
          <cell r="F1033">
            <v>9.6</v>
          </cell>
          <cell r="G1033">
            <v>14.723000000000001</v>
          </cell>
          <cell r="H1033">
            <v>3.4157359999999999</v>
          </cell>
          <cell r="I1033">
            <v>18.138736000000002</v>
          </cell>
        </row>
        <row r="1034">
          <cell r="B1034" t="str">
            <v>*098497</v>
          </cell>
          <cell r="C1034" t="str">
            <v>PODA DE ÁRBOLES C/ELIMINACIÓN DE MALEZA; TRAB MASIVO EN CTRL TEC Y CAL SERV</v>
          </cell>
          <cell r="D1034" t="str">
            <v>UN</v>
          </cell>
          <cell r="E1034">
            <v>161</v>
          </cell>
          <cell r="F1034">
            <v>9.6</v>
          </cell>
          <cell r="G1034">
            <v>5.3445</v>
          </cell>
          <cell r="H1034">
            <v>1.239924</v>
          </cell>
          <cell r="I1034">
            <v>6.5844240000000003</v>
          </cell>
        </row>
        <row r="1035">
          <cell r="B1035" t="str">
            <v>*098498</v>
          </cell>
          <cell r="C1035" t="str">
            <v>LAVADO DE ESTRUCTURAS CON AISLADORES EN REDES AÉREAS MT- POR ESTRUCTURA</v>
          </cell>
          <cell r="D1035" t="str">
            <v>UN</v>
          </cell>
          <cell r="E1035">
            <v>32.884500000000003</v>
          </cell>
          <cell r="F1035">
            <v>9.6</v>
          </cell>
          <cell r="G1035">
            <v>19.473700000000001</v>
          </cell>
          <cell r="H1035">
            <v>4.5178984</v>
          </cell>
          <cell r="I1035">
            <v>23.991598400000001</v>
          </cell>
        </row>
        <row r="1036">
          <cell r="B1036" t="str">
            <v>*098610</v>
          </cell>
          <cell r="C1036" t="str">
            <v>EFECTUAR ANILLO EN CABLE SUBTERRÁNEO BT  HASTA 300MM2</v>
          </cell>
          <cell r="D1036" t="str">
            <v>UN</v>
          </cell>
          <cell r="E1036">
            <v>16.1738</v>
          </cell>
          <cell r="F1036">
            <v>9.6</v>
          </cell>
          <cell r="G1036">
            <v>42.622099999999996</v>
          </cell>
          <cell r="H1036">
            <v>9.8883271999999991</v>
          </cell>
          <cell r="I1036">
            <v>52.510427199999995</v>
          </cell>
        </row>
        <row r="1037">
          <cell r="B1037" t="str">
            <v>*098630</v>
          </cell>
          <cell r="C1037" t="str">
            <v>EMPALME SUBTERR.PROVISIONAL MT(50% EMPALME MT)</v>
          </cell>
          <cell r="D1037" t="str">
            <v>UN</v>
          </cell>
          <cell r="E1037">
            <v>2.75</v>
          </cell>
          <cell r="F1037">
            <v>9.6</v>
          </cell>
          <cell r="G1037">
            <v>192.0711</v>
          </cell>
          <cell r="H1037">
            <v>44.560495199999998</v>
          </cell>
          <cell r="I1037">
            <v>236.63159519999999</v>
          </cell>
        </row>
        <row r="1038">
          <cell r="B1038" t="str">
            <v>*098640</v>
          </cell>
          <cell r="C1038" t="str">
            <v>LIMPIEZA Y TAPONEO DE DUCTOS POR C/VÍA</v>
          </cell>
          <cell r="D1038" t="str">
            <v>UN</v>
          </cell>
          <cell r="E1038">
            <v>54</v>
          </cell>
          <cell r="F1038">
            <v>9.6</v>
          </cell>
          <cell r="G1038">
            <v>6.8986999999999989</v>
          </cell>
          <cell r="H1038">
            <v>1.6004983999999995</v>
          </cell>
          <cell r="I1038">
            <v>8.4991983999999992</v>
          </cell>
        </row>
        <row r="1039">
          <cell r="B1039" t="str">
            <v>*098669</v>
          </cell>
          <cell r="C1039" t="str">
            <v>RETIRO CRUCETA O MÉNSULA DOBLE DE MADERA</v>
          </cell>
          <cell r="D1039" t="str">
            <v>UN</v>
          </cell>
          <cell r="E1039">
            <v>22.1754</v>
          </cell>
          <cell r="F1039">
            <v>9.6</v>
          </cell>
          <cell r="G1039">
            <v>32.878500000000003</v>
          </cell>
          <cell r="H1039">
            <v>7.6278120000000005</v>
          </cell>
          <cell r="I1039">
            <v>40.506312000000001</v>
          </cell>
        </row>
        <row r="1040">
          <cell r="B1040" t="str">
            <v>*098670</v>
          </cell>
          <cell r="C1040" t="str">
            <v>COLOCACIÓN DE CRUCETA O MÉNSULA DOBLE DE MADERA</v>
          </cell>
          <cell r="D1040" t="str">
            <v>UN</v>
          </cell>
          <cell r="E1040">
            <v>15.5228</v>
          </cell>
          <cell r="F1040">
            <v>9.6</v>
          </cell>
          <cell r="G1040">
            <v>46.969300000000004</v>
          </cell>
          <cell r="H1040">
            <v>10.8968776</v>
          </cell>
          <cell r="I1040">
            <v>57.8661776</v>
          </cell>
        </row>
        <row r="1041">
          <cell r="B1041" t="str">
            <v>*098671</v>
          </cell>
          <cell r="C1041" t="str">
            <v>TRASLADO DE CRUCETA O MÉNSULA DOBLE DE MADERA</v>
          </cell>
          <cell r="D1041" t="str">
            <v>UN</v>
          </cell>
          <cell r="E1041">
            <v>11.9406</v>
          </cell>
          <cell r="F1041">
            <v>9.6</v>
          </cell>
          <cell r="G1041">
            <v>61.060200000000002</v>
          </cell>
          <cell r="H1041">
            <v>14.1659664</v>
          </cell>
          <cell r="I1041">
            <v>75.226166399999997</v>
          </cell>
        </row>
        <row r="1042">
          <cell r="B1042" t="str">
            <v>*098690</v>
          </cell>
          <cell r="C1042" t="str">
            <v>CAMBIO CABLE COMUNICACIÓN BT HASTA 300 MM2</v>
          </cell>
          <cell r="D1042" t="str">
            <v>M</v>
          </cell>
          <cell r="E1042">
            <v>102.53619999999999</v>
          </cell>
          <cell r="F1042">
            <v>9.6</v>
          </cell>
          <cell r="G1042">
            <v>8.8666</v>
          </cell>
          <cell r="H1042">
            <v>2.0570512000000001</v>
          </cell>
          <cell r="I1042">
            <v>10.9236512</v>
          </cell>
        </row>
        <row r="1043">
          <cell r="B1043" t="str">
            <v>*098710</v>
          </cell>
          <cell r="C1043" t="str">
            <v>CAMBIO CONTACTOR AP CUALQUIER TIPO SUBESTACIÓN</v>
          </cell>
          <cell r="D1043" t="str">
            <v>UN</v>
          </cell>
          <cell r="E1043">
            <v>19.983499999999999</v>
          </cell>
          <cell r="F1043">
            <v>9.6</v>
          </cell>
          <cell r="G1043">
            <v>24.782399999999999</v>
          </cell>
          <cell r="H1043">
            <v>5.7495167999999994</v>
          </cell>
          <cell r="I1043">
            <v>30.531916799999998</v>
          </cell>
        </row>
        <row r="1044">
          <cell r="B1044" t="str">
            <v>*098720</v>
          </cell>
          <cell r="C1044" t="str">
            <v>CAMBIO AISLADOR PORTABARRA MT SE CONV.COMPLETO</v>
          </cell>
          <cell r="D1044" t="str">
            <v>UN</v>
          </cell>
          <cell r="E1044">
            <v>41.773299999999999</v>
          </cell>
          <cell r="F1044">
            <v>9.6</v>
          </cell>
          <cell r="G1044">
            <v>10.2835</v>
          </cell>
          <cell r="H1044">
            <v>2.3857719999999998</v>
          </cell>
          <cell r="I1044">
            <v>12.669271999999999</v>
          </cell>
        </row>
        <row r="1045">
          <cell r="B1045" t="str">
            <v>*098730</v>
          </cell>
          <cell r="C1045" t="str">
            <v>CORTE Y  RETIRO DE CONECTOR DE CODO EN MT  (POR FASE)</v>
          </cell>
          <cell r="D1045" t="str">
            <v>UN</v>
          </cell>
          <cell r="E1045">
            <v>41.769100000000002</v>
          </cell>
          <cell r="F1045">
            <v>9.6</v>
          </cell>
          <cell r="G1045">
            <v>11.8565</v>
          </cell>
          <cell r="H1045">
            <v>2.7507079999999999</v>
          </cell>
          <cell r="I1045">
            <v>14.607208</v>
          </cell>
        </row>
        <row r="1046">
          <cell r="B1046" t="str">
            <v>*098740</v>
          </cell>
          <cell r="C1046" t="str">
            <v>CAMBIO DISYUNTOR BT</v>
          </cell>
          <cell r="D1046" t="str">
            <v>UN</v>
          </cell>
          <cell r="E1046">
            <v>6.7554999999999996</v>
          </cell>
          <cell r="F1046">
            <v>9.6</v>
          </cell>
          <cell r="G1046">
            <v>73.309100000000001</v>
          </cell>
          <cell r="H1046">
            <v>17.007711199999999</v>
          </cell>
          <cell r="I1046">
            <v>90.316811200000004</v>
          </cell>
        </row>
        <row r="1047">
          <cell r="B1047" t="str">
            <v>*098785</v>
          </cell>
          <cell r="C1047" t="str">
            <v>Catastro de llaves BT en SE a nivel o subterráneas</v>
          </cell>
          <cell r="D1047" t="str">
            <v>UN</v>
          </cell>
          <cell r="E1047">
            <v>66.064800000000005</v>
          </cell>
          <cell r="F1047">
            <v>9.6</v>
          </cell>
          <cell r="G1047">
            <v>12.898</v>
          </cell>
          <cell r="H1047">
            <v>2.9923359999999999</v>
          </cell>
          <cell r="I1047">
            <v>15.890336</v>
          </cell>
        </row>
        <row r="1048">
          <cell r="B1048" t="str">
            <v>*098820</v>
          </cell>
          <cell r="C1048" t="str">
            <v>CAMBIO TABLERO AP COMPLETO</v>
          </cell>
          <cell r="D1048" t="str">
            <v>UN</v>
          </cell>
          <cell r="E1048">
            <v>5.0719000000000003</v>
          </cell>
          <cell r="F1048">
            <v>9.6</v>
          </cell>
          <cell r="G1048">
            <v>97.643799999999999</v>
          </cell>
          <cell r="H1048">
            <v>22.653361599999997</v>
          </cell>
          <cell r="I1048">
            <v>120.2971616</v>
          </cell>
        </row>
        <row r="1049">
          <cell r="B1049" t="str">
            <v>*098822</v>
          </cell>
          <cell r="C1049" t="str">
            <v>ROTURA DE ZÓCALO DE POSTE HASTA 9M</v>
          </cell>
          <cell r="D1049" t="str">
            <v>UN</v>
          </cell>
          <cell r="E1049">
            <v>9.0447000000000006</v>
          </cell>
          <cell r="F1049">
            <v>9.6</v>
          </cell>
          <cell r="G1049">
            <v>59.8123</v>
          </cell>
          <cell r="H1049">
            <v>13.8764536</v>
          </cell>
          <cell r="I1049">
            <v>73.688753599999998</v>
          </cell>
        </row>
        <row r="1050">
          <cell r="B1050" t="str">
            <v>*098823</v>
          </cell>
          <cell r="C1050" t="str">
            <v>Inspección de poste (s/supervisión)</v>
          </cell>
          <cell r="D1050" t="str">
            <v>UN</v>
          </cell>
          <cell r="E1050">
            <v>48.126300000000001</v>
          </cell>
          <cell r="F1050">
            <v>9.6</v>
          </cell>
          <cell r="G1050">
            <v>7.3872000000000009</v>
          </cell>
          <cell r="H1050">
            <v>1.7138304</v>
          </cell>
          <cell r="I1050">
            <v>9.1010304000000009</v>
          </cell>
        </row>
        <row r="1051">
          <cell r="B1051" t="str">
            <v>*098824</v>
          </cell>
          <cell r="C1051" t="str">
            <v>Inspección de poste (c/supervision)</v>
          </cell>
          <cell r="D1051" t="str">
            <v>UN</v>
          </cell>
          <cell r="E1051">
            <v>55.086799999999997</v>
          </cell>
          <cell r="F1051">
            <v>9.6</v>
          </cell>
          <cell r="G1051">
            <v>12.8186</v>
          </cell>
          <cell r="H1051">
            <v>2.9739152</v>
          </cell>
          <cell r="I1051">
            <v>15.7925152</v>
          </cell>
        </row>
        <row r="1052">
          <cell r="B1052" t="str">
            <v>*098825</v>
          </cell>
          <cell r="C1052" t="str">
            <v>Catastro de postes - Calidad de AP</v>
          </cell>
          <cell r="D1052" t="str">
            <v>UN</v>
          </cell>
          <cell r="E1052">
            <v>87.547200000000004</v>
          </cell>
          <cell r="F1052">
            <v>9.6</v>
          </cell>
          <cell r="G1052">
            <v>2.5567999999999995</v>
          </cell>
          <cell r="H1052">
            <v>0.59317759999999986</v>
          </cell>
          <cell r="I1052">
            <v>3.1499775999999993</v>
          </cell>
        </row>
        <row r="1053">
          <cell r="B1053" t="str">
            <v>*098826</v>
          </cell>
          <cell r="C1053" t="str">
            <v>Etiquetado de postes - Calidad de AP</v>
          </cell>
          <cell r="D1053" t="str">
            <v>UN</v>
          </cell>
          <cell r="E1053">
            <v>44.821100000000001</v>
          </cell>
          <cell r="F1053">
            <v>9.6</v>
          </cell>
          <cell r="G1053">
            <v>6.8833000000000002</v>
          </cell>
          <cell r="H1053">
            <v>1.5969255999999998</v>
          </cell>
          <cell r="I1053">
            <v>8.4802256000000007</v>
          </cell>
        </row>
        <row r="1054">
          <cell r="B1054" t="str">
            <v>*098827</v>
          </cell>
          <cell r="C1054" t="str">
            <v>Medición de luminancia de Alumbrado Público por vano: 15 puntos por carril</v>
          </cell>
          <cell r="D1054" t="str">
            <v>UN</v>
          </cell>
          <cell r="E1054">
            <v>84.941000000000003</v>
          </cell>
          <cell r="F1054">
            <v>9.6</v>
          </cell>
          <cell r="G1054">
            <v>14.905600000000002</v>
          </cell>
          <cell r="H1054">
            <v>3.4580991999999999</v>
          </cell>
          <cell r="I1054">
            <v>18.363699200000003</v>
          </cell>
        </row>
        <row r="1055">
          <cell r="B1055" t="str">
            <v>*098828</v>
          </cell>
          <cell r="C1055" t="str">
            <v>Medición de Iluminancia de Alumbrado Público por vano: 15 puntos por carril</v>
          </cell>
          <cell r="D1055" t="str">
            <v>UN</v>
          </cell>
          <cell r="E1055">
            <v>48.027000000000001</v>
          </cell>
          <cell r="F1055">
            <v>9.6</v>
          </cell>
          <cell r="G1055">
            <v>25.834600000000002</v>
          </cell>
          <cell r="H1055">
            <v>5.9936271999999997</v>
          </cell>
          <cell r="I1055">
            <v>31.828227200000001</v>
          </cell>
        </row>
        <row r="1056">
          <cell r="B1056" t="str">
            <v>*098829</v>
          </cell>
          <cell r="C1056" t="str">
            <v>Iluminancia - Vano de alumbrado público sin medición</v>
          </cell>
          <cell r="D1056" t="str">
            <v>UN</v>
          </cell>
          <cell r="E1056">
            <v>121.73909999999999</v>
          </cell>
          <cell r="F1056">
            <v>9.6</v>
          </cell>
          <cell r="G1056">
            <v>10.192</v>
          </cell>
          <cell r="H1056">
            <v>2.364544</v>
          </cell>
          <cell r="I1056">
            <v>12.556544000000001</v>
          </cell>
        </row>
        <row r="1057">
          <cell r="B1057" t="str">
            <v>*098830</v>
          </cell>
          <cell r="C1057" t="str">
            <v>DEMOLICIÓN MURETE DE TABLERO DE DISTRIBUCIÓN  Y ELIMINACIÓN DESMONTE</v>
          </cell>
          <cell r="D1057" t="str">
            <v>UN</v>
          </cell>
          <cell r="E1057">
            <v>3.3990999999999998</v>
          </cell>
          <cell r="F1057">
            <v>9.6</v>
          </cell>
          <cell r="G1057">
            <v>194.19589999999999</v>
          </cell>
          <cell r="H1057">
            <v>45.053448799999998</v>
          </cell>
          <cell r="I1057">
            <v>239.24934880000001</v>
          </cell>
        </row>
        <row r="1058">
          <cell r="B1058" t="str">
            <v>*098840</v>
          </cell>
          <cell r="C1058" t="str">
            <v>DESOLDAR Y SOLDAR REJILLA DE VENTILACIÓN</v>
          </cell>
          <cell r="D1058" t="str">
            <v>Un</v>
          </cell>
          <cell r="E1058">
            <v>14.27</v>
          </cell>
          <cell r="F1058">
            <v>9.6</v>
          </cell>
          <cell r="G1058">
            <v>56.886800000000008</v>
          </cell>
          <cell r="H1058">
            <v>13.197737600000002</v>
          </cell>
          <cell r="I1058">
            <v>70.084537600000004</v>
          </cell>
        </row>
        <row r="1059">
          <cell r="B1059" t="str">
            <v>*098849</v>
          </cell>
          <cell r="C1059" t="str">
            <v>RETIRO DE CABLE COMUNICACIÓN POR TERNA  EN SE HASTA 500 MM2</v>
          </cell>
          <cell r="D1059" t="str">
            <v>UN</v>
          </cell>
          <cell r="E1059">
            <v>6.7847</v>
          </cell>
          <cell r="F1059">
            <v>9.6</v>
          </cell>
          <cell r="G1059">
            <v>139.93669999999997</v>
          </cell>
          <cell r="H1059">
            <v>32.46531439999999</v>
          </cell>
          <cell r="I1059">
            <v>172.40201439999996</v>
          </cell>
        </row>
        <row r="1060">
          <cell r="B1060" t="str">
            <v>*098850</v>
          </cell>
          <cell r="C1060" t="str">
            <v>INSTALACIÓN CABLE COMUNICACIÓN POR TERNA  EN SE HASTA 500 MM2</v>
          </cell>
          <cell r="D1060" t="str">
            <v>UN</v>
          </cell>
          <cell r="E1060">
            <v>4.7492999999999999</v>
          </cell>
          <cell r="F1060">
            <v>9.6</v>
          </cell>
          <cell r="G1060">
            <v>199.9091</v>
          </cell>
          <cell r="H1060">
            <v>46.378911199999997</v>
          </cell>
          <cell r="I1060">
            <v>246.2880112</v>
          </cell>
        </row>
        <row r="1061">
          <cell r="B1061" t="str">
            <v>*098851</v>
          </cell>
          <cell r="C1061" t="str">
            <v>TRASLADO CABLE COMUNICACIÓN POR TERNA  EN SE HASTA 500 MM2</v>
          </cell>
          <cell r="D1061" t="str">
            <v>PQ</v>
          </cell>
          <cell r="E1061">
            <v>3.6533000000000002</v>
          </cell>
          <cell r="F1061">
            <v>9.6</v>
          </cell>
          <cell r="G1061">
            <v>259.88229999999999</v>
          </cell>
          <cell r="H1061">
            <v>60.292693599999993</v>
          </cell>
          <cell r="I1061">
            <v>320.17499359999999</v>
          </cell>
        </row>
        <row r="1062">
          <cell r="B1062" t="str">
            <v>*098865</v>
          </cell>
          <cell r="C1062" t="str">
            <v>LIMPIEZA DE S.E. CONVENCIONAL CON TENSION POR CELDA</v>
          </cell>
          <cell r="D1062" t="str">
            <v>UN</v>
          </cell>
          <cell r="E1062">
            <v>16.438700000000001</v>
          </cell>
          <cell r="F1062">
            <v>9.6</v>
          </cell>
          <cell r="G1062">
            <v>46.099799999999995</v>
          </cell>
          <cell r="H1062">
            <v>10.695153599999998</v>
          </cell>
          <cell r="I1062">
            <v>56.794953599999992</v>
          </cell>
        </row>
        <row r="1063">
          <cell r="B1063" t="str">
            <v>*098870</v>
          </cell>
          <cell r="C1063" t="str">
            <v>LIMPIEZA BUZÓN VENTILACIÓN</v>
          </cell>
          <cell r="D1063" t="str">
            <v>UN</v>
          </cell>
          <cell r="E1063">
            <v>10.4558</v>
          </cell>
          <cell r="F1063">
            <v>9.6</v>
          </cell>
          <cell r="G1063">
            <v>41.084799999999994</v>
          </cell>
          <cell r="H1063">
            <v>9.5316735999999977</v>
          </cell>
          <cell r="I1063">
            <v>50.616473599999992</v>
          </cell>
        </row>
        <row r="1064">
          <cell r="B1064" t="str">
            <v>*098890</v>
          </cell>
          <cell r="C1064" t="str">
            <v>LIMPIEZA ZANJA/TABLERO BT C/ASPIRADORA C/TENSIÓN</v>
          </cell>
          <cell r="D1064" t="str">
            <v>UN</v>
          </cell>
          <cell r="E1064">
            <v>10.7326</v>
          </cell>
          <cell r="F1064">
            <v>9.6</v>
          </cell>
          <cell r="G1064">
            <v>32.055300000000003</v>
          </cell>
          <cell r="H1064">
            <v>7.4368296000000003</v>
          </cell>
          <cell r="I1064">
            <v>39.492129600000005</v>
          </cell>
        </row>
        <row r="1065">
          <cell r="B1065" t="str">
            <v>*098900</v>
          </cell>
          <cell r="C1065" t="str">
            <v>LIMPIEZA GENERAL SAB O SAM (INCLUYE  CUT-OUT, TERMINAL 10KV, TRAFO Y TABLERO BT)</v>
          </cell>
          <cell r="D1065" t="str">
            <v>UN</v>
          </cell>
          <cell r="E1065">
            <v>10.4933</v>
          </cell>
          <cell r="F1065">
            <v>9.6</v>
          </cell>
          <cell r="G1065">
            <v>68.86699999999999</v>
          </cell>
          <cell r="H1065">
            <v>15.977143999999997</v>
          </cell>
          <cell r="I1065">
            <v>84.844143999999986</v>
          </cell>
        </row>
        <row r="1066">
          <cell r="B1066" t="str">
            <v>*098910</v>
          </cell>
          <cell r="C1066" t="str">
            <v>LIMPIEZA GENERAL SCB (INCLUYE LIMPIEZA  DE CONECTORES DE CODO)</v>
          </cell>
          <cell r="D1066" t="str">
            <v>UN</v>
          </cell>
          <cell r="E1066">
            <v>15.758699999999999</v>
          </cell>
          <cell r="F1066">
            <v>9.6</v>
          </cell>
          <cell r="G1066">
            <v>45.8566</v>
          </cell>
          <cell r="H1066">
            <v>10.638731199999999</v>
          </cell>
          <cell r="I1066">
            <v>56.495331199999995</v>
          </cell>
        </row>
        <row r="1067">
          <cell r="B1067" t="str">
            <v>*098920</v>
          </cell>
          <cell r="C1067" t="str">
            <v>LIMPIEZA GENERAL SCP (INCLUYE LIMPIEZA  DE CONECTORES DE CODO)</v>
          </cell>
          <cell r="D1067" t="str">
            <v>UN</v>
          </cell>
          <cell r="E1067">
            <v>31.5061</v>
          </cell>
          <cell r="F1067">
            <v>9.6</v>
          </cell>
          <cell r="G1067">
            <v>22.936499999999999</v>
          </cell>
          <cell r="H1067">
            <v>5.321267999999999</v>
          </cell>
          <cell r="I1067">
            <v>28.257767999999999</v>
          </cell>
        </row>
        <row r="1068">
          <cell r="B1068" t="str">
            <v>*098921</v>
          </cell>
          <cell r="C1068" t="str">
            <v>IDENTIFICACIÓN, MEDICIÓN Y REGISTRO DE CASOS DE INCUMPLIMIENTOS DE LAS DMS EN MT EN ZONAS NO ACCESIB</v>
          </cell>
          <cell r="D1068" t="str">
            <v>UN</v>
          </cell>
          <cell r="E1068">
            <v>4.32</v>
          </cell>
          <cell r="F1068">
            <v>9.6</v>
          </cell>
          <cell r="G1068">
            <v>95.671099999999996</v>
          </cell>
          <cell r="H1068">
            <v>22.195695199999996</v>
          </cell>
          <cell r="I1068">
            <v>117.86679519999998</v>
          </cell>
        </row>
        <row r="1069">
          <cell r="B1069" t="str">
            <v>*098922</v>
          </cell>
          <cell r="C1069" t="str">
            <v>RECORRIDO PARA DETECTAR INCUMPLIMIENTOS DE LAS DMS EN MT</v>
          </cell>
          <cell r="D1069" t="str">
            <v>KM</v>
          </cell>
          <cell r="E1069">
            <v>0.9788</v>
          </cell>
          <cell r="F1069">
            <v>9.6</v>
          </cell>
          <cell r="G1069">
            <v>422.2509</v>
          </cell>
          <cell r="H1069">
            <v>97.962208799999999</v>
          </cell>
          <cell r="I1069">
            <v>520.21310879999999</v>
          </cell>
        </row>
        <row r="1070">
          <cell r="B1070" t="str">
            <v>*098923</v>
          </cell>
          <cell r="C1070" t="str">
            <v>Catastro de postes con rajaduras prematuras (SCAM)</v>
          </cell>
          <cell r="D1070" t="str">
            <v>UN</v>
          </cell>
          <cell r="E1070">
            <v>106.5</v>
          </cell>
          <cell r="F1070">
            <v>9.6</v>
          </cell>
          <cell r="G1070">
            <v>3.3519000000000001</v>
          </cell>
          <cell r="H1070">
            <v>0.77764080000000002</v>
          </cell>
          <cell r="I1070">
            <v>4.1295408</v>
          </cell>
        </row>
        <row r="1071">
          <cell r="B1071" t="str">
            <v>*098924</v>
          </cell>
          <cell r="C1071" t="str">
            <v>Levantamiento de información de casos de DMS en redes MT</v>
          </cell>
          <cell r="D1071" t="str">
            <v>UN</v>
          </cell>
          <cell r="E1071">
            <v>15</v>
          </cell>
          <cell r="F1071">
            <v>9.6</v>
          </cell>
          <cell r="G1071">
            <v>27.996299999999998</v>
          </cell>
          <cell r="H1071">
            <v>6.4951415999999993</v>
          </cell>
          <cell r="I1071">
            <v>34.491441599999995</v>
          </cell>
        </row>
        <row r="1072">
          <cell r="B1072" t="str">
            <v>*098925</v>
          </cell>
          <cell r="C1072" t="str">
            <v>Inspección de Suministros para Proyecto de Medición Inteligente</v>
          </cell>
          <cell r="D1072" t="str">
            <v>UN</v>
          </cell>
          <cell r="E1072">
            <v>40</v>
          </cell>
          <cell r="F1072">
            <v>9.6</v>
          </cell>
          <cell r="G1072">
            <v>7.2779999999999996</v>
          </cell>
          <cell r="H1072">
            <v>1.6884959999999998</v>
          </cell>
          <cell r="I1072">
            <v>8.9664959999999994</v>
          </cell>
        </row>
        <row r="1073">
          <cell r="B1073" t="str">
            <v>*098930</v>
          </cell>
          <cell r="C1073" t="str">
            <v>LIMPIEZA LOCAL Y ZANJAS SE. CONVENCIONAL</v>
          </cell>
          <cell r="D1073" t="str">
            <v>UN</v>
          </cell>
          <cell r="E1073">
            <v>10.4556</v>
          </cell>
          <cell r="F1073">
            <v>9.6</v>
          </cell>
          <cell r="G1073">
            <v>53.795999999999999</v>
          </cell>
          <cell r="H1073">
            <v>12.480671999999998</v>
          </cell>
          <cell r="I1073">
            <v>66.276671999999991</v>
          </cell>
        </row>
        <row r="1074">
          <cell r="B1074" t="str">
            <v>*098940</v>
          </cell>
          <cell r="C1074" t="str">
            <v>MANTENIMIENTO CELDA MT CON BARRA DIRECTA  (INCLUYE TERMINAL 10 KV)</v>
          </cell>
          <cell r="D1074" t="str">
            <v>UN</v>
          </cell>
          <cell r="E1074">
            <v>10.4544</v>
          </cell>
          <cell r="F1074">
            <v>9.6</v>
          </cell>
          <cell r="G1074">
            <v>41.090299999999999</v>
          </cell>
          <cell r="H1074">
            <v>9.5329495999999985</v>
          </cell>
          <cell r="I1074">
            <v>50.623249599999994</v>
          </cell>
        </row>
        <row r="1075">
          <cell r="B1075" t="str">
            <v>*098950</v>
          </cell>
          <cell r="C1075" t="str">
            <v>MANTENIMIENTO CELDA MT CON EQUIPO DE CORTE (INCL. TERMINAL  Y EQ. DE MEDIDA)</v>
          </cell>
          <cell r="D1075" t="str">
            <v>UN</v>
          </cell>
          <cell r="E1075">
            <v>6.9673999999999996</v>
          </cell>
          <cell r="F1075">
            <v>9.6</v>
          </cell>
          <cell r="G1075">
            <v>62.311000000000007</v>
          </cell>
          <cell r="H1075">
            <v>14.456152000000001</v>
          </cell>
          <cell r="I1075">
            <v>76.76715200000001</v>
          </cell>
        </row>
        <row r="1076">
          <cell r="B1076" t="str">
            <v>*098954</v>
          </cell>
          <cell r="C1076" t="str">
            <v>MANTENIMIENTO DE INTERRUPTOR DE POTENCIA</v>
          </cell>
          <cell r="D1076" t="str">
            <v>UN</v>
          </cell>
          <cell r="E1076">
            <v>7.05</v>
          </cell>
          <cell r="F1076">
            <v>9.6</v>
          </cell>
          <cell r="G1076">
            <v>120.1621</v>
          </cell>
          <cell r="H1076">
            <v>27.877607199999996</v>
          </cell>
          <cell r="I1076">
            <v>148.03970719999998</v>
          </cell>
        </row>
        <row r="1077">
          <cell r="B1077" t="str">
            <v>*098956</v>
          </cell>
          <cell r="C1077" t="str">
            <v>MANTENIMIENTO DE SECCIONADOR DE POTENCIA</v>
          </cell>
          <cell r="D1077" t="str">
            <v>UN</v>
          </cell>
          <cell r="E1077">
            <v>6.84</v>
          </cell>
          <cell r="F1077">
            <v>9.6</v>
          </cell>
          <cell r="G1077">
            <v>123.8511</v>
          </cell>
          <cell r="H1077">
            <v>28.733455199999998</v>
          </cell>
          <cell r="I1077">
            <v>152.58455520000001</v>
          </cell>
        </row>
        <row r="1078">
          <cell r="B1078" t="str">
            <v>*098960</v>
          </cell>
          <cell r="C1078" t="str">
            <v>MANTENIMIENTO EXTERIOR DE TRANSFORMADOR Y  DISYUNTOR BT</v>
          </cell>
          <cell r="D1078" t="str">
            <v>UN</v>
          </cell>
          <cell r="E1078">
            <v>10.456</v>
          </cell>
          <cell r="F1078">
            <v>9.6</v>
          </cell>
          <cell r="G1078">
            <v>47.364000000000004</v>
          </cell>
          <cell r="H1078">
            <v>10.988448</v>
          </cell>
          <cell r="I1078">
            <v>58.352448000000003</v>
          </cell>
        </row>
        <row r="1079">
          <cell r="B1079" t="str">
            <v>*098969</v>
          </cell>
          <cell r="C1079" t="str">
            <v>APLICACIÓN DE AJUSTE CALIBRADO A PERNOS CON TORQUÍMETRO</v>
          </cell>
          <cell r="D1079" t="str">
            <v>UN</v>
          </cell>
          <cell r="E1079">
            <v>246.8571</v>
          </cell>
          <cell r="F1079">
            <v>9.6</v>
          </cell>
          <cell r="G1079">
            <v>1.3639999999999999</v>
          </cell>
          <cell r="H1079">
            <v>0.31644799999999995</v>
          </cell>
          <cell r="I1079">
            <v>1.6804479999999997</v>
          </cell>
        </row>
        <row r="1080">
          <cell r="B1080" t="str">
            <v>*098970</v>
          </cell>
          <cell r="C1080" t="str">
            <v>MANTENIMIENTO TABLERO BT Y AP (CONTACTOS, AJUSTES, ALINEAM. LLAVES, CONTACTOR)</v>
          </cell>
          <cell r="D1080" t="str">
            <v>UN</v>
          </cell>
          <cell r="E1080">
            <v>10.454000000000001</v>
          </cell>
          <cell r="F1080">
            <v>9.6</v>
          </cell>
          <cell r="G1080">
            <v>64.52239999999999</v>
          </cell>
          <cell r="H1080">
            <v>14.969196799999997</v>
          </cell>
          <cell r="I1080">
            <v>79.491596799999982</v>
          </cell>
        </row>
        <row r="1081">
          <cell r="B1081" t="str">
            <v>*098971</v>
          </cell>
          <cell r="C1081" t="str">
            <v>SUPERVISION PERMANENTE DE UN CAPATAZ POR UNA HORA</v>
          </cell>
          <cell r="D1081" t="str">
            <v>HH</v>
          </cell>
          <cell r="E1081">
            <v>9.6</v>
          </cell>
          <cell r="F1081">
            <v>9.6</v>
          </cell>
          <cell r="G1081">
            <v>21.0093</v>
          </cell>
          <cell r="H1081">
            <v>4.8741575999999993</v>
          </cell>
          <cell r="I1081">
            <v>25.8834576</v>
          </cell>
        </row>
        <row r="1082">
          <cell r="B1082" t="str">
            <v>*098972</v>
          </cell>
          <cell r="C1082" t="str">
            <v>CUADRILLA DE MANTENIMIENTO CON CAMIONETA  DOBLE CABINA Y TRES PERSONAS</v>
          </cell>
          <cell r="D1082" t="str">
            <v>H</v>
          </cell>
          <cell r="E1082">
            <v>9.6</v>
          </cell>
          <cell r="F1082">
            <v>9.6</v>
          </cell>
          <cell r="G1082">
            <v>117.0646</v>
          </cell>
          <cell r="H1082">
            <v>27.158987199999999</v>
          </cell>
          <cell r="I1082">
            <v>144.2235872</v>
          </cell>
        </row>
        <row r="1083">
          <cell r="B1083" t="str">
            <v>*098974</v>
          </cell>
          <cell r="C1083" t="str">
            <v>CUADRILLA DE MANTENIMIENTO CON GRUA DE 9 TN Y CUATRO PERSONAS</v>
          </cell>
          <cell r="D1083" t="str">
            <v>H</v>
          </cell>
          <cell r="E1083">
            <v>9.6</v>
          </cell>
          <cell r="F1083">
            <v>9.6</v>
          </cell>
          <cell r="G1083">
            <v>205.00599999999997</v>
          </cell>
          <cell r="H1083">
            <v>47.561391999999991</v>
          </cell>
          <cell r="I1083">
            <v>252.56739199999996</v>
          </cell>
        </row>
        <row r="1084">
          <cell r="B1084" t="str">
            <v>*098976</v>
          </cell>
          <cell r="C1084" t="str">
            <v>CUADRILLA DE MANTENIMIENTO CON CAMIÓN DE 4 TN Y CUATRO PERSONAS</v>
          </cell>
          <cell r="D1084" t="str">
            <v>H</v>
          </cell>
          <cell r="E1084">
            <v>9.6</v>
          </cell>
          <cell r="F1084">
            <v>9.6</v>
          </cell>
          <cell r="G1084">
            <v>136.43599999999998</v>
          </cell>
          <cell r="H1084">
            <v>31.653151999999992</v>
          </cell>
          <cell r="I1084">
            <v>168.08915199999996</v>
          </cell>
        </row>
        <row r="1085">
          <cell r="B1085" t="str">
            <v>*098977</v>
          </cell>
          <cell r="C1085" t="str">
            <v>compensación por trabajo nocturno - Capataz</v>
          </cell>
          <cell r="D1085" t="str">
            <v>UN</v>
          </cell>
          <cell r="E1085">
            <v>1</v>
          </cell>
          <cell r="F1085">
            <v>9.6</v>
          </cell>
          <cell r="G1085">
            <v>199.2509</v>
          </cell>
          <cell r="H1085">
            <v>46.226208799999995</v>
          </cell>
          <cell r="I1085">
            <v>245.4771088</v>
          </cell>
        </row>
        <row r="1086">
          <cell r="B1086" t="str">
            <v>*098978</v>
          </cell>
          <cell r="C1086" t="str">
            <v>INSTALACION Y RETIRO DE PROTECTOR DE CELDA MT (SOLO MO)</v>
          </cell>
          <cell r="D1086" t="str">
            <v>UN</v>
          </cell>
          <cell r="E1086">
            <v>10.3241</v>
          </cell>
          <cell r="F1086">
            <v>9.6</v>
          </cell>
          <cell r="G1086">
            <v>64.610100000000003</v>
          </cell>
          <cell r="H1086">
            <v>14.9895432</v>
          </cell>
          <cell r="I1086">
            <v>79.599643200000003</v>
          </cell>
        </row>
        <row r="1087">
          <cell r="B1087" t="str">
            <v>*098979</v>
          </cell>
          <cell r="C1087" t="str">
            <v>Compensación por trabajo nocturno - Operario</v>
          </cell>
          <cell r="D1087" t="str">
            <v>UN</v>
          </cell>
          <cell r="E1087">
            <v>1</v>
          </cell>
          <cell r="F1087">
            <v>9.6</v>
          </cell>
          <cell r="G1087">
            <v>146.43260000000001</v>
          </cell>
          <cell r="H1087">
            <v>33.972363199999997</v>
          </cell>
          <cell r="I1087">
            <v>180.4049632</v>
          </cell>
        </row>
        <row r="1088">
          <cell r="B1088" t="str">
            <v>*098980</v>
          </cell>
          <cell r="C1088" t="str">
            <v>MEDICIÓN ELÉCTRICA DEL SISTEMA DE PUESTA  A TIERRA EN SE. CONVENCIONAL</v>
          </cell>
          <cell r="D1088" t="str">
            <v>UN</v>
          </cell>
          <cell r="E1088">
            <v>5.9713000000000003</v>
          </cell>
          <cell r="F1088">
            <v>9.6</v>
          </cell>
          <cell r="G1088">
            <v>71.94</v>
          </cell>
          <cell r="H1088">
            <v>16.690079999999998</v>
          </cell>
          <cell r="I1088">
            <v>88.630079999999992</v>
          </cell>
        </row>
        <row r="1089">
          <cell r="B1089" t="str">
            <v>*098988</v>
          </cell>
          <cell r="C1089" t="str">
            <v>Viaje indebido de cuadrilla insp y prueba en  conex B.T. - 098988</v>
          </cell>
          <cell r="D1089" t="str">
            <v>UN</v>
          </cell>
          <cell r="E1089">
            <v>16.014199999999999</v>
          </cell>
          <cell r="F1089">
            <v>9.6</v>
          </cell>
          <cell r="G1089">
            <v>30.0564</v>
          </cell>
          <cell r="H1089">
            <v>6.9730847999999996</v>
          </cell>
          <cell r="I1089">
            <v>37.029484799999999</v>
          </cell>
        </row>
        <row r="1090">
          <cell r="B1090" t="str">
            <v>*098989</v>
          </cell>
          <cell r="C1090" t="str">
            <v>Compensación por trabajo nocturno - Ayudante</v>
          </cell>
          <cell r="D1090" t="str">
            <v>UN</v>
          </cell>
          <cell r="E1090">
            <v>1</v>
          </cell>
          <cell r="F1090">
            <v>9.6</v>
          </cell>
          <cell r="G1090">
            <v>113.8579</v>
          </cell>
          <cell r="H1090">
            <v>26.415032799999999</v>
          </cell>
          <cell r="I1090">
            <v>140.27293280000001</v>
          </cell>
        </row>
        <row r="1091">
          <cell r="B1091" t="str">
            <v>*098990</v>
          </cell>
          <cell r="C1091" t="str">
            <v>PINTADO TABLERO DISTRIBUCIÓN BT CON  BASE Y ACABADO (INCLUYE ROTULADO)</v>
          </cell>
          <cell r="D1091" t="str">
            <v>UN</v>
          </cell>
          <cell r="E1091">
            <v>9.7196999999999996</v>
          </cell>
          <cell r="F1091">
            <v>9.6</v>
          </cell>
          <cell r="G1091">
            <v>63.417000000000002</v>
          </cell>
          <cell r="H1091">
            <v>14.712743999999999</v>
          </cell>
          <cell r="I1091">
            <v>78.129744000000002</v>
          </cell>
        </row>
        <row r="1092">
          <cell r="B1092" t="str">
            <v>*099000</v>
          </cell>
          <cell r="C1092" t="str">
            <v>PINTURA EXTERIOR SCP CON BASE Y ACABADO</v>
          </cell>
          <cell r="D1092" t="str">
            <v>UN</v>
          </cell>
          <cell r="E1092">
            <v>5.4039999999999999</v>
          </cell>
          <cell r="F1092">
            <v>9.6</v>
          </cell>
          <cell r="G1092">
            <v>108.26300000000001</v>
          </cell>
          <cell r="H1092">
            <v>25.117016</v>
          </cell>
          <cell r="I1092">
            <v>133.38001600000001</v>
          </cell>
        </row>
        <row r="1093">
          <cell r="B1093" t="str">
            <v>*099010</v>
          </cell>
          <cell r="C1093" t="str">
            <v>PINTURA FACHADA SE. CONVENCIONAL PUERTA Y REJA VENTILAC. (INCL. PINTURA Y ROTUL.)</v>
          </cell>
          <cell r="D1093" t="str">
            <v>UN</v>
          </cell>
          <cell r="E1093">
            <v>3.2360000000000002</v>
          </cell>
          <cell r="F1093">
            <v>9.6</v>
          </cell>
          <cell r="G1093">
            <v>256.55329999999998</v>
          </cell>
          <cell r="H1093">
            <v>59.520365599999991</v>
          </cell>
          <cell r="I1093">
            <v>316.07366559999997</v>
          </cell>
        </row>
        <row r="1094">
          <cell r="B1094" t="str">
            <v>*099030</v>
          </cell>
          <cell r="C1094" t="str">
            <v>RENOVACIÓN POZO DE TIERRA EN SE.CONVENC. (INCLUYE CAMBIO DE TIERRA)</v>
          </cell>
          <cell r="D1094" t="str">
            <v>UN</v>
          </cell>
          <cell r="E1094">
            <v>1.1184000000000001</v>
          </cell>
          <cell r="F1094">
            <v>9.6</v>
          </cell>
          <cell r="G1094">
            <v>603.10220000000004</v>
          </cell>
          <cell r="H1094">
            <v>139.91971039999999</v>
          </cell>
          <cell r="I1094">
            <v>743.02191040000002</v>
          </cell>
        </row>
        <row r="1095">
          <cell r="B1095" t="str">
            <v>*099040</v>
          </cell>
          <cell r="C1095" t="str">
            <v>RENOVACIÓN TABLERO BT SE. AÉREA</v>
          </cell>
          <cell r="D1095" t="str">
            <v>UN</v>
          </cell>
          <cell r="E1095">
            <v>1.3180000000000001</v>
          </cell>
          <cell r="F1095">
            <v>9.6</v>
          </cell>
          <cell r="G1095">
            <v>697.48869999999999</v>
          </cell>
          <cell r="H1095">
            <v>161.8173784</v>
          </cell>
          <cell r="I1095">
            <v>859.30607839999993</v>
          </cell>
        </row>
        <row r="1096">
          <cell r="B1096" t="str">
            <v>*099085</v>
          </cell>
          <cell r="C1096" t="str">
            <v>Ejecución de maniobra en llave BT</v>
          </cell>
          <cell r="D1096" t="str">
            <v>UN</v>
          </cell>
          <cell r="E1096">
            <v>50.21</v>
          </cell>
          <cell r="F1096">
            <v>9.6</v>
          </cell>
          <cell r="G1096">
            <v>3.5579000000000001</v>
          </cell>
          <cell r="H1096">
            <v>0.82543279999999997</v>
          </cell>
          <cell r="I1096">
            <v>4.3833327999999998</v>
          </cell>
        </row>
        <row r="1097">
          <cell r="B1097" t="str">
            <v>*099090</v>
          </cell>
          <cell r="C1097" t="str">
            <v>ROTULACIÓN CON LETRERO EN CELDAS,SAB O POSTES MT</v>
          </cell>
          <cell r="D1097" t="str">
            <v>UN</v>
          </cell>
          <cell r="E1097">
            <v>24.064599999999999</v>
          </cell>
          <cell r="F1097">
            <v>9.6</v>
          </cell>
          <cell r="G1097">
            <v>23.819199999999999</v>
          </cell>
          <cell r="H1097">
            <v>5.5260543999999996</v>
          </cell>
          <cell r="I1097">
            <v>29.345254399999998</v>
          </cell>
        </row>
        <row r="1098">
          <cell r="B1098" t="str">
            <v>*099095</v>
          </cell>
          <cell r="C1098" t="str">
            <v>SOPORTE DE DISYUNTOR (OBRA VENDIDA)</v>
          </cell>
          <cell r="D1098" t="str">
            <v>UN</v>
          </cell>
          <cell r="E1098">
            <v>8.2810000000000006</v>
          </cell>
          <cell r="F1098">
            <v>9.6</v>
          </cell>
          <cell r="G1098">
            <v>67.727100000000007</v>
          </cell>
          <cell r="H1098">
            <v>15.712687200000001</v>
          </cell>
          <cell r="I1098">
            <v>83.439787200000012</v>
          </cell>
        </row>
        <row r="1099">
          <cell r="B1099" t="str">
            <v>*099096</v>
          </cell>
          <cell r="C1099" t="str">
            <v>ROTULACION DE PUERTA DE CELDA</v>
          </cell>
          <cell r="D1099" t="str">
            <v>UN</v>
          </cell>
          <cell r="E1099">
            <v>8.5853000000000002</v>
          </cell>
          <cell r="F1099">
            <v>9.6</v>
          </cell>
          <cell r="G1099">
            <v>32.1751</v>
          </cell>
          <cell r="H1099">
            <v>7.4646231999999992</v>
          </cell>
          <cell r="I1099">
            <v>39.639723199999999</v>
          </cell>
        </row>
        <row r="1100">
          <cell r="B1100" t="str">
            <v>*099097</v>
          </cell>
          <cell r="C1100" t="str">
            <v>ROTULACION DE S.E. CONVENCIONAL (PUERTA DE INGRESO Y PARED INTERIOR)</v>
          </cell>
          <cell r="D1100" t="str">
            <v>UN</v>
          </cell>
          <cell r="E1100">
            <v>9.3143999999999991</v>
          </cell>
          <cell r="F1100">
            <v>9.6</v>
          </cell>
          <cell r="G1100">
            <v>31.416699999999999</v>
          </cell>
          <cell r="H1100">
            <v>7.2886743999999988</v>
          </cell>
          <cell r="I1100">
            <v>38.705374399999997</v>
          </cell>
        </row>
        <row r="1101">
          <cell r="B1101" t="str">
            <v>*099098</v>
          </cell>
          <cell r="C1101" t="str">
            <v>ROTULACIÓN DE POSTE NÚMERO CORRELATIVO</v>
          </cell>
          <cell r="D1101" t="str">
            <v>UN</v>
          </cell>
          <cell r="E1101">
            <v>92.173199999999994</v>
          </cell>
          <cell r="F1101">
            <v>9.6</v>
          </cell>
          <cell r="G1101">
            <v>8.8651</v>
          </cell>
          <cell r="H1101">
            <v>2.0567031999999998</v>
          </cell>
          <cell r="I1101">
            <v>10.921803199999999</v>
          </cell>
        </row>
        <row r="1102">
          <cell r="B1102" t="str">
            <v>*099099</v>
          </cell>
          <cell r="C1102" t="str">
            <v>ROTULACIÓN DE POSTE CON CIRCUITO</v>
          </cell>
          <cell r="D1102" t="str">
            <v>UN</v>
          </cell>
          <cell r="E1102">
            <v>21.2851</v>
          </cell>
          <cell r="F1102">
            <v>9.6</v>
          </cell>
          <cell r="G1102">
            <v>20.318199999999997</v>
          </cell>
          <cell r="H1102">
            <v>4.7138223999999989</v>
          </cell>
          <cell r="I1102">
            <v>25.032022399999995</v>
          </cell>
        </row>
        <row r="1103">
          <cell r="B1103" t="str">
            <v>*099100</v>
          </cell>
          <cell r="C1103" t="str">
            <v>ROTULACIÓN DE S.E. AÉREA</v>
          </cell>
          <cell r="D1103" t="str">
            <v>UN</v>
          </cell>
          <cell r="E1103">
            <v>10.7347</v>
          </cell>
          <cell r="F1103">
            <v>9.6</v>
          </cell>
          <cell r="G1103">
            <v>42.105199999999996</v>
          </cell>
          <cell r="H1103">
            <v>9.7684063999999982</v>
          </cell>
          <cell r="I1103">
            <v>51.873606399999993</v>
          </cell>
        </row>
        <row r="1104">
          <cell r="B1104" t="str">
            <v>*099104</v>
          </cell>
          <cell r="C1104" t="str">
            <v>ROTULACIÓN DE POSTE CON CIRCUITO, TRABAJO MASIVO &gt; 4 UN</v>
          </cell>
          <cell r="D1104" t="str">
            <v>UN</v>
          </cell>
          <cell r="E1104">
            <v>28.502400000000002</v>
          </cell>
          <cell r="F1104">
            <v>9.6</v>
          </cell>
          <cell r="G1104">
            <v>16.3916</v>
          </cell>
          <cell r="H1104">
            <v>3.8028511999999997</v>
          </cell>
          <cell r="I1104">
            <v>20.1944512</v>
          </cell>
        </row>
        <row r="1105">
          <cell r="B1105" t="str">
            <v>*099106</v>
          </cell>
          <cell r="C1105" t="str">
            <v>TRANSPORTE EN CAMIONETA STATION WAGON (VIAJE IDA Y VUELTA)</v>
          </cell>
          <cell r="D1105" t="str">
            <v>UN</v>
          </cell>
          <cell r="E1105">
            <v>4</v>
          </cell>
          <cell r="F1105">
            <v>9.6</v>
          </cell>
          <cell r="G1105">
            <v>51.96</v>
          </cell>
          <cell r="H1105">
            <v>12.05472</v>
          </cell>
          <cell r="I1105">
            <v>64.014719999999997</v>
          </cell>
        </row>
        <row r="1106">
          <cell r="B1106" t="str">
            <v>*099107</v>
          </cell>
          <cell r="C1106" t="str">
            <v>TRANSPORTE EN CAMIONETA RURAL TIPO COMBI (VIAJE IDA Y VUELTA)</v>
          </cell>
          <cell r="D1106" t="str">
            <v>UN</v>
          </cell>
          <cell r="E1106">
            <v>4</v>
          </cell>
          <cell r="F1106">
            <v>9.6</v>
          </cell>
          <cell r="G1106">
            <v>66.263999999999996</v>
          </cell>
          <cell r="H1106">
            <v>15.373247999999998</v>
          </cell>
          <cell r="I1106">
            <v>81.637248</v>
          </cell>
        </row>
        <row r="1107">
          <cell r="B1107" t="str">
            <v>*099108</v>
          </cell>
          <cell r="C1107" t="str">
            <v>Movilidad para maniobras efectuadas antes de las 7:00 a.m.</v>
          </cell>
          <cell r="D1107" t="str">
            <v>UN</v>
          </cell>
          <cell r="E1107">
            <v>9.6</v>
          </cell>
          <cell r="F1107">
            <v>9.6</v>
          </cell>
          <cell r="G1107">
            <v>20.661100000000001</v>
          </cell>
          <cell r="H1107">
            <v>4.7933751999999998</v>
          </cell>
          <cell r="I1107">
            <v>25.454475200000001</v>
          </cell>
        </row>
        <row r="1108">
          <cell r="B1108" t="str">
            <v>*099109</v>
          </cell>
          <cell r="C1108" t="str">
            <v>RETIRO DE MEDIDOR MONOF. SIN SEGURO - CON MISMA CUADRILLA - RUTINA</v>
          </cell>
          <cell r="D1108" t="str">
            <v>UN</v>
          </cell>
          <cell r="E1108">
            <v>54.546900000000001</v>
          </cell>
          <cell r="F1108">
            <v>9.6</v>
          </cell>
          <cell r="G1108">
            <v>9.5527999999999995</v>
          </cell>
          <cell r="H1108">
            <v>2.2162495999999998</v>
          </cell>
          <cell r="I1108">
            <v>11.769049599999999</v>
          </cell>
        </row>
        <row r="1109">
          <cell r="B1109" t="str">
            <v>*099111</v>
          </cell>
          <cell r="C1109" t="str">
            <v>INSTALACIÓN MEDIDOR MONOF. SIN SEGURO - CON MISMA CUADRILLA - RUTINA</v>
          </cell>
          <cell r="D1109" t="str">
            <v>UN</v>
          </cell>
          <cell r="E1109">
            <v>38.183900000000001</v>
          </cell>
          <cell r="F1109">
            <v>9.6</v>
          </cell>
          <cell r="G1109">
            <v>13.6464</v>
          </cell>
          <cell r="H1109">
            <v>3.1659647999999998</v>
          </cell>
          <cell r="I1109">
            <v>16.812364800000001</v>
          </cell>
        </row>
        <row r="1110">
          <cell r="B1110" t="str">
            <v>*099112</v>
          </cell>
          <cell r="C1110" t="str">
            <v>INSTALACION MEDIDOR TRIFÁSICO SIN SEGURO - CON MISMA CUADRILLA - RUTINA</v>
          </cell>
          <cell r="D1110" t="str">
            <v>UN</v>
          </cell>
          <cell r="E1110">
            <v>31.073</v>
          </cell>
          <cell r="F1110">
            <v>9.6</v>
          </cell>
          <cell r="G1110">
            <v>16.790500000000002</v>
          </cell>
          <cell r="H1110">
            <v>3.8953960000000003</v>
          </cell>
          <cell r="I1110">
            <v>20.685896000000003</v>
          </cell>
        </row>
        <row r="1111">
          <cell r="B1111" t="str">
            <v>*099113</v>
          </cell>
          <cell r="C1111" t="str">
            <v>TRASLADO MEDIDOR TRIFÁSICO SIN SEGURO - CON MISMA CUADRILLA - RUTINA</v>
          </cell>
          <cell r="D1111" t="str">
            <v>UN</v>
          </cell>
          <cell r="E1111">
            <v>23.9023</v>
          </cell>
          <cell r="F1111">
            <v>9.6</v>
          </cell>
          <cell r="G1111">
            <v>21.8277</v>
          </cell>
          <cell r="H1111">
            <v>5.0640263999999995</v>
          </cell>
          <cell r="I1111">
            <v>26.8917264</v>
          </cell>
        </row>
        <row r="1112">
          <cell r="B1112" t="str">
            <v>*099114</v>
          </cell>
          <cell r="C1112" t="str">
            <v>RETIRO DE MEDIDOR TRIFÁSICO SIN SEGURO - CON MISMA CUADRILLA - RUTINA</v>
          </cell>
          <cell r="D1112" t="str">
            <v>UN</v>
          </cell>
          <cell r="E1112">
            <v>44.3887</v>
          </cell>
          <cell r="F1112">
            <v>9.6</v>
          </cell>
          <cell r="G1112">
            <v>11.7536</v>
          </cell>
          <cell r="H1112">
            <v>2.7268352</v>
          </cell>
          <cell r="I1112">
            <v>14.480435200000001</v>
          </cell>
        </row>
        <row r="1113">
          <cell r="B1113" t="str">
            <v>*099115</v>
          </cell>
          <cell r="C1113" t="str">
            <v>TRASLADO DE MEDIDOR MONOF. SIN SEGURO - CON MISMA CUADRILLA - RUTINA</v>
          </cell>
          <cell r="D1113" t="str">
            <v>UN</v>
          </cell>
          <cell r="E1113">
            <v>29.372199999999999</v>
          </cell>
          <cell r="F1113">
            <v>9.6</v>
          </cell>
          <cell r="G1113">
            <v>17.740500000000001</v>
          </cell>
          <cell r="H1113">
            <v>4.1157959999999996</v>
          </cell>
          <cell r="I1113">
            <v>21.856296</v>
          </cell>
        </row>
        <row r="1114">
          <cell r="B1114" t="str">
            <v>*099198</v>
          </cell>
          <cell r="C1114" t="str">
            <v>RETIRO DE CERRADURA/CANDADO EN PUERTA DE SUBESTACIÓN CONVENCIONAL</v>
          </cell>
          <cell r="D1114" t="str">
            <v>UN</v>
          </cell>
          <cell r="E1114">
            <v>4.4381000000000004</v>
          </cell>
          <cell r="F1114">
            <v>9.6</v>
          </cell>
          <cell r="G1114">
            <v>208.63730000000001</v>
          </cell>
          <cell r="H1114">
            <v>48.403853599999998</v>
          </cell>
          <cell r="I1114">
            <v>257.04115360000003</v>
          </cell>
        </row>
        <row r="1115">
          <cell r="B1115" t="str">
            <v>*099199</v>
          </cell>
          <cell r="C1115" t="str">
            <v>INSPECCIÓN DE SED COMPACTA TIPO PEDESTAL SUBTERRANEA</v>
          </cell>
          <cell r="D1115" t="str">
            <v>UN</v>
          </cell>
          <cell r="E1115">
            <v>10</v>
          </cell>
          <cell r="F1115">
            <v>9.6</v>
          </cell>
          <cell r="G1115">
            <v>66.118099999999998</v>
          </cell>
          <cell r="H1115">
            <v>15.339399199999999</v>
          </cell>
          <cell r="I1115">
            <v>81.457499200000001</v>
          </cell>
        </row>
        <row r="1116">
          <cell r="B1116" t="str">
            <v>*099200</v>
          </cell>
          <cell r="C1116" t="str">
            <v>INSPECCIÓN DE SED COMPACTA TIPO PEDESTAL A NIVEL</v>
          </cell>
          <cell r="D1116" t="str">
            <v>UN</v>
          </cell>
          <cell r="E1116">
            <v>11</v>
          </cell>
          <cell r="F1116">
            <v>9.6</v>
          </cell>
          <cell r="G1116">
            <v>48.459500000000006</v>
          </cell>
          <cell r="H1116">
            <v>11.242604</v>
          </cell>
          <cell r="I1116">
            <v>59.702104000000006</v>
          </cell>
        </row>
        <row r="1117">
          <cell r="B1117" t="str">
            <v>*099201</v>
          </cell>
          <cell r="C1117" t="str">
            <v>INSPECCION VISUAL DE SUBESTACIONES CONVENCIONALES A NIVEL</v>
          </cell>
          <cell r="D1117" t="str">
            <v>UN</v>
          </cell>
          <cell r="E1117">
            <v>3.7970000000000002</v>
          </cell>
          <cell r="F1117">
            <v>9.6</v>
          </cell>
          <cell r="G1117">
            <v>163.3836</v>
          </cell>
          <cell r="H1117">
            <v>37.904995199999995</v>
          </cell>
          <cell r="I1117">
            <v>201.2885952</v>
          </cell>
        </row>
        <row r="1118">
          <cell r="B1118" t="str">
            <v>*099202</v>
          </cell>
          <cell r="C1118" t="str">
            <v>INSPECCIÓN VISUAL DE SUBESTACIONES CONVENCIONALES SUBTERRÁNEA.</v>
          </cell>
          <cell r="D1118" t="str">
            <v>UN</v>
          </cell>
          <cell r="E1118">
            <v>3.7970000000000002</v>
          </cell>
          <cell r="F1118">
            <v>9.6</v>
          </cell>
          <cell r="G1118">
            <v>197.1277</v>
          </cell>
          <cell r="H1118">
            <v>45.733626399999999</v>
          </cell>
          <cell r="I1118">
            <v>242.8613264</v>
          </cell>
        </row>
        <row r="1119">
          <cell r="B1119" t="str">
            <v>*099203</v>
          </cell>
          <cell r="C1119" t="str">
            <v>LIMPIEZA DE SUBESTACIONES CONVENCIONALES A NIVEL (RETIRO, RECINTO Y REJILLAS DE VENTILACIÓN)</v>
          </cell>
          <cell r="D1119" t="str">
            <v>UN</v>
          </cell>
          <cell r="E1119">
            <v>4.8818999999999999</v>
          </cell>
          <cell r="F1119">
            <v>9.6</v>
          </cell>
          <cell r="G1119">
            <v>177.19130000000001</v>
          </cell>
          <cell r="H1119">
            <v>41.108381600000001</v>
          </cell>
          <cell r="I1119">
            <v>218.29968160000001</v>
          </cell>
        </row>
        <row r="1120">
          <cell r="B1120" t="str">
            <v>*099204</v>
          </cell>
          <cell r="C1120" t="str">
            <v>LIMPIEZA DE SUBESTACIONES CONVENCIONALES SUBTERRÁNEAS (ZONA DE ACCESO Y RECINTO)</v>
          </cell>
          <cell r="D1120" t="str">
            <v>UN</v>
          </cell>
          <cell r="E1120">
            <v>4.8818999999999999</v>
          </cell>
          <cell r="F1120">
            <v>9.6</v>
          </cell>
          <cell r="G1120">
            <v>214.45269999999999</v>
          </cell>
          <cell r="H1120">
            <v>49.753026399999996</v>
          </cell>
          <cell r="I1120">
            <v>264.2057264</v>
          </cell>
        </row>
        <row r="1121">
          <cell r="B1121" t="str">
            <v>*099205</v>
          </cell>
          <cell r="C1121" t="str">
            <v>CAMBIO/MANTENIMIENTO DE SERVICIOS AUXILIARES (CARGADOR Y/O BATERÍAS).</v>
          </cell>
          <cell r="D1121" t="str">
            <v>UN</v>
          </cell>
          <cell r="E1121">
            <v>4.8818999999999999</v>
          </cell>
          <cell r="F1121">
            <v>9.6</v>
          </cell>
          <cell r="G1121">
            <v>159.46729999999999</v>
          </cell>
          <cell r="H1121">
            <v>36.996413599999997</v>
          </cell>
          <cell r="I1121">
            <v>196.46371360000001</v>
          </cell>
        </row>
        <row r="1122">
          <cell r="B1122" t="str">
            <v>*099206</v>
          </cell>
          <cell r="C1122" t="str">
            <v>ADECUACIÓN DE PUERTAS EN CELDA DE MEDIA TENSIÓN</v>
          </cell>
          <cell r="D1122" t="str">
            <v>UN</v>
          </cell>
          <cell r="E1122">
            <v>2.2782</v>
          </cell>
          <cell r="F1122">
            <v>9.6</v>
          </cell>
          <cell r="G1122">
            <v>406.44080000000002</v>
          </cell>
          <cell r="H1122">
            <v>94.294265600000003</v>
          </cell>
          <cell r="I1122">
            <v>500.73506560000004</v>
          </cell>
        </row>
        <row r="1123">
          <cell r="B1123" t="str">
            <v>*099207</v>
          </cell>
          <cell r="C1123" t="str">
            <v>LIMPIEZA DE TECHO DE SE CONVENCIONALES</v>
          </cell>
          <cell r="D1123" t="str">
            <v>UN</v>
          </cell>
          <cell r="E1123">
            <v>2.2782</v>
          </cell>
          <cell r="F1123">
            <v>9.6</v>
          </cell>
          <cell r="G1123">
            <v>349.60480000000001</v>
          </cell>
          <cell r="H1123">
            <v>81.108313600000002</v>
          </cell>
          <cell r="I1123">
            <v>430.71311360000004</v>
          </cell>
        </row>
        <row r="1124">
          <cell r="B1124" t="str">
            <v>*099208</v>
          </cell>
          <cell r="C1124" t="str">
            <v>INSTALACIÓN/CAMBIO CAMBIO DE EXTRACTOR DE AIRE EN SUBESTACIÓN CONVENCIONAL.</v>
          </cell>
          <cell r="D1124" t="str">
            <v>UN</v>
          </cell>
          <cell r="E1124">
            <v>1.7986</v>
          </cell>
          <cell r="F1124">
            <v>9.6</v>
          </cell>
          <cell r="G1124">
            <v>515.40189999999996</v>
          </cell>
          <cell r="H1124">
            <v>119.57324079999998</v>
          </cell>
          <cell r="I1124">
            <v>634.97514079999996</v>
          </cell>
        </row>
        <row r="1125">
          <cell r="B1125" t="str">
            <v>*099209</v>
          </cell>
          <cell r="C1125" t="str">
            <v>MANTENIMIENTO DE EXTRACTOR DE AIRE.</v>
          </cell>
          <cell r="D1125" t="str">
            <v>UN</v>
          </cell>
          <cell r="E1125">
            <v>3.1067</v>
          </cell>
          <cell r="F1125">
            <v>9.6</v>
          </cell>
          <cell r="G1125">
            <v>261.07389999999998</v>
          </cell>
          <cell r="H1125">
            <v>60.569144799999989</v>
          </cell>
          <cell r="I1125">
            <v>321.64304479999998</v>
          </cell>
        </row>
        <row r="1126">
          <cell r="B1126" t="str">
            <v>*099210</v>
          </cell>
          <cell r="C1126" t="str">
            <v>PICADO DE PARED PARA INSTALACIÓN DE EXTRACTOR DE AIRE EN SUBESTACIÓN CONVENCIONAL.</v>
          </cell>
          <cell r="D1126" t="str">
            <v>UN</v>
          </cell>
          <cell r="E1126">
            <v>1.2657</v>
          </cell>
          <cell r="F1126">
            <v>9.6</v>
          </cell>
          <cell r="G1126">
            <v>745.24350000000004</v>
          </cell>
          <cell r="H1126">
            <v>172.89649199999999</v>
          </cell>
          <cell r="I1126">
            <v>918.13999200000001</v>
          </cell>
        </row>
        <row r="1127">
          <cell r="B1127" t="str">
            <v>*099211</v>
          </cell>
          <cell r="C1127" t="str">
            <v>CAMBIO DE REJILLA DE VENTILACIÓN (NO INCLUYE FABRICACIÓN DE REJILLA)</v>
          </cell>
          <cell r="D1127" t="str">
            <v>UN</v>
          </cell>
          <cell r="E1127">
            <v>1.7986</v>
          </cell>
          <cell r="F1127">
            <v>9.6</v>
          </cell>
          <cell r="G1127">
            <v>514.81899999999996</v>
          </cell>
          <cell r="H1127">
            <v>119.43800799999998</v>
          </cell>
          <cell r="I1127">
            <v>634.25700799999993</v>
          </cell>
        </row>
        <row r="1128">
          <cell r="B1128" t="str">
            <v>*099212</v>
          </cell>
          <cell r="C1128" t="str">
            <v>REPARACIÓN DE REJILLAS DE VENTILACIÓN</v>
          </cell>
          <cell r="D1128" t="str">
            <v>UN</v>
          </cell>
          <cell r="E1128">
            <v>2.2782</v>
          </cell>
          <cell r="F1128">
            <v>9.6</v>
          </cell>
          <cell r="G1128">
            <v>406.44080000000002</v>
          </cell>
          <cell r="H1128">
            <v>94.294265600000003</v>
          </cell>
          <cell r="I1128">
            <v>500.73506560000004</v>
          </cell>
        </row>
        <row r="1129">
          <cell r="B1129" t="str">
            <v>*099213</v>
          </cell>
          <cell r="C1129" t="str">
            <v>CAMBIO/MANTENIMIENTO DE LÁMPARAS DE ALUMBRADO EN SUBESTACIÓN</v>
          </cell>
          <cell r="D1129" t="str">
            <v>UN</v>
          </cell>
          <cell r="E1129">
            <v>3.1067</v>
          </cell>
          <cell r="F1129">
            <v>9.6</v>
          </cell>
          <cell r="G1129">
            <v>261.07389999999998</v>
          </cell>
          <cell r="H1129">
            <v>60.569144799999989</v>
          </cell>
          <cell r="I1129">
            <v>321.64304479999998</v>
          </cell>
        </row>
        <row r="1130">
          <cell r="B1130" t="str">
            <v>*099214</v>
          </cell>
          <cell r="C1130" t="str">
            <v>PINTADO DE FACHADA DE SED</v>
          </cell>
          <cell r="D1130" t="str">
            <v>UN</v>
          </cell>
          <cell r="E1130">
            <v>1.2657</v>
          </cell>
          <cell r="F1130">
            <v>9.6</v>
          </cell>
          <cell r="G1130">
            <v>640.81389999999999</v>
          </cell>
          <cell r="H1130">
            <v>148.66882479999998</v>
          </cell>
          <cell r="I1130">
            <v>789.48272479999991</v>
          </cell>
        </row>
        <row r="1131">
          <cell r="B1131" t="str">
            <v>*099215</v>
          </cell>
          <cell r="C1131" t="str">
            <v>INSTALACIÓN DE TAPA DE BUZÓN EN SED CONVENCIONAL</v>
          </cell>
          <cell r="D1131" t="str">
            <v>UN</v>
          </cell>
          <cell r="E1131">
            <v>3.1067</v>
          </cell>
          <cell r="F1131">
            <v>9.6</v>
          </cell>
          <cell r="G1131">
            <v>261.3152</v>
          </cell>
          <cell r="H1131">
            <v>60.625126399999999</v>
          </cell>
          <cell r="I1131">
            <v>321.9403264</v>
          </cell>
        </row>
        <row r="1132">
          <cell r="B1132" t="str">
            <v>*099216</v>
          </cell>
          <cell r="C1132" t="str">
            <v>RESANE DE COLUMNA O ZÓCALO DE SED CONVENCIONAL</v>
          </cell>
          <cell r="D1132" t="str">
            <v>UN</v>
          </cell>
          <cell r="E1132">
            <v>2.2782</v>
          </cell>
          <cell r="F1132">
            <v>9.6</v>
          </cell>
          <cell r="G1132">
            <v>356.017</v>
          </cell>
          <cell r="H1132">
            <v>82.595943999999989</v>
          </cell>
          <cell r="I1132">
            <v>438.61294399999997</v>
          </cell>
        </row>
        <row r="1133">
          <cell r="B1133" t="str">
            <v>*099217</v>
          </cell>
          <cell r="C1133" t="str">
            <v>PINTADO DE REJAS (CERCO) DE SUBESTACIÓN CONVENCIONAL</v>
          </cell>
          <cell r="D1133" t="str">
            <v>UN</v>
          </cell>
          <cell r="E1133">
            <v>1.2657</v>
          </cell>
          <cell r="F1133">
            <v>9.6</v>
          </cell>
          <cell r="G1133">
            <v>821.12429999999995</v>
          </cell>
          <cell r="H1133">
            <v>190.50083759999998</v>
          </cell>
          <cell r="I1133">
            <v>1011.6251375999999</v>
          </cell>
        </row>
        <row r="1134">
          <cell r="B1134" t="str">
            <v>*099218</v>
          </cell>
          <cell r="C1134" t="str">
            <v>INSTALACIÓN DE CERRADURA/CANDADO EN PUERTA DE SUBESTACIÓN CONVENCIONAL</v>
          </cell>
          <cell r="D1134" t="str">
            <v>UN</v>
          </cell>
          <cell r="E1134">
            <v>3.1067</v>
          </cell>
          <cell r="F1134">
            <v>9.6</v>
          </cell>
          <cell r="G1134">
            <v>298.05059999999997</v>
          </cell>
          <cell r="H1134">
            <v>69.14773919999999</v>
          </cell>
          <cell r="I1134">
            <v>367.19833919999996</v>
          </cell>
        </row>
        <row r="1135">
          <cell r="B1135" t="str">
            <v>*099219</v>
          </cell>
          <cell r="C1135" t="str">
            <v>CAMBIO/INSTALACIÓN DE TECHOS DE CALAMINA EN SUBESTACIÓN CONVENCIONAL</v>
          </cell>
          <cell r="D1135" t="str">
            <v>UN</v>
          </cell>
          <cell r="E1135">
            <v>1.2657</v>
          </cell>
          <cell r="F1135">
            <v>9.6</v>
          </cell>
          <cell r="G1135">
            <v>730.9819</v>
          </cell>
          <cell r="H1135">
            <v>169.5878008</v>
          </cell>
          <cell r="I1135">
            <v>900.56970079999996</v>
          </cell>
        </row>
        <row r="1136">
          <cell r="B1136" t="str">
            <v>*099220</v>
          </cell>
          <cell r="C1136" t="str">
            <v>INSTALACIÓN DE TUBERÍA PARA CABLEADO DE CABLES DE CONTROL EN CELDAS MT</v>
          </cell>
          <cell r="D1136" t="str">
            <v>UN</v>
          </cell>
          <cell r="E1136">
            <v>1.7986</v>
          </cell>
          <cell r="F1136">
            <v>9.6</v>
          </cell>
          <cell r="G1136">
            <v>450.94960000000003</v>
          </cell>
          <cell r="H1136">
            <v>104.6203072</v>
          </cell>
          <cell r="I1136">
            <v>555.56990719999999</v>
          </cell>
        </row>
        <row r="1137">
          <cell r="B1137" t="str">
            <v>*099221</v>
          </cell>
          <cell r="C1137" t="str">
            <v>INSTALACIÓN DE TUBERIAS DE DRENAJE EN TECHOS DE SUBESTACION CONVENCIONAL</v>
          </cell>
          <cell r="D1137" t="str">
            <v>UN</v>
          </cell>
          <cell r="E1137">
            <v>2.2782</v>
          </cell>
          <cell r="F1137">
            <v>9.6</v>
          </cell>
          <cell r="G1137">
            <v>403.38070000000005</v>
          </cell>
          <cell r="H1137">
            <v>93.584322400000005</v>
          </cell>
          <cell r="I1137">
            <v>496.96502240000007</v>
          </cell>
        </row>
        <row r="1138">
          <cell r="B1138" t="str">
            <v>*099222</v>
          </cell>
          <cell r="C1138" t="str">
            <v>REPARACIÓN DE PUERTAS EN SEDS CONVENCIONAL</v>
          </cell>
          <cell r="D1138" t="str">
            <v>UN</v>
          </cell>
          <cell r="E1138">
            <v>2.2782</v>
          </cell>
          <cell r="F1138">
            <v>9.6</v>
          </cell>
          <cell r="G1138">
            <v>487.3365</v>
          </cell>
          <cell r="H1138">
            <v>113.062068</v>
          </cell>
          <cell r="I1138">
            <v>600.39856799999995</v>
          </cell>
        </row>
        <row r="1139">
          <cell r="B1139" t="str">
            <v>*099223</v>
          </cell>
          <cell r="C1139" t="str">
            <v>REPARACIÓN DE CLARABOYA DE SUBESTACIÓN CONVENCIONAL</v>
          </cell>
          <cell r="D1139" t="str">
            <v>UN</v>
          </cell>
          <cell r="E1139">
            <v>1.4858</v>
          </cell>
          <cell r="F1139">
            <v>9.6</v>
          </cell>
          <cell r="G1139">
            <v>784.4081000000001</v>
          </cell>
          <cell r="H1139">
            <v>181.98267920000001</v>
          </cell>
          <cell r="I1139">
            <v>966.39077920000011</v>
          </cell>
        </row>
        <row r="1140">
          <cell r="B1140" t="str">
            <v>*099224</v>
          </cell>
          <cell r="C1140" t="str">
            <v>TAPADO DE CLARABOYA DE SUBESTACIÓN CONVENCIONAL</v>
          </cell>
          <cell r="D1140" t="str">
            <v>UN</v>
          </cell>
          <cell r="E1140">
            <v>3.1067</v>
          </cell>
          <cell r="F1140">
            <v>9.6</v>
          </cell>
          <cell r="G1140">
            <v>375.14849999999996</v>
          </cell>
          <cell r="H1140">
            <v>87.034451999999987</v>
          </cell>
          <cell r="I1140">
            <v>462.18295199999994</v>
          </cell>
        </row>
        <row r="1141">
          <cell r="B1141" t="str">
            <v>*099225</v>
          </cell>
          <cell r="C1141" t="str">
            <v>INSTALACIÓN DE PLANCHAS METÁLICAS EN REJAS DE RETIRO</v>
          </cell>
          <cell r="D1141" t="str">
            <v>UN</v>
          </cell>
          <cell r="E1141">
            <v>1.7986</v>
          </cell>
          <cell r="F1141">
            <v>9.6</v>
          </cell>
          <cell r="G1141">
            <v>594.90340000000003</v>
          </cell>
          <cell r="H1141">
            <v>138.0175888</v>
          </cell>
          <cell r="I1141">
            <v>732.92098880000003</v>
          </cell>
        </row>
        <row r="1142">
          <cell r="B1142" t="str">
            <v>*099226</v>
          </cell>
          <cell r="C1142" t="str">
            <v>ROTULADO DE CELDA MT</v>
          </cell>
          <cell r="D1142" t="str">
            <v>UN</v>
          </cell>
          <cell r="E1142">
            <v>5.6955999999999998</v>
          </cell>
          <cell r="F1142">
            <v>9.6</v>
          </cell>
          <cell r="G1142">
            <v>142.40430000000001</v>
          </cell>
          <cell r="H1142">
            <v>33.037797599999998</v>
          </cell>
          <cell r="I1142">
            <v>175.44209760000001</v>
          </cell>
        </row>
        <row r="1143">
          <cell r="B1143" t="str">
            <v>*099227</v>
          </cell>
          <cell r="C1143" t="str">
            <v>REPARACIÓN DE CHAPAS DE PUERTA DE SUBESTACIÓN CONVENCIONAL</v>
          </cell>
          <cell r="D1143" t="str">
            <v>UN</v>
          </cell>
          <cell r="E1143">
            <v>3.1067</v>
          </cell>
          <cell r="F1143">
            <v>9.6</v>
          </cell>
          <cell r="G1143">
            <v>336.59949999999998</v>
          </cell>
          <cell r="H1143">
            <v>78.091083999999995</v>
          </cell>
          <cell r="I1143">
            <v>414.69058399999994</v>
          </cell>
        </row>
        <row r="1144">
          <cell r="B1144" t="str">
            <v>*099228</v>
          </cell>
          <cell r="C1144" t="str">
            <v>TRASLADO DE GABINETE DE PROTECCIÓN DE BASE A SUBESTACIÓN CONVENCIONAL</v>
          </cell>
          <cell r="D1144" t="str">
            <v>UN</v>
          </cell>
          <cell r="E1144">
            <v>3.1067</v>
          </cell>
          <cell r="F1144">
            <v>9.6</v>
          </cell>
          <cell r="G1144">
            <v>524.7826</v>
          </cell>
          <cell r="H1144">
            <v>121.7495632</v>
          </cell>
          <cell r="I1144">
            <v>646.53216320000001</v>
          </cell>
        </row>
        <row r="1145">
          <cell r="B1145" t="str">
            <v>*099229</v>
          </cell>
          <cell r="C1145" t="str">
            <v>IMPLEMENTACIÓN DE PUNTO CON TOMACORRIENTE INDUSTRIAL EN SUBESTACIÓN CONVENCIONAL</v>
          </cell>
          <cell r="D1145" t="str">
            <v>UN</v>
          </cell>
          <cell r="E1145">
            <v>3.1067</v>
          </cell>
          <cell r="F1145">
            <v>9.6</v>
          </cell>
          <cell r="G1145">
            <v>303.61950000000002</v>
          </cell>
          <cell r="H1145">
            <v>70.439723999999998</v>
          </cell>
          <cell r="I1145">
            <v>374.05922400000003</v>
          </cell>
        </row>
        <row r="1146">
          <cell r="B1146" t="str">
            <v>*099230</v>
          </cell>
          <cell r="C1146" t="str">
            <v>INSTALACIÓN DE REJAS EN RETIRO DE SUBESTACIÓN CONVENCIONAL</v>
          </cell>
          <cell r="D1146" t="str">
            <v>UN</v>
          </cell>
          <cell r="E1146">
            <v>1.2657</v>
          </cell>
          <cell r="F1146">
            <v>9.6</v>
          </cell>
          <cell r="G1146">
            <v>731.57429999999999</v>
          </cell>
          <cell r="H1146">
            <v>169.72523759999999</v>
          </cell>
          <cell r="I1146">
            <v>901.29953760000001</v>
          </cell>
        </row>
        <row r="1147">
          <cell r="B1147" t="str">
            <v>*099231</v>
          </cell>
          <cell r="C1147" t="str">
            <v>INSTALACIÓN DE PUERTA SUPERIOR EN CELDA DE MEDIA TENSIÓN EN SUBESTACIÓN CONVENCIONAL</v>
          </cell>
          <cell r="D1147" t="str">
            <v>UN</v>
          </cell>
          <cell r="E1147">
            <v>3.7970000000000002</v>
          </cell>
          <cell r="F1147">
            <v>9.6</v>
          </cell>
          <cell r="G1147">
            <v>243.8646</v>
          </cell>
          <cell r="H1147">
            <v>56.576587199999992</v>
          </cell>
          <cell r="I1147">
            <v>300.4411872</v>
          </cell>
        </row>
        <row r="1148">
          <cell r="B1148" t="str">
            <v>*099232</v>
          </cell>
          <cell r="C1148" t="str">
            <v>INSTALACIÓN DE BLOQUEO MECÁNICO EN INTERRPTORES DE VACÍO ABB VD4</v>
          </cell>
          <cell r="D1148" t="str">
            <v>UN</v>
          </cell>
          <cell r="E1148">
            <v>6.8346999999999998</v>
          </cell>
          <cell r="F1148">
            <v>9.6</v>
          </cell>
          <cell r="G1148">
            <v>138.18340000000001</v>
          </cell>
          <cell r="H1148">
            <v>32.058548799999997</v>
          </cell>
          <cell r="I1148">
            <v>170.24194879999999</v>
          </cell>
        </row>
        <row r="1149">
          <cell r="B1149" t="str">
            <v>*099233</v>
          </cell>
          <cell r="C1149" t="str">
            <v>CALADO DE TAPAS DE RELES SIEMENS</v>
          </cell>
          <cell r="D1149" t="str">
            <v>UN</v>
          </cell>
          <cell r="E1149">
            <v>4.8818999999999999</v>
          </cell>
          <cell r="F1149">
            <v>9.6</v>
          </cell>
          <cell r="G1149">
            <v>188.279</v>
          </cell>
          <cell r="H1149">
            <v>43.680727999999995</v>
          </cell>
          <cell r="I1149">
            <v>231.95972799999998</v>
          </cell>
        </row>
        <row r="1150">
          <cell r="B1150" t="str">
            <v>*099234</v>
          </cell>
          <cell r="C1150" t="str">
            <v>CALADO DE PORTALDABAS EN INTERRUPTORES DE VACÍO ABB VD4</v>
          </cell>
          <cell r="D1150" t="str">
            <v>UN</v>
          </cell>
          <cell r="E1150">
            <v>6.8346999999999998</v>
          </cell>
          <cell r="F1150">
            <v>9.6</v>
          </cell>
          <cell r="G1150">
            <v>138.2379</v>
          </cell>
          <cell r="H1150">
            <v>32.071192799999999</v>
          </cell>
          <cell r="I1150">
            <v>170.3090928</v>
          </cell>
        </row>
        <row r="1151">
          <cell r="B1151" t="str">
            <v>*099235</v>
          </cell>
          <cell r="C1151" t="str">
            <v>ADECUACION DE TAPAS DE BUZON BT EN SED CONVENCIONAL</v>
          </cell>
          <cell r="D1151" t="str">
            <v>UN</v>
          </cell>
          <cell r="E1151">
            <v>3.1067</v>
          </cell>
          <cell r="F1151">
            <v>9.6</v>
          </cell>
          <cell r="G1151">
            <v>298.05059999999997</v>
          </cell>
          <cell r="H1151">
            <v>69.14773919999999</v>
          </cell>
          <cell r="I1151">
            <v>367.19833919999996</v>
          </cell>
        </row>
        <row r="1152">
          <cell r="B1152" t="str">
            <v>*099236</v>
          </cell>
          <cell r="C1152" t="str">
            <v>INSTALACIÓN Y/O RETIRO DE VENTILADORES</v>
          </cell>
          <cell r="D1152" t="str">
            <v>UN</v>
          </cell>
          <cell r="E1152">
            <v>3.1067</v>
          </cell>
          <cell r="F1152">
            <v>9.6</v>
          </cell>
          <cell r="G1152">
            <v>298.05059999999997</v>
          </cell>
          <cell r="H1152">
            <v>69.14773919999999</v>
          </cell>
          <cell r="I1152">
            <v>367.19833919999996</v>
          </cell>
        </row>
        <row r="1153">
          <cell r="B1153" t="str">
            <v>*099237</v>
          </cell>
          <cell r="C1153" t="str">
            <v>RETIRO DE PUERTA SUPERIOR EN CELDA DE MEDIA TENSIÓN EN SUBESTACIÓN CONVENCIONAL</v>
          </cell>
          <cell r="D1153" t="str">
            <v>UN</v>
          </cell>
          <cell r="E1153">
            <v>5.4242999999999997</v>
          </cell>
          <cell r="F1153">
            <v>9.6</v>
          </cell>
          <cell r="G1153">
            <v>170.7047</v>
          </cell>
          <cell r="H1153">
            <v>39.603490399999998</v>
          </cell>
          <cell r="I1153">
            <v>210.3081904</v>
          </cell>
        </row>
        <row r="1154">
          <cell r="B1154" t="str">
            <v>*099238</v>
          </cell>
          <cell r="C1154" t="str">
            <v>RETIRO DE REJAS EN RETIRO DE SUBESTACIÓN CONVENCIONAL</v>
          </cell>
          <cell r="D1154" t="str">
            <v>UN</v>
          </cell>
          <cell r="E1154">
            <v>1.8081</v>
          </cell>
          <cell r="F1154">
            <v>9.6</v>
          </cell>
          <cell r="G1154">
            <v>512.11410000000001</v>
          </cell>
          <cell r="H1154">
            <v>118.81047119999999</v>
          </cell>
          <cell r="I1154">
            <v>630.92457119999995</v>
          </cell>
        </row>
        <row r="1155">
          <cell r="B1155" t="str">
            <v>*990004</v>
          </cell>
          <cell r="C1155" t="str">
            <v>Eliminación de escombros temporal y final</v>
          </cell>
          <cell r="D1155" t="str">
            <v>M3</v>
          </cell>
          <cell r="E1155">
            <v>13.824</v>
          </cell>
          <cell r="F1155">
            <v>9.6</v>
          </cell>
          <cell r="G1155">
            <v>66.90209999999999</v>
          </cell>
          <cell r="H1155">
            <v>15.521287199999996</v>
          </cell>
          <cell r="I1155">
            <v>82.423387199999979</v>
          </cell>
        </row>
        <row r="1156">
          <cell r="B1156" t="str">
            <v>*990005</v>
          </cell>
          <cell r="C1156" t="str">
            <v>Eliminación final de escombros</v>
          </cell>
          <cell r="D1156" t="str">
            <v>M3</v>
          </cell>
          <cell r="E1156">
            <v>21.725000000000001</v>
          </cell>
          <cell r="F1156">
            <v>9.6</v>
          </cell>
          <cell r="G1156">
            <v>38.483800000000002</v>
          </cell>
          <cell r="H1156">
            <v>8.9282415999999998</v>
          </cell>
          <cell r="I1156">
            <v>47.412041600000002</v>
          </cell>
        </row>
        <row r="1158">
          <cell r="B1158" t="str">
            <v>*090113</v>
          </cell>
          <cell r="C1158" t="str">
            <v>RETIRO CONDUCTOR CU O AL DESNUDO/FORRADO MAYOR DE 35 HASTA 70 mm2</v>
          </cell>
          <cell r="D1158" t="str">
            <v>M</v>
          </cell>
          <cell r="I1158">
            <v>0</v>
          </cell>
        </row>
        <row r="1159">
          <cell r="B1159" t="str">
            <v>*090123</v>
          </cell>
          <cell r="C1159" t="str">
            <v>RETIRO CONDUCTOR CU O AL  DESNUDO/FORRADO MAYOR DE 70 HASTA 120 mm2</v>
          </cell>
          <cell r="D1159" t="str">
            <v>M</v>
          </cell>
          <cell r="I1159">
            <v>0</v>
          </cell>
        </row>
        <row r="1160">
          <cell r="B1160" t="str">
            <v>*090102</v>
          </cell>
          <cell r="C1160" t="str">
            <v>RETIRO CONDUCTOR CU O AL DESNUDO/FORRADO MAYOR DE 25 HASTA 35 mm2</v>
          </cell>
          <cell r="D1160" t="str">
            <v>M</v>
          </cell>
          <cell r="I1160">
            <v>0</v>
          </cell>
        </row>
        <row r="1161">
          <cell r="B1161" t="str">
            <v>*090139</v>
          </cell>
          <cell r="C1161" t="str">
            <v>RETIRO CABLE AUTOSOPORTADO DE BT CU O AL MAYOR DE 10 HASTA 25 mm2</v>
          </cell>
          <cell r="D1161" t="str">
            <v>M</v>
          </cell>
          <cell r="I1161">
            <v>0</v>
          </cell>
        </row>
        <row r="1162">
          <cell r="B1162" t="str">
            <v>*090082</v>
          </cell>
          <cell r="C1162" t="str">
            <v>RETIRO CONDUCTOR CU O AL DESNUDO/FORRADO HASTA 25 mm2</v>
          </cell>
          <cell r="D1162" t="str">
            <v>M</v>
          </cell>
          <cell r="I1162">
            <v>0</v>
          </cell>
        </row>
        <row r="1163">
          <cell r="B1163" t="str">
            <v>*090133</v>
          </cell>
          <cell r="C1163" t="str">
            <v>RETIRO CONDUCTOR CU O AL  DESNUDO/FORRADO MAYOR DE 120 HASTA 240 mm2</v>
          </cell>
          <cell r="D1163" t="str">
            <v>M</v>
          </cell>
          <cell r="I1163">
            <v>0</v>
          </cell>
        </row>
        <row r="1164">
          <cell r="B1164" t="str">
            <v>*090138</v>
          </cell>
          <cell r="C1164" t="str">
            <v>RETIRO CABLE AUTOSOPORTADO DE BT CU O AL MAYOR DE 25 HASTA 50 mm2</v>
          </cell>
          <cell r="D1164" t="str">
            <v>M</v>
          </cell>
          <cell r="I1164">
            <v>0</v>
          </cell>
        </row>
        <row r="1165">
          <cell r="B1165" t="str">
            <v>*093161</v>
          </cell>
          <cell r="C1165" t="str">
            <v>RETIRO ALAMBRADO DE CAJA MONOFÁSICA  O TRIFÁSICA (MANTENIMIENTO)</v>
          </cell>
          <cell r="D1165" t="str">
            <v>UN</v>
          </cell>
          <cell r="I1165">
            <v>0</v>
          </cell>
        </row>
        <row r="1166">
          <cell r="B1166" t="str">
            <v>*090031</v>
          </cell>
          <cell r="C1166" t="str">
            <v>RETIRO CADENA 1 AISLADOR SUSPENSION MT</v>
          </cell>
          <cell r="D1166" t="str">
            <v>UN</v>
          </cell>
          <cell r="I1166">
            <v>0</v>
          </cell>
        </row>
        <row r="1167">
          <cell r="B1167" t="str">
            <v>*090137</v>
          </cell>
          <cell r="C1167" t="str">
            <v>RETIRO CABLE AUTOSOPORTADO DE BT CU O AL MAYOR DE 50 HASTA 120 mm2</v>
          </cell>
          <cell r="I1167">
            <v>0</v>
          </cell>
        </row>
        <row r="1168">
          <cell r="B1168" t="str">
            <v>*090011</v>
          </cell>
          <cell r="C1168" t="str">
            <v>RETIRO AISLADOR PIN MT EN CRUCETA</v>
          </cell>
          <cell r="I1168">
            <v>0</v>
          </cell>
        </row>
        <row r="1169">
          <cell r="B1169" t="str">
            <v>*090395</v>
          </cell>
          <cell r="C1169" t="str">
            <v>RETIRO PUNTO DE FIJACION  CABLE AUTOSOPORTADO</v>
          </cell>
          <cell r="I1169">
            <v>0</v>
          </cell>
        </row>
        <row r="1170">
          <cell r="B1170" t="str">
            <v>*091411</v>
          </cell>
          <cell r="C1170" t="str">
            <v>RETIRO CABLE NYY BT HASTA 3-1x16mm2</v>
          </cell>
          <cell r="I1170">
            <v>0</v>
          </cell>
        </row>
        <row r="1171">
          <cell r="B1171" t="str">
            <v>*091509</v>
          </cell>
          <cell r="C1171" t="str">
            <v>RETIRO CABLE SECO MT DE 1X25MM2 HASTA 1X35 MM2</v>
          </cell>
          <cell r="I1171">
            <v>0</v>
          </cell>
        </row>
        <row r="1172">
          <cell r="B1172" t="str">
            <v>*091515</v>
          </cell>
          <cell r="C1172" t="str">
            <v>RETIRO CABLE SECO MT DE 1x120mm2 HASTA 1x400mm2</v>
          </cell>
          <cell r="I1172">
            <v>0</v>
          </cell>
        </row>
        <row r="1173">
          <cell r="B1173" t="str">
            <v>*091441</v>
          </cell>
          <cell r="C1173" t="str">
            <v>RETIRO CABLE NYY BT MAYOR A 3-1x70mm2  HASTA 3-1x185mm2</v>
          </cell>
          <cell r="I1173">
            <v>0</v>
          </cell>
        </row>
        <row r="1174">
          <cell r="B1174" t="str">
            <v>*090061</v>
          </cell>
          <cell r="C1174" t="str">
            <v>RETIRO DIAGONAL PARA CRUCETA DE MADERA O FIERRO</v>
          </cell>
          <cell r="I1174">
            <v>0</v>
          </cell>
        </row>
        <row r="1175">
          <cell r="B1175" t="str">
            <v>*091379</v>
          </cell>
          <cell r="C1175" t="str">
            <v>RETIRO CABLE CONCENTRICO 6 mm2</v>
          </cell>
          <cell r="I1175">
            <v>0</v>
          </cell>
        </row>
        <row r="1176">
          <cell r="B1176" t="str">
            <v>*091084</v>
          </cell>
          <cell r="C1176" t="str">
            <v>RETIRO BASE FUSIBLE SECCIONADOR UNIPOLAR</v>
          </cell>
          <cell r="I1176">
            <v>0</v>
          </cell>
        </row>
        <row r="1177">
          <cell r="B1177" t="str">
            <v>*093246</v>
          </cell>
          <cell r="C1177" t="str">
            <v>RETIRO ACOMETIDA SUBTERRANEA SOLA SIN CAJA CONEXION</v>
          </cell>
          <cell r="I1177">
            <v>0</v>
          </cell>
        </row>
        <row r="1178">
          <cell r="B1178" t="str">
            <v>*090064</v>
          </cell>
          <cell r="C1178" t="str">
            <v>RETIRO ABRAZADERA PARA PERFIL DE ESTRUCTURA MT</v>
          </cell>
          <cell r="I1178">
            <v>0</v>
          </cell>
        </row>
        <row r="1179">
          <cell r="B1179" t="str">
            <v>*091419</v>
          </cell>
          <cell r="C1179" t="str">
            <v>RETIRO CABLE NYY BT MAYOR A 3-1x16 HASTA 3-1x70 mm2</v>
          </cell>
          <cell r="I1179">
            <v>0</v>
          </cell>
        </row>
        <row r="1180">
          <cell r="B1180" t="str">
            <v>*090319</v>
          </cell>
          <cell r="C1180" t="str">
            <v>RETIRO RETENIDA-TEMPLADOR AEREO MT Y BT</v>
          </cell>
          <cell r="I1180">
            <v>0</v>
          </cell>
        </row>
        <row r="1181">
          <cell r="B1181" t="str">
            <v>*090169</v>
          </cell>
          <cell r="C1181" t="str">
            <v>RETIRO MENSULA DE C.A HASTA 1.2 m</v>
          </cell>
          <cell r="I1181">
            <v>0</v>
          </cell>
        </row>
        <row r="1182">
          <cell r="B1182" t="str">
            <v>*093069</v>
          </cell>
          <cell r="C1182" t="str">
            <v>RETIRO ACOMETIDA AEREA Y ACCESORIOS</v>
          </cell>
          <cell r="I1182">
            <v>0</v>
          </cell>
        </row>
        <row r="1183">
          <cell r="B1183" t="str">
            <v>*090229</v>
          </cell>
          <cell r="C1183" t="str">
            <v>RETIRO POSTE C.A.C. DE 8.70 O 9.00 M</v>
          </cell>
          <cell r="I1183">
            <v>0</v>
          </cell>
        </row>
        <row r="1184">
          <cell r="B1184" t="str">
            <v>*090189</v>
          </cell>
          <cell r="C1184" t="str">
            <v>RETIRO DE CRUCETA O MENSULA SIMPLE DE MADERA O FIERRO</v>
          </cell>
          <cell r="I1184">
            <v>0</v>
          </cell>
        </row>
        <row r="1185">
          <cell r="B1185" t="str">
            <v>*091316</v>
          </cell>
          <cell r="C1185" t="str">
            <v>RETIRO DE LUMINARIA 125/250 HG  70/150/250/400 W NA. O FAROLA COMPLETA MASIVO</v>
          </cell>
          <cell r="I1185">
            <v>0</v>
          </cell>
        </row>
        <row r="1186">
          <cell r="B1186" t="str">
            <v>*093044</v>
          </cell>
          <cell r="C1186" t="str">
            <v>RETIRO CORONA 4 GANCHOS PARA ACOMETIDA DOMICILIARIA</v>
          </cell>
          <cell r="I1186">
            <v>0</v>
          </cell>
        </row>
        <row r="1187">
          <cell r="B1187" t="str">
            <v>*093241</v>
          </cell>
          <cell r="C1187" t="str">
            <v>RETIRO CAJA DE DISTRIBUC. ACOM. DOMIC. EN POSTE O PARED  (INCLUYE ALIMENTACION A CAJA)</v>
          </cell>
          <cell r="I1187">
            <v>0</v>
          </cell>
        </row>
        <row r="1188">
          <cell r="B1188" t="str">
            <v>*091511</v>
          </cell>
          <cell r="C1188" t="str">
            <v>RETIRO CABLE SECO MT DE 1x35mm2 HASTA 1x95mm2</v>
          </cell>
          <cell r="I1188">
            <v>0</v>
          </cell>
        </row>
        <row r="1189">
          <cell r="B1189" t="str">
            <v>*091449</v>
          </cell>
          <cell r="C1189" t="str">
            <v>RETIRO CABLE NYY BT MAYOR A 3-1x185mm2</v>
          </cell>
          <cell r="I1189">
            <v>0</v>
          </cell>
        </row>
        <row r="1190">
          <cell r="B1190" t="str">
            <v>*090909</v>
          </cell>
          <cell r="C1190" t="str">
            <v>RETIRO SECCIONADOR FUSIBLE O TERMOMAGNÉTICO BT TRIPOLAR</v>
          </cell>
          <cell r="I1190">
            <v>0</v>
          </cell>
        </row>
        <row r="1191">
          <cell r="B1191" t="str">
            <v>*090294</v>
          </cell>
          <cell r="C1191" t="str">
            <v>RETIRO DE POSTE C.A.C. DE 13.00 m - NO INCLUYE TRACTO</v>
          </cell>
          <cell r="I1191">
            <v>0</v>
          </cell>
        </row>
        <row r="1192">
          <cell r="B1192" t="str">
            <v>*090391</v>
          </cell>
          <cell r="C1192" t="str">
            <v>RETIRO PERNO PARA ANCLAJE CABLE AUTOSOPORTADO</v>
          </cell>
          <cell r="I1192">
            <v>0</v>
          </cell>
        </row>
        <row r="1193">
          <cell r="B1193" t="str">
            <v>*090491</v>
          </cell>
          <cell r="C1193" t="str">
            <v>RETIRO DE POSTE TUBULAR DE ACERO EN ZONA INACCESIBLE</v>
          </cell>
          <cell r="I1193">
            <v>0</v>
          </cell>
        </row>
        <row r="1194">
          <cell r="B1194" t="str">
            <v>*098669</v>
          </cell>
          <cell r="C1194" t="str">
            <v>RETIRO CRUCETA O MÉNSULA DOBLE DE MADERA</v>
          </cell>
          <cell r="I1194">
            <v>0</v>
          </cell>
        </row>
        <row r="1195">
          <cell r="B1195" t="str">
            <v>*093119</v>
          </cell>
          <cell r="C1195" t="str">
            <v>RETIRO CAJA L, LT O ESTANDAR SOLA O EN BANCO DE MEDIDORES</v>
          </cell>
          <cell r="I1195">
            <v>0</v>
          </cell>
        </row>
        <row r="1196">
          <cell r="B1196" t="str">
            <v>*091279</v>
          </cell>
          <cell r="C1196" t="str">
            <v>RETIRO CONEXION A LUMINARIA</v>
          </cell>
          <cell r="I1196">
            <v>0</v>
          </cell>
        </row>
        <row r="1197">
          <cell r="B1197" t="str">
            <v>*091686</v>
          </cell>
          <cell r="C1197" t="str">
            <v>RETIRO PUNTA MUERTA P/TERNA MONOFASICA O TRIFASICA C/MANGA TERMOREST. CABLE NKY/NYY HASTA 300 MM²</v>
          </cell>
          <cell r="I1197">
            <v>0</v>
          </cell>
        </row>
        <row r="1198">
          <cell r="B1198" t="str">
            <v>*091357</v>
          </cell>
          <cell r="C1198" t="str">
            <v>RETIRO PASTORAL SIMPLE CUALQUIER TIPO DISPERSO MENOR A 6 PASTORALES</v>
          </cell>
          <cell r="I1198">
            <v>0</v>
          </cell>
        </row>
        <row r="1199">
          <cell r="B1199" t="str">
            <v>*091358</v>
          </cell>
          <cell r="C1199" t="str">
            <v>RETIRO DE PASTORAL SIMPLE CUALQUIER TIPO MASIVO MAYOR O IGUAL A 6 PASTORALES</v>
          </cell>
          <cell r="I1199">
            <v>0</v>
          </cell>
        </row>
        <row r="1200">
          <cell r="B1200" t="str">
            <v>*090165</v>
          </cell>
          <cell r="C1200" t="str">
            <v>RETIRO CRUCETA DE C.A. HASTA 2.4 m. O PALOMILLA EN SAB.</v>
          </cell>
          <cell r="I1200">
            <v>0</v>
          </cell>
        </row>
        <row r="1201">
          <cell r="B1201" t="str">
            <v>*093079</v>
          </cell>
          <cell r="C1201" t="str">
            <v>RETIRO DE ACOMETIDA AÉREA</v>
          </cell>
          <cell r="I1201">
            <v>0</v>
          </cell>
        </row>
        <row r="1202">
          <cell r="B1202" t="str">
            <v>*093243</v>
          </cell>
          <cell r="C1202" t="str">
            <v>RETIRO DE REDUCTORES Y CONEXION CABLE CLIENTE</v>
          </cell>
          <cell r="I1202">
            <v>0</v>
          </cell>
        </row>
        <row r="1203">
          <cell r="B1203" t="str">
            <v>*090809</v>
          </cell>
          <cell r="C1203" t="str">
            <v>RETIRO CONECTOR CUALQUIER TIPO HASTA 300 mm2 EN COBRE O ALUMINIO</v>
          </cell>
          <cell r="I1203">
            <v>0</v>
          </cell>
        </row>
        <row r="1204">
          <cell r="B1204" t="str">
            <v>*090295</v>
          </cell>
          <cell r="C1204" t="str">
            <v>RETIRO DE POSTE C.A.C. DE 15. m.- NO INCLUYE TRACTO</v>
          </cell>
          <cell r="I1204">
            <v>0</v>
          </cell>
        </row>
        <row r="1205">
          <cell r="B1205" t="str">
            <v>*090296</v>
          </cell>
          <cell r="C1205" t="str">
            <v>RETIRO DE POSTE C.A.C. DE 11.00 O 11.50 m - NO INCLUYE TRACTO</v>
          </cell>
          <cell r="I1205">
            <v>0</v>
          </cell>
        </row>
        <row r="1206">
          <cell r="B1206" t="str">
            <v>*093471</v>
          </cell>
          <cell r="C1206" t="str">
            <v>RETIRO MEDIDOR ELECTRONICO CON SEGURO</v>
          </cell>
          <cell r="I1206">
            <v>0</v>
          </cell>
        </row>
        <row r="1207">
          <cell r="B1207" t="str">
            <v>*095287</v>
          </cell>
          <cell r="C1207" t="str">
            <v>RETIRO DE MURETE PREFABRICADO, INCLUYE  MANO DE OBRA Y TRANSPORTE</v>
          </cell>
          <cell r="I1207">
            <v>0</v>
          </cell>
        </row>
        <row r="1208">
          <cell r="B1208" t="str">
            <v>*090001</v>
          </cell>
          <cell r="C1208" t="str">
            <v>RETIRO DE AISLADOR PIN MT EN PUNTA DE POSTE</v>
          </cell>
          <cell r="I1208">
            <v>0</v>
          </cell>
        </row>
        <row r="1209">
          <cell r="B1209" t="str">
            <v>*093534</v>
          </cell>
          <cell r="C1209" t="str">
            <v>RETIRO CONEX.TRIF.SUBT.&gt;50 HASTA 75 KW F1+LTM S/VER S/SEG</v>
          </cell>
          <cell r="I1209">
            <v>0</v>
          </cell>
        </row>
        <row r="1210">
          <cell r="B1210" t="str">
            <v>*090136</v>
          </cell>
          <cell r="C1210" t="str">
            <v>RETIRO DE CABLE AUTOSOPORTADO DE BT CU O AL HASTA 10 MM2</v>
          </cell>
          <cell r="I1210">
            <v>0</v>
          </cell>
        </row>
        <row r="1211">
          <cell r="B1211" t="str">
            <v>*091049</v>
          </cell>
          <cell r="C1211" t="str">
            <v>RETIRO INTERRUPTOR SE.CONVENCIONAL</v>
          </cell>
          <cell r="I1211">
            <v>0</v>
          </cell>
        </row>
        <row r="1212">
          <cell r="B1212" t="str">
            <v>*090849</v>
          </cell>
          <cell r="C1212" t="str">
            <v>RETIRO DE BLOQUE DE PROTECCION CONCRETO</v>
          </cell>
          <cell r="I1212">
            <v>0</v>
          </cell>
        </row>
        <row r="1213">
          <cell r="B1213" t="str">
            <v>*091034</v>
          </cell>
          <cell r="C1213" t="str">
            <v>RETIRO CAJA Y TABLERO DISTRIBUCION SAB, SCB / SCP</v>
          </cell>
          <cell r="I1213">
            <v>0</v>
          </cell>
        </row>
        <row r="1214">
          <cell r="B1214" t="str">
            <v>*090469</v>
          </cell>
          <cell r="C1214" t="str">
            <v>RETIRO POSTE FE 4"" A 5"" DIAM DE 7m A 11,5m"</v>
          </cell>
          <cell r="I1214">
            <v>0</v>
          </cell>
        </row>
        <row r="1215">
          <cell r="B1215" t="str">
            <v>*090509</v>
          </cell>
          <cell r="C1215" t="str">
            <v>RETIRO DE PROTECCION RIEL CIMENTADO Y PINTADO(OBRA VENDIDA)</v>
          </cell>
          <cell r="I1215">
            <v>0</v>
          </cell>
        </row>
        <row r="1216">
          <cell r="B1216" t="str">
            <v>*091459</v>
          </cell>
          <cell r="C1216" t="str">
            <v>RETIRO CABLE NKY MT HASTA 16 mm2</v>
          </cell>
          <cell r="I1216">
            <v>0</v>
          </cell>
        </row>
        <row r="1217">
          <cell r="B1217" t="str">
            <v>*091036</v>
          </cell>
          <cell r="C1217" t="str">
            <v>RETIRO DE EQ. MEDIDA MT COMPLETO EN CONV. Y PMI</v>
          </cell>
          <cell r="I1217">
            <v>0</v>
          </cell>
        </row>
        <row r="1218">
          <cell r="B1218" t="str">
            <v>*090591</v>
          </cell>
          <cell r="C1218" t="str">
            <v>RETIRO DE CANALETA METALICA PROTECTORA PARA SUBIDA DE CABLES DE MT Y BT SIN ZOCALO</v>
          </cell>
          <cell r="I1218">
            <v>0</v>
          </cell>
        </row>
        <row r="1219">
          <cell r="B1219" t="str">
            <v>*091669</v>
          </cell>
          <cell r="C1219" t="str">
            <v>RETIRO TUBO PVC.A POSTE P/PUNTO DE ALIMENTACION</v>
          </cell>
          <cell r="I1219">
            <v>0</v>
          </cell>
        </row>
        <row r="1220">
          <cell r="B1220" t="str">
            <v>*098849</v>
          </cell>
          <cell r="C1220" t="str">
            <v>RETIRO DE CABLE COMUNICACIÓN POR TERNA  EN SE HASTA 500 MM2</v>
          </cell>
          <cell r="I1220">
            <v>0</v>
          </cell>
        </row>
        <row r="1221">
          <cell r="B1221" t="str">
            <v>*090429</v>
          </cell>
          <cell r="C1221" t="str">
            <v>RETIRO PORTALINEA DE PASO O REMATE DE 1 A 5 VIAS</v>
          </cell>
          <cell r="I1221">
            <v>0</v>
          </cell>
        </row>
        <row r="1222">
          <cell r="B1222" t="str">
            <v>*090969</v>
          </cell>
          <cell r="C1222" t="str">
            <v>RETIRO DE TRANSFORMADOR MAYOR DE 100 KVA HASTA 250 KVA</v>
          </cell>
          <cell r="I1222">
            <v>0</v>
          </cell>
        </row>
        <row r="1223">
          <cell r="B1223" t="str">
            <v>*090999</v>
          </cell>
          <cell r="C1223" t="str">
            <v>RETIRO DE BASE DE CONCRETO PARA TABLERO TAM3, TAM4 (NO INCLUYE BASE)</v>
          </cell>
          <cell r="I1223">
            <v>0</v>
          </cell>
        </row>
        <row r="1224">
          <cell r="B1224" t="str">
            <v>*098199</v>
          </cell>
          <cell r="C1224" t="str">
            <v>RETIRO DE TUBO CORRUGADO/APLICACIÓN DE SILICONA EN CAMIONETA TIPO COMBI</v>
          </cell>
          <cell r="I1224">
            <v>0</v>
          </cell>
        </row>
        <row r="1225">
          <cell r="B1225" t="str">
            <v>*091315</v>
          </cell>
          <cell r="C1225" t="str">
            <v>RETIRO LUMINARIA LED 125/250 HG  70/150/250/400 W NA. O FAROLA COMPLETA MASIVO</v>
          </cell>
          <cell r="I1225">
            <v>0</v>
          </cell>
        </row>
        <row r="1226">
          <cell r="B1226" t="str">
            <v>*090297</v>
          </cell>
          <cell r="C1226" t="str">
            <v>RETIRO DE POSTE C.A.C. DE 10.00 MT - NO INCLUYE TRACTO</v>
          </cell>
          <cell r="I1226">
            <v>0</v>
          </cell>
        </row>
        <row r="1227">
          <cell r="B1227" t="str">
            <v>*099237</v>
          </cell>
          <cell r="C1227" t="str">
            <v>RETIRO DE PUERTA SUPERIOR EN CELDA DE MEDIA TENSIÓN EN SUBESTACIÓN CONVENCIONAL</v>
          </cell>
          <cell r="I1227">
            <v>0</v>
          </cell>
        </row>
        <row r="1228">
          <cell r="B1228" t="str">
            <v>*098379</v>
          </cell>
          <cell r="C1228" t="str">
            <v>RETIRO DE SEGUROS PARA MEDIDOR MONO O TRIFÁSICO  ELECTROMECÁNICO CON PLATINA DE FIERRO</v>
          </cell>
          <cell r="I1228">
            <v>0</v>
          </cell>
        </row>
        <row r="1229">
          <cell r="B1229" t="str">
            <v>*090959</v>
          </cell>
          <cell r="C1229" t="str">
            <v>RETIRO DE TRANSFORMADOR  MAYOR DE 75 KVA HASTA 100 KVA</v>
          </cell>
          <cell r="I1229">
            <v>0</v>
          </cell>
        </row>
        <row r="1230">
          <cell r="B1230" t="str">
            <v>*091469</v>
          </cell>
          <cell r="C1230" t="str">
            <v>RETIRO DE CABLE NKY MT MAYOR A 16MM2 HASTA 70mm²</v>
          </cell>
          <cell r="I1230">
            <v>0</v>
          </cell>
        </row>
        <row r="1231">
          <cell r="B1231" t="str">
            <v>*090228</v>
          </cell>
          <cell r="C1231" t="str">
            <v>RETIRO DE POSTES HASTA 10 M INSTALACIÓN CON CABRIA</v>
          </cell>
          <cell r="I1231">
            <v>0</v>
          </cell>
        </row>
        <row r="1232">
          <cell r="B1232" t="str">
            <v>*091229</v>
          </cell>
          <cell r="C1232" t="str">
            <v>RETIRO DE SISTEMA DE ENCENDIDO AUTOMÁTICO AÉREO</v>
          </cell>
          <cell r="I1232">
            <v>0</v>
          </cell>
        </row>
        <row r="1233">
          <cell r="B1233" t="str">
            <v>*090468</v>
          </cell>
          <cell r="C1233" t="str">
            <v>RETIRO DE POSTES DE PRFV HASTA 8.7 M EN ZONA INACCESIBLE CON CIMENTACIÓN</v>
          </cell>
          <cell r="I1233">
            <v>0</v>
          </cell>
        </row>
        <row r="1234">
          <cell r="B1234" t="str">
            <v>*093144</v>
          </cell>
          <cell r="C1234" t="str">
            <v>RETIRO CONEXION DERIVADA MONOF.O TRIF.S/SEGURO</v>
          </cell>
          <cell r="I1234">
            <v>0</v>
          </cell>
        </row>
        <row r="1235">
          <cell r="B1235" t="str">
            <v>*090309</v>
          </cell>
          <cell r="C1235" t="str">
            <v>RETIRO DE RETENIDA SIMPLE O VIOLIN MT O BT</v>
          </cell>
          <cell r="I1235">
            <v>0</v>
          </cell>
        </row>
        <row r="1236">
          <cell r="B1236" t="str">
            <v>*090298</v>
          </cell>
          <cell r="C1236" t="str">
            <v>RETIRO DE POSTE DE MADERA DE 8.00 A 11.00m</v>
          </cell>
          <cell r="I1236">
            <v>0</v>
          </cell>
        </row>
        <row r="1237">
          <cell r="B1237" t="str">
            <v>*090949</v>
          </cell>
          <cell r="C1237" t="str">
            <v>RETIRO DE TRANSFORMADOR HASTA 75 KVA</v>
          </cell>
          <cell r="I1237">
            <v>0</v>
          </cell>
        </row>
        <row r="1238">
          <cell r="B1238" t="str">
            <v>*099109</v>
          </cell>
          <cell r="C1238" t="str">
            <v>RETIRO DE MEDIDOR MONOF. SIN SEGURO - CON MISMA CUADRILLA - RUTINA</v>
          </cell>
          <cell r="I1238">
            <v>0</v>
          </cell>
        </row>
        <row r="1239">
          <cell r="B1239" t="str">
            <v>*093039</v>
          </cell>
          <cell r="C1239" t="str">
            <v>RETIRO DE MASTIL DE 1,8 A 6 M</v>
          </cell>
          <cell r="I1239">
            <v>0</v>
          </cell>
        </row>
        <row r="1240">
          <cell r="B1240" t="str">
            <v>*091749</v>
          </cell>
          <cell r="C1240" t="str">
            <v>RETIRO DE BARRAS MT EN SUBEST. DE 4 CELDAS</v>
          </cell>
          <cell r="I1240">
            <v>0</v>
          </cell>
        </row>
        <row r="1241">
          <cell r="B1241" t="str">
            <v>*091344</v>
          </cell>
          <cell r="C1241" t="str">
            <v>RETIRO DE PASTORAL SIMPLE INC ABRAZDS (CUALQ TIPO); TRAB MASIVO EN CTRL TEC Y CAL SERV</v>
          </cell>
          <cell r="I1241">
            <v>0</v>
          </cell>
        </row>
        <row r="1242">
          <cell r="B1242" t="str">
            <v>*091109</v>
          </cell>
          <cell r="C1242" t="str">
            <v>RETIRO DE CONTACTOR COMPLETO</v>
          </cell>
          <cell r="I1242">
            <v>0</v>
          </cell>
        </row>
        <row r="1243">
          <cell r="B1243" t="str">
            <v>*090739</v>
          </cell>
          <cell r="C1243" t="str">
            <v>RETIRO DE GRAPA DE TENSION COBRE Y ALUMINIO</v>
          </cell>
          <cell r="I1243">
            <v>0</v>
          </cell>
        </row>
        <row r="1244">
          <cell r="B1244" t="str">
            <v>*091048</v>
          </cell>
          <cell r="C1244" t="str">
            <v>RETIRO DE TABLERO AÉREO EN POSTE</v>
          </cell>
          <cell r="I1244">
            <v>0</v>
          </cell>
        </row>
        <row r="1245">
          <cell r="B1245" t="str">
            <v>*090049</v>
          </cell>
          <cell r="C1245" t="str">
            <v>RETIRO DE AMARRAS PARA CONDUCTOR DE CU O AL</v>
          </cell>
          <cell r="I1245">
            <v>0</v>
          </cell>
        </row>
        <row r="1246">
          <cell r="B1246" t="str">
            <v>*090497</v>
          </cell>
          <cell r="C1246" t="str">
            <v>RETIRO DE POSTES DE FE 7M ZONA INACCESIBLE (&gt;5Un)</v>
          </cell>
          <cell r="I1246">
            <v>0</v>
          </cell>
        </row>
        <row r="1247">
          <cell r="B1247" t="str">
            <v>*093659</v>
          </cell>
          <cell r="C1247" t="str">
            <v>RETIRO DE CAJA TOMA F1 S/ACOMET HASTA 75 KW PARA USO NO INDUSTRIAL</v>
          </cell>
          <cell r="I1247">
            <v>0</v>
          </cell>
        </row>
        <row r="1248">
          <cell r="B1248" t="str">
            <v>*093544</v>
          </cell>
          <cell r="C1248" t="str">
            <v>RETIRO DE CONEX.TRIF.SUBT.&gt; A 75 - 150 KW F2+LTM S/VER.S/SEG</v>
          </cell>
          <cell r="I1248">
            <v>0</v>
          </cell>
        </row>
        <row r="1249">
          <cell r="B1249" t="str">
            <v>*091489</v>
          </cell>
          <cell r="C1249" t="str">
            <v>RETIRO DE CABLE NKY MT MAYOR A 70MM2 HASTA 240mm².</v>
          </cell>
          <cell r="I1249">
            <v>0</v>
          </cell>
        </row>
        <row r="1250">
          <cell r="B1250" t="str">
            <v>*090749</v>
          </cell>
          <cell r="C1250" t="str">
            <v>RETIRO DE AISLADOR CARRETE BT</v>
          </cell>
          <cell r="I1250">
            <v>0</v>
          </cell>
        </row>
        <row r="1251">
          <cell r="B1251" t="str">
            <v>*090232</v>
          </cell>
          <cell r="C1251" t="str">
            <v>RETIRO DE POSTES DE ALTURA MAYOR A 10 M HASTA 15 M INSTALADOS CON CABRIA - NO INCLUYE TRACTO</v>
          </cell>
          <cell r="I1251">
            <v>0</v>
          </cell>
        </row>
        <row r="1252">
          <cell r="B1252" t="str">
            <v>*090467</v>
          </cell>
          <cell r="C1252" t="str">
            <v>RETIRO DE POSTE C.A.C. DE 6.00 7.00 U 8.00 m</v>
          </cell>
          <cell r="I1252">
            <v>0</v>
          </cell>
        </row>
        <row r="1253">
          <cell r="B1253" t="str">
            <v>*091009</v>
          </cell>
          <cell r="C1253" t="str">
            <v>RETIRO DE TRANSFORMADOR MAYOR DE 100 KVA HASTA 250 KVA SE CUALQUIER TIPO</v>
          </cell>
          <cell r="I1253">
            <v>0</v>
          </cell>
        </row>
        <row r="1254">
          <cell r="B1254" t="str">
            <v>*091008</v>
          </cell>
          <cell r="C1254" t="str">
            <v>RETIRO DE TRANSFORMADOR MAYOR DE 250 KVA HASTA 630 KVA SE CUALQUIER TIPO</v>
          </cell>
          <cell r="I1254">
            <v>0</v>
          </cell>
        </row>
        <row r="1255">
          <cell r="B1255" t="str">
            <v>*091004</v>
          </cell>
          <cell r="C1255" t="str">
            <v>RETIRO DE FERRETERIA Y TRANSFORMADOR MAYOR DE 250 KVA HASTA 630 KVA</v>
          </cell>
          <cell r="I1255">
            <v>0</v>
          </cell>
        </row>
        <row r="1256">
          <cell r="B1256" t="str">
            <v>*090934</v>
          </cell>
          <cell r="C1256" t="str">
            <v>RETIRO DE PARARRAYOS UNIPOLARES (3 UNIDADES)</v>
          </cell>
          <cell r="I1256">
            <v>0</v>
          </cell>
        </row>
        <row r="1257">
          <cell r="B1257" t="str">
            <v>*090299</v>
          </cell>
          <cell r="C1257" t="str">
            <v>RETIRO DE POSTE DE MADERA REDONDO CREOSOTADO DE 45 PIES A 70 PIES DE ALTURA</v>
          </cell>
          <cell r="I1257">
            <v>0</v>
          </cell>
        </row>
        <row r="1258">
          <cell r="B1258" t="str">
            <v>*095289</v>
          </cell>
          <cell r="C1258" t="str">
            <v>RETIRO DE MURETE PARA CAJA F1 F2 F3 + 3B   (FABRICADO EN OBRA)</v>
          </cell>
          <cell r="I1258">
            <v>0</v>
          </cell>
        </row>
        <row r="1259">
          <cell r="B1259" t="str">
            <v>*091059</v>
          </cell>
          <cell r="C1259" t="str">
            <v>RETIRO DE SECCIONADORES SE.CONVENCIONAL</v>
          </cell>
          <cell r="I1259">
            <v>0</v>
          </cell>
        </row>
        <row r="1260">
          <cell r="B1260" t="str">
            <v>*091528</v>
          </cell>
          <cell r="C1260" t="str">
            <v>RETIRO DE TERMINAL INTERIOR O EXTERIOR TRIF. TIPO TERMOR. O SIMILAR HASTA 240 MM2.</v>
          </cell>
          <cell r="I1260">
            <v>0</v>
          </cell>
        </row>
        <row r="1261">
          <cell r="B1261" t="str">
            <v>*091519</v>
          </cell>
          <cell r="C1261" t="str">
            <v>RETIRO DE CONECTOR DE CODO C/CABLE SECO N2XSY DE 25 mm2 SCP Y SCB (3 CONECT.)</v>
          </cell>
          <cell r="I1261">
            <v>0</v>
          </cell>
        </row>
        <row r="1262">
          <cell r="B1262" t="str">
            <v>*091721</v>
          </cell>
          <cell r="C1262" t="str">
            <v>RETIRO DE RELE HB EN CELDA (INCL. VARILLAS)</v>
          </cell>
          <cell r="I1262">
            <v>0</v>
          </cell>
        </row>
        <row r="1263">
          <cell r="B1263" t="str">
            <v>*090939</v>
          </cell>
          <cell r="C1263" t="str">
            <v>RETIRO DE CONEXIONADO DE MEDIA TENSIÓN PARA SE AÉREA</v>
          </cell>
          <cell r="I1263">
            <v>0</v>
          </cell>
        </row>
        <row r="1264">
          <cell r="B1264" t="str">
            <v>*091006</v>
          </cell>
          <cell r="C1264" t="str">
            <v>RETIRO DE TRANSFORMADOR  MAYOR DE 75 KVA HASTA 100 KVA SE CUALQUIER TIPO</v>
          </cell>
          <cell r="I1264">
            <v>0</v>
          </cell>
        </row>
        <row r="1265">
          <cell r="B1265" t="str">
            <v>*091448</v>
          </cell>
          <cell r="C1265" t="str">
            <v>RETIRO DE CABLE NYBY BT  HASTA 3x16mm2</v>
          </cell>
          <cell r="I1265">
            <v>0</v>
          </cell>
        </row>
        <row r="1266">
          <cell r="B1266" t="str">
            <v>*090334</v>
          </cell>
          <cell r="C1266" t="str">
            <v>RETIRO DE RIEL DE PROTECCION</v>
          </cell>
          <cell r="I1266">
            <v>0</v>
          </cell>
        </row>
        <row r="1267">
          <cell r="B1267" t="str">
            <v>*091089</v>
          </cell>
          <cell r="C1267" t="str">
            <v>RETIRO DE CELULA FOTOELECTRICA COMPLETA</v>
          </cell>
          <cell r="I1267">
            <v>0</v>
          </cell>
        </row>
        <row r="1268">
          <cell r="B1268" t="str">
            <v>*090466</v>
          </cell>
          <cell r="C1268" t="str">
            <v>RETIRO DE POSTES DE PRFV HASTA 8.7 M EN ZONA INACCESIBLE CON CIMENTACIÓN - PROYECTOS</v>
          </cell>
          <cell r="I1268">
            <v>0</v>
          </cell>
        </row>
        <row r="1269">
          <cell r="B1269" t="str">
            <v>*099198</v>
          </cell>
          <cell r="C1269" t="str">
            <v>RETIRO DE CERRADURA/CANDADO EN PUERTA DE SUBESTACIÓN CONVENCIONAL</v>
          </cell>
          <cell r="I1269">
            <v>0</v>
          </cell>
        </row>
        <row r="1270">
          <cell r="B1270" t="str">
            <v>*090998</v>
          </cell>
          <cell r="C1270" t="str">
            <v>RETIRO DE EQUIPAMIENTO PARA TABLERO AÉREO</v>
          </cell>
          <cell r="I1270">
            <v>0</v>
          </cell>
        </row>
        <row r="1271">
          <cell r="B1271" t="str">
            <v>*096549</v>
          </cell>
          <cell r="C1271" t="str">
            <v>RETIRO DE CERRADURA PUERTA PRINCIPAL PESADA</v>
          </cell>
          <cell r="I1271">
            <v>0</v>
          </cell>
        </row>
        <row r="1272">
          <cell r="B1272" t="str">
            <v>*091003</v>
          </cell>
          <cell r="C1272" t="str">
            <v>RETIRO DE TRANSFORMADOR HASTA 75 KVA SE CUALQUIER TIPO</v>
          </cell>
          <cell r="I1272">
            <v>0</v>
          </cell>
        </row>
        <row r="1273">
          <cell r="B1273" t="str">
            <v>*098145</v>
          </cell>
          <cell r="C1273" t="str">
            <v>RETIRO DE EQUIPAMIENTO DE CAJA F4</v>
          </cell>
          <cell r="I1273">
            <v>0</v>
          </cell>
        </row>
        <row r="1274">
          <cell r="B1274" t="str">
            <v>*091299</v>
          </cell>
          <cell r="C1274" t="str">
            <v>RETIRO DE PASTORAL PARABOLICO CUALQUIER TIPO MASIVO MAYOR O IGUAL A 6 PASTORALES</v>
          </cell>
          <cell r="I1274">
            <v>0</v>
          </cell>
        </row>
        <row r="1275">
          <cell r="B1275" t="str">
            <v>*090009</v>
          </cell>
          <cell r="C1275" t="str">
            <v>RETIRO DE EXTENSOR DE LINEA DE FUGA EN AISLADOR</v>
          </cell>
          <cell r="I1275">
            <v>0</v>
          </cell>
        </row>
        <row r="1276">
          <cell r="B1276" t="str">
            <v>*090359</v>
          </cell>
          <cell r="C1276" t="str">
            <v>RETIRO DE CAJUELA DE CONCRETO PARA POZO TIERRA</v>
          </cell>
          <cell r="I1276">
            <v>0</v>
          </cell>
        </row>
        <row r="1277">
          <cell r="B1277" t="str">
            <v>*095279</v>
          </cell>
          <cell r="C1277" t="str">
            <v>RETIRO DE JUNTA DE DILATACION PARA VEREDA DE CUALQUIER ESPESOR OBRA VENDIDA</v>
          </cell>
          <cell r="I1277">
            <v>0</v>
          </cell>
        </row>
        <row r="1278">
          <cell r="B1278" t="str">
            <v>*091759</v>
          </cell>
          <cell r="C1278" t="str">
            <v>RETIRO DE BARRAS BT EN SE.CONV/COMP.</v>
          </cell>
          <cell r="I1278">
            <v>0</v>
          </cell>
        </row>
        <row r="1279">
          <cell r="B1279" t="str">
            <v>*094912</v>
          </cell>
          <cell r="C1279" t="str">
            <v>RETIRO DE CIMENTACIÓN PARA POSTE HASTA 9m  POSTE NUEVO (SIN SOLERA)</v>
          </cell>
          <cell r="I1279">
            <v>0</v>
          </cell>
        </row>
        <row r="1280">
          <cell r="B1280" t="str">
            <v>*093049</v>
          </cell>
          <cell r="C1280" t="str">
            <v>RETIRO DE CAJA SUMINISTRO BT-6</v>
          </cell>
          <cell r="I1280">
            <v>0</v>
          </cell>
        </row>
        <row r="1281">
          <cell r="B1281" t="str">
            <v>*093554</v>
          </cell>
          <cell r="C1281" t="str">
            <v>RETIRO DE CONEX.TRIF.SUBT.&gt; A 150-225 KW F3+LTM S/VER S/SEG</v>
          </cell>
          <cell r="I1281">
            <v>0</v>
          </cell>
        </row>
        <row r="1282">
          <cell r="B1282" t="str">
            <v>*097999</v>
          </cell>
          <cell r="C1282" t="str">
            <v>RETIRO DE ABRAZADERA P/PASTORAL DE FIERRO SIMPLE O DOBLE (mantenimiento)</v>
          </cell>
          <cell r="I1282">
            <v>0</v>
          </cell>
        </row>
        <row r="1283">
          <cell r="B1283" t="str">
            <v>*093649</v>
          </cell>
          <cell r="C1283" t="str">
            <v>RETIRO DE CAJA TOMA F1 C/ACOMET DE HASTA 75 KW. PARA USO NO INDUSTRIAL S/VEREDA</v>
          </cell>
          <cell r="I1283">
            <v>0</v>
          </cell>
        </row>
        <row r="1284">
          <cell r="B1284" t="str">
            <v>*090301</v>
          </cell>
          <cell r="C1284" t="str">
            <v>RETIRO DE POSTE HASTA 8.7M Z. ACCES-TERR. NORMAL(&gt;10)</v>
          </cell>
          <cell r="I1284">
            <v>0</v>
          </cell>
        </row>
        <row r="1285">
          <cell r="B1285" t="str">
            <v>*091929</v>
          </cell>
          <cell r="C1285" t="str">
            <v>RETIRO DE DUCTO PVC (POR UNIDAD DE 3M ) DE HASTA 6"" EN ZANJA DE MT O BT"</v>
          </cell>
          <cell r="I1285">
            <v>0</v>
          </cell>
        </row>
        <row r="1286">
          <cell r="B1286" t="str">
            <v>*091447</v>
          </cell>
          <cell r="C1286" t="str">
            <v>RETIRO DE CABLE NYBY BT MAYOR A 3x16mm2 HASTA 3x70mm2</v>
          </cell>
          <cell r="I1286">
            <v>0</v>
          </cell>
        </row>
        <row r="1287">
          <cell r="B1287" t="str">
            <v>*090973</v>
          </cell>
          <cell r="C1287" t="str">
            <v>RETIRO DE ANCLAJE CON DOS PUNTOS PARA TRANSFORMADOR DE DISTRIBUCION</v>
          </cell>
          <cell r="I1287">
            <v>0</v>
          </cell>
        </row>
        <row r="1288">
          <cell r="B1288" t="str">
            <v>*092999</v>
          </cell>
          <cell r="C1288" t="str">
            <v>RETIRO DE CONEXION MONOF. O TRIF. AÉREA C/SEGURO</v>
          </cell>
          <cell r="I1288">
            <v>0</v>
          </cell>
        </row>
        <row r="1289">
          <cell r="B1289" t="str">
            <v>*090465</v>
          </cell>
          <cell r="C1289" t="str">
            <v>RETIRO DE POSTE FE 4" A 5" DIAM DE 7M A 11,5M; TRAB MASIVO EN CTRL TEC Y CAL SERV</v>
          </cell>
          <cell r="I1289">
            <v>0</v>
          </cell>
        </row>
        <row r="1290">
          <cell r="B1290" t="str">
            <v>*090227</v>
          </cell>
          <cell r="C1290" t="str">
            <v>RETIRO DE POSTE HASTA 9M-Z. ACCES TERR. ROCOSO(&gt;10)</v>
          </cell>
          <cell r="I1290">
            <v>0</v>
          </cell>
        </row>
        <row r="1291">
          <cell r="B1291" t="str">
            <v>*093314</v>
          </cell>
          <cell r="C1291" t="str">
            <v>RETIRO DE CONEXION MONOF. O TRIF. SUBT. S/VER. S/SEG. HASTA 20KW</v>
          </cell>
          <cell r="I1291">
            <v>0</v>
          </cell>
        </row>
        <row r="1292">
          <cell r="B1292" t="str">
            <v>*090879</v>
          </cell>
          <cell r="C1292" t="str">
            <v>RETIRO DE PROTECCION BT PARA T/D TRIFASICO  FUSIBLES DE 1 O 2 SALIDAS</v>
          </cell>
          <cell r="I1292">
            <v>0</v>
          </cell>
        </row>
        <row r="1293">
          <cell r="B1293" t="str">
            <v>*093719</v>
          </cell>
          <cell r="C1293" t="str">
            <v>RETIRO DE CAJA TOMA F3 S/ACOMET MAYOR A 150KW HASTA 225 KW PARA USO NO INDUSTRIAL</v>
          </cell>
          <cell r="I1293">
            <v>0</v>
          </cell>
        </row>
        <row r="1294">
          <cell r="B1294" t="str">
            <v>*093699</v>
          </cell>
          <cell r="C1294" t="str">
            <v>RETIRO DE CAJA TOMA F2 S/ACOMET MAYOR A 75KW A HASTA 150 KW P/USO NO INDUSTRIAL</v>
          </cell>
          <cell r="I1294">
            <v>0</v>
          </cell>
        </row>
        <row r="1295">
          <cell r="B1295" t="str">
            <v>*090997</v>
          </cell>
          <cell r="C1295" t="str">
            <v>RETIRO DE CABLEADO SIST. MEDICION AP O TOTALIZADOR DESDE TAB.DISTRIB.AEREO</v>
          </cell>
          <cell r="I1295">
            <v>0</v>
          </cell>
        </row>
        <row r="1296">
          <cell r="B1296" t="str">
            <v>*093309</v>
          </cell>
          <cell r="C1296" t="str">
            <v>RETIRO DE CONEXIÓN MONOF.O TRIF.SUB.S/VER.C/SEG.HASTA 20KW</v>
          </cell>
          <cell r="I1296">
            <v>0</v>
          </cell>
        </row>
        <row r="1297">
          <cell r="B1297" t="str">
            <v>*091456</v>
          </cell>
          <cell r="C1297" t="str">
            <v>RETIRO DE CABLE NYBY BT MAYOR A  3 x 70 mm2  HASTA 3 x 185 mm2</v>
          </cell>
          <cell r="I1297">
            <v>0</v>
          </cell>
        </row>
        <row r="1298">
          <cell r="B1298" t="str">
            <v>*090358</v>
          </cell>
          <cell r="C1298" t="str">
            <v>RETIRO DE CABLEADO DE SISTEMA DE PUESTA A TIERRA PARA POSTE NUEVO</v>
          </cell>
          <cell r="I1298">
            <v>0</v>
          </cell>
        </row>
        <row r="1299">
          <cell r="B1299" t="str">
            <v>*090995</v>
          </cell>
          <cell r="C1299" t="str">
            <v>RETIRO DE AUTOTRANSFORMADOR DE BT HASTA 100 KVA, C/CAJA</v>
          </cell>
          <cell r="I1299">
            <v>0</v>
          </cell>
        </row>
        <row r="1300">
          <cell r="B1300" t="str">
            <v>*093004</v>
          </cell>
          <cell r="C1300" t="str">
            <v>RETIRO DE CONEXION MONOF.O TRIF.AEREA S/SEGURO</v>
          </cell>
          <cell r="I1300">
            <v>0</v>
          </cell>
        </row>
        <row r="1301">
          <cell r="B1301" t="str">
            <v>*098141</v>
          </cell>
          <cell r="C1301" t="str">
            <v>RETIRO DE EQUPAMIENTO DE CAJA F2</v>
          </cell>
          <cell r="I1301">
            <v>0</v>
          </cell>
        </row>
        <row r="1302">
          <cell r="B1302" t="str">
            <v>*091099</v>
          </cell>
          <cell r="C1302" t="str">
            <v>RETIRO DE CELULA FOTOELECTRICA SIN BASE</v>
          </cell>
          <cell r="I1302">
            <v>0</v>
          </cell>
        </row>
        <row r="1303">
          <cell r="B1303" t="str">
            <v>*090996</v>
          </cell>
          <cell r="C1303" t="str">
            <v>RETIRO DE CELDA MT C/SECCIONADOR INTERIOR EN  SUBESTACIÓN CONVENCIONAL</v>
          </cell>
          <cell r="I1303">
            <v>0</v>
          </cell>
        </row>
        <row r="1304">
          <cell r="B1304" t="str">
            <v>*090595</v>
          </cell>
          <cell r="C1304" t="str">
            <v>RETIRO DE CANALETA METALICA PROTECTORA PARA SUBIDA DE CABLES MT Y BT CON ZOCALO</v>
          </cell>
          <cell r="I1304">
            <v>0</v>
          </cell>
        </row>
        <row r="1305">
          <cell r="B1305" t="str">
            <v>*093143</v>
          </cell>
          <cell r="C1305" t="str">
            <v>RETIRO DE CONEXIÓN DERIVADA EN CAJA EXISTENTE TIPO L, LT O LRM</v>
          </cell>
          <cell r="I1305">
            <v>0</v>
          </cell>
        </row>
        <row r="1306">
          <cell r="B1306" t="str">
            <v>*093709</v>
          </cell>
          <cell r="C1306" t="str">
            <v>RETIRO DE CAJA TOMA F3 C/ACOMET MAYOR A 150KW HASTA 225 KW P/USO NO INDUSTRIAL</v>
          </cell>
          <cell r="I1306">
            <v>0</v>
          </cell>
        </row>
        <row r="1307">
          <cell r="B1307" t="str">
            <v>*093089</v>
          </cell>
          <cell r="C1307" t="str">
            <v>RETIRO DE CAJA COMPLETA MONOFASICA O TRIFASICA - L, LT O ESTANDAR</v>
          </cell>
          <cell r="I1307">
            <v>0</v>
          </cell>
        </row>
        <row r="1308">
          <cell r="B1308" t="str">
            <v>*093729</v>
          </cell>
          <cell r="C1308" t="str">
            <v>RETIRO DE CAJA TOMA F4 C/ACOMET DE MAYOR A 225KW HASTA 300 KW PARA USO NO INDUSTRIAL</v>
          </cell>
          <cell r="I1308">
            <v>0</v>
          </cell>
        </row>
        <row r="1309">
          <cell r="B1309" t="str">
            <v>*093559</v>
          </cell>
          <cell r="C1309" t="str">
            <v>RETIRO DE CONEXIÓN BT6 AÉREA</v>
          </cell>
          <cell r="I1309">
            <v>0</v>
          </cell>
        </row>
        <row r="1310">
          <cell r="B1310" t="str">
            <v>*091729</v>
          </cell>
          <cell r="C1310" t="str">
            <v>RETIRO DE PROTECCION MT TRANSFORMADOR TRIFASICO</v>
          </cell>
          <cell r="I1310">
            <v>0</v>
          </cell>
        </row>
        <row r="1311">
          <cell r="B1311" t="str">
            <v>*093472</v>
          </cell>
          <cell r="C1311" t="str">
            <v>RETIRO DE MEDIDOR ELECTRONICO SIN SEGURO</v>
          </cell>
          <cell r="I1311">
            <v>0</v>
          </cell>
        </row>
        <row r="1312">
          <cell r="B1312" t="str">
            <v>*090994</v>
          </cell>
          <cell r="C1312" t="str">
            <v>RETIRO DE EQUIPAMIENTO BT EN SCP CUALQUIER POTENCIA</v>
          </cell>
          <cell r="I1312">
            <v>0</v>
          </cell>
        </row>
        <row r="1313">
          <cell r="B1313" t="str">
            <v>*091298</v>
          </cell>
          <cell r="C1313" t="str">
            <v>RETIRO DE PASTORAL PARABOLICO CUALQUIER TIPO DISPERSO MENOR A 6 UNIDADES</v>
          </cell>
          <cell r="I1313">
            <v>0</v>
          </cell>
        </row>
        <row r="1314">
          <cell r="B1314" t="str">
            <v>*099238</v>
          </cell>
          <cell r="C1314" t="str">
            <v>RETIRO DE REJAS EN RETIRO DE SUBESTACIÓN CONVENCIONAL</v>
          </cell>
          <cell r="I1314">
            <v>0</v>
          </cell>
        </row>
        <row r="1315">
          <cell r="B1315" t="str">
            <v>*093549</v>
          </cell>
          <cell r="C1315" t="str">
            <v>RETIRO DE CONEX. TRIF.SUBT. MAYOR A 150 KW CAJA F3+LTM S/VER</v>
          </cell>
          <cell r="I1315">
            <v>0</v>
          </cell>
        </row>
        <row r="1316">
          <cell r="B1316" t="str">
            <v>*093558</v>
          </cell>
          <cell r="C1316" t="str">
            <v>RETIRO DE CAJAS DERIVADAS  MAYOR DE 20 KW LTT-LTM</v>
          </cell>
          <cell r="I1316">
            <v>0</v>
          </cell>
        </row>
        <row r="1317">
          <cell r="B1317" t="str">
            <v>*090381</v>
          </cell>
          <cell r="C1317" t="str">
            <v>RETIRO DE CABLEADO DE SISTEMA DE PUESTA A TIERRA PARA POSTE EXISTENTE</v>
          </cell>
          <cell r="I1317">
            <v>0</v>
          </cell>
        </row>
        <row r="1318">
          <cell r="B1318" t="str">
            <v>*093557</v>
          </cell>
          <cell r="C1318" t="str">
            <v>RETIRO DE CONEXIÓN BT6 SUBTERRÁNEA</v>
          </cell>
          <cell r="I1318">
            <v>0</v>
          </cell>
        </row>
        <row r="1319">
          <cell r="B1319" t="str">
            <v>*099114</v>
          </cell>
          <cell r="C1319" t="str">
            <v>RETIRO DE MEDIDOR TRIFÁSICO SIN SEGURO - CON MISMA CUADRILLA - RUTINA</v>
          </cell>
          <cell r="I1319">
            <v>0</v>
          </cell>
        </row>
        <row r="1320">
          <cell r="B1320" t="str">
            <v>*093689</v>
          </cell>
          <cell r="C1320" t="str">
            <v>RETIRO DE CAJA TOMA F2 C/ACOMET MAYOR A 75KW HASTA 150KW P/USO NO INDUSTRIAL  S/VEREDA</v>
          </cell>
          <cell r="I1320">
            <v>0</v>
          </cell>
        </row>
        <row r="1321">
          <cell r="B1321" t="str">
            <v>*090323</v>
          </cell>
          <cell r="C1321" t="str">
            <v>RETIRO DE AISLADOR EN RETENIDA DE MT Y BT</v>
          </cell>
          <cell r="I1321">
            <v>0</v>
          </cell>
        </row>
        <row r="1322">
          <cell r="B1322" t="str">
            <v>*090134</v>
          </cell>
          <cell r="C1322" t="str">
            <v>RETIRO CABLE AUTOSOPORTADO DE MT MAYOR DE 50 HASTA 120 mm</v>
          </cell>
          <cell r="I1322">
            <v>0</v>
          </cell>
        </row>
        <row r="1323">
          <cell r="B1323" t="str">
            <v>*090135</v>
          </cell>
          <cell r="C1323" t="str">
            <v>RETIRO DE CABLE AUTOSOPORTADO DE MT HASTA 50 mm2</v>
          </cell>
          <cell r="I1323">
            <v>0</v>
          </cell>
        </row>
        <row r="1324">
          <cell r="B1324" t="str">
            <v>*090168</v>
          </cell>
          <cell r="C1324" t="str">
            <v>RETIRO DE CABLE DE ACERO 5/16"</v>
          </cell>
          <cell r="I1324">
            <v>0</v>
          </cell>
        </row>
        <row r="1325">
          <cell r="B1325" t="str">
            <v>*098382</v>
          </cell>
          <cell r="C1325" t="str">
            <v>RETIRO DE SEGURO PARA INTERRUPTOR TERMOMAGNETICO MONOFASICO</v>
          </cell>
          <cell r="I1325">
            <v>0</v>
          </cell>
        </row>
        <row r="1326">
          <cell r="B1326" t="str">
            <v>*091329</v>
          </cell>
          <cell r="C1326" t="str">
            <v>RETIRO DE LUMINARIA DE 400 W. NA.</v>
          </cell>
          <cell r="I1326">
            <v>0</v>
          </cell>
        </row>
        <row r="1327">
          <cell r="B1327" t="str">
            <v>*093464</v>
          </cell>
          <cell r="C1327" t="str">
            <v>RETIRO DE CONEX.MONOF.O TRIF. AEREO SUBT. (TIPO V) CAJA L, LT S/SEGURO</v>
          </cell>
          <cell r="I1327">
            <v>0</v>
          </cell>
        </row>
        <row r="1328">
          <cell r="B1328" t="str">
            <v>*093014</v>
          </cell>
          <cell r="C1328" t="str">
            <v>RETIRO CNX P/SOPORTE DE PRFV O CAJA EXISTENTE MONOF.O TRIF. AEREO SUBT. (TIPO V) CAJA L, LT S/SEGURO</v>
          </cell>
          <cell r="I1328">
            <v>0</v>
          </cell>
        </row>
        <row r="1329">
          <cell r="B1329" t="str">
            <v>*093499</v>
          </cell>
          <cell r="C1329" t="str">
            <v>RETIRO DE CONEX. TRIF.AERO SUBTERRANEA DE 20 A 35KW CAJAS F1+LTM</v>
          </cell>
          <cell r="I1329">
            <v>0</v>
          </cell>
        </row>
        <row r="1330">
          <cell r="B1330" t="str">
            <v>*098143</v>
          </cell>
          <cell r="C1330" t="str">
            <v>RETIRO DE EQUIPAMIENTO DE CAJA F3</v>
          </cell>
          <cell r="I1330">
            <v>0</v>
          </cell>
        </row>
        <row r="1331">
          <cell r="B1331" t="str">
            <v>*093468</v>
          </cell>
          <cell r="C1331" t="str">
            <v>RETIRO DE CONEXION AEREA TRIFASICA MAYOR A 35KW (F1+LTM) HASTA 50KW</v>
          </cell>
          <cell r="I1331">
            <v>0</v>
          </cell>
        </row>
        <row r="1332">
          <cell r="B1332" t="str">
            <v>*095292</v>
          </cell>
          <cell r="C1332" t="str">
            <v>RETIRO DE SOPORTE DE PRFV PARA CAJA PORTAMEDIDOR</v>
          </cell>
          <cell r="I1332">
            <v>0</v>
          </cell>
        </row>
        <row r="1333">
          <cell r="B1333" t="str">
            <v>*096019</v>
          </cell>
          <cell r="C1333" t="str">
            <v>RETIRO DE ALAMBRADA DE CAJA DISTRIBUCIÓN A TOMA L -LT.</v>
          </cell>
          <cell r="I1333">
            <v>0</v>
          </cell>
        </row>
        <row r="1334">
          <cell r="B1334" t="str">
            <v>*090114</v>
          </cell>
          <cell r="C1334" t="str">
            <v>TRASLADO CONDUCTOR CU O AL DESNUDO/FORRADO MAYOR DE 35 HASTA 70 mm2</v>
          </cell>
          <cell r="I1334">
            <v>0</v>
          </cell>
        </row>
        <row r="1335">
          <cell r="B1335" t="str">
            <v>*090161</v>
          </cell>
          <cell r="C1335" t="str">
            <v>TRASLADO CABLE AUTOSOPORTADO DE BT CU O AL MAYOR DE 10 HASTA 25 mm2</v>
          </cell>
          <cell r="I1335">
            <v>0</v>
          </cell>
        </row>
        <row r="1336">
          <cell r="B1336" t="str">
            <v>*090162</v>
          </cell>
          <cell r="C1336" t="str">
            <v>TRASLADO CABLE AUTOSOPORTADO DE BT CU O AL MAYOR DE 10 HASTA 25 mm2</v>
          </cell>
          <cell r="I1336">
            <v>0</v>
          </cell>
        </row>
        <row r="1337">
          <cell r="B1337" t="str">
            <v>*090164</v>
          </cell>
          <cell r="C1337" t="str">
            <v>TRASLADO CONDUCTOR CU O AL  DESNUDO/FORRADO MAYOR DE 120 HASTA 240 mm2.</v>
          </cell>
          <cell r="I1337">
            <v>0</v>
          </cell>
        </row>
        <row r="1338">
          <cell r="B1338" t="str">
            <v>*090163</v>
          </cell>
          <cell r="C1338" t="str">
            <v>TRASLADO CABLE AUTOSOPORTADO DE BT CU O AL MAYOR DE 50 HASTA 120 mm2</v>
          </cell>
          <cell r="I1338">
            <v>0</v>
          </cell>
        </row>
        <row r="1339">
          <cell r="B1339" t="str">
            <v>*090124</v>
          </cell>
          <cell r="C1339" t="str">
            <v>TRASLADO DE CONDUCTOR CU O AL  DESNUDO/FORRADO MAYOR DE 70 HASTA 120 mm2</v>
          </cell>
          <cell r="I1339">
            <v>0</v>
          </cell>
        </row>
        <row r="1340">
          <cell r="B1340" t="str">
            <v>*090166</v>
          </cell>
          <cell r="C1340" t="str">
            <v>TRASLADO CONDUCTOR CU O AL DESNUDO/FORRADO HASTA 25 mm2</v>
          </cell>
          <cell r="I1340">
            <v>0</v>
          </cell>
        </row>
        <row r="1341">
          <cell r="B1341" t="str">
            <v>*093081</v>
          </cell>
          <cell r="C1341" t="str">
            <v>TRASLADO SOLO ACOMETIDA AÉREA</v>
          </cell>
          <cell r="I1341">
            <v>0</v>
          </cell>
        </row>
        <row r="1342">
          <cell r="B1342" t="str">
            <v>*091356</v>
          </cell>
          <cell r="C1342" t="str">
            <v>TRASLADO PASTORAL SIMPLE CUALQUIER TIPO DISPERSO MENOR A 6 PASTORALES</v>
          </cell>
          <cell r="I1342">
            <v>0</v>
          </cell>
        </row>
        <row r="1343">
          <cell r="B1343" t="str">
            <v>*090103</v>
          </cell>
          <cell r="C1343" t="str">
            <v>TRASLADO CONDUCTOR CU O AL DESNUDO/FORRADO MAYOR DE 25 HASTA 35 mm2</v>
          </cell>
          <cell r="I1343">
            <v>0</v>
          </cell>
        </row>
        <row r="1344">
          <cell r="B1344" t="str">
            <v>*091516</v>
          </cell>
          <cell r="C1344" t="str">
            <v>TRASLADO CABLE SECO MT DE 1x120mm2 HASTA 1x400mm2</v>
          </cell>
          <cell r="I1344">
            <v>0</v>
          </cell>
        </row>
        <row r="1345">
          <cell r="B1345" t="str">
            <v>*091322</v>
          </cell>
          <cell r="C1345" t="str">
            <v>TRASLADO LUMINARIA 125/250 HG  70/150/250/400 W NA. O FAROLA COMPLETA MASIVO</v>
          </cell>
          <cell r="I1345">
            <v>0</v>
          </cell>
        </row>
        <row r="1346">
          <cell r="B1346" t="str">
            <v>*091421</v>
          </cell>
          <cell r="C1346" t="str">
            <v>TRASLADO CABLE NYY BT MAYOR A 3-1x16 HASTA 3-1x70 mm2</v>
          </cell>
          <cell r="I1346">
            <v>0</v>
          </cell>
        </row>
        <row r="1347">
          <cell r="B1347" t="str">
            <v>*090167</v>
          </cell>
          <cell r="C1347" t="str">
            <v>TRASLADO CABLE AUTOSOPORTADO DE BT CU O AL HASTA 10 MM2</v>
          </cell>
          <cell r="I1347">
            <v>0</v>
          </cell>
        </row>
        <row r="1348">
          <cell r="B1348" t="str">
            <v>*091412</v>
          </cell>
          <cell r="C1348" t="str">
            <v>TRASLADO CABLE NYY BT HASTA 3-1x16mm2</v>
          </cell>
          <cell r="I1348">
            <v>0</v>
          </cell>
        </row>
        <row r="1349">
          <cell r="B1349" t="str">
            <v>*091513</v>
          </cell>
          <cell r="C1349" t="str">
            <v>TRASLADO CABLE SECO MT DE 1x35mm2 HASTA 1x95mm2</v>
          </cell>
          <cell r="I1349">
            <v>0</v>
          </cell>
        </row>
        <row r="1350">
          <cell r="B1350" t="str">
            <v>*093247</v>
          </cell>
          <cell r="C1350" t="str">
            <v>TRASLADO CAJA DE DISTRIBUC. ACOM. DOMIC. EN POSTE O PARED  (INCLUYE ALIMENTACION A CAJA)</v>
          </cell>
          <cell r="I1350">
            <v>0</v>
          </cell>
        </row>
        <row r="1351">
          <cell r="B1351" t="str">
            <v>*091442</v>
          </cell>
          <cell r="C1351" t="str">
            <v>TRASLADO CABLE NYY BT MAYOR A 3-1x70mm2  HASTA 3-1x185mm2</v>
          </cell>
          <cell r="I1351">
            <v>0</v>
          </cell>
        </row>
        <row r="1352">
          <cell r="B1352" t="str">
            <v>*091381</v>
          </cell>
          <cell r="C1352" t="str">
            <v>TRASLADO DE CABLE CONCENTRICO 6 mm2</v>
          </cell>
          <cell r="I1352">
            <v>0</v>
          </cell>
        </row>
        <row r="1353">
          <cell r="B1353" t="str">
            <v>*091508</v>
          </cell>
          <cell r="C1353" t="str">
            <v>TRASLADO CABLE SECO MT DE 1x25mm2 hasta 1x35 mm2</v>
          </cell>
          <cell r="I1353">
            <v>0</v>
          </cell>
        </row>
        <row r="1354">
          <cell r="B1354" t="str">
            <v>*093071</v>
          </cell>
          <cell r="C1354" t="str">
            <v>TRASLADO DE ACOMETIDA AEREA Y ACCESORIOS</v>
          </cell>
          <cell r="I1354">
            <v>0</v>
          </cell>
        </row>
        <row r="1355">
          <cell r="B1355" t="str">
            <v>*093251</v>
          </cell>
          <cell r="C1355" t="str">
            <v>TRASLADO ACOMETIDA SUBTERRANEA SOLA SIN CAJA CONEXION</v>
          </cell>
          <cell r="I1355">
            <v>0</v>
          </cell>
        </row>
        <row r="1356">
          <cell r="B1356" t="str">
            <v>*091683</v>
          </cell>
          <cell r="C1356" t="str">
            <v>TRASLADO TUBO PVC.A POSTE P/PUNTO DE ALIMENTACION</v>
          </cell>
          <cell r="I1356">
            <v>0</v>
          </cell>
        </row>
        <row r="1357">
          <cell r="B1357" t="str">
            <v>*090032</v>
          </cell>
          <cell r="C1357" t="str">
            <v>TRASLADO DE CADENA 1 AISLADOR SUSPENSION MT</v>
          </cell>
          <cell r="I1357">
            <v>0</v>
          </cell>
        </row>
        <row r="1358">
          <cell r="B1358" t="str">
            <v>*091359</v>
          </cell>
          <cell r="C1358" t="str">
            <v>TRASLADO DE PASTORAL SIMPLE CUALQUIER TIPO MASIVO MAYOR O IGUAL A 6 PASTORALES</v>
          </cell>
          <cell r="I1358">
            <v>0</v>
          </cell>
        </row>
        <row r="1359">
          <cell r="B1359" t="str">
            <v>*091361</v>
          </cell>
          <cell r="C1359" t="str">
            <v>TRASLADO DE PASTORAL SIMPLE INC ABRAZDS (CUALQ TIPO); TRAB MASIVO EN CTRL TEC Y CAL SERV</v>
          </cell>
          <cell r="I1359">
            <v>0</v>
          </cell>
        </row>
        <row r="1360">
          <cell r="B1360" t="str">
            <v>*091326</v>
          </cell>
          <cell r="C1360" t="str">
            <v>TRASLADO DE LUMINARIA LED 125/250 HG  70/150/250/400 W NA. O FAROLA COMPLETA MASIVO</v>
          </cell>
          <cell r="I1360">
            <v>0</v>
          </cell>
        </row>
        <row r="1361">
          <cell r="B1361" t="str">
            <v>*091451</v>
          </cell>
          <cell r="C1361" t="str">
            <v>TRASLADO DE CABLE NYY BT MAYOR A 3-1x185mm2</v>
          </cell>
          <cell r="I1361">
            <v>0</v>
          </cell>
        </row>
        <row r="1362">
          <cell r="B1362" t="str">
            <v>*091304</v>
          </cell>
          <cell r="C1362" t="str">
            <v>TRASLADO DE PASTORAL PARABOLICO CUALQUIER TIPO DISPERSO MENOR A 6 UNIDADES</v>
          </cell>
          <cell r="I1362">
            <v>0</v>
          </cell>
        </row>
        <row r="1363">
          <cell r="B1363" t="str">
            <v>*090396</v>
          </cell>
          <cell r="C1363" t="str">
            <v>TRASLADO DE PUNTO DE FIJACION  CABLE AUTOSOPORTADO</v>
          </cell>
          <cell r="I1363">
            <v>0</v>
          </cell>
        </row>
        <row r="1364">
          <cell r="B1364" t="str">
            <v>*090062</v>
          </cell>
          <cell r="C1364" t="str">
            <v>TRASLADO DE DIAGONAL PARA CRUCETA DE MADERA O FIERRO</v>
          </cell>
          <cell r="I1364">
            <v>0</v>
          </cell>
        </row>
        <row r="1365">
          <cell r="B1365" t="str">
            <v>*090911</v>
          </cell>
          <cell r="C1365" t="str">
            <v>TRASLADO DE SECCIONADOR FUSIBLE O TERMOMAGNÉTICO BT TRIPOLAR</v>
          </cell>
          <cell r="I1365">
            <v>0</v>
          </cell>
        </row>
        <row r="1366">
          <cell r="B1366" t="str">
            <v>*098851</v>
          </cell>
          <cell r="C1366" t="str">
            <v>TRASLADO CABLE COMUNICACIÓN POR TERNA  EN SE HASTA 500 MM2</v>
          </cell>
          <cell r="I1366">
            <v>0</v>
          </cell>
        </row>
        <row r="1367">
          <cell r="B1367" t="str">
            <v>*090321</v>
          </cell>
          <cell r="C1367" t="str">
            <v>TRASLADO DE RETENIDA-TEMPLADOR AEREO MT Y BT.</v>
          </cell>
          <cell r="I1367">
            <v>0</v>
          </cell>
        </row>
        <row r="1368">
          <cell r="B1368" t="str">
            <v>*090511</v>
          </cell>
          <cell r="C1368" t="str">
            <v>TRASLADO DE PROTECCION RIEL CIMENTADO Y PINTADO(OBRA VENDIDA)</v>
          </cell>
          <cell r="I1368">
            <v>0</v>
          </cell>
        </row>
        <row r="1369">
          <cell r="B1369" t="str">
            <v>*093162</v>
          </cell>
          <cell r="C1369" t="str">
            <v>TRASLADO ALAMBRADO DE CAJA MONOFÁSICA  O TRIFÁSICA (MANTENIMIENTO)</v>
          </cell>
          <cell r="I1369">
            <v>0</v>
          </cell>
        </row>
        <row r="1370">
          <cell r="B1370" t="str">
            <v>*090431</v>
          </cell>
          <cell r="C1370" t="str">
            <v>TRASLADO DE PORTALINEA DE PASO O REMATE DE 1 A 5 VIAS</v>
          </cell>
          <cell r="I1370">
            <v>0</v>
          </cell>
        </row>
        <row r="1371">
          <cell r="B1371" t="str">
            <v>*093042</v>
          </cell>
          <cell r="C1371" t="str">
            <v>TRASLADO DE MASTIL DE 1,8 A 6 M</v>
          </cell>
          <cell r="I1371">
            <v>0</v>
          </cell>
        </row>
        <row r="1372">
          <cell r="B1372" t="str">
            <v>*090015</v>
          </cell>
          <cell r="C1372" t="str">
            <v>TRASLADO DE AISLADOR PIN MT EN CRUCETA</v>
          </cell>
          <cell r="I1372">
            <v>0</v>
          </cell>
        </row>
        <row r="1373">
          <cell r="B1373" t="str">
            <v>*091086</v>
          </cell>
          <cell r="C1373" t="str">
            <v>TRASLADO BASE FUSIBLE SECCIONADOR UNIPOLAR</v>
          </cell>
          <cell r="I1373">
            <v>0</v>
          </cell>
        </row>
        <row r="1374">
          <cell r="B1374" t="str">
            <v>*093043</v>
          </cell>
          <cell r="C1374" t="str">
            <v>TRASLADO DE CORONA 4 GANCHOS PARA ACOMETIDA DOMICILIARIA</v>
          </cell>
          <cell r="I1374">
            <v>0</v>
          </cell>
        </row>
        <row r="1375">
          <cell r="B1375" t="str">
            <v>*090066</v>
          </cell>
          <cell r="C1375" t="str">
            <v>TRASLADO ABRAZADERA PARA PERFIL DE ESTRUCTURA MT</v>
          </cell>
          <cell r="I1375">
            <v>0</v>
          </cell>
        </row>
        <row r="1376">
          <cell r="B1376" t="str">
            <v>*093424</v>
          </cell>
          <cell r="C1376" t="str">
            <v>TRASLADO DE MED. ELECTRONICO CON SEGURO</v>
          </cell>
          <cell r="I1376">
            <v>0</v>
          </cell>
        </row>
        <row r="1377">
          <cell r="B1377" t="str">
            <v>*098198</v>
          </cell>
          <cell r="C1377" t="str">
            <v>Traslado de tubo corrugado</v>
          </cell>
          <cell r="I1377">
            <v>0</v>
          </cell>
        </row>
        <row r="1378">
          <cell r="B1378" t="str">
            <v>*098671</v>
          </cell>
          <cell r="C1378" t="str">
            <v>TRASLADO DE CRUCETA O MÉNSULA DOBLE DE MADERA</v>
          </cell>
          <cell r="I1378">
            <v>0</v>
          </cell>
        </row>
        <row r="1379">
          <cell r="B1379" t="str">
            <v>*090194</v>
          </cell>
          <cell r="C1379" t="str">
            <v>TRASLADO DE CRUCETA O MENSULA SIMPLE DE MADERA O FIERRO</v>
          </cell>
          <cell r="I1379">
            <v>0</v>
          </cell>
        </row>
        <row r="1380">
          <cell r="B1380" t="str">
            <v>*099113</v>
          </cell>
          <cell r="C1380" t="str">
            <v>TRASLADO MEDIDOR TRIFÁSICO SIN SEGURO - CON MISMA CUADRILLA - RUTINA</v>
          </cell>
          <cell r="I1380">
            <v>0</v>
          </cell>
        </row>
        <row r="1381">
          <cell r="B1381" t="str">
            <v>*093252</v>
          </cell>
          <cell r="C1381" t="str">
            <v>TRASLADO DE REDUCTORES Y CABLE CLIENTE</v>
          </cell>
          <cell r="I1381">
            <v>0</v>
          </cell>
        </row>
        <row r="1382">
          <cell r="B1382" t="str">
            <v>*090593</v>
          </cell>
          <cell r="C1382" t="str">
            <v>TRASLADO DE CANALETA METALICA PROTECTORA PARA SUBIDA DE CABLES DE MT Y BT SIN ZOCALO</v>
          </cell>
          <cell r="I1382">
            <v>0</v>
          </cell>
        </row>
        <row r="1383">
          <cell r="B1383" t="str">
            <v>*093051</v>
          </cell>
          <cell r="C1383" t="str">
            <v>Traslado de caja suministro BT-6 - 093050</v>
          </cell>
          <cell r="I1383">
            <v>0</v>
          </cell>
        </row>
        <row r="1384">
          <cell r="B1384" t="str">
            <v>*099115</v>
          </cell>
          <cell r="C1384" t="str">
            <v>TRASLADO DE MEDIDOR MONOF. SIN SEGURO - CON MISMA CUADRILLA - RUTINA</v>
          </cell>
          <cell r="I1384">
            <v>0</v>
          </cell>
        </row>
        <row r="1385">
          <cell r="B1385" t="str">
            <v>*091231</v>
          </cell>
          <cell r="C1385" t="str">
            <v>TRASLADO DE SISTEMA DE ENCENDIDO AUTOMÁTICO AÉREO</v>
          </cell>
          <cell r="I1385">
            <v>0</v>
          </cell>
        </row>
        <row r="1386">
          <cell r="B1386" t="str">
            <v>*095288</v>
          </cell>
          <cell r="C1386" t="str">
            <v>TRASLADO DE MURETE PREFABRICADO, INCLUYE  MANO DE OBRA Y TRANSPORTE</v>
          </cell>
          <cell r="I1386">
            <v>0</v>
          </cell>
        </row>
        <row r="1387">
          <cell r="B1387" t="str">
            <v>*091529</v>
          </cell>
          <cell r="C1387" t="str">
            <v>TRASLADO DE TERMINAL INTERIOR O EXTERIOR TRIF. TIPO TERMOR. O SIMILAR HASTA 240 MM2.</v>
          </cell>
          <cell r="I1387">
            <v>0</v>
          </cell>
        </row>
        <row r="1388">
          <cell r="B1388" t="str">
            <v>*090975</v>
          </cell>
          <cell r="C1388" t="str">
            <v>TRASLADO DE ANCLAJE CON DOS PUNTOS PARA TRANSFORMADOR DE DISTRIBUCION</v>
          </cell>
          <cell r="I1388">
            <v>0</v>
          </cell>
        </row>
        <row r="1389">
          <cell r="B1389" t="str">
            <v>*090393</v>
          </cell>
          <cell r="C1389" t="str">
            <v>TRASLADO DE PERNO PARA ANCLAJE CABLE AUTOSOPORTADO</v>
          </cell>
          <cell r="I1389">
            <v>0</v>
          </cell>
        </row>
        <row r="1390">
          <cell r="B1390" t="str">
            <v>*091534</v>
          </cell>
          <cell r="C1390" t="str">
            <v>TRASLADO DE CONECTOR DE CODO C/CABLE SECO N2XSY DE 25 mm2 SCP Y SCB (3 CONECT.)</v>
          </cell>
          <cell r="I1390">
            <v>0</v>
          </cell>
        </row>
        <row r="1391">
          <cell r="B1391" t="str">
            <v>*098691</v>
          </cell>
          <cell r="C1391" t="str">
            <v>TRASLADO DE CABLE COMUNICACIÓN BT HASTA 300 MM2</v>
          </cell>
          <cell r="I1391">
            <v>0</v>
          </cell>
        </row>
        <row r="1392">
          <cell r="B1392" t="str">
            <v>*091091</v>
          </cell>
          <cell r="C1392" t="str">
            <v>TRASLADO DE CELULA FOTOELECTRICA COMPLETA</v>
          </cell>
          <cell r="I1392">
            <v>0</v>
          </cell>
        </row>
        <row r="1393">
          <cell r="B1393" t="str">
            <v>*091053</v>
          </cell>
          <cell r="C1393" t="str">
            <v>TRASLADO DE CAJA Y TABLERO DISTRIBUCION SAB, SCB / SCP</v>
          </cell>
          <cell r="I1393">
            <v>0</v>
          </cell>
        </row>
        <row r="1394">
          <cell r="B1394" t="str">
            <v>*093121</v>
          </cell>
          <cell r="C1394" t="str">
            <v>Traslado DE CAJA L, LT O ESTANDAR SOLA O EN BANCO DE MEDIDORES</v>
          </cell>
          <cell r="I1394">
            <v>0</v>
          </cell>
        </row>
        <row r="1395">
          <cell r="B1395" t="str">
            <v>*091308</v>
          </cell>
          <cell r="C1395" t="str">
            <v>TrasladoPastoral parabólico cualquier tipo, incluye abrazaderas,trabajo masivo en ctrl tec. - 091307</v>
          </cell>
          <cell r="I1395">
            <v>0</v>
          </cell>
        </row>
        <row r="1396">
          <cell r="B1396" t="str">
            <v>*090936</v>
          </cell>
          <cell r="C1396" t="str">
            <v>TRASLADO DE PARARRAYOS UNIPOLARES (3 UNIDADES)</v>
          </cell>
          <cell r="I1396">
            <v>0</v>
          </cell>
        </row>
        <row r="1397">
          <cell r="B1397" t="str">
            <v>*091101</v>
          </cell>
          <cell r="C1397" t="str">
            <v>TRASLADO DE CELULA FOTOELECTRICA SIN BASE</v>
          </cell>
          <cell r="I1397">
            <v>0</v>
          </cell>
        </row>
        <row r="1398">
          <cell r="B1398" t="str">
            <v>*091281</v>
          </cell>
          <cell r="C1398" t="str">
            <v>TRASLADO DE CONEXION A LUMINARIA</v>
          </cell>
          <cell r="I1398">
            <v>0</v>
          </cell>
        </row>
        <row r="1399">
          <cell r="B1399" t="str">
            <v>*090311</v>
          </cell>
          <cell r="C1399" t="str">
            <v>TRASLADO DE RETENIDA SIMPLE O VIOLIN MT O BT</v>
          </cell>
          <cell r="I1399">
            <v>0</v>
          </cell>
        </row>
        <row r="1400">
          <cell r="B1400" t="str">
            <v>*090741</v>
          </cell>
          <cell r="C1400" t="str">
            <v>TRASLADO DE GRAPA DE TENSION COBRE Y ALUMINIO</v>
          </cell>
          <cell r="I1400">
            <v>0</v>
          </cell>
        </row>
        <row r="1401">
          <cell r="B1401" t="str">
            <v>*093455</v>
          </cell>
          <cell r="C1401" t="str">
            <v>TRASLADO DE MEDIDOR ELECTRONICO SIN SEGURO</v>
          </cell>
          <cell r="I1401">
            <v>0</v>
          </cell>
        </row>
        <row r="1402">
          <cell r="B1402" t="str">
            <v>*091723</v>
          </cell>
          <cell r="C1402" t="str">
            <v>TRASLADO DE RELE HB EN CELDA (INCL. VARILLAS)</v>
          </cell>
          <cell r="I1402">
            <v>0</v>
          </cell>
        </row>
        <row r="1403">
          <cell r="B1403" t="str">
            <v>*091051</v>
          </cell>
          <cell r="C1403" t="str">
            <v>TRASLADO DE BASE DE CONCRETO PARA TABLERO TAM3, TAM4 (NO INCLUYE BASE)</v>
          </cell>
          <cell r="I1403">
            <v>0</v>
          </cell>
        </row>
        <row r="1404">
          <cell r="B1404" t="str">
            <v>*090498</v>
          </cell>
          <cell r="C1404" t="str">
            <v>TRASLADO DE POSTES DE PRFV HASTA 8.7 M EN ZONA INACCESIBLE CON CIMENTACIÓN</v>
          </cell>
          <cell r="I1404">
            <v>0</v>
          </cell>
        </row>
        <row r="1405">
          <cell r="B1405" t="str">
            <v>*091931</v>
          </cell>
          <cell r="C1405" t="str">
            <v>TRASLADO DE DUCTO PVC (POR UNIDAD DE 3M ) DE HASTA 6"" EN ZANJA DE MT O BT"</v>
          </cell>
          <cell r="I1405">
            <v>0</v>
          </cell>
        </row>
        <row r="1406">
          <cell r="B1406" t="str">
            <v>*093459</v>
          </cell>
          <cell r="C1406" t="str">
            <v>TRASLADO DE MEDIDOR MONOF.SIN SEGURO - CON DIFERENTE CUADRILLA</v>
          </cell>
          <cell r="I1406">
            <v>0</v>
          </cell>
        </row>
        <row r="1407">
          <cell r="B1407" t="str">
            <v>*099239</v>
          </cell>
          <cell r="C1407" t="str">
            <v>TRASLADO DE PUERTA SUPERIOR EN CELDA DE MEDIA TENSIÓN EN SUBESTACIÓN CONVENCIONAL</v>
          </cell>
          <cell r="I1407">
            <v>0</v>
          </cell>
        </row>
        <row r="1408">
          <cell r="B1408" t="str">
            <v>*093463</v>
          </cell>
          <cell r="C1408" t="str">
            <v>TRASLADO DE MEDIDOR TRIFASICO SIN SEGURO - CON DIFERENTE CUADRILLA</v>
          </cell>
          <cell r="I1408">
            <v>0</v>
          </cell>
        </row>
        <row r="1409">
          <cell r="B1409" t="str">
            <v>*090336</v>
          </cell>
          <cell r="C1409" t="str">
            <v>TRASLADO DE RIEL DE PROTECCION</v>
          </cell>
          <cell r="I1409">
            <v>0</v>
          </cell>
        </row>
        <row r="1410">
          <cell r="B1410" t="str">
            <v>*090811</v>
          </cell>
          <cell r="C1410" t="str">
            <v>TRASLADO DE CONECTOR CUALQUIER TIPO HASTA 300 mm2 EN COBRE O ALUMINIO</v>
          </cell>
          <cell r="I1410">
            <v>0</v>
          </cell>
        </row>
        <row r="1411">
          <cell r="B1411" t="str">
            <v>*091305</v>
          </cell>
          <cell r="C1411" t="str">
            <v>TRASLADO DE PASTORAL PARABOLICO CUALQUIER TIPO MASIVO MAYOR O IGUAL A 6 PASTORALES</v>
          </cell>
          <cell r="I1411">
            <v>0</v>
          </cell>
        </row>
        <row r="1412">
          <cell r="B1412" t="str">
            <v>*090002</v>
          </cell>
          <cell r="C1412" t="str">
            <v>TRASLADO DE AISLADOR PIN MT EN PUNTA DE POSTE</v>
          </cell>
          <cell r="I1412">
            <v>0</v>
          </cell>
        </row>
        <row r="1413">
          <cell r="B1413" t="str">
            <v>*090379</v>
          </cell>
          <cell r="C1413" t="str">
            <v>TRASLADO DE CABLEADO DE SISTEMA DE PUESTA A TIERRA PARA POSTE NUEVO</v>
          </cell>
          <cell r="I1413">
            <v>0</v>
          </cell>
        </row>
        <row r="1414">
          <cell r="B1414" t="str">
            <v>*091052</v>
          </cell>
          <cell r="C1414" t="str">
            <v>TRASLADO DE EQUIPAMIENTO PARA TABLERO AÉREO</v>
          </cell>
          <cell r="I1414">
            <v>0</v>
          </cell>
        </row>
        <row r="1415">
          <cell r="B1415" t="str">
            <v>*090171</v>
          </cell>
          <cell r="C1415" t="str">
            <v>TRASLADO DE MENSULA DE C.A HASTA 1.2 m</v>
          </cell>
          <cell r="I1415">
            <v>0</v>
          </cell>
        </row>
        <row r="1416">
          <cell r="B1416" t="str">
            <v>*093651</v>
          </cell>
          <cell r="C1416" t="str">
            <v>TRASLADO DE CAJA TOMA F1 C/ACOMET DE HASTA 75 KW. PARA USO NO INDUSTRIAL S/VEREDA</v>
          </cell>
          <cell r="I1416">
            <v>0</v>
          </cell>
        </row>
        <row r="1417">
          <cell r="B1417" t="str">
            <v>*090306</v>
          </cell>
          <cell r="C1417" t="str">
            <v>TRASLADO DE POSTE C.A.C. DE 15. m.- No incluye Tracto</v>
          </cell>
          <cell r="I1417">
            <v>0</v>
          </cell>
        </row>
        <row r="1418">
          <cell r="B1418" t="str">
            <v>*091111</v>
          </cell>
          <cell r="C1418" t="str">
            <v>TRASLADO DE CONTACTOR COMPLETO</v>
          </cell>
          <cell r="I1418">
            <v>0</v>
          </cell>
        </row>
        <row r="1419">
          <cell r="B1419" t="str">
            <v>*090853</v>
          </cell>
          <cell r="C1419" t="str">
            <v>TRASLADO DE BLOQUE DE PROTECCION CONCRETO</v>
          </cell>
          <cell r="I1419">
            <v>0</v>
          </cell>
        </row>
        <row r="1420">
          <cell r="B1420" t="str">
            <v>*098147</v>
          </cell>
          <cell r="C1420" t="str">
            <v>TRASLADO DE EQUIPAMIENTO DE CAJA F4</v>
          </cell>
          <cell r="I1420">
            <v>0</v>
          </cell>
        </row>
        <row r="1421">
          <cell r="B1421" t="str">
            <v>*090258</v>
          </cell>
          <cell r="C1421" t="str">
            <v>TRASLADO DE POSTE C.A.C. DE 8.70 O 9.00 M</v>
          </cell>
          <cell r="I1421">
            <v>0</v>
          </cell>
        </row>
        <row r="1422">
          <cell r="B1422" t="str">
            <v>*090129</v>
          </cell>
          <cell r="C1422" t="str">
            <v>TRASLADO DE CABLE AUTOSOPORTADO DE MT MAYOR DE 50 HASTA 120 mm</v>
          </cell>
          <cell r="I1422">
            <v>0</v>
          </cell>
        </row>
        <row r="1423">
          <cell r="B1423" t="str">
            <v>*090128</v>
          </cell>
          <cell r="C1423" t="str">
            <v>TRASLADO DE CABLE AUTOSOPORTADO DE MT HASTA 50 mm2</v>
          </cell>
          <cell r="I1423">
            <v>0</v>
          </cell>
        </row>
        <row r="1424">
          <cell r="B1424" t="str">
            <v>*090751</v>
          </cell>
          <cell r="C1424" t="str">
            <v>TRASLADO DE AISLADOR CARRETE BT</v>
          </cell>
          <cell r="I1424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eriales"/>
      <sheetName val="Servicio Tercerizado"/>
      <sheetName val="Movimientos"/>
      <sheetName val="Resumen"/>
    </sheetNames>
    <sheetDataSet>
      <sheetData sheetId="0"/>
      <sheetData sheetId="1">
        <row r="4">
          <cell r="B4" t="str">
            <v>Cod. Matrícula</v>
          </cell>
          <cell r="C4" t="str">
            <v>Descripción</v>
          </cell>
          <cell r="D4" t="str">
            <v>Tip. Val.</v>
          </cell>
          <cell r="E4" t="str">
            <v>Stp. Val.</v>
          </cell>
          <cell r="F4" t="str">
            <v>Tip. Costo</v>
          </cell>
          <cell r="G4" t="str">
            <v>Factor ITR</v>
          </cell>
          <cell r="H4" t="str">
            <v>Valor ITR</v>
          </cell>
          <cell r="I4" t="str">
            <v>Precio Unit.</v>
          </cell>
          <cell r="J4" t="str">
            <v>Proveedor</v>
          </cell>
          <cell r="K4" t="str">
            <v>SubContratista</v>
          </cell>
          <cell r="L4" t="str">
            <v>Pago Contra.</v>
          </cell>
          <cell r="M4" t="str">
            <v>Sec. Factura</v>
          </cell>
          <cell r="N4" t="str">
            <v>Moneda</v>
          </cell>
          <cell r="O4" t="str">
            <v>Precio Costo</v>
          </cell>
          <cell r="P4" t="str">
            <v>Precio Cliente</v>
          </cell>
          <cell r="Q4" t="str">
            <v>Precio Contra</v>
          </cell>
        </row>
        <row r="5">
          <cell r="B5" t="str">
            <v>*010213</v>
          </cell>
          <cell r="C5" t="str">
            <v>CUADRILLA DE MANTENIMIENTO CON GRUA DE 9 TN Y TRES</v>
          </cell>
          <cell r="D5" t="str">
            <v>40=ALP EXCLUSIVO</v>
          </cell>
          <cell r="E5" t="str">
            <v>S=SUBTERRÁNEO</v>
          </cell>
          <cell r="F5" t="str">
            <v>I=INVERSION</v>
          </cell>
          <cell r="G5" t="str">
            <v>I=INSTALACION</v>
          </cell>
          <cell r="H5">
            <v>1</v>
          </cell>
          <cell r="I5">
            <v>1</v>
          </cell>
          <cell r="J5" t="str">
            <v>20206018411=TECSUR S.A.</v>
          </cell>
          <cell r="K5" t="str">
            <v>20604989931=ENCOSSA</v>
          </cell>
          <cell r="L5" t="str">
            <v>S</v>
          </cell>
          <cell r="M5">
            <v>2</v>
          </cell>
          <cell r="N5" t="str">
            <v>NSOLES</v>
          </cell>
          <cell r="O5">
            <v>201.04</v>
          </cell>
          <cell r="P5">
            <v>201.04</v>
          </cell>
          <cell r="Q5">
            <v>201.04</v>
          </cell>
        </row>
        <row r="6">
          <cell r="B6" t="str">
            <v>*090470</v>
          </cell>
          <cell r="C6" t="str">
            <v>CAMBIO DE POSTE INACCESIBLE CON CABRIA  DE CAC POR</v>
          </cell>
          <cell r="D6" t="str">
            <v>40=ALP EXCLUSIVO</v>
          </cell>
          <cell r="E6" t="str">
            <v>S=SUBTERRÁNEO</v>
          </cell>
          <cell r="F6" t="str">
            <v>I=INVERSION</v>
          </cell>
          <cell r="G6" t="str">
            <v>I=INSTALACION</v>
          </cell>
          <cell r="H6">
            <v>1</v>
          </cell>
          <cell r="I6">
            <v>1</v>
          </cell>
          <cell r="J6" t="str">
            <v>20206018411=TECSUR S.A.</v>
          </cell>
          <cell r="K6" t="str">
            <v>20604989931=ENCOSSA</v>
          </cell>
          <cell r="L6" t="str">
            <v>S</v>
          </cell>
          <cell r="M6">
            <v>2</v>
          </cell>
          <cell r="N6" t="str">
            <v>NSOLES</v>
          </cell>
          <cell r="O6">
            <v>1535.09</v>
          </cell>
          <cell r="P6">
            <v>1535.09</v>
          </cell>
          <cell r="Q6">
            <v>1535.09</v>
          </cell>
        </row>
        <row r="7">
          <cell r="B7" t="str">
            <v>*090630</v>
          </cell>
          <cell r="C7" t="str">
            <v>ARRASTRE DE POSTE DE CONCRETO  B.T.</v>
          </cell>
          <cell r="D7" t="str">
            <v>40=ALP EXCLUSIVO</v>
          </cell>
          <cell r="E7" t="str">
            <v>S=SUBTERRÁNEO</v>
          </cell>
          <cell r="F7" t="str">
            <v>I=INVERSION</v>
          </cell>
          <cell r="G7" t="str">
            <v>I=INSTALACION</v>
          </cell>
          <cell r="H7">
            <v>1</v>
          </cell>
          <cell r="I7">
            <v>1</v>
          </cell>
          <cell r="J7" t="str">
            <v>20206018411=TECSUR S.A.</v>
          </cell>
          <cell r="K7" t="str">
            <v>20604989931=ENCOSSA</v>
          </cell>
          <cell r="L7" t="str">
            <v>S</v>
          </cell>
          <cell r="M7">
            <v>2</v>
          </cell>
          <cell r="N7" t="str">
            <v>NSOLES</v>
          </cell>
          <cell r="O7">
            <v>9.0399999999999991</v>
          </cell>
          <cell r="P7">
            <v>9.0399999999999991</v>
          </cell>
          <cell r="Q7">
            <v>9.0399999999999991</v>
          </cell>
        </row>
        <row r="8">
          <cell r="B8" t="str">
            <v>*090632</v>
          </cell>
          <cell r="C8" t="str">
            <v>ARRASTRE DE POSTE CAC HASTA 9M ZONA INACCES (PEND</v>
          </cell>
          <cell r="D8" t="str">
            <v>40=ALP EXCLUSIVO</v>
          </cell>
          <cell r="E8" t="str">
            <v>S=SUBTERRÁNEO</v>
          </cell>
          <cell r="F8" t="str">
            <v>I=INVERSION</v>
          </cell>
          <cell r="G8" t="str">
            <v>I=INSTALACION</v>
          </cell>
          <cell r="H8">
            <v>1</v>
          </cell>
          <cell r="I8">
            <v>1</v>
          </cell>
          <cell r="J8" t="str">
            <v>20206018411=TECSUR S.A.</v>
          </cell>
          <cell r="K8" t="str">
            <v>20604989931=ENCOSSA</v>
          </cell>
          <cell r="L8" t="str">
            <v>S</v>
          </cell>
          <cell r="M8">
            <v>2</v>
          </cell>
          <cell r="N8" t="str">
            <v>NSOLES</v>
          </cell>
          <cell r="O8">
            <v>13.82</v>
          </cell>
          <cell r="P8">
            <v>13.82</v>
          </cell>
          <cell r="Q8">
            <v>13.82</v>
          </cell>
        </row>
        <row r="9">
          <cell r="B9" t="str">
            <v>*090633</v>
          </cell>
          <cell r="C9" t="str">
            <v>ACARREO DE MATERIALES PARA CIMENTACION DE POSTE AC</v>
          </cell>
          <cell r="D9" t="str">
            <v>40=ALP EXCLUSIVO</v>
          </cell>
          <cell r="E9" t="str">
            <v>S=SUBTERRÁNEO</v>
          </cell>
          <cell r="F9" t="str">
            <v>I=INVERSION</v>
          </cell>
          <cell r="G9" t="str">
            <v>I=INSTALACION</v>
          </cell>
          <cell r="H9">
            <v>1</v>
          </cell>
          <cell r="I9">
            <v>1</v>
          </cell>
          <cell r="J9" t="str">
            <v>20206018411=TECSUR S.A.</v>
          </cell>
          <cell r="K9" t="str">
            <v>20604989931=ENCOSSA</v>
          </cell>
          <cell r="L9" t="str">
            <v>S</v>
          </cell>
          <cell r="M9">
            <v>2</v>
          </cell>
          <cell r="N9" t="str">
            <v>NSOLES</v>
          </cell>
          <cell r="O9">
            <v>0.67</v>
          </cell>
          <cell r="P9">
            <v>0.67</v>
          </cell>
          <cell r="Q9">
            <v>0.67</v>
          </cell>
        </row>
        <row r="10">
          <cell r="B10" t="str">
            <v>*090636</v>
          </cell>
          <cell r="C10" t="str">
            <v>TRASLADO DE POSTES DE CONCRETO A ZONA DE DISPOSICI</v>
          </cell>
          <cell r="D10" t="str">
            <v>40=ALP EXCLUSIVO</v>
          </cell>
          <cell r="E10" t="str">
            <v>S=SUBTERRÁNEO</v>
          </cell>
          <cell r="F10" t="str">
            <v>I=INVERSION</v>
          </cell>
          <cell r="G10" t="str">
            <v>I=INSTALACION</v>
          </cell>
          <cell r="H10">
            <v>1</v>
          </cell>
          <cell r="I10">
            <v>1</v>
          </cell>
          <cell r="J10" t="str">
            <v>20206018411=TECSUR S.A.</v>
          </cell>
          <cell r="K10" t="str">
            <v>20604989931=ENCOSSA</v>
          </cell>
          <cell r="L10" t="str">
            <v>S</v>
          </cell>
          <cell r="M10">
            <v>2</v>
          </cell>
          <cell r="N10" t="str">
            <v>NSOLES</v>
          </cell>
          <cell r="O10">
            <v>74.66</v>
          </cell>
          <cell r="P10">
            <v>74.66</v>
          </cell>
          <cell r="Q10">
            <v>74.66</v>
          </cell>
        </row>
        <row r="11">
          <cell r="B11" t="str">
            <v>*090665</v>
          </cell>
          <cell r="C11" t="str">
            <v>TRASLADO DE POSTES DE CONCRETO A ZONA DE DISPOSICI</v>
          </cell>
          <cell r="D11" t="str">
            <v>40=ALP EXCLUSIVO</v>
          </cell>
          <cell r="E11" t="str">
            <v>S=SUBTERRÁNEO</v>
          </cell>
          <cell r="F11" t="str">
            <v>I=INVERSION</v>
          </cell>
          <cell r="G11" t="str">
            <v>I=INSTALACION</v>
          </cell>
          <cell r="H11">
            <v>1</v>
          </cell>
          <cell r="I11">
            <v>1</v>
          </cell>
          <cell r="J11" t="str">
            <v>20206018411=TECSUR S.A.</v>
          </cell>
          <cell r="K11" t="str">
            <v>20604989931=ENCOSSA</v>
          </cell>
          <cell r="L11" t="str">
            <v>S</v>
          </cell>
          <cell r="M11">
            <v>2</v>
          </cell>
          <cell r="N11" t="str">
            <v>NSOLES</v>
          </cell>
          <cell r="O11">
            <v>15</v>
          </cell>
          <cell r="P11">
            <v>15</v>
          </cell>
          <cell r="Q11">
            <v>0</v>
          </cell>
        </row>
        <row r="12">
          <cell r="B12" t="str">
            <v>*091240</v>
          </cell>
          <cell r="C12" t="str">
            <v>SUBIDA A POSTE DE CONCRETO O FIERRO C/EMPALME P/AP</v>
          </cell>
          <cell r="D12" t="str">
            <v>40=ALP EXCLUSIVO</v>
          </cell>
          <cell r="E12" t="str">
            <v>S=SUBTERRÁNEO</v>
          </cell>
          <cell r="F12" t="str">
            <v>I=INVERSION</v>
          </cell>
          <cell r="G12" t="str">
            <v>I=INSTALACION</v>
          </cell>
          <cell r="H12">
            <v>1</v>
          </cell>
          <cell r="I12">
            <v>1</v>
          </cell>
          <cell r="J12" t="str">
            <v>20206018411=TECSUR S.A.</v>
          </cell>
          <cell r="K12" t="str">
            <v>20604989931=ENCOSSA</v>
          </cell>
          <cell r="L12" t="str">
            <v>S</v>
          </cell>
          <cell r="M12">
            <v>2</v>
          </cell>
          <cell r="N12" t="str">
            <v>NSOLES</v>
          </cell>
          <cell r="O12">
            <v>250.43</v>
          </cell>
          <cell r="P12">
            <v>250.43</v>
          </cell>
          <cell r="Q12">
            <v>250.43</v>
          </cell>
        </row>
        <row r="13">
          <cell r="B13" t="str">
            <v>*091608</v>
          </cell>
          <cell r="C13" t="str">
            <v>Empalme aéreo BT con conector cuña, mecánico o a c</v>
          </cell>
          <cell r="D13" t="str">
            <v>40=ALP EXCLUSIVO</v>
          </cell>
          <cell r="E13" t="str">
            <v>S=SUBTERRÁNEO</v>
          </cell>
          <cell r="F13" t="str">
            <v>I=INVERSION</v>
          </cell>
          <cell r="G13" t="str">
            <v>I=INSTALACION</v>
          </cell>
          <cell r="H13">
            <v>1</v>
          </cell>
          <cell r="I13">
            <v>1</v>
          </cell>
          <cell r="J13" t="str">
            <v>20206018411=TECSUR S.A.</v>
          </cell>
          <cell r="K13" t="str">
            <v>20604989931=ENCOSSA</v>
          </cell>
          <cell r="L13" t="str">
            <v>S</v>
          </cell>
          <cell r="M13">
            <v>2</v>
          </cell>
          <cell r="N13" t="str">
            <v>NSOLES</v>
          </cell>
          <cell r="O13">
            <v>13.42</v>
          </cell>
          <cell r="P13">
            <v>13.42</v>
          </cell>
          <cell r="Q13">
            <v>13.42</v>
          </cell>
        </row>
        <row r="14">
          <cell r="B14" t="str">
            <v>*091842</v>
          </cell>
          <cell r="C14" t="str">
            <v>CORTE DE VEREDA PARA CAMBIO DE POSTE (&lt;2M2)</v>
          </cell>
          <cell r="D14" t="str">
            <v>40=ALP EXCLUSIVO</v>
          </cell>
          <cell r="E14" t="str">
            <v>S=SUBTERRÁNEO</v>
          </cell>
          <cell r="F14" t="str">
            <v>I=INVERSION</v>
          </cell>
          <cell r="G14" t="str">
            <v>I=INSTALACION</v>
          </cell>
          <cell r="H14">
            <v>1</v>
          </cell>
          <cell r="I14">
            <v>1</v>
          </cell>
          <cell r="J14" t="str">
            <v>20206018411=TECSUR S.A.</v>
          </cell>
          <cell r="K14" t="str">
            <v>20604989931=ENCOSSA</v>
          </cell>
          <cell r="L14" t="str">
            <v>S</v>
          </cell>
          <cell r="M14">
            <v>2</v>
          </cell>
          <cell r="N14" t="str">
            <v>NSOLES</v>
          </cell>
          <cell r="O14">
            <v>68.17</v>
          </cell>
          <cell r="P14">
            <v>68.17</v>
          </cell>
          <cell r="Q14">
            <v>68.17</v>
          </cell>
        </row>
        <row r="15">
          <cell r="B15" t="str">
            <v>*094395</v>
          </cell>
          <cell r="C15" t="str">
            <v>Inspección previa por reforma de redes por refuerz</v>
          </cell>
          <cell r="D15" t="str">
            <v>40=ALP EXCLUSIVO</v>
          </cell>
          <cell r="E15" t="str">
            <v>S=SUBTERRÁNEO</v>
          </cell>
          <cell r="F15" t="str">
            <v>I=INVERSION</v>
          </cell>
          <cell r="G15" t="str">
            <v>I=INSTALACION</v>
          </cell>
          <cell r="H15">
            <v>1</v>
          </cell>
          <cell r="I15">
            <v>1</v>
          </cell>
          <cell r="J15" t="str">
            <v>20206018411=TECSUR S.A.</v>
          </cell>
          <cell r="K15" t="str">
            <v>20604989931=ENCOSSA</v>
          </cell>
          <cell r="L15" t="str">
            <v>S</v>
          </cell>
          <cell r="M15">
            <v>2</v>
          </cell>
          <cell r="N15" t="str">
            <v>NSOLES</v>
          </cell>
          <cell r="O15">
            <v>53.06</v>
          </cell>
          <cell r="P15">
            <v>53.06</v>
          </cell>
          <cell r="Q15">
            <v>53.06</v>
          </cell>
        </row>
        <row r="16">
          <cell r="B16" t="str">
            <v>*094911</v>
          </cell>
          <cell r="C16" t="str">
            <v>SOLERA DE CONCRETO PARA CUALQUIER TIPO DE POSTE</v>
          </cell>
          <cell r="D16" t="str">
            <v>40=ALP EXCLUSIVO</v>
          </cell>
          <cell r="E16" t="str">
            <v>S=SUBTERRÁNEO</v>
          </cell>
          <cell r="F16" t="str">
            <v>I=INVERSION</v>
          </cell>
          <cell r="G16" t="str">
            <v>I=INSTALACION</v>
          </cell>
          <cell r="H16">
            <v>1</v>
          </cell>
          <cell r="I16">
            <v>1</v>
          </cell>
          <cell r="J16" t="str">
            <v>20206018411=TECSUR S.A.</v>
          </cell>
          <cell r="K16" t="str">
            <v>20604989931=ENCOSSA</v>
          </cell>
          <cell r="L16" t="str">
            <v>S</v>
          </cell>
          <cell r="M16">
            <v>2</v>
          </cell>
          <cell r="N16" t="str">
            <v>NSOLES</v>
          </cell>
          <cell r="O16">
            <v>21.7</v>
          </cell>
          <cell r="P16">
            <v>21.7</v>
          </cell>
          <cell r="Q16">
            <v>21.7</v>
          </cell>
        </row>
        <row r="17">
          <cell r="B17" t="str">
            <v>*094918</v>
          </cell>
          <cell r="C17" t="str">
            <v>CIMENTACIÓN PARA POSTE 8,7 m  POSTE NUEVO (SIN SOL</v>
          </cell>
          <cell r="D17" t="str">
            <v>40=ALP EXCLUSIVO</v>
          </cell>
          <cell r="E17" t="str">
            <v>S=SUBTERRÁNEO</v>
          </cell>
          <cell r="F17" t="str">
            <v>I=INVERSION</v>
          </cell>
          <cell r="G17" t="str">
            <v>I=INSTALACION</v>
          </cell>
          <cell r="H17">
            <v>1</v>
          </cell>
          <cell r="I17">
            <v>1</v>
          </cell>
          <cell r="J17" t="str">
            <v>20206018411=TECSUR S.A.</v>
          </cell>
          <cell r="K17" t="str">
            <v>20604989931=ENCOSSA</v>
          </cell>
          <cell r="L17" t="str">
            <v>S</v>
          </cell>
          <cell r="M17">
            <v>2</v>
          </cell>
          <cell r="N17" t="str">
            <v>NSOLES</v>
          </cell>
          <cell r="O17">
            <v>187.92</v>
          </cell>
          <cell r="P17">
            <v>187.92</v>
          </cell>
          <cell r="Q17">
            <v>187.92</v>
          </cell>
        </row>
        <row r="18">
          <cell r="B18" t="str">
            <v>*095266</v>
          </cell>
          <cell r="C18" t="str">
            <v>REPARACIÓN DE VEREDA PARA TRABAJOS EN POSTE</v>
          </cell>
          <cell r="D18" t="str">
            <v>40=ALP EXCLUSIVO</v>
          </cell>
          <cell r="E18" t="str">
            <v>S=SUBTERRÁNEO</v>
          </cell>
          <cell r="F18" t="str">
            <v>I=INVERSION</v>
          </cell>
          <cell r="G18" t="str">
            <v>I=INSTALACION</v>
          </cell>
          <cell r="H18">
            <v>1</v>
          </cell>
          <cell r="I18">
            <v>1</v>
          </cell>
          <cell r="J18" t="str">
            <v>20206018411=TECSUR S.A.</v>
          </cell>
          <cell r="K18" t="str">
            <v>20604989931=ENCOSSA</v>
          </cell>
          <cell r="L18" t="str">
            <v>S</v>
          </cell>
          <cell r="M18">
            <v>2</v>
          </cell>
          <cell r="N18" t="str">
            <v>NSOLES</v>
          </cell>
          <cell r="O18">
            <v>119.56</v>
          </cell>
          <cell r="P18">
            <v>119.56</v>
          </cell>
          <cell r="Q18">
            <v>119.56</v>
          </cell>
        </row>
        <row r="19">
          <cell r="B19" t="str">
            <v>*098203</v>
          </cell>
          <cell r="C19" t="str">
            <v>INSTALACIÓN DE TUBO CORRUGADO/APLICACIÓN DE SILICO</v>
          </cell>
          <cell r="D19" t="str">
            <v>40=ALP EXCLUSIVO</v>
          </cell>
          <cell r="E19" t="str">
            <v>S=SUBTERRÁNEO</v>
          </cell>
          <cell r="F19" t="str">
            <v>I=INVERSION</v>
          </cell>
          <cell r="G19" t="str">
            <v>I=INSTALACION</v>
          </cell>
          <cell r="H19">
            <v>1</v>
          </cell>
          <cell r="I19">
            <v>1</v>
          </cell>
          <cell r="J19" t="str">
            <v>20206018411=TECSUR S.A.</v>
          </cell>
          <cell r="K19" t="str">
            <v>20604989931=ENCOSSA</v>
          </cell>
          <cell r="L19" t="str">
            <v>S</v>
          </cell>
          <cell r="M19">
            <v>2</v>
          </cell>
          <cell r="N19" t="str">
            <v>NSOLES</v>
          </cell>
          <cell r="O19">
            <v>4.04</v>
          </cell>
          <cell r="P19">
            <v>4.04</v>
          </cell>
          <cell r="Q19">
            <v>4.04</v>
          </cell>
        </row>
        <row r="20">
          <cell r="B20" t="str">
            <v>*098823</v>
          </cell>
          <cell r="C20" t="str">
            <v>INSPECCIÓN DE POSTE S/SUPERVISION</v>
          </cell>
          <cell r="D20" t="str">
            <v>40=ALP EXCLUSIVO</v>
          </cell>
          <cell r="E20" t="str">
            <v>S=SUBTERRÁNEO</v>
          </cell>
          <cell r="F20" t="str">
            <v>I=INVERSION</v>
          </cell>
          <cell r="G20" t="str">
            <v>I=INSTALACION</v>
          </cell>
          <cell r="H20">
            <v>1</v>
          </cell>
          <cell r="I20">
            <v>1</v>
          </cell>
          <cell r="J20" t="str">
            <v>20206018411=TECSUR S.A.</v>
          </cell>
          <cell r="K20" t="str">
            <v>20604989931=ENCOSSA</v>
          </cell>
          <cell r="L20" t="str">
            <v>S</v>
          </cell>
          <cell r="M20">
            <v>2</v>
          </cell>
          <cell r="N20" t="str">
            <v>NSOLES</v>
          </cell>
          <cell r="O20">
            <v>9.07</v>
          </cell>
          <cell r="P20">
            <v>9.07</v>
          </cell>
          <cell r="Q20">
            <v>9.07</v>
          </cell>
        </row>
        <row r="21">
          <cell r="B21" t="str">
            <v>*990007</v>
          </cell>
          <cell r="C21" t="str">
            <v>RESGUARDO SEGURIDAD PATRIMONIA</v>
          </cell>
          <cell r="D21" t="str">
            <v>40=ALP EXCLUSIVO</v>
          </cell>
          <cell r="E21" t="str">
            <v>S=SUBTERRÁNEO</v>
          </cell>
          <cell r="F21" t="str">
            <v>I=INVERSION</v>
          </cell>
          <cell r="G21" t="str">
            <v>I=INSTALACION</v>
          </cell>
          <cell r="H21">
            <v>1</v>
          </cell>
          <cell r="I21">
            <v>1</v>
          </cell>
          <cell r="J21" t="str">
            <v>20206018411=TECSUR S.A.</v>
          </cell>
          <cell r="K21" t="str">
            <v>20604989931=ENCOSSA</v>
          </cell>
          <cell r="L21" t="str">
            <v>S</v>
          </cell>
          <cell r="M21">
            <v>2</v>
          </cell>
          <cell r="N21" t="str">
            <v>NSOLES</v>
          </cell>
          <cell r="O21">
            <v>1</v>
          </cell>
          <cell r="P21">
            <v>1</v>
          </cell>
          <cell r="Q21">
            <v>0</v>
          </cell>
        </row>
        <row r="22">
          <cell r="B22" t="str">
            <v>*990008</v>
          </cell>
          <cell r="C22" t="str">
            <v>RESGUARDO APOYO VIAL</v>
          </cell>
          <cell r="D22" t="str">
            <v>40=ALP EXCLUSIVO</v>
          </cell>
          <cell r="E22" t="str">
            <v>S=SUBTERRÁNEO</v>
          </cell>
          <cell r="F22" t="str">
            <v>I=INVERSION</v>
          </cell>
          <cell r="G22" t="str">
            <v>I=INSTALACION</v>
          </cell>
          <cell r="H22">
            <v>1</v>
          </cell>
          <cell r="I22">
            <v>1</v>
          </cell>
          <cell r="J22" t="str">
            <v>20206018411=TECSUR S.A.</v>
          </cell>
          <cell r="K22" t="str">
            <v>20604989931=ENCOSSA</v>
          </cell>
          <cell r="L22" t="str">
            <v>S</v>
          </cell>
          <cell r="M22">
            <v>2</v>
          </cell>
          <cell r="N22" t="str">
            <v>NSOLES</v>
          </cell>
          <cell r="O22">
            <v>1</v>
          </cell>
          <cell r="P22">
            <v>1</v>
          </cell>
          <cell r="Q22">
            <v>0</v>
          </cell>
        </row>
        <row r="23">
          <cell r="B23" t="str">
            <v>*990015</v>
          </cell>
          <cell r="C23" t="str">
            <v>COSTO SUPERVISIÓN</v>
          </cell>
          <cell r="D23" t="str">
            <v>40=ALP EXCLUSIVO</v>
          </cell>
          <cell r="E23" t="str">
            <v>S=SUBTERRÁNEO</v>
          </cell>
          <cell r="F23" t="str">
            <v>I=INVERSION</v>
          </cell>
          <cell r="G23" t="str">
            <v>I=INSTALACION</v>
          </cell>
          <cell r="H23">
            <v>1</v>
          </cell>
          <cell r="I23">
            <v>1</v>
          </cell>
          <cell r="J23" t="str">
            <v>20206018411=TECSUR S.A.</v>
          </cell>
          <cell r="K23" t="str">
            <v>20604989931=ENCOSSA</v>
          </cell>
          <cell r="L23" t="str">
            <v>S</v>
          </cell>
          <cell r="M23">
            <v>2</v>
          </cell>
          <cell r="N23" t="str">
            <v>NSOLES</v>
          </cell>
          <cell r="O23">
            <v>1</v>
          </cell>
          <cell r="P23">
            <v>1</v>
          </cell>
          <cell r="Q23">
            <v>0</v>
          </cell>
        </row>
        <row r="24">
          <cell r="B24" t="str">
            <v>*990016</v>
          </cell>
          <cell r="C24" t="str">
            <v>UTILIDAD</v>
          </cell>
          <cell r="D24" t="str">
            <v>40=ALP EXCLUSIVO</v>
          </cell>
          <cell r="E24" t="str">
            <v>S=SUBTERRÁNEO</v>
          </cell>
          <cell r="F24" t="str">
            <v>I=INVERSION</v>
          </cell>
          <cell r="G24" t="str">
            <v>I=INSTALACION</v>
          </cell>
          <cell r="H24">
            <v>1</v>
          </cell>
          <cell r="I24">
            <v>1</v>
          </cell>
          <cell r="J24" t="str">
            <v>20206018411=TECSUR S.A.</v>
          </cell>
          <cell r="K24" t="str">
            <v>20604989931=ENCOSSA</v>
          </cell>
          <cell r="L24" t="str">
            <v>S</v>
          </cell>
          <cell r="M24">
            <v>2</v>
          </cell>
          <cell r="N24" t="str">
            <v>NSOLES</v>
          </cell>
          <cell r="O24">
            <v>1</v>
          </cell>
          <cell r="P24">
            <v>1</v>
          </cell>
          <cell r="Q24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6F45-AAEB-4A33-A8F5-A66B15D74839}">
  <sheetPr codeName="Hoja1"/>
  <dimension ref="A1:K24"/>
  <sheetViews>
    <sheetView workbookViewId="0">
      <selection activeCell="F26" sqref="F26"/>
    </sheetView>
  </sheetViews>
  <sheetFormatPr baseColWidth="10" defaultColWidth="11.44140625" defaultRowHeight="13.2"/>
  <cols>
    <col min="1" max="1" width="3.5546875" style="168" customWidth="1"/>
    <col min="2" max="2" width="15.88671875" style="168" customWidth="1"/>
    <col min="3" max="6" width="11.44140625" style="168"/>
    <col min="7" max="7" width="19.88671875" style="168" customWidth="1"/>
    <col min="8" max="8" width="13.109375" style="168" customWidth="1"/>
    <col min="9" max="9" width="11.44140625" style="168"/>
    <col min="10" max="10" width="2.88671875" style="168" customWidth="1"/>
    <col min="11" max="16384" width="11.44140625" style="168"/>
  </cols>
  <sheetData>
    <row r="1" spans="1:11" ht="13.5" customHeight="1" thickTop="1">
      <c r="A1" s="186"/>
      <c r="B1" s="187"/>
      <c r="C1" s="187"/>
      <c r="D1" s="451"/>
      <c r="E1" s="451"/>
      <c r="F1" s="451"/>
      <c r="G1" s="187"/>
      <c r="H1" s="187"/>
      <c r="I1" s="187"/>
      <c r="J1" s="188"/>
      <c r="K1" s="189"/>
    </row>
    <row r="2" spans="1:11">
      <c r="A2" s="190"/>
      <c r="B2" s="191"/>
      <c r="C2" s="191"/>
      <c r="D2" s="452"/>
      <c r="E2" s="452"/>
      <c r="F2" s="452"/>
      <c r="G2" s="191"/>
      <c r="H2" s="192" t="s">
        <v>313</v>
      </c>
      <c r="I2" s="193"/>
      <c r="J2" s="194"/>
      <c r="K2" s="189"/>
    </row>
    <row r="3" spans="1:11" ht="13.8" thickBot="1">
      <c r="A3" s="190"/>
      <c r="B3" s="191"/>
      <c r="C3" s="191"/>
      <c r="D3" s="191"/>
      <c r="E3" s="191"/>
      <c r="F3" s="191"/>
      <c r="G3" s="191"/>
      <c r="H3" s="191"/>
      <c r="I3" s="191"/>
      <c r="J3" s="194"/>
      <c r="K3" s="189"/>
    </row>
    <row r="4" spans="1:11" ht="14.4" thickTop="1" thickBot="1">
      <c r="A4" s="190"/>
      <c r="B4" s="195"/>
      <c r="C4" s="196"/>
      <c r="D4" s="197" t="s">
        <v>314</v>
      </c>
      <c r="E4" s="198"/>
      <c r="F4" s="198"/>
      <c r="G4" s="199"/>
      <c r="H4" s="199"/>
      <c r="I4" s="200"/>
      <c r="J4" s="194"/>
      <c r="K4" s="189"/>
    </row>
    <row r="5" spans="1:11" ht="13.8" thickTop="1">
      <c r="A5" s="201"/>
      <c r="B5" s="202"/>
      <c r="C5" s="202"/>
      <c r="D5" s="202"/>
      <c r="E5" s="202"/>
      <c r="F5" s="202"/>
      <c r="G5" s="192"/>
      <c r="H5" s="192"/>
      <c r="I5" s="192"/>
      <c r="J5" s="203"/>
      <c r="K5" s="189"/>
    </row>
    <row r="6" spans="1:11">
      <c r="A6" s="201"/>
      <c r="B6" s="202"/>
      <c r="C6" s="202"/>
      <c r="D6" s="202"/>
      <c r="E6" s="202"/>
      <c r="F6" s="202"/>
      <c r="G6" s="192"/>
      <c r="H6" s="192"/>
      <c r="I6" s="192"/>
      <c r="J6" s="203"/>
      <c r="K6" s="189"/>
    </row>
    <row r="7" spans="1:11">
      <c r="A7" s="204"/>
      <c r="B7" s="192"/>
      <c r="C7" s="192"/>
      <c r="D7" s="192"/>
      <c r="E7" s="192"/>
      <c r="F7" s="192"/>
      <c r="G7" s="192"/>
      <c r="H7" s="191"/>
      <c r="I7" s="191"/>
      <c r="J7" s="203"/>
      <c r="K7" s="189"/>
    </row>
    <row r="8" spans="1:11">
      <c r="A8" s="204"/>
      <c r="B8" s="192" t="s">
        <v>315</v>
      </c>
      <c r="C8" s="445"/>
      <c r="D8" s="192"/>
      <c r="E8" s="191"/>
      <c r="F8" s="192"/>
      <c r="G8" s="192" t="s">
        <v>316</v>
      </c>
      <c r="H8" s="206">
        <v>4230</v>
      </c>
      <c r="I8" s="207"/>
      <c r="J8" s="203"/>
      <c r="K8" s="189"/>
    </row>
    <row r="9" spans="1:11">
      <c r="A9" s="204"/>
      <c r="B9" s="192"/>
      <c r="C9" s="208"/>
      <c r="D9" s="192"/>
      <c r="E9" s="192"/>
      <c r="F9" s="192"/>
      <c r="G9" s="192"/>
      <c r="H9" s="192"/>
      <c r="I9" s="192"/>
      <c r="J9" s="203"/>
      <c r="K9" s="189"/>
    </row>
    <row r="10" spans="1:11">
      <c r="A10" s="204"/>
      <c r="B10" s="192" t="s">
        <v>317</v>
      </c>
      <c r="C10" s="209"/>
      <c r="D10" s="210"/>
      <c r="E10" s="210"/>
      <c r="F10" s="210"/>
      <c r="G10" s="210"/>
      <c r="H10" s="210"/>
      <c r="I10" s="211"/>
      <c r="J10" s="203"/>
      <c r="K10" s="189"/>
    </row>
    <row r="11" spans="1:11">
      <c r="A11" s="204"/>
      <c r="B11" s="192"/>
      <c r="C11" s="212"/>
      <c r="D11" s="213"/>
      <c r="E11" s="213"/>
      <c r="F11" s="213"/>
      <c r="G11" s="213"/>
      <c r="H11" s="213"/>
      <c r="I11" s="213"/>
      <c r="J11" s="203"/>
      <c r="K11" s="189"/>
    </row>
    <row r="12" spans="1:11">
      <c r="A12" s="204"/>
      <c r="B12" s="192" t="s">
        <v>318</v>
      </c>
      <c r="C12" s="209"/>
      <c r="D12" s="210"/>
      <c r="E12" s="210"/>
      <c r="F12" s="210"/>
      <c r="G12" s="210"/>
      <c r="H12" s="210"/>
      <c r="I12" s="211"/>
      <c r="J12" s="203"/>
      <c r="K12" s="189"/>
    </row>
    <row r="13" spans="1:11">
      <c r="A13" s="204"/>
      <c r="B13" s="192"/>
      <c r="C13" s="208"/>
      <c r="D13" s="192"/>
      <c r="E13" s="192"/>
      <c r="F13" s="192"/>
      <c r="G13" s="192"/>
      <c r="H13" s="192"/>
      <c r="I13" s="192"/>
      <c r="J13" s="203"/>
      <c r="K13" s="189"/>
    </row>
    <row r="14" spans="1:11">
      <c r="A14" s="204"/>
      <c r="B14" s="202" t="s">
        <v>319</v>
      </c>
      <c r="C14" s="209"/>
      <c r="D14" s="210"/>
      <c r="E14" s="207"/>
      <c r="F14" s="191"/>
      <c r="G14" s="192" t="s">
        <v>320</v>
      </c>
      <c r="H14" s="209"/>
      <c r="I14" s="207"/>
      <c r="J14" s="203"/>
      <c r="K14" s="189"/>
    </row>
    <row r="15" spans="1:11">
      <c r="A15" s="204"/>
      <c r="B15" s="192"/>
      <c r="C15" s="208"/>
      <c r="D15" s="192"/>
      <c r="E15" s="192"/>
      <c r="F15" s="192"/>
      <c r="G15" s="192"/>
      <c r="H15" s="208"/>
      <c r="I15" s="192"/>
      <c r="J15" s="203"/>
      <c r="K15" s="189"/>
    </row>
    <row r="16" spans="1:11">
      <c r="A16" s="204"/>
      <c r="B16" s="202" t="s">
        <v>321</v>
      </c>
      <c r="C16" s="214"/>
      <c r="D16" s="191"/>
      <c r="E16" s="191"/>
      <c r="F16" s="191"/>
      <c r="G16" s="192" t="s">
        <v>322</v>
      </c>
      <c r="H16" s="209"/>
      <c r="I16" s="207"/>
      <c r="J16" s="203"/>
      <c r="K16" s="189"/>
    </row>
    <row r="17" spans="1:11">
      <c r="A17" s="204"/>
      <c r="B17" s="192"/>
      <c r="C17" s="208"/>
      <c r="D17" s="215"/>
      <c r="E17" s="215"/>
      <c r="F17" s="215"/>
      <c r="G17" s="202"/>
      <c r="H17" s="216"/>
      <c r="I17" s="202"/>
      <c r="J17" s="203"/>
      <c r="K17" s="189"/>
    </row>
    <row r="18" spans="1:11">
      <c r="A18" s="204"/>
      <c r="B18" s="202" t="s">
        <v>323</v>
      </c>
      <c r="C18" s="214"/>
      <c r="D18" s="192"/>
      <c r="E18" s="192"/>
      <c r="F18" s="192"/>
      <c r="G18" s="192" t="s">
        <v>324</v>
      </c>
      <c r="H18" s="209"/>
      <c r="I18" s="207"/>
      <c r="J18" s="203"/>
      <c r="K18" s="189"/>
    </row>
    <row r="19" spans="1:11">
      <c r="A19" s="204"/>
      <c r="B19" s="191"/>
      <c r="C19" s="217"/>
      <c r="D19" s="192"/>
      <c r="E19" s="192"/>
      <c r="F19" s="192"/>
      <c r="G19" s="192"/>
      <c r="H19" s="208"/>
      <c r="I19" s="192"/>
      <c r="J19" s="203"/>
      <c r="K19" s="189"/>
    </row>
    <row r="20" spans="1:11">
      <c r="A20" s="204"/>
      <c r="B20" s="192" t="s">
        <v>325</v>
      </c>
      <c r="C20" s="205"/>
      <c r="D20" s="192"/>
      <c r="E20" s="192"/>
      <c r="F20" s="192"/>
      <c r="G20" s="192" t="s">
        <v>326</v>
      </c>
      <c r="H20" s="209" t="s">
        <v>516</v>
      </c>
      <c r="I20" s="207"/>
      <c r="J20" s="203"/>
      <c r="K20" s="189"/>
    </row>
    <row r="21" spans="1:11">
      <c r="A21" s="204"/>
      <c r="B21" s="192"/>
      <c r="C21" s="208"/>
      <c r="D21" s="202"/>
      <c r="E21" s="202"/>
      <c r="F21" s="202"/>
      <c r="G21" s="191"/>
      <c r="H21" s="191"/>
      <c r="I21" s="191"/>
      <c r="J21" s="203"/>
      <c r="K21" s="189"/>
    </row>
    <row r="22" spans="1:11">
      <c r="A22" s="204"/>
      <c r="B22" s="192" t="s">
        <v>327</v>
      </c>
      <c r="C22" s="205"/>
      <c r="D22" s="192"/>
      <c r="E22" s="192"/>
      <c r="F22" s="192"/>
      <c r="G22" s="192" t="s">
        <v>328</v>
      </c>
      <c r="H22" s="209">
        <v>912616906</v>
      </c>
      <c r="I22" s="207"/>
      <c r="J22" s="203"/>
      <c r="K22" s="189"/>
    </row>
    <row r="23" spans="1:11" ht="13.8" thickBot="1">
      <c r="A23" s="218"/>
      <c r="B23" s="219"/>
      <c r="C23" s="219"/>
      <c r="D23" s="219"/>
      <c r="E23" s="219"/>
      <c r="F23" s="219"/>
      <c r="G23" s="219"/>
      <c r="H23" s="219"/>
      <c r="I23" s="219"/>
      <c r="J23" s="220"/>
      <c r="K23" s="189"/>
    </row>
    <row r="24" spans="1:11" ht="13.8" thickTop="1"/>
  </sheetData>
  <mergeCells count="1">
    <mergeCell ref="D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EB6E-D7D5-4E1B-8083-2B7F3EC9BA45}">
  <sheetPr codeName="Hoja2">
    <pageSetUpPr fitToPage="1"/>
  </sheetPr>
  <dimension ref="A1:DB618"/>
  <sheetViews>
    <sheetView showGridLines="0" tabSelected="1" zoomScale="70" zoomScaleNormal="70" workbookViewId="0">
      <pane xSplit="5" ySplit="13" topLeftCell="AV14" activePane="bottomRight" state="frozen"/>
      <selection activeCell="AU28" sqref="AU28"/>
      <selection pane="topRight" activeCell="AU28" sqref="AU28"/>
      <selection pane="bottomLeft" activeCell="AU28" sqref="AU28"/>
      <selection pane="bottomRight" activeCell="C31" sqref="C31"/>
    </sheetView>
  </sheetViews>
  <sheetFormatPr baseColWidth="10" defaultColWidth="11.44140625" defaultRowHeight="13.2" outlineLevelRow="1" outlineLevelCol="2"/>
  <cols>
    <col min="1" max="1" width="13.88671875" style="341" customWidth="1"/>
    <col min="2" max="2" width="6.44140625" style="341" customWidth="1"/>
    <col min="3" max="3" width="104.6640625" style="341" bestFit="1" customWidth="1"/>
    <col min="4" max="4" width="12.109375" style="341" customWidth="1"/>
    <col min="5" max="5" width="12.33203125" style="342" customWidth="1"/>
    <col min="6" max="7" width="9.6640625" style="343" hidden="1" customWidth="1" outlineLevel="2"/>
    <col min="8" max="8" width="12.6640625" style="249" hidden="1" customWidth="1" outlineLevel="1" collapsed="1"/>
    <col min="9" max="12" width="9.6640625" style="343" hidden="1" customWidth="1" outlineLevel="2"/>
    <col min="13" max="13" width="12.6640625" style="249" hidden="1" customWidth="1" outlineLevel="1" collapsed="1"/>
    <col min="14" max="14" width="9.6640625" style="343" hidden="1" customWidth="1" outlineLevel="2" collapsed="1"/>
    <col min="15" max="30" width="9.6640625" style="343" hidden="1" customWidth="1" outlineLevel="2"/>
    <col min="31" max="31" width="12.6640625" style="249" hidden="1" customWidth="1" outlineLevel="1" collapsed="1"/>
    <col min="32" max="32" width="12.44140625" style="343" hidden="1" customWidth="1" outlineLevel="2" collapsed="1"/>
    <col min="33" max="35" width="8.5546875" style="343" hidden="1" customWidth="1" outlineLevel="2"/>
    <col min="36" max="36" width="12.6640625" style="249" hidden="1" customWidth="1" outlineLevel="1" collapsed="1"/>
    <col min="37" max="46" width="8.5546875" style="343" hidden="1" customWidth="1" outlineLevel="2"/>
    <col min="47" max="47" width="7" style="249" hidden="1" customWidth="1" outlineLevel="1" collapsed="1"/>
    <col min="48" max="48" width="9.109375" style="343" customWidth="1" outlineLevel="2" collapsed="1"/>
    <col min="49" max="53" width="8.5546875" style="343" customWidth="1" outlineLevel="2"/>
    <col min="54" max="54" width="9.33203125" style="343" customWidth="1" outlineLevel="2"/>
    <col min="55" max="55" width="8.6640625" style="343" customWidth="1" outlineLevel="2"/>
    <col min="56" max="56" width="18.33203125" style="249" customWidth="1" outlineLevel="1"/>
    <col min="57" max="57" width="9.109375" style="343" hidden="1" customWidth="1" outlineLevel="2" collapsed="1"/>
    <col min="58" max="60" width="9.109375" style="343" hidden="1" customWidth="1" outlineLevel="2"/>
    <col min="61" max="61" width="12.6640625" style="249" hidden="1" customWidth="1" outlineLevel="1" collapsed="1"/>
    <col min="62" max="62" width="2.5546875" style="249" customWidth="1"/>
    <col min="63" max="63" width="12.6640625" style="344" customWidth="1"/>
    <col min="64" max="65" width="12.6640625" style="345" customWidth="1"/>
    <col min="66" max="66" width="24.6640625" style="345" customWidth="1"/>
    <col min="67" max="67" width="2.6640625" style="341" customWidth="1" collapsed="1"/>
    <col min="68" max="68" width="10.5546875" style="249" hidden="1" customWidth="1" outlineLevel="2"/>
    <col min="69" max="70" width="12.6640625" style="249" hidden="1" customWidth="1" outlineLevel="2"/>
    <col min="71" max="71" width="14.33203125" style="249" hidden="1" customWidth="1" outlineLevel="2"/>
    <col min="72" max="74" width="12.6640625" style="249" hidden="1" customWidth="1" outlineLevel="2"/>
    <col min="75" max="75" width="12.6640625" style="249" hidden="1" customWidth="1" outlineLevel="1"/>
    <col min="76" max="76" width="2.33203125" style="249" hidden="1" customWidth="1" outlineLevel="1"/>
    <col min="77" max="77" width="10.5546875" style="249" hidden="1" customWidth="1" outlineLevel="2"/>
    <col min="78" max="78" width="12.6640625" style="249" hidden="1" customWidth="1" outlineLevel="2"/>
    <col min="79" max="79" width="14.44140625" style="249" hidden="1" customWidth="1" outlineLevel="2"/>
    <col min="80" max="80" width="15.5546875" style="249" hidden="1" customWidth="1" outlineLevel="2"/>
    <col min="81" max="83" width="12.6640625" style="249" hidden="1" customWidth="1" outlineLevel="2"/>
    <col min="84" max="84" width="12.6640625" style="249" hidden="1" customWidth="1" outlineLevel="1" collapsed="1"/>
    <col min="85" max="85" width="2.5546875" style="249" hidden="1" customWidth="1" outlineLevel="1"/>
    <col min="86" max="86" width="10.5546875" style="249" hidden="1" customWidth="1" outlineLevel="2"/>
    <col min="87" max="87" width="12.6640625" style="249" hidden="1" customWidth="1" outlineLevel="2"/>
    <col min="88" max="88" width="13.109375" style="249" hidden="1" customWidth="1" outlineLevel="2"/>
    <col min="89" max="89" width="13" style="249" hidden="1" customWidth="1" outlineLevel="2"/>
    <col min="90" max="92" width="12.6640625" style="249" hidden="1" customWidth="1" outlineLevel="2"/>
    <col min="93" max="93" width="12.6640625" style="249" hidden="1" customWidth="1" outlineLevel="1" collapsed="1"/>
    <col min="94" max="94" width="2.88671875" style="341" hidden="1" customWidth="1" outlineLevel="1"/>
    <col min="95" max="95" width="14.109375" style="341" hidden="1" customWidth="1" outlineLevel="1"/>
    <col min="96" max="96" width="13.88671875" style="341" hidden="1" customWidth="1" outlineLevel="1"/>
    <col min="97" max="101" width="13.6640625" style="341" hidden="1" customWidth="1" outlineLevel="1"/>
    <col min="102" max="102" width="13.6640625" style="341" customWidth="1" collapsed="1"/>
    <col min="103" max="103" width="13.6640625" style="341" customWidth="1"/>
    <col min="104" max="16384" width="11.44140625" style="341"/>
  </cols>
  <sheetData>
    <row r="1" spans="1:106" s="230" customFormat="1" ht="16.5" customHeight="1">
      <c r="A1" s="224" t="s">
        <v>8</v>
      </c>
      <c r="B1" s="224"/>
      <c r="C1" s="225"/>
      <c r="D1" s="225"/>
      <c r="E1" s="226"/>
      <c r="F1" s="225"/>
      <c r="G1" s="225"/>
      <c r="H1" s="227"/>
      <c r="I1" s="225"/>
      <c r="J1" s="225"/>
      <c r="K1" s="225"/>
      <c r="L1" s="225"/>
      <c r="M1" s="227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7"/>
      <c r="AF1" s="225"/>
      <c r="AG1" s="225"/>
      <c r="AH1" s="225"/>
      <c r="AI1" s="225"/>
      <c r="AJ1" s="227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8"/>
      <c r="AV1" s="225"/>
      <c r="AW1" s="225"/>
      <c r="AX1" s="225"/>
      <c r="AY1" s="225"/>
      <c r="AZ1" s="225"/>
      <c r="BA1" s="225"/>
      <c r="BB1" s="225"/>
      <c r="BC1" s="225"/>
      <c r="BD1" s="227"/>
      <c r="BE1" s="225"/>
      <c r="BF1" s="225"/>
      <c r="BG1" s="225"/>
      <c r="BH1" s="225"/>
      <c r="BI1" s="227"/>
      <c r="BJ1" s="227"/>
      <c r="BK1" s="227"/>
      <c r="BL1" s="225"/>
      <c r="BM1" s="225"/>
      <c r="BN1" s="229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/>
      <c r="CN1" s="227"/>
      <c r="CO1" s="227"/>
      <c r="DA1" s="228" t="s">
        <v>260</v>
      </c>
      <c r="DB1" s="231" t="s">
        <v>332</v>
      </c>
    </row>
    <row r="2" spans="1:106" s="230" customFormat="1" ht="24.75" customHeight="1">
      <c r="A2" s="232"/>
      <c r="B2" s="232"/>
      <c r="C2" s="233"/>
      <c r="D2" s="233"/>
      <c r="E2" s="234"/>
      <c r="F2" s="235"/>
      <c r="G2" s="235"/>
      <c r="H2" s="236"/>
      <c r="I2" s="235"/>
      <c r="J2" s="235"/>
      <c r="K2" s="235"/>
      <c r="L2" s="235"/>
      <c r="M2" s="236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6"/>
      <c r="AF2" s="235"/>
      <c r="AG2" s="235"/>
      <c r="AH2" s="235"/>
      <c r="AI2" s="235"/>
      <c r="AJ2" s="236"/>
      <c r="AK2" s="235"/>
      <c r="AL2" s="235"/>
      <c r="AM2" s="235"/>
      <c r="AN2" s="235"/>
      <c r="AO2" s="235"/>
      <c r="AP2" s="235"/>
      <c r="AQ2" s="235"/>
      <c r="AR2" s="235"/>
      <c r="AS2" s="235"/>
      <c r="AT2" s="235"/>
      <c r="AU2" s="237"/>
      <c r="AV2" s="235"/>
      <c r="AW2" s="235"/>
      <c r="AX2" s="235"/>
      <c r="AY2" s="235"/>
      <c r="AZ2" s="235"/>
      <c r="BA2" s="235"/>
      <c r="BB2" s="235"/>
      <c r="BC2" s="235"/>
      <c r="BD2" s="236"/>
      <c r="BE2" s="235"/>
      <c r="BF2" s="235"/>
      <c r="BG2" s="235"/>
      <c r="BH2" s="235"/>
      <c r="BI2" s="236"/>
      <c r="BJ2" s="236"/>
      <c r="BK2" s="238"/>
      <c r="BL2" s="239"/>
      <c r="BM2" s="239"/>
      <c r="BN2" s="229"/>
      <c r="BP2" s="236"/>
      <c r="BQ2" s="236"/>
      <c r="BR2" s="236"/>
      <c r="BS2" s="236"/>
      <c r="BT2" s="236"/>
      <c r="BU2" s="236"/>
      <c r="BV2" s="236"/>
      <c r="BW2" s="236"/>
      <c r="BX2" s="236"/>
      <c r="BY2" s="236"/>
      <c r="BZ2" s="236"/>
      <c r="CA2" s="236"/>
      <c r="CB2" s="236"/>
      <c r="CC2" s="236"/>
      <c r="CD2" s="236"/>
      <c r="CE2" s="236"/>
      <c r="CF2" s="236"/>
      <c r="CG2" s="236"/>
      <c r="CH2" s="236"/>
      <c r="CI2" s="236"/>
      <c r="CJ2" s="236"/>
      <c r="CK2" s="236"/>
      <c r="CL2" s="236"/>
      <c r="CM2" s="236"/>
      <c r="CN2" s="236"/>
      <c r="CO2" s="236"/>
      <c r="DA2" s="237" t="s">
        <v>333</v>
      </c>
      <c r="DB2" s="231" t="s">
        <v>334</v>
      </c>
    </row>
    <row r="3" spans="1:106" s="230" customFormat="1" ht="52.5" customHeight="1" thickBot="1">
      <c r="A3" s="240" t="s">
        <v>264</v>
      </c>
      <c r="B3" s="241"/>
      <c r="C3" s="242">
        <f>+'Caratula '!C8</f>
        <v>0</v>
      </c>
      <c r="D3" s="242"/>
      <c r="E3" s="234"/>
      <c r="F3" s="235"/>
      <c r="G3" s="235"/>
      <c r="H3" s="236"/>
      <c r="I3" s="235"/>
      <c r="J3" s="235"/>
      <c r="K3" s="235"/>
      <c r="L3" s="235"/>
      <c r="M3" s="236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6"/>
      <c r="AF3" s="235"/>
      <c r="AG3" s="235"/>
      <c r="AH3" s="235"/>
      <c r="AI3" s="235"/>
      <c r="AJ3" s="236"/>
      <c r="AK3" s="228"/>
      <c r="AL3" s="228"/>
      <c r="AM3" s="228"/>
      <c r="AN3" s="228"/>
      <c r="AO3" s="235"/>
      <c r="AP3" s="228"/>
      <c r="AQ3" s="228"/>
      <c r="AR3" s="228"/>
      <c r="AS3" s="235"/>
      <c r="AT3" s="235"/>
      <c r="AU3" s="237"/>
      <c r="AV3" s="236"/>
      <c r="AW3" s="351"/>
      <c r="AX3" s="351"/>
      <c r="AY3" s="351"/>
      <c r="AZ3" s="351"/>
      <c r="BA3" s="351"/>
      <c r="BB3" s="351"/>
      <c r="BC3" s="351"/>
      <c r="BD3" s="443"/>
      <c r="BE3" s="235"/>
      <c r="BF3" s="235"/>
      <c r="BG3" s="235"/>
      <c r="BH3" s="235"/>
      <c r="BI3" s="236"/>
      <c r="BJ3" s="236"/>
      <c r="BK3" s="243"/>
      <c r="BL3" s="244"/>
      <c r="BM3" s="244"/>
      <c r="BN3" s="229"/>
      <c r="BP3" s="245"/>
      <c r="BQ3" s="245"/>
      <c r="BR3" s="245"/>
      <c r="BS3" s="245"/>
      <c r="BT3" s="245"/>
      <c r="BU3" s="245"/>
      <c r="BV3" s="245"/>
      <c r="BW3" s="245"/>
      <c r="BX3" s="246"/>
      <c r="BY3" s="245"/>
      <c r="BZ3" s="245"/>
      <c r="CA3" s="245"/>
      <c r="CB3" s="245"/>
      <c r="CC3" s="245"/>
      <c r="CD3" s="245"/>
      <c r="CE3" s="245"/>
      <c r="CF3" s="245"/>
      <c r="CG3" s="245"/>
      <c r="CH3" s="245"/>
      <c r="CI3" s="245"/>
      <c r="CJ3" s="245"/>
      <c r="CK3" s="245"/>
      <c r="CL3" s="245"/>
      <c r="CM3" s="245"/>
      <c r="CN3" s="245"/>
      <c r="CO3" s="246"/>
      <c r="DA3" s="237" t="s">
        <v>261</v>
      </c>
      <c r="DB3" s="231" t="s">
        <v>335</v>
      </c>
    </row>
    <row r="4" spans="1:106" s="230" customFormat="1" ht="14.25" hidden="1" customHeight="1" outlineLevel="1">
      <c r="A4" s="241"/>
      <c r="B4" s="241"/>
      <c r="C4" s="247"/>
      <c r="D4" s="247"/>
      <c r="E4" s="234"/>
      <c r="F4" s="235"/>
      <c r="G4" s="235"/>
      <c r="H4" s="236"/>
      <c r="I4" s="235"/>
      <c r="J4" s="235"/>
      <c r="K4" s="235"/>
      <c r="L4" s="235"/>
      <c r="M4" s="236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6"/>
      <c r="AF4" s="235"/>
      <c r="AG4" s="235"/>
      <c r="AH4" s="235"/>
      <c r="AI4" s="235"/>
      <c r="AJ4" s="236"/>
      <c r="AK4" s="228"/>
      <c r="AL4" s="228"/>
      <c r="AM4" s="228" t="s">
        <v>260</v>
      </c>
      <c r="AN4" s="228"/>
      <c r="AO4" s="228" t="s">
        <v>260</v>
      </c>
      <c r="AP4" s="228"/>
      <c r="AQ4" s="228" t="s">
        <v>260</v>
      </c>
      <c r="AR4" s="228"/>
      <c r="AS4" s="235"/>
      <c r="AT4" s="235"/>
      <c r="AU4" s="237"/>
      <c r="AV4" s="235"/>
      <c r="AW4" s="235"/>
      <c r="AX4" s="235"/>
      <c r="AY4" s="235"/>
      <c r="AZ4" s="235"/>
      <c r="BA4" s="235"/>
      <c r="BB4" s="235"/>
      <c r="BC4" s="235"/>
      <c r="BD4" s="236"/>
      <c r="BE4" s="235"/>
      <c r="BF4" s="235"/>
      <c r="BG4" s="235"/>
      <c r="BH4" s="235"/>
      <c r="BI4" s="236"/>
      <c r="BJ4" s="236"/>
      <c r="BK4" s="243"/>
      <c r="BL4" s="244"/>
      <c r="BM4" s="244"/>
      <c r="BN4" s="229"/>
      <c r="BP4" s="248"/>
      <c r="BQ4" s="248"/>
      <c r="BR4" s="248"/>
      <c r="BS4" s="248"/>
      <c r="BT4" s="248"/>
      <c r="BU4" s="248"/>
      <c r="BV4" s="248"/>
      <c r="BW4" s="248"/>
      <c r="BX4" s="249"/>
      <c r="BY4" s="236"/>
      <c r="BZ4" s="236"/>
      <c r="CA4" s="236"/>
      <c r="CB4" s="236"/>
      <c r="CC4" s="236"/>
      <c r="CD4" s="236"/>
      <c r="CE4" s="236"/>
      <c r="CF4" s="249"/>
      <c r="CG4" s="249"/>
      <c r="CH4" s="236"/>
      <c r="CI4" s="236"/>
      <c r="CJ4" s="236"/>
      <c r="CK4" s="236"/>
      <c r="CL4" s="236"/>
      <c r="CM4" s="236"/>
      <c r="CN4" s="236"/>
      <c r="CO4" s="236"/>
      <c r="DA4" s="237" t="s">
        <v>336</v>
      </c>
      <c r="DB4" s="231" t="s">
        <v>337</v>
      </c>
    </row>
    <row r="5" spans="1:106" s="230" customFormat="1" ht="14.25" hidden="1" customHeight="1" outlineLevel="1">
      <c r="A5" s="241"/>
      <c r="B5" s="241"/>
      <c r="C5" s="247"/>
      <c r="D5" s="247"/>
      <c r="E5" s="234"/>
      <c r="F5" s="235"/>
      <c r="G5" s="235"/>
      <c r="H5" s="236"/>
      <c r="I5" s="235"/>
      <c r="J5" s="235"/>
      <c r="K5" s="235"/>
      <c r="L5" s="235"/>
      <c r="M5" s="236"/>
      <c r="N5" s="250" t="s">
        <v>267</v>
      </c>
      <c r="O5" s="250" t="s">
        <v>268</v>
      </c>
      <c r="P5" s="250" t="s">
        <v>269</v>
      </c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35"/>
      <c r="AG5" s="235"/>
      <c r="AH5" s="235"/>
      <c r="AI5" s="235"/>
      <c r="AJ5" s="236"/>
      <c r="AK5" s="235"/>
      <c r="AL5" s="251"/>
      <c r="AM5" s="251"/>
      <c r="AN5" s="251"/>
      <c r="AO5" s="235"/>
      <c r="AP5" s="251"/>
      <c r="AQ5" s="251"/>
      <c r="AR5" s="235"/>
      <c r="AS5" s="235"/>
      <c r="AT5" s="235"/>
      <c r="AU5" s="252"/>
      <c r="AV5" s="235"/>
      <c r="AW5" s="235"/>
      <c r="AX5" s="235"/>
      <c r="AY5" s="235"/>
      <c r="AZ5" s="235"/>
      <c r="BA5" s="235"/>
      <c r="BB5" s="235"/>
      <c r="BC5" s="235"/>
      <c r="BD5" s="236"/>
      <c r="BE5" s="235"/>
      <c r="BF5" s="235"/>
      <c r="BG5" s="235"/>
      <c r="BH5" s="235"/>
      <c r="BI5" s="236"/>
      <c r="BJ5" s="236"/>
      <c r="BK5" s="243"/>
      <c r="BL5" s="244"/>
      <c r="BM5" s="244"/>
      <c r="BN5" s="229"/>
      <c r="BP5" s="236"/>
      <c r="BQ5" s="236"/>
      <c r="BR5" s="236"/>
      <c r="BS5" s="236"/>
      <c r="BT5" s="236"/>
      <c r="BU5" s="236"/>
      <c r="BV5" s="236"/>
      <c r="BW5" s="249"/>
      <c r="BX5" s="249"/>
      <c r="BY5" s="236"/>
      <c r="BZ5" s="236"/>
      <c r="CA5" s="236"/>
      <c r="CB5" s="236"/>
      <c r="CC5" s="236"/>
      <c r="CD5" s="236"/>
      <c r="CE5" s="236"/>
      <c r="CF5" s="249"/>
      <c r="CG5" s="249"/>
      <c r="CH5" s="236"/>
      <c r="CI5" s="236"/>
      <c r="CJ5" s="236"/>
      <c r="CK5" s="236"/>
      <c r="CL5" s="236"/>
      <c r="CM5" s="236"/>
      <c r="CN5" s="236"/>
      <c r="CO5" s="236"/>
      <c r="DA5" s="252" t="s">
        <v>266</v>
      </c>
      <c r="DB5" s="231" t="s">
        <v>338</v>
      </c>
    </row>
    <row r="6" spans="1:106" s="230" customFormat="1" ht="14.25" hidden="1" customHeight="1" outlineLevel="1">
      <c r="A6" s="241"/>
      <c r="B6" s="241"/>
      <c r="C6" s="247"/>
      <c r="D6" s="247"/>
      <c r="E6" s="234"/>
      <c r="F6" s="235"/>
      <c r="G6" s="235"/>
      <c r="H6" s="236"/>
      <c r="I6" s="235"/>
      <c r="J6" s="235"/>
      <c r="K6" s="235"/>
      <c r="L6" s="235"/>
      <c r="M6" s="236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3"/>
      <c r="AF6" s="235"/>
      <c r="AG6" s="235"/>
      <c r="AH6" s="235"/>
      <c r="AI6" s="235"/>
      <c r="AJ6" s="236"/>
      <c r="AK6" s="235"/>
      <c r="AL6" s="251"/>
      <c r="AM6" s="251"/>
      <c r="AN6" s="251"/>
      <c r="AO6" s="235"/>
      <c r="AP6" s="251"/>
      <c r="AQ6" s="251"/>
      <c r="AR6" s="235"/>
      <c r="AS6" s="235"/>
      <c r="AT6" s="235"/>
      <c r="AU6" s="252"/>
      <c r="AV6" s="235"/>
      <c r="AW6" s="235"/>
      <c r="AX6" s="235"/>
      <c r="AY6" s="235"/>
      <c r="AZ6" s="235"/>
      <c r="BA6" s="235"/>
      <c r="BB6" s="235"/>
      <c r="BC6" s="235"/>
      <c r="BD6" s="236"/>
      <c r="BE6" s="235"/>
      <c r="BF6" s="235"/>
      <c r="BG6" s="235"/>
      <c r="BH6" s="235"/>
      <c r="BI6" s="236"/>
      <c r="BJ6" s="236"/>
      <c r="BK6" s="243"/>
      <c r="BL6" s="244"/>
      <c r="BM6" s="244"/>
      <c r="BN6" s="229"/>
      <c r="BP6" s="236"/>
      <c r="BQ6" s="236"/>
      <c r="BR6" s="236"/>
      <c r="BS6" s="236"/>
      <c r="BT6" s="236"/>
      <c r="BU6" s="236"/>
      <c r="BV6" s="236"/>
      <c r="BW6" s="249"/>
      <c r="BX6" s="249"/>
      <c r="BY6" s="236"/>
      <c r="BZ6" s="236"/>
      <c r="CA6" s="236"/>
      <c r="CB6" s="236"/>
      <c r="CC6" s="236"/>
      <c r="CD6" s="236"/>
      <c r="CE6" s="236"/>
      <c r="CF6" s="249"/>
      <c r="CG6" s="249"/>
      <c r="CH6" s="236"/>
      <c r="CI6" s="236"/>
      <c r="CJ6" s="236"/>
      <c r="CK6" s="236"/>
      <c r="CL6" s="236"/>
      <c r="CM6" s="236"/>
      <c r="CN6" s="236"/>
      <c r="CO6" s="236"/>
      <c r="DA6" s="252" t="s">
        <v>265</v>
      </c>
      <c r="DB6" s="231" t="s">
        <v>339</v>
      </c>
    </row>
    <row r="7" spans="1:106" s="230" customFormat="1" ht="14.25" hidden="1" customHeight="1" outlineLevel="1">
      <c r="A7" s="241"/>
      <c r="B7" s="241"/>
      <c r="C7" s="247"/>
      <c r="D7" s="247"/>
      <c r="E7" s="234"/>
      <c r="F7" s="235"/>
      <c r="G7" s="235"/>
      <c r="H7" s="236"/>
      <c r="I7" s="235"/>
      <c r="J7" s="235"/>
      <c r="K7" s="235"/>
      <c r="L7" s="235"/>
      <c r="M7" s="236"/>
      <c r="N7" s="254" t="s">
        <v>275</v>
      </c>
      <c r="O7" s="254" t="s">
        <v>276</v>
      </c>
      <c r="P7" s="254" t="s">
        <v>278</v>
      </c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54"/>
      <c r="AF7" s="235"/>
      <c r="AG7" s="235"/>
      <c r="AH7" s="235"/>
      <c r="AI7" s="235"/>
      <c r="AJ7" s="236"/>
      <c r="AK7" s="237"/>
      <c r="AL7" s="237"/>
      <c r="AM7" s="237"/>
      <c r="AN7" s="237"/>
      <c r="AO7" s="235"/>
      <c r="AP7" s="237"/>
      <c r="AQ7" s="237"/>
      <c r="AR7" s="237"/>
      <c r="AS7" s="235"/>
      <c r="AT7" s="235"/>
      <c r="AU7" s="255"/>
      <c r="AV7" s="235"/>
      <c r="AW7" s="235"/>
      <c r="AX7" s="235"/>
      <c r="AY7" s="235"/>
      <c r="AZ7" s="235"/>
      <c r="BA7" s="235"/>
      <c r="BB7" s="235"/>
      <c r="BC7" s="235"/>
      <c r="BD7" s="236"/>
      <c r="BE7" s="235"/>
      <c r="BF7" s="235"/>
      <c r="BG7" s="235"/>
      <c r="BH7" s="235"/>
      <c r="BI7" s="236"/>
      <c r="BJ7" s="236"/>
      <c r="BK7" s="256"/>
      <c r="BL7" s="257"/>
      <c r="BM7" s="257"/>
      <c r="BN7" s="229"/>
      <c r="BP7" s="236"/>
      <c r="BQ7" s="236"/>
      <c r="BR7" s="236"/>
      <c r="BS7" s="236"/>
      <c r="BT7" s="236"/>
      <c r="BU7" s="236"/>
      <c r="BV7" s="236"/>
      <c r="BW7" s="249"/>
      <c r="BX7" s="249"/>
      <c r="BY7" s="236"/>
      <c r="BZ7" s="236"/>
      <c r="CA7" s="236"/>
      <c r="CB7" s="236"/>
      <c r="CC7" s="236"/>
      <c r="CD7" s="236"/>
      <c r="CE7" s="236"/>
      <c r="CF7" s="249"/>
      <c r="CG7" s="249"/>
      <c r="CH7" s="236"/>
      <c r="CI7" s="236"/>
      <c r="CJ7" s="236"/>
      <c r="CK7" s="236"/>
      <c r="CL7" s="236"/>
      <c r="CM7" s="236"/>
      <c r="CN7" s="236"/>
      <c r="CO7" s="236"/>
      <c r="DA7" s="255" t="s">
        <v>262</v>
      </c>
      <c r="DB7" s="231" t="s">
        <v>340</v>
      </c>
    </row>
    <row r="8" spans="1:106" s="230" customFormat="1" ht="14.25" hidden="1" customHeight="1" outlineLevel="1">
      <c r="A8" s="241"/>
      <c r="B8" s="241"/>
      <c r="C8" s="247"/>
      <c r="D8" s="247"/>
      <c r="E8" s="234"/>
      <c r="F8" s="235"/>
      <c r="G8" s="235"/>
      <c r="H8" s="236"/>
      <c r="I8" s="235"/>
      <c r="J8" s="235"/>
      <c r="K8" s="235"/>
      <c r="L8" s="235"/>
      <c r="M8" s="236"/>
      <c r="N8" s="258" t="s">
        <v>274</v>
      </c>
      <c r="O8" s="258" t="s">
        <v>273</v>
      </c>
      <c r="P8" s="258"/>
      <c r="Q8" s="258"/>
      <c r="R8" s="237"/>
      <c r="S8" s="237"/>
      <c r="T8" s="237"/>
      <c r="U8" s="237"/>
      <c r="V8" s="237"/>
      <c r="W8" s="237"/>
      <c r="X8" s="237"/>
      <c r="Y8" s="237"/>
      <c r="Z8" s="237"/>
      <c r="AA8" s="237"/>
      <c r="AB8" s="237"/>
      <c r="AC8" s="237"/>
      <c r="AD8" s="237"/>
      <c r="AE8" s="258"/>
      <c r="AF8" s="235"/>
      <c r="AG8" s="235"/>
      <c r="AH8" s="235"/>
      <c r="AI8" s="235"/>
      <c r="AJ8" s="236"/>
      <c r="AK8" s="237"/>
      <c r="AL8" s="237" t="s">
        <v>261</v>
      </c>
      <c r="AM8" s="237"/>
      <c r="AN8" s="237" t="s">
        <v>341</v>
      </c>
      <c r="AO8" s="235"/>
      <c r="AP8" s="237"/>
      <c r="AQ8" s="237" t="s">
        <v>261</v>
      </c>
      <c r="AR8" s="237"/>
      <c r="AS8" s="235"/>
      <c r="AT8" s="235"/>
      <c r="AU8" s="255"/>
      <c r="AV8" s="235"/>
      <c r="AW8" s="235"/>
      <c r="AX8" s="235"/>
      <c r="AY8" s="235"/>
      <c r="AZ8" s="235"/>
      <c r="BA8" s="235"/>
      <c r="BB8" s="235"/>
      <c r="BC8" s="235"/>
      <c r="BD8" s="236"/>
      <c r="BE8" s="235"/>
      <c r="BF8" s="235"/>
      <c r="BG8" s="235"/>
      <c r="BH8" s="235"/>
      <c r="BI8" s="236"/>
      <c r="BJ8" s="236"/>
      <c r="BK8" s="238"/>
      <c r="BL8" s="239"/>
      <c r="BM8" s="239"/>
      <c r="BN8" s="229"/>
      <c r="BP8" s="236"/>
      <c r="BQ8" s="236"/>
      <c r="BR8" s="236"/>
      <c r="BS8" s="236"/>
      <c r="BT8" s="236"/>
      <c r="BU8" s="236"/>
      <c r="BV8" s="236"/>
      <c r="BW8" s="249"/>
      <c r="BX8" s="249"/>
      <c r="BY8" s="236"/>
      <c r="BZ8" s="236"/>
      <c r="CA8" s="236"/>
      <c r="CB8" s="236"/>
      <c r="CC8" s="236"/>
      <c r="CD8" s="236"/>
      <c r="CE8" s="236"/>
      <c r="CF8" s="249"/>
      <c r="CG8" s="249"/>
      <c r="CH8" s="236"/>
      <c r="CI8" s="236"/>
      <c r="CJ8" s="236"/>
      <c r="CK8" s="236"/>
      <c r="CL8" s="236"/>
      <c r="CM8" s="236"/>
      <c r="CN8" s="236"/>
      <c r="CO8" s="236"/>
      <c r="DA8" s="255" t="s">
        <v>342</v>
      </c>
      <c r="DB8" s="231" t="s">
        <v>343</v>
      </c>
    </row>
    <row r="9" spans="1:106" s="230" customFormat="1" ht="14.25" hidden="1" customHeight="1" outlineLevel="1">
      <c r="A9" s="241"/>
      <c r="B9" s="241"/>
      <c r="C9" s="247"/>
      <c r="D9" s="247"/>
      <c r="E9" s="234"/>
      <c r="F9" s="235"/>
      <c r="G9" s="235"/>
      <c r="H9" s="236"/>
      <c r="I9" s="235"/>
      <c r="J9" s="235"/>
      <c r="K9" s="235"/>
      <c r="L9" s="235"/>
      <c r="M9" s="236"/>
      <c r="N9" s="255" t="s">
        <v>262</v>
      </c>
      <c r="O9" s="255" t="s">
        <v>277</v>
      </c>
      <c r="P9" s="255" t="s">
        <v>272</v>
      </c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58"/>
      <c r="AF9" s="235"/>
      <c r="AG9" s="235"/>
      <c r="AH9" s="235"/>
      <c r="AI9" s="235"/>
      <c r="AJ9" s="236"/>
      <c r="AK9" s="255"/>
      <c r="AL9" s="255" t="s">
        <v>344</v>
      </c>
      <c r="AM9" s="255"/>
      <c r="AN9" s="255" t="s">
        <v>262</v>
      </c>
      <c r="AO9" s="235"/>
      <c r="AP9" s="255"/>
      <c r="AQ9" s="255" t="s">
        <v>345</v>
      </c>
      <c r="AR9" s="255"/>
      <c r="AS9" s="235"/>
      <c r="AT9" s="235"/>
      <c r="AU9" s="255"/>
      <c r="AV9" s="235"/>
      <c r="AW9" s="235"/>
      <c r="AX9" s="235"/>
      <c r="AY9" s="235"/>
      <c r="AZ9" s="235"/>
      <c r="BA9" s="235"/>
      <c r="BB9" s="235"/>
      <c r="BC9" s="235"/>
      <c r="BD9" s="236"/>
      <c r="BE9" s="235"/>
      <c r="BF9" s="235"/>
      <c r="BG9" s="235"/>
      <c r="BH9" s="235"/>
      <c r="BI9" s="236"/>
      <c r="BJ9" s="236"/>
      <c r="BK9" s="238"/>
      <c r="BL9" s="239"/>
      <c r="BM9" s="239"/>
      <c r="BN9" s="229"/>
      <c r="BP9" s="236"/>
      <c r="BQ9" s="236"/>
      <c r="BR9" s="236"/>
      <c r="BS9" s="236"/>
      <c r="BT9" s="236"/>
      <c r="BU9" s="236"/>
      <c r="BV9" s="236"/>
      <c r="BW9" s="249"/>
      <c r="BX9" s="249"/>
      <c r="BY9" s="236"/>
      <c r="BZ9" s="236"/>
      <c r="CA9" s="236"/>
      <c r="CB9" s="236"/>
      <c r="CC9" s="236"/>
      <c r="CD9" s="236"/>
      <c r="CE9" s="236"/>
      <c r="CF9" s="249"/>
      <c r="CG9" s="249"/>
      <c r="CH9" s="236"/>
      <c r="CI9" s="236"/>
      <c r="CJ9" s="236"/>
      <c r="CK9" s="236"/>
      <c r="CL9" s="236"/>
      <c r="CM9" s="236"/>
      <c r="CN9" s="236"/>
      <c r="CO9" s="236"/>
      <c r="DA9" s="255" t="s">
        <v>344</v>
      </c>
      <c r="DB9" s="231" t="s">
        <v>346</v>
      </c>
    </row>
    <row r="10" spans="1:106" s="230" customFormat="1" ht="14.25" hidden="1" customHeight="1" outlineLevel="1">
      <c r="A10" s="241"/>
      <c r="B10" s="241"/>
      <c r="C10" s="247"/>
      <c r="D10" s="247"/>
      <c r="E10" s="234"/>
      <c r="F10" s="235"/>
      <c r="G10" s="235"/>
      <c r="H10" s="236"/>
      <c r="I10" s="235"/>
      <c r="J10" s="235"/>
      <c r="K10" s="235"/>
      <c r="L10" s="235"/>
      <c r="M10" s="236"/>
      <c r="N10" s="255"/>
      <c r="O10" s="255"/>
      <c r="P10" s="255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55"/>
      <c r="AF10" s="235"/>
      <c r="AG10" s="235"/>
      <c r="AH10" s="235"/>
      <c r="AI10" s="235"/>
      <c r="AJ10" s="236"/>
      <c r="AK10" s="255"/>
      <c r="AL10" s="255"/>
      <c r="AM10" s="255"/>
      <c r="AN10" s="255"/>
      <c r="AO10" s="235"/>
      <c r="AP10" s="255"/>
      <c r="AQ10" s="255"/>
      <c r="AR10" s="255"/>
      <c r="AS10" s="235"/>
      <c r="AT10" s="235"/>
      <c r="AU10" s="255"/>
      <c r="AV10" s="235"/>
      <c r="AW10" s="235"/>
      <c r="AX10" s="235"/>
      <c r="AY10" s="235"/>
      <c r="AZ10" s="235"/>
      <c r="BA10" s="235"/>
      <c r="BB10" s="235"/>
      <c r="BC10" s="235"/>
      <c r="BD10" s="236"/>
      <c r="BE10" s="235"/>
      <c r="BF10" s="235"/>
      <c r="BG10" s="235"/>
      <c r="BH10" s="235"/>
      <c r="BI10" s="236"/>
      <c r="BJ10" s="236"/>
      <c r="BK10" s="238"/>
      <c r="BL10" s="239"/>
      <c r="BM10" s="239"/>
      <c r="BN10" s="229"/>
      <c r="BP10" s="236"/>
      <c r="BQ10" s="236"/>
      <c r="BR10" s="236"/>
      <c r="BS10" s="236"/>
      <c r="BT10" s="236"/>
      <c r="BU10" s="236"/>
      <c r="BV10" s="236"/>
      <c r="BW10" s="249"/>
      <c r="BX10" s="249"/>
      <c r="BY10" s="236"/>
      <c r="BZ10" s="236"/>
      <c r="CA10" s="236"/>
      <c r="CB10" s="236"/>
      <c r="CC10" s="236"/>
      <c r="CD10" s="236"/>
      <c r="CE10" s="236"/>
      <c r="CF10" s="249"/>
      <c r="CG10" s="249"/>
      <c r="CH10" s="236"/>
      <c r="CI10" s="236"/>
      <c r="CJ10" s="236"/>
      <c r="CK10" s="236"/>
      <c r="CL10" s="236"/>
      <c r="CM10" s="236"/>
      <c r="CN10" s="236"/>
      <c r="CO10" s="236"/>
      <c r="DA10" s="255" t="s">
        <v>272</v>
      </c>
      <c r="DB10" s="231" t="s">
        <v>347</v>
      </c>
    </row>
    <row r="11" spans="1:106" s="230" customFormat="1" ht="14.25" hidden="1" customHeight="1" outlineLevel="1" thickBot="1">
      <c r="A11" s="241"/>
      <c r="B11" s="241"/>
      <c r="C11" s="247"/>
      <c r="D11" s="247"/>
      <c r="E11" s="234"/>
      <c r="F11" s="235"/>
      <c r="G11" s="235"/>
      <c r="H11" s="236"/>
      <c r="I11" s="235"/>
      <c r="J11" s="235"/>
      <c r="K11" s="235"/>
      <c r="L11" s="235"/>
      <c r="M11" s="236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55"/>
      <c r="AF11" s="235"/>
      <c r="AG11" s="235"/>
      <c r="AH11" s="235"/>
      <c r="AI11" s="235"/>
      <c r="AJ11" s="236"/>
      <c r="AK11" s="258" t="s">
        <v>263</v>
      </c>
      <c r="AL11" s="258" t="s">
        <v>263</v>
      </c>
      <c r="AM11" s="258" t="s">
        <v>263</v>
      </c>
      <c r="AN11" s="258" t="s">
        <v>263</v>
      </c>
      <c r="AO11" s="235"/>
      <c r="AP11" s="258" t="s">
        <v>263</v>
      </c>
      <c r="AQ11" s="258" t="s">
        <v>263</v>
      </c>
      <c r="AR11" s="258" t="s">
        <v>263</v>
      </c>
      <c r="AS11" s="235"/>
      <c r="AT11" s="235"/>
      <c r="AU11" s="258"/>
      <c r="AV11" s="235"/>
      <c r="AW11" s="235"/>
      <c r="AX11" s="235"/>
      <c r="AY11" s="235"/>
      <c r="AZ11" s="235"/>
      <c r="BA11" s="235"/>
      <c r="BB11" s="235"/>
      <c r="BC11" s="235"/>
      <c r="BD11" s="236"/>
      <c r="BE11" s="235"/>
      <c r="BF11" s="235"/>
      <c r="BG11" s="235"/>
      <c r="BH11" s="235"/>
      <c r="BI11" s="236"/>
      <c r="BJ11" s="236"/>
      <c r="BK11" s="238"/>
      <c r="BL11" s="239"/>
      <c r="BM11" s="239"/>
      <c r="BN11" s="229"/>
      <c r="BP11" s="236"/>
      <c r="BQ11" s="236"/>
      <c r="BR11" s="236"/>
      <c r="BS11" s="236"/>
      <c r="BT11" s="236"/>
      <c r="BU11" s="236"/>
      <c r="BV11" s="236"/>
      <c r="BW11" s="249"/>
      <c r="BX11" s="249"/>
      <c r="BY11" s="236"/>
      <c r="BZ11" s="236"/>
      <c r="CA11" s="236"/>
      <c r="CB11" s="236"/>
      <c r="CC11" s="236"/>
      <c r="CD11" s="236"/>
      <c r="CE11" s="236"/>
      <c r="CF11" s="249"/>
      <c r="CG11" s="249"/>
      <c r="CH11" s="236"/>
      <c r="CI11" s="236"/>
      <c r="CJ11" s="236"/>
      <c r="CK11" s="236"/>
      <c r="CL11" s="236"/>
      <c r="CM11" s="236"/>
      <c r="CN11" s="236"/>
      <c r="CO11" s="236"/>
      <c r="DA11" s="258" t="s">
        <v>263</v>
      </c>
      <c r="DB11" s="231" t="s">
        <v>348</v>
      </c>
    </row>
    <row r="12" spans="1:106" s="230" customFormat="1" ht="16.5" hidden="1" customHeight="1" outlineLevel="1" thickBot="1">
      <c r="A12" s="241"/>
      <c r="B12" s="247"/>
      <c r="C12" s="259"/>
      <c r="D12" s="232"/>
      <c r="E12" s="234"/>
      <c r="F12" s="260"/>
      <c r="G12" s="260"/>
      <c r="H12" s="261"/>
      <c r="I12" s="260"/>
      <c r="J12" s="260"/>
      <c r="K12" s="260"/>
      <c r="L12" s="260"/>
      <c r="M12" s="261"/>
      <c r="N12" s="259" t="s">
        <v>270</v>
      </c>
      <c r="O12" s="259" t="s">
        <v>271</v>
      </c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62"/>
      <c r="AF12" s="260"/>
      <c r="AG12" s="260"/>
      <c r="AH12" s="260"/>
      <c r="AI12" s="260"/>
      <c r="AJ12" s="261"/>
      <c r="AK12" s="259"/>
      <c r="AL12" s="259"/>
      <c r="AM12" s="259" t="s">
        <v>349</v>
      </c>
      <c r="AN12" s="259"/>
      <c r="AO12" s="259" t="s">
        <v>350</v>
      </c>
      <c r="AP12" s="259"/>
      <c r="AQ12" s="259" t="s">
        <v>351</v>
      </c>
      <c r="AR12" s="259" t="s">
        <v>352</v>
      </c>
      <c r="AS12" s="260"/>
      <c r="AT12" s="260"/>
      <c r="AU12" s="261"/>
      <c r="AV12" s="260"/>
      <c r="AW12" s="260"/>
      <c r="AX12" s="260"/>
      <c r="AY12" s="260"/>
      <c r="AZ12" s="260"/>
      <c r="BA12" s="260"/>
      <c r="BB12" s="260"/>
      <c r="BC12" s="260"/>
      <c r="BD12" s="261"/>
      <c r="BE12" s="260"/>
      <c r="BF12" s="260"/>
      <c r="BG12" s="260"/>
      <c r="BH12" s="260"/>
      <c r="BI12" s="261"/>
      <c r="BJ12" s="261"/>
      <c r="BK12" s="261"/>
      <c r="BM12" s="263"/>
      <c r="BN12" s="229"/>
      <c r="BP12" s="264"/>
      <c r="BQ12" s="265"/>
      <c r="BR12" s="265"/>
      <c r="BS12" s="265" t="s">
        <v>353</v>
      </c>
      <c r="BT12" s="265"/>
      <c r="BU12" s="265"/>
      <c r="BV12" s="266"/>
      <c r="BW12" s="267"/>
      <c r="BX12" s="267"/>
      <c r="BY12" s="264"/>
      <c r="BZ12" s="265"/>
      <c r="CA12" s="265"/>
      <c r="CB12" s="265" t="s">
        <v>354</v>
      </c>
      <c r="CC12" s="265"/>
      <c r="CD12" s="265"/>
      <c r="CE12" s="266"/>
      <c r="CF12" s="267"/>
      <c r="CG12" s="267"/>
      <c r="CH12" s="264"/>
      <c r="CI12" s="265"/>
      <c r="CJ12" s="265"/>
      <c r="CK12" s="265" t="s">
        <v>355</v>
      </c>
      <c r="CL12" s="265"/>
      <c r="CM12" s="265"/>
      <c r="CN12" s="266"/>
      <c r="CO12" s="261"/>
      <c r="CQ12" s="453" t="s">
        <v>356</v>
      </c>
      <c r="CR12" s="454"/>
      <c r="CS12" s="454"/>
      <c r="CT12" s="454"/>
      <c r="CU12" s="454"/>
      <c r="CV12" s="454"/>
      <c r="CW12" s="455"/>
      <c r="CX12" s="268"/>
      <c r="DA12" s="262" t="s">
        <v>357</v>
      </c>
      <c r="DB12" s="269" t="s">
        <v>357</v>
      </c>
    </row>
    <row r="13" spans="1:106" s="284" customFormat="1" ht="48" customHeight="1" collapsed="1" thickBot="1">
      <c r="A13" s="270" t="s">
        <v>263</v>
      </c>
      <c r="B13" s="271" t="s">
        <v>311</v>
      </c>
      <c r="C13" s="271" t="s">
        <v>2</v>
      </c>
      <c r="D13" s="271" t="s">
        <v>312</v>
      </c>
      <c r="E13" s="271" t="s">
        <v>424</v>
      </c>
      <c r="F13" s="271" t="s">
        <v>358</v>
      </c>
      <c r="G13" s="272" t="s">
        <v>359</v>
      </c>
      <c r="H13" s="273" t="s">
        <v>45</v>
      </c>
      <c r="I13" s="274" t="s">
        <v>46</v>
      </c>
      <c r="J13" s="271" t="s">
        <v>51</v>
      </c>
      <c r="K13" s="271" t="s">
        <v>52</v>
      </c>
      <c r="L13" s="272" t="s">
        <v>214</v>
      </c>
      <c r="M13" s="273" t="s">
        <v>300</v>
      </c>
      <c r="N13" s="274" t="s">
        <v>47</v>
      </c>
      <c r="O13" s="271" t="s">
        <v>48</v>
      </c>
      <c r="P13" s="271" t="s">
        <v>49</v>
      </c>
      <c r="Q13" s="271" t="s">
        <v>50</v>
      </c>
      <c r="R13" s="271" t="s">
        <v>142</v>
      </c>
      <c r="S13" s="271" t="s">
        <v>143</v>
      </c>
      <c r="T13" s="271" t="s">
        <v>144</v>
      </c>
      <c r="U13" s="271" t="s">
        <v>145</v>
      </c>
      <c r="V13" s="271" t="s">
        <v>256</v>
      </c>
      <c r="W13" s="271" t="s">
        <v>257</v>
      </c>
      <c r="X13" s="271" t="s">
        <v>258</v>
      </c>
      <c r="Y13" s="271" t="s">
        <v>259</v>
      </c>
      <c r="Z13" s="271" t="s">
        <v>360</v>
      </c>
      <c r="AA13" s="271" t="s">
        <v>361</v>
      </c>
      <c r="AB13" s="271" t="s">
        <v>362</v>
      </c>
      <c r="AC13" s="271" t="s">
        <v>195</v>
      </c>
      <c r="AD13" s="272" t="s">
        <v>196</v>
      </c>
      <c r="AE13" s="273" t="s">
        <v>301</v>
      </c>
      <c r="AF13" s="274" t="s">
        <v>46</v>
      </c>
      <c r="AG13" s="271" t="s">
        <v>51</v>
      </c>
      <c r="AH13" s="271" t="s">
        <v>52</v>
      </c>
      <c r="AI13" s="272" t="s">
        <v>53</v>
      </c>
      <c r="AJ13" s="273" t="s">
        <v>302</v>
      </c>
      <c r="AK13" s="271" t="s">
        <v>47</v>
      </c>
      <c r="AL13" s="271" t="s">
        <v>48</v>
      </c>
      <c r="AM13" s="271" t="s">
        <v>49</v>
      </c>
      <c r="AN13" s="271" t="s">
        <v>50</v>
      </c>
      <c r="AO13" s="271" t="s">
        <v>142</v>
      </c>
      <c r="AP13" s="271" t="s">
        <v>143</v>
      </c>
      <c r="AQ13" s="271" t="s">
        <v>144</v>
      </c>
      <c r="AR13" s="271" t="s">
        <v>145</v>
      </c>
      <c r="AS13" s="275" t="s">
        <v>363</v>
      </c>
      <c r="AT13" s="276" t="s">
        <v>195</v>
      </c>
      <c r="AU13" s="273" t="s">
        <v>303</v>
      </c>
      <c r="AV13" s="274" t="s">
        <v>47</v>
      </c>
      <c r="AW13" s="276" t="s">
        <v>48</v>
      </c>
      <c r="AX13" s="276" t="s">
        <v>49</v>
      </c>
      <c r="AY13" s="276" t="s">
        <v>50</v>
      </c>
      <c r="AZ13" s="276" t="s">
        <v>142</v>
      </c>
      <c r="BA13" s="276" t="s">
        <v>143</v>
      </c>
      <c r="BB13" s="442">
        <v>0.03</v>
      </c>
      <c r="BC13" s="276" t="s">
        <v>502</v>
      </c>
      <c r="BD13" s="273" t="s">
        <v>371</v>
      </c>
      <c r="BE13" s="274" t="s">
        <v>215</v>
      </c>
      <c r="BF13" s="271" t="s">
        <v>216</v>
      </c>
      <c r="BG13" s="271" t="s">
        <v>217</v>
      </c>
      <c r="BH13" s="272" t="s">
        <v>279</v>
      </c>
      <c r="BI13" s="273" t="s">
        <v>305</v>
      </c>
      <c r="BJ13" s="277"/>
      <c r="BK13" s="278" t="s">
        <v>306</v>
      </c>
      <c r="BL13" s="279" t="s">
        <v>9</v>
      </c>
      <c r="BM13" s="279" t="s">
        <v>184</v>
      </c>
      <c r="BN13" s="279" t="s">
        <v>60</v>
      </c>
      <c r="BO13" s="280"/>
      <c r="BP13" s="281" t="s">
        <v>45</v>
      </c>
      <c r="BQ13" s="273" t="s">
        <v>300</v>
      </c>
      <c r="BR13" s="273" t="s">
        <v>301</v>
      </c>
      <c r="BS13" s="273" t="s">
        <v>302</v>
      </c>
      <c r="BT13" s="273" t="s">
        <v>303</v>
      </c>
      <c r="BU13" s="273" t="s">
        <v>304</v>
      </c>
      <c r="BV13" s="273" t="s">
        <v>305</v>
      </c>
      <c r="BW13" s="282" t="s">
        <v>353</v>
      </c>
      <c r="BX13" s="283"/>
      <c r="BY13" s="273" t="s">
        <v>45</v>
      </c>
      <c r="BZ13" s="273" t="s">
        <v>300</v>
      </c>
      <c r="CA13" s="273" t="s">
        <v>301</v>
      </c>
      <c r="CB13" s="273" t="s">
        <v>302</v>
      </c>
      <c r="CC13" s="273" t="s">
        <v>303</v>
      </c>
      <c r="CD13" s="273" t="s">
        <v>304</v>
      </c>
      <c r="CE13" s="273" t="s">
        <v>305</v>
      </c>
      <c r="CF13" s="282" t="s">
        <v>354</v>
      </c>
      <c r="CG13" s="283"/>
      <c r="CH13" s="273" t="s">
        <v>45</v>
      </c>
      <c r="CI13" s="273" t="s">
        <v>300</v>
      </c>
      <c r="CJ13" s="273" t="s">
        <v>301</v>
      </c>
      <c r="CK13" s="273" t="s">
        <v>302</v>
      </c>
      <c r="CL13" s="273" t="s">
        <v>303</v>
      </c>
      <c r="CM13" s="273" t="s">
        <v>304</v>
      </c>
      <c r="CN13" s="273" t="s">
        <v>305</v>
      </c>
      <c r="CO13" s="273" t="s">
        <v>355</v>
      </c>
      <c r="CQ13" s="278" t="s">
        <v>45</v>
      </c>
      <c r="CR13" s="278" t="s">
        <v>300</v>
      </c>
      <c r="CS13" s="278" t="s">
        <v>364</v>
      </c>
      <c r="CT13" s="278" t="s">
        <v>365</v>
      </c>
      <c r="CU13" s="278" t="s">
        <v>366</v>
      </c>
      <c r="CV13" s="278" t="s">
        <v>304</v>
      </c>
      <c r="CW13" s="278" t="s">
        <v>367</v>
      </c>
      <c r="CX13" s="285" t="s">
        <v>368</v>
      </c>
      <c r="CY13" s="285" t="s">
        <v>369</v>
      </c>
    </row>
    <row r="14" spans="1:106" s="230" customFormat="1" ht="21" customHeight="1" thickBot="1">
      <c r="A14" s="447">
        <v>5331600</v>
      </c>
      <c r="B14" s="286" t="s">
        <v>373</v>
      </c>
      <c r="C14" s="287" t="s">
        <v>536</v>
      </c>
      <c r="D14" s="289">
        <v>1062.355</v>
      </c>
      <c r="E14" s="290"/>
      <c r="F14" s="291"/>
      <c r="G14" s="292"/>
      <c r="H14" s="293"/>
      <c r="I14" s="221"/>
      <c r="J14" s="294"/>
      <c r="K14" s="294"/>
      <c r="L14" s="295"/>
      <c r="M14" s="293"/>
      <c r="N14" s="221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4"/>
      <c r="AC14" s="294"/>
      <c r="AD14" s="294"/>
      <c r="AE14" s="293"/>
      <c r="AF14" s="221"/>
      <c r="AG14" s="294"/>
      <c r="AH14" s="294"/>
      <c r="AI14" s="295"/>
      <c r="AJ14" s="293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7"/>
      <c r="AV14" s="292"/>
      <c r="AW14" s="296"/>
      <c r="AX14" s="296"/>
      <c r="AY14" s="296"/>
      <c r="AZ14" s="296"/>
      <c r="BA14" s="296"/>
      <c r="BB14" s="296"/>
      <c r="BC14" s="296"/>
      <c r="BD14" s="297">
        <f t="shared" ref="BD14:BD45" si="0">SUM(AV14:BC14)</f>
        <v>0</v>
      </c>
      <c r="BE14" s="298"/>
      <c r="BF14" s="299"/>
      <c r="BG14" s="299"/>
      <c r="BH14" s="299"/>
      <c r="BI14" s="297">
        <f>SUM(BE14:BH14)</f>
        <v>0</v>
      </c>
      <c r="BJ14" s="300"/>
      <c r="BK14" s="301">
        <f t="shared" ref="BK14:BK45" si="1">H14+M14+AE14+AJ14+AU14+BD14+BI14</f>
        <v>0</v>
      </c>
      <c r="BL14" s="302">
        <f t="shared" ref="BL14:BL45" si="2">IF(E14-BK14&lt;0, BK14-E14, )</f>
        <v>0</v>
      </c>
      <c r="BM14" s="303">
        <f t="shared" ref="BM14:BM45" si="3">IF(E14-BK14&lt;0, ,E14-BK14)</f>
        <v>0</v>
      </c>
      <c r="BN14" s="304"/>
      <c r="BP14" s="305"/>
      <c r="BQ14" s="305"/>
      <c r="BR14" s="305"/>
      <c r="BS14" s="305"/>
      <c r="BT14" s="305"/>
      <c r="BU14" s="305"/>
      <c r="BV14" s="305"/>
      <c r="BW14" s="306">
        <f>SUM(BP14:BV14)</f>
        <v>0</v>
      </c>
      <c r="BX14" s="300"/>
      <c r="BY14" s="305"/>
      <c r="BZ14" s="305"/>
      <c r="CA14" s="305"/>
      <c r="CB14" s="305"/>
      <c r="CC14" s="305"/>
      <c r="CD14" s="305"/>
      <c r="CE14" s="305"/>
      <c r="CF14" s="306">
        <f>SUM(BY14:CE14)</f>
        <v>0</v>
      </c>
      <c r="CG14" s="300"/>
      <c r="CH14" s="305"/>
      <c r="CI14" s="305"/>
      <c r="CJ14" s="305"/>
      <c r="CK14" s="305"/>
      <c r="CL14" s="305"/>
      <c r="CM14" s="305"/>
      <c r="CN14" s="305"/>
      <c r="CO14" s="300">
        <f>SUM(CH14:CN14)</f>
        <v>0</v>
      </c>
      <c r="CQ14" s="307">
        <f t="shared" ref="CQ14:CQ45" si="4">+H14-(BP14+BY14+CH14)</f>
        <v>0</v>
      </c>
      <c r="CR14" s="307">
        <f t="shared" ref="CR14:CR45" si="5">+M14-(BQ14+BZ14+CI14)</f>
        <v>0</v>
      </c>
      <c r="CS14" s="307">
        <f t="shared" ref="CS14:CS45" si="6">+AE14-(BR14+CA14+CJ14)</f>
        <v>0</v>
      </c>
      <c r="CT14" s="307">
        <f t="shared" ref="CT14:CT45" si="7">+AJ14-(BS14+CB14+CK14)</f>
        <v>0</v>
      </c>
      <c r="CU14" s="307">
        <f t="shared" ref="CU14:CU45" si="8">+AU14-(BT14+CC14+CL14)</f>
        <v>0</v>
      </c>
      <c r="CV14" s="307">
        <f t="shared" ref="CV14:CV79" si="9">+BD14-(BU14+CD14+CM14)</f>
        <v>0</v>
      </c>
      <c r="CW14" s="307">
        <f t="shared" ref="CW14:CW79" si="10">+BI14-(BV14+CE14+CN14)</f>
        <v>0</v>
      </c>
      <c r="CX14" s="307">
        <f>BW14+CF14+CO14</f>
        <v>0</v>
      </c>
      <c r="CY14" s="307">
        <f>SUM(CQ14:CW14)</f>
        <v>0</v>
      </c>
    </row>
    <row r="15" spans="1:106" s="230" customFormat="1" ht="21" customHeight="1" thickBot="1">
      <c r="A15" s="447">
        <v>5331596</v>
      </c>
      <c r="B15" s="286" t="s">
        <v>373</v>
      </c>
      <c r="C15" s="287" t="s">
        <v>537</v>
      </c>
      <c r="D15" s="289">
        <v>707.21600000000001</v>
      </c>
      <c r="E15" s="290"/>
      <c r="F15" s="291"/>
      <c r="G15" s="292"/>
      <c r="H15" s="293"/>
      <c r="I15" s="221"/>
      <c r="J15" s="294"/>
      <c r="K15" s="294"/>
      <c r="L15" s="295"/>
      <c r="M15" s="293"/>
      <c r="N15" s="221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4"/>
      <c r="AE15" s="293"/>
      <c r="AF15" s="221"/>
      <c r="AG15" s="294"/>
      <c r="AH15" s="294"/>
      <c r="AI15" s="295"/>
      <c r="AJ15" s="293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7"/>
      <c r="AV15" s="292"/>
      <c r="AW15" s="296"/>
      <c r="AX15" s="296"/>
      <c r="AY15" s="296"/>
      <c r="AZ15" s="296"/>
      <c r="BA15" s="296"/>
      <c r="BB15" s="296"/>
      <c r="BC15" s="296"/>
      <c r="BD15" s="297">
        <f t="shared" si="0"/>
        <v>0</v>
      </c>
      <c r="BE15" s="298"/>
      <c r="BF15" s="299"/>
      <c r="BG15" s="299"/>
      <c r="BH15" s="299"/>
      <c r="BI15" s="297">
        <f>SUM(BE15:BH15)</f>
        <v>0</v>
      </c>
      <c r="BJ15" s="300"/>
      <c r="BK15" s="301">
        <f t="shared" si="1"/>
        <v>0</v>
      </c>
      <c r="BL15" s="302">
        <f t="shared" si="2"/>
        <v>0</v>
      </c>
      <c r="BM15" s="303">
        <f t="shared" si="3"/>
        <v>0</v>
      </c>
      <c r="BN15" s="304"/>
      <c r="BP15" s="305"/>
      <c r="BQ15" s="305"/>
      <c r="BR15" s="305"/>
      <c r="BS15" s="305"/>
      <c r="BT15" s="305"/>
      <c r="BU15" s="305"/>
      <c r="BV15" s="305"/>
      <c r="BW15" s="306">
        <f>SUM(BP15:BV15)</f>
        <v>0</v>
      </c>
      <c r="BX15" s="300"/>
      <c r="BY15" s="305"/>
      <c r="BZ15" s="305"/>
      <c r="CA15" s="305"/>
      <c r="CB15" s="305"/>
      <c r="CC15" s="305"/>
      <c r="CD15" s="305"/>
      <c r="CE15" s="305"/>
      <c r="CF15" s="306">
        <f>SUM(BY15:CE15)</f>
        <v>0</v>
      </c>
      <c r="CG15" s="300"/>
      <c r="CH15" s="305"/>
      <c r="CI15" s="305"/>
      <c r="CJ15" s="305"/>
      <c r="CK15" s="305"/>
      <c r="CL15" s="305"/>
      <c r="CM15" s="305"/>
      <c r="CN15" s="305"/>
      <c r="CO15" s="300">
        <f>SUM(CH15:CN15)</f>
        <v>0</v>
      </c>
      <c r="CQ15" s="307">
        <f t="shared" si="4"/>
        <v>0</v>
      </c>
      <c r="CR15" s="307">
        <f t="shared" si="5"/>
        <v>0</v>
      </c>
      <c r="CS15" s="307">
        <f t="shared" si="6"/>
        <v>0</v>
      </c>
      <c r="CT15" s="307">
        <f t="shared" si="7"/>
        <v>0</v>
      </c>
      <c r="CU15" s="307">
        <f t="shared" si="8"/>
        <v>0</v>
      </c>
      <c r="CV15" s="307">
        <f>+BD15-(BU15+CD15+CM15)</f>
        <v>0</v>
      </c>
      <c r="CW15" s="307">
        <f>+BI15-(BV15+CE15+CN15)</f>
        <v>0</v>
      </c>
      <c r="CX15" s="307">
        <f>BW15+CF15+CO15</f>
        <v>0</v>
      </c>
      <c r="CY15" s="307">
        <f>SUM(CQ15:CW15)</f>
        <v>0</v>
      </c>
    </row>
    <row r="16" spans="1:106" s="230" customFormat="1" ht="21" customHeight="1">
      <c r="A16" s="447">
        <v>5331616</v>
      </c>
      <c r="B16" s="286" t="s">
        <v>373</v>
      </c>
      <c r="C16" s="287" t="s">
        <v>417</v>
      </c>
      <c r="D16" s="289" t="e">
        <v>#N/A</v>
      </c>
      <c r="E16" s="290"/>
      <c r="F16" s="291"/>
      <c r="G16" s="292"/>
      <c r="H16" s="293"/>
      <c r="I16" s="221"/>
      <c r="J16" s="294"/>
      <c r="K16" s="294"/>
      <c r="L16" s="295"/>
      <c r="M16" s="293"/>
      <c r="N16" s="221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3"/>
      <c r="AF16" s="221"/>
      <c r="AG16" s="294"/>
      <c r="AH16" s="294"/>
      <c r="AI16" s="295"/>
      <c r="AJ16" s="293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7"/>
      <c r="AV16" s="292"/>
      <c r="AW16" s="296"/>
      <c r="AX16" s="296"/>
      <c r="AY16" s="296"/>
      <c r="AZ16" s="296"/>
      <c r="BA16" s="296"/>
      <c r="BB16" s="296"/>
      <c r="BC16" s="296"/>
      <c r="BD16" s="297">
        <f t="shared" si="0"/>
        <v>0</v>
      </c>
      <c r="BE16" s="298"/>
      <c r="BF16" s="299"/>
      <c r="BG16" s="299"/>
      <c r="BH16" s="299"/>
      <c r="BI16" s="297">
        <f>SUM(BE16:BH16)</f>
        <v>0</v>
      </c>
      <c r="BJ16" s="300"/>
      <c r="BK16" s="301">
        <f t="shared" si="1"/>
        <v>0</v>
      </c>
      <c r="BL16" s="302">
        <f t="shared" si="2"/>
        <v>0</v>
      </c>
      <c r="BM16" s="303">
        <f t="shared" si="3"/>
        <v>0</v>
      </c>
      <c r="BN16" s="304"/>
      <c r="BP16" s="305"/>
      <c r="BQ16" s="305"/>
      <c r="BR16" s="305"/>
      <c r="BS16" s="305"/>
      <c r="BT16" s="305"/>
      <c r="BU16" s="305"/>
      <c r="BV16" s="305"/>
      <c r="BW16" s="306">
        <f>SUM(BP16:BV16)</f>
        <v>0</v>
      </c>
      <c r="BX16" s="300"/>
      <c r="BY16" s="305"/>
      <c r="BZ16" s="305"/>
      <c r="CA16" s="305"/>
      <c r="CB16" s="305"/>
      <c r="CC16" s="305"/>
      <c r="CD16" s="305"/>
      <c r="CE16" s="305"/>
      <c r="CF16" s="306">
        <f>SUM(BY16:CE16)</f>
        <v>0</v>
      </c>
      <c r="CG16" s="300"/>
      <c r="CH16" s="305"/>
      <c r="CI16" s="305"/>
      <c r="CJ16" s="305"/>
      <c r="CK16" s="305"/>
      <c r="CL16" s="305"/>
      <c r="CM16" s="305"/>
      <c r="CN16" s="305"/>
      <c r="CO16" s="300">
        <f>SUM(CH16:CN16)</f>
        <v>0</v>
      </c>
      <c r="CQ16" s="307">
        <f t="shared" si="4"/>
        <v>0</v>
      </c>
      <c r="CR16" s="307">
        <f t="shared" si="5"/>
        <v>0</v>
      </c>
      <c r="CS16" s="307">
        <f t="shared" si="6"/>
        <v>0</v>
      </c>
      <c r="CT16" s="307">
        <f t="shared" si="7"/>
        <v>0</v>
      </c>
      <c r="CU16" s="307">
        <f t="shared" si="8"/>
        <v>0</v>
      </c>
      <c r="CV16" s="307">
        <f>+BD16-(BU16+CD16+CM16)</f>
        <v>0</v>
      </c>
      <c r="CW16" s="307">
        <f>+BI16-(BV16+CE16+CN16)</f>
        <v>0</v>
      </c>
      <c r="CX16" s="307">
        <f>BW16+CF16+CO16</f>
        <v>0</v>
      </c>
      <c r="CY16" s="307">
        <f>SUM(CQ16:CW16)</f>
        <v>0</v>
      </c>
    </row>
    <row r="17" spans="1:103" s="230" customFormat="1" ht="21" customHeight="1">
      <c r="A17" s="448">
        <v>5411514</v>
      </c>
      <c r="B17" s="286" t="s">
        <v>373</v>
      </c>
      <c r="C17" s="287" t="s">
        <v>517</v>
      </c>
      <c r="D17" s="288">
        <v>2.944</v>
      </c>
      <c r="E17" s="290"/>
      <c r="F17" s="310"/>
      <c r="G17" s="311"/>
      <c r="H17" s="293"/>
      <c r="I17" s="221"/>
      <c r="J17" s="294"/>
      <c r="K17" s="294"/>
      <c r="L17" s="295"/>
      <c r="M17" s="293"/>
      <c r="N17" s="221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4"/>
      <c r="AB17" s="294"/>
      <c r="AC17" s="294"/>
      <c r="AD17" s="294"/>
      <c r="AE17" s="293"/>
      <c r="AF17" s="221"/>
      <c r="AG17" s="294"/>
      <c r="AH17" s="294"/>
      <c r="AI17" s="295"/>
      <c r="AJ17" s="293"/>
      <c r="AK17" s="295"/>
      <c r="AL17" s="295"/>
      <c r="AM17" s="295"/>
      <c r="AN17" s="295"/>
      <c r="AO17" s="295"/>
      <c r="AP17" s="295"/>
      <c r="AQ17" s="295"/>
      <c r="AR17" s="295"/>
      <c r="AS17" s="295"/>
      <c r="AT17" s="295"/>
      <c r="AU17" s="293"/>
      <c r="AV17" s="311"/>
      <c r="AW17" s="296"/>
      <c r="AX17" s="296"/>
      <c r="AY17" s="296"/>
      <c r="AZ17" s="296"/>
      <c r="BA17" s="296"/>
      <c r="BB17" s="296"/>
      <c r="BC17" s="296"/>
      <c r="BD17" s="293">
        <f t="shared" si="0"/>
        <v>0</v>
      </c>
      <c r="BE17" s="221"/>
      <c r="BF17" s="294"/>
      <c r="BG17" s="294"/>
      <c r="BH17" s="294"/>
      <c r="BI17" s="293">
        <f>SUM(BE17:BH17)</f>
        <v>0</v>
      </c>
      <c r="BJ17" s="300"/>
      <c r="BK17" s="301">
        <f t="shared" si="1"/>
        <v>0</v>
      </c>
      <c r="BL17" s="312">
        <f t="shared" si="2"/>
        <v>0</v>
      </c>
      <c r="BM17" s="313">
        <f t="shared" si="3"/>
        <v>0</v>
      </c>
      <c r="BN17" s="314"/>
      <c r="BP17" s="305"/>
      <c r="BQ17" s="305"/>
      <c r="BR17" s="305"/>
      <c r="BS17" s="305"/>
      <c r="BT17" s="305"/>
      <c r="BU17" s="305"/>
      <c r="BV17" s="305"/>
      <c r="BW17" s="300">
        <f t="shared" ref="BW17:BW80" si="11">SUM(BP17:BV17)</f>
        <v>0</v>
      </c>
      <c r="BX17" s="300"/>
      <c r="BY17" s="305"/>
      <c r="BZ17" s="305"/>
      <c r="CA17" s="305"/>
      <c r="CB17" s="305"/>
      <c r="CC17" s="305"/>
      <c r="CD17" s="305"/>
      <c r="CE17" s="305"/>
      <c r="CF17" s="300">
        <f t="shared" ref="CF17:CF80" si="12">SUM(BY17:CE17)</f>
        <v>0</v>
      </c>
      <c r="CG17" s="300"/>
      <c r="CH17" s="305"/>
      <c r="CI17" s="305"/>
      <c r="CJ17" s="305"/>
      <c r="CK17" s="305"/>
      <c r="CL17" s="305"/>
      <c r="CM17" s="305"/>
      <c r="CN17" s="305"/>
      <c r="CO17" s="300">
        <f t="shared" ref="CO17:CO80" si="13">SUM(CH17:CN17)</f>
        <v>0</v>
      </c>
      <c r="CQ17" s="307">
        <f t="shared" si="4"/>
        <v>0</v>
      </c>
      <c r="CR17" s="307">
        <f t="shared" si="5"/>
        <v>0</v>
      </c>
      <c r="CS17" s="307">
        <f t="shared" si="6"/>
        <v>0</v>
      </c>
      <c r="CT17" s="307">
        <f t="shared" si="7"/>
        <v>0</v>
      </c>
      <c r="CU17" s="307">
        <f t="shared" si="8"/>
        <v>0</v>
      </c>
      <c r="CV17" s="307">
        <f t="shared" si="9"/>
        <v>0</v>
      </c>
      <c r="CW17" s="307">
        <f t="shared" si="10"/>
        <v>0</v>
      </c>
      <c r="CX17" s="307">
        <f t="shared" ref="CX17:CX80" si="14">BW17+CF17+CO17</f>
        <v>0</v>
      </c>
      <c r="CY17" s="307">
        <f t="shared" ref="CY17:CY80" si="15">SUM(CQ17:CW17)</f>
        <v>0</v>
      </c>
    </row>
    <row r="18" spans="1:103" s="230" customFormat="1" ht="21" customHeight="1">
      <c r="A18" s="448">
        <v>5422366</v>
      </c>
      <c r="B18" s="286" t="s">
        <v>373</v>
      </c>
      <c r="C18" s="287" t="s">
        <v>538</v>
      </c>
      <c r="D18" s="288">
        <v>5.26</v>
      </c>
      <c r="E18" s="290"/>
      <c r="F18" s="310"/>
      <c r="G18" s="311"/>
      <c r="H18" s="293"/>
      <c r="I18" s="221"/>
      <c r="J18" s="294"/>
      <c r="K18" s="294"/>
      <c r="L18" s="295"/>
      <c r="M18" s="293"/>
      <c r="N18" s="221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4"/>
      <c r="AB18" s="294"/>
      <c r="AC18" s="294"/>
      <c r="AD18" s="294"/>
      <c r="AE18" s="293"/>
      <c r="AF18" s="221"/>
      <c r="AG18" s="294"/>
      <c r="AH18" s="294"/>
      <c r="AI18" s="295"/>
      <c r="AJ18" s="293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3"/>
      <c r="AV18" s="311"/>
      <c r="AW18" s="296"/>
      <c r="AX18" s="296"/>
      <c r="AY18" s="296"/>
      <c r="AZ18" s="296"/>
      <c r="BA18" s="296"/>
      <c r="BB18" s="296"/>
      <c r="BC18" s="296"/>
      <c r="BD18" s="293">
        <f t="shared" si="0"/>
        <v>0</v>
      </c>
      <c r="BE18" s="221"/>
      <c r="BF18" s="294"/>
      <c r="BG18" s="294"/>
      <c r="BH18" s="294"/>
      <c r="BI18" s="293">
        <f t="shared" ref="BI18:BI81" si="16">SUM(BE18:BH18)</f>
        <v>0</v>
      </c>
      <c r="BJ18" s="300"/>
      <c r="BK18" s="301">
        <f t="shared" si="1"/>
        <v>0</v>
      </c>
      <c r="BL18" s="312">
        <f t="shared" si="2"/>
        <v>0</v>
      </c>
      <c r="BM18" s="313">
        <f t="shared" si="3"/>
        <v>0</v>
      </c>
      <c r="BN18" s="314"/>
      <c r="BP18" s="305"/>
      <c r="BQ18" s="305"/>
      <c r="BR18" s="305"/>
      <c r="BS18" s="305"/>
      <c r="BT18" s="305"/>
      <c r="BU18" s="305"/>
      <c r="BV18" s="305"/>
      <c r="BW18" s="300">
        <f t="shared" si="11"/>
        <v>0</v>
      </c>
      <c r="BX18" s="300"/>
      <c r="BY18" s="305"/>
      <c r="BZ18" s="305"/>
      <c r="CA18" s="305"/>
      <c r="CB18" s="305"/>
      <c r="CC18" s="305"/>
      <c r="CD18" s="305"/>
      <c r="CE18" s="305"/>
      <c r="CF18" s="300">
        <f t="shared" si="12"/>
        <v>0</v>
      </c>
      <c r="CG18" s="300"/>
      <c r="CH18" s="305"/>
      <c r="CI18" s="305"/>
      <c r="CJ18" s="305"/>
      <c r="CK18" s="305"/>
      <c r="CL18" s="305"/>
      <c r="CM18" s="305"/>
      <c r="CN18" s="305"/>
      <c r="CO18" s="300">
        <f t="shared" si="13"/>
        <v>0</v>
      </c>
      <c r="CQ18" s="307">
        <f t="shared" si="4"/>
        <v>0</v>
      </c>
      <c r="CR18" s="307">
        <f t="shared" si="5"/>
        <v>0</v>
      </c>
      <c r="CS18" s="307">
        <f t="shared" si="6"/>
        <v>0</v>
      </c>
      <c r="CT18" s="307">
        <f t="shared" si="7"/>
        <v>0</v>
      </c>
      <c r="CU18" s="307">
        <f t="shared" si="8"/>
        <v>0</v>
      </c>
      <c r="CV18" s="307">
        <f t="shared" si="9"/>
        <v>0</v>
      </c>
      <c r="CW18" s="307">
        <f t="shared" si="10"/>
        <v>0</v>
      </c>
      <c r="CX18" s="307">
        <f t="shared" si="14"/>
        <v>0</v>
      </c>
      <c r="CY18" s="307">
        <f t="shared" si="15"/>
        <v>0</v>
      </c>
    </row>
    <row r="19" spans="1:103" s="230" customFormat="1" ht="21" customHeight="1">
      <c r="A19" s="448">
        <v>5422364</v>
      </c>
      <c r="B19" s="286" t="s">
        <v>373</v>
      </c>
      <c r="C19" s="287" t="s">
        <v>539</v>
      </c>
      <c r="D19" s="288">
        <v>5.2729999999999997</v>
      </c>
      <c r="E19" s="290"/>
      <c r="F19" s="310"/>
      <c r="G19" s="311"/>
      <c r="H19" s="293"/>
      <c r="I19" s="221"/>
      <c r="J19" s="294"/>
      <c r="K19" s="294"/>
      <c r="L19" s="295"/>
      <c r="M19" s="293"/>
      <c r="N19" s="221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4"/>
      <c r="AB19" s="294"/>
      <c r="AC19" s="294"/>
      <c r="AD19" s="294"/>
      <c r="AE19" s="293"/>
      <c r="AF19" s="221"/>
      <c r="AG19" s="294"/>
      <c r="AH19" s="294"/>
      <c r="AI19" s="295"/>
      <c r="AJ19" s="293"/>
      <c r="AK19" s="295"/>
      <c r="AL19" s="295"/>
      <c r="AM19" s="295"/>
      <c r="AN19" s="295"/>
      <c r="AO19" s="295"/>
      <c r="AP19" s="295"/>
      <c r="AQ19" s="295"/>
      <c r="AR19" s="295"/>
      <c r="AS19" s="295"/>
      <c r="AT19" s="295"/>
      <c r="AU19" s="293"/>
      <c r="AV19" s="311"/>
      <c r="AW19" s="296"/>
      <c r="AX19" s="296"/>
      <c r="AY19" s="296"/>
      <c r="AZ19" s="296"/>
      <c r="BA19" s="296"/>
      <c r="BB19" s="296"/>
      <c r="BC19" s="296"/>
      <c r="BD19" s="293">
        <f t="shared" si="0"/>
        <v>0</v>
      </c>
      <c r="BE19" s="221"/>
      <c r="BF19" s="294"/>
      <c r="BG19" s="294"/>
      <c r="BH19" s="294"/>
      <c r="BI19" s="293">
        <f>SUM(BE19:BH19)</f>
        <v>0</v>
      </c>
      <c r="BJ19" s="300"/>
      <c r="BK19" s="301">
        <f t="shared" si="1"/>
        <v>0</v>
      </c>
      <c r="BL19" s="312">
        <f t="shared" si="2"/>
        <v>0</v>
      </c>
      <c r="BM19" s="313">
        <f t="shared" si="3"/>
        <v>0</v>
      </c>
      <c r="BN19" s="314"/>
      <c r="BP19" s="305"/>
      <c r="BQ19" s="305"/>
      <c r="BR19" s="305"/>
      <c r="BS19" s="305"/>
      <c r="BT19" s="305"/>
      <c r="BU19" s="305"/>
      <c r="BV19" s="305"/>
      <c r="BW19" s="300">
        <f>SUM(BP19:BV19)</f>
        <v>0</v>
      </c>
      <c r="BX19" s="300"/>
      <c r="BY19" s="305"/>
      <c r="BZ19" s="305"/>
      <c r="CA19" s="305"/>
      <c r="CB19" s="305"/>
      <c r="CC19" s="305"/>
      <c r="CD19" s="305"/>
      <c r="CE19" s="305"/>
      <c r="CF19" s="300">
        <f>SUM(BY19:CE19)</f>
        <v>0</v>
      </c>
      <c r="CG19" s="300"/>
      <c r="CH19" s="305"/>
      <c r="CI19" s="305"/>
      <c r="CJ19" s="305"/>
      <c r="CK19" s="305"/>
      <c r="CL19" s="305"/>
      <c r="CM19" s="305"/>
      <c r="CN19" s="305"/>
      <c r="CO19" s="300">
        <f>SUM(CH19:CN19)</f>
        <v>0</v>
      </c>
      <c r="CQ19" s="307">
        <f t="shared" si="4"/>
        <v>0</v>
      </c>
      <c r="CR19" s="307">
        <f t="shared" si="5"/>
        <v>0</v>
      </c>
      <c r="CS19" s="307">
        <f t="shared" si="6"/>
        <v>0</v>
      </c>
      <c r="CT19" s="307">
        <f t="shared" si="7"/>
        <v>0</v>
      </c>
      <c r="CU19" s="307">
        <f t="shared" si="8"/>
        <v>0</v>
      </c>
      <c r="CV19" s="307">
        <f>+BD19-(BU19+CD19+CM19)</f>
        <v>0</v>
      </c>
      <c r="CW19" s="307">
        <f>+BI19-(BV19+CE19+CN19)</f>
        <v>0</v>
      </c>
      <c r="CX19" s="307">
        <f>BW19+CF19+CO19</f>
        <v>0</v>
      </c>
      <c r="CY19" s="307">
        <f>SUM(CQ19:CW19)</f>
        <v>0</v>
      </c>
    </row>
    <row r="20" spans="1:103" s="230" customFormat="1" ht="21" customHeight="1">
      <c r="A20" s="448">
        <v>5463620</v>
      </c>
      <c r="B20" s="286" t="s">
        <v>373</v>
      </c>
      <c r="C20" s="287" t="s">
        <v>540</v>
      </c>
      <c r="D20" s="288">
        <v>3.6970000000000001</v>
      </c>
      <c r="E20" s="290"/>
      <c r="F20" s="310"/>
      <c r="G20" s="311"/>
      <c r="H20" s="293"/>
      <c r="I20" s="221"/>
      <c r="J20" s="294"/>
      <c r="K20" s="294"/>
      <c r="L20" s="295"/>
      <c r="M20" s="293"/>
      <c r="N20" s="221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  <c r="AC20" s="294"/>
      <c r="AD20" s="294"/>
      <c r="AE20" s="293"/>
      <c r="AF20" s="221"/>
      <c r="AG20" s="294"/>
      <c r="AH20" s="294"/>
      <c r="AI20" s="295"/>
      <c r="AJ20" s="293"/>
      <c r="AK20" s="295"/>
      <c r="AL20" s="295"/>
      <c r="AM20" s="295"/>
      <c r="AN20" s="295"/>
      <c r="AO20" s="295"/>
      <c r="AP20" s="295"/>
      <c r="AQ20" s="295"/>
      <c r="AR20" s="295"/>
      <c r="AS20" s="295"/>
      <c r="AT20" s="295"/>
      <c r="AU20" s="293"/>
      <c r="AV20" s="311"/>
      <c r="AW20" s="296"/>
      <c r="AX20" s="296"/>
      <c r="AY20" s="296"/>
      <c r="AZ20" s="296"/>
      <c r="BA20" s="296"/>
      <c r="BB20" s="296"/>
      <c r="BC20" s="296"/>
      <c r="BD20" s="293">
        <f t="shared" si="0"/>
        <v>0</v>
      </c>
      <c r="BE20" s="221"/>
      <c r="BF20" s="294"/>
      <c r="BG20" s="294"/>
      <c r="BH20" s="294"/>
      <c r="BI20" s="293">
        <f t="shared" si="16"/>
        <v>0</v>
      </c>
      <c r="BJ20" s="300"/>
      <c r="BK20" s="301">
        <f t="shared" si="1"/>
        <v>0</v>
      </c>
      <c r="BL20" s="312">
        <f t="shared" si="2"/>
        <v>0</v>
      </c>
      <c r="BM20" s="313">
        <f t="shared" si="3"/>
        <v>0</v>
      </c>
      <c r="BN20" s="314"/>
      <c r="BP20" s="305"/>
      <c r="BQ20" s="305"/>
      <c r="BR20" s="305"/>
      <c r="BS20" s="305"/>
      <c r="BT20" s="305"/>
      <c r="BU20" s="305"/>
      <c r="BV20" s="305"/>
      <c r="BW20" s="300">
        <f t="shared" si="11"/>
        <v>0</v>
      </c>
      <c r="BX20" s="300"/>
      <c r="BY20" s="305"/>
      <c r="BZ20" s="305"/>
      <c r="CA20" s="305"/>
      <c r="CB20" s="305"/>
      <c r="CC20" s="305"/>
      <c r="CD20" s="305"/>
      <c r="CE20" s="305"/>
      <c r="CF20" s="300">
        <f t="shared" si="12"/>
        <v>0</v>
      </c>
      <c r="CG20" s="300"/>
      <c r="CH20" s="305"/>
      <c r="CI20" s="305"/>
      <c r="CJ20" s="305"/>
      <c r="CK20" s="305"/>
      <c r="CL20" s="305"/>
      <c r="CM20" s="305"/>
      <c r="CN20" s="305"/>
      <c r="CO20" s="300">
        <f t="shared" si="13"/>
        <v>0</v>
      </c>
      <c r="CQ20" s="307">
        <f t="shared" si="4"/>
        <v>0</v>
      </c>
      <c r="CR20" s="307">
        <f t="shared" si="5"/>
        <v>0</v>
      </c>
      <c r="CS20" s="307">
        <f t="shared" si="6"/>
        <v>0</v>
      </c>
      <c r="CT20" s="307">
        <f t="shared" si="7"/>
        <v>0</v>
      </c>
      <c r="CU20" s="307">
        <f t="shared" si="8"/>
        <v>0</v>
      </c>
      <c r="CV20" s="307">
        <f t="shared" si="9"/>
        <v>0</v>
      </c>
      <c r="CW20" s="307">
        <f t="shared" si="10"/>
        <v>0</v>
      </c>
      <c r="CX20" s="307">
        <f t="shared" si="14"/>
        <v>0</v>
      </c>
      <c r="CY20" s="307">
        <f t="shared" si="15"/>
        <v>0</v>
      </c>
    </row>
    <row r="21" spans="1:103" s="230" customFormat="1" ht="21" customHeight="1">
      <c r="A21" s="448">
        <v>1015413</v>
      </c>
      <c r="B21" s="286" t="s">
        <v>373</v>
      </c>
      <c r="C21" s="287" t="s">
        <v>541</v>
      </c>
      <c r="D21" s="288">
        <v>0.81599999999999995</v>
      </c>
      <c r="E21" s="290"/>
      <c r="F21" s="310"/>
      <c r="G21" s="311"/>
      <c r="H21" s="293"/>
      <c r="I21" s="221"/>
      <c r="J21" s="294"/>
      <c r="K21" s="294"/>
      <c r="L21" s="295"/>
      <c r="M21" s="293"/>
      <c r="N21" s="221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3"/>
      <c r="AF21" s="221"/>
      <c r="AG21" s="294"/>
      <c r="AH21" s="294"/>
      <c r="AI21" s="295"/>
      <c r="AJ21" s="293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3"/>
      <c r="AV21" s="311"/>
      <c r="AW21" s="296"/>
      <c r="AX21" s="296"/>
      <c r="AY21" s="296"/>
      <c r="AZ21" s="296"/>
      <c r="BA21" s="296"/>
      <c r="BB21" s="296"/>
      <c r="BC21" s="296"/>
      <c r="BD21" s="293">
        <f t="shared" si="0"/>
        <v>0</v>
      </c>
      <c r="BE21" s="221"/>
      <c r="BF21" s="294"/>
      <c r="BG21" s="294"/>
      <c r="BH21" s="294"/>
      <c r="BI21" s="293">
        <f t="shared" si="16"/>
        <v>0</v>
      </c>
      <c r="BJ21" s="300"/>
      <c r="BK21" s="301">
        <f t="shared" si="1"/>
        <v>0</v>
      </c>
      <c r="BL21" s="312">
        <f t="shared" si="2"/>
        <v>0</v>
      </c>
      <c r="BM21" s="313">
        <f t="shared" si="3"/>
        <v>0</v>
      </c>
      <c r="BN21" s="314"/>
      <c r="BP21" s="305"/>
      <c r="BQ21" s="305"/>
      <c r="BR21" s="305"/>
      <c r="BS21" s="305"/>
      <c r="BT21" s="305"/>
      <c r="BU21" s="305"/>
      <c r="BV21" s="305"/>
      <c r="BW21" s="300">
        <f t="shared" si="11"/>
        <v>0</v>
      </c>
      <c r="BX21" s="300"/>
      <c r="BY21" s="305"/>
      <c r="BZ21" s="305"/>
      <c r="CA21" s="305"/>
      <c r="CB21" s="305"/>
      <c r="CC21" s="305"/>
      <c r="CD21" s="305"/>
      <c r="CE21" s="305"/>
      <c r="CF21" s="300">
        <f t="shared" si="12"/>
        <v>0</v>
      </c>
      <c r="CG21" s="300"/>
      <c r="CH21" s="305"/>
      <c r="CI21" s="305"/>
      <c r="CJ21" s="305"/>
      <c r="CK21" s="305"/>
      <c r="CL21" s="305"/>
      <c r="CM21" s="305"/>
      <c r="CN21" s="305"/>
      <c r="CO21" s="300">
        <f t="shared" si="13"/>
        <v>0</v>
      </c>
      <c r="CQ21" s="307">
        <f t="shared" si="4"/>
        <v>0</v>
      </c>
      <c r="CR21" s="307">
        <f t="shared" si="5"/>
        <v>0</v>
      </c>
      <c r="CS21" s="307">
        <f t="shared" si="6"/>
        <v>0</v>
      </c>
      <c r="CT21" s="307">
        <f t="shared" si="7"/>
        <v>0</v>
      </c>
      <c r="CU21" s="307">
        <f t="shared" si="8"/>
        <v>0</v>
      </c>
      <c r="CV21" s="307">
        <f t="shared" si="9"/>
        <v>0</v>
      </c>
      <c r="CW21" s="307">
        <f t="shared" si="10"/>
        <v>0</v>
      </c>
      <c r="CX21" s="307">
        <f t="shared" si="14"/>
        <v>0</v>
      </c>
      <c r="CY21" s="307">
        <f t="shared" si="15"/>
        <v>0</v>
      </c>
    </row>
    <row r="22" spans="1:103" s="230" customFormat="1" ht="21" customHeight="1">
      <c r="A22" s="448">
        <v>5461238</v>
      </c>
      <c r="B22" s="286" t="s">
        <v>373</v>
      </c>
      <c r="C22" s="287" t="s">
        <v>542</v>
      </c>
      <c r="D22" s="288">
        <v>0.57099999999999995</v>
      </c>
      <c r="E22" s="290"/>
      <c r="F22" s="310"/>
      <c r="G22" s="311"/>
      <c r="H22" s="293"/>
      <c r="I22" s="221"/>
      <c r="J22" s="294"/>
      <c r="K22" s="294"/>
      <c r="L22" s="295"/>
      <c r="M22" s="293"/>
      <c r="N22" s="221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4"/>
      <c r="AC22" s="294"/>
      <c r="AD22" s="294"/>
      <c r="AE22" s="293"/>
      <c r="AF22" s="221"/>
      <c r="AG22" s="294"/>
      <c r="AH22" s="294"/>
      <c r="AI22" s="295"/>
      <c r="AJ22" s="293"/>
      <c r="AK22" s="295"/>
      <c r="AL22" s="295"/>
      <c r="AM22" s="295"/>
      <c r="AN22" s="295"/>
      <c r="AO22" s="295"/>
      <c r="AP22" s="295"/>
      <c r="AQ22" s="295"/>
      <c r="AR22" s="295"/>
      <c r="AS22" s="295"/>
      <c r="AT22" s="295"/>
      <c r="AU22" s="293"/>
      <c r="AV22" s="311"/>
      <c r="AW22" s="296"/>
      <c r="AX22" s="296"/>
      <c r="AY22" s="296"/>
      <c r="AZ22" s="296"/>
      <c r="BA22" s="296"/>
      <c r="BB22" s="296"/>
      <c r="BC22" s="296"/>
      <c r="BD22" s="293">
        <f t="shared" si="0"/>
        <v>0</v>
      </c>
      <c r="BE22" s="221"/>
      <c r="BF22" s="294"/>
      <c r="BG22" s="294"/>
      <c r="BH22" s="294"/>
      <c r="BI22" s="293">
        <f t="shared" si="16"/>
        <v>0</v>
      </c>
      <c r="BJ22" s="300"/>
      <c r="BK22" s="301">
        <f t="shared" si="1"/>
        <v>0</v>
      </c>
      <c r="BL22" s="312">
        <f t="shared" si="2"/>
        <v>0</v>
      </c>
      <c r="BM22" s="313">
        <f t="shared" si="3"/>
        <v>0</v>
      </c>
      <c r="BN22" s="314"/>
      <c r="BP22" s="305"/>
      <c r="BQ22" s="305"/>
      <c r="BR22" s="305"/>
      <c r="BS22" s="305"/>
      <c r="BT22" s="305"/>
      <c r="BU22" s="305"/>
      <c r="BV22" s="305"/>
      <c r="BW22" s="300">
        <f t="shared" si="11"/>
        <v>0</v>
      </c>
      <c r="BX22" s="300"/>
      <c r="BY22" s="305"/>
      <c r="BZ22" s="305"/>
      <c r="CA22" s="305"/>
      <c r="CB22" s="305"/>
      <c r="CC22" s="305"/>
      <c r="CD22" s="305"/>
      <c r="CE22" s="305"/>
      <c r="CF22" s="300">
        <f t="shared" si="12"/>
        <v>0</v>
      </c>
      <c r="CG22" s="300"/>
      <c r="CH22" s="305"/>
      <c r="CI22" s="305"/>
      <c r="CJ22" s="305"/>
      <c r="CK22" s="305"/>
      <c r="CL22" s="305"/>
      <c r="CM22" s="305"/>
      <c r="CN22" s="305"/>
      <c r="CO22" s="300">
        <f t="shared" si="13"/>
        <v>0</v>
      </c>
      <c r="CQ22" s="307">
        <f t="shared" si="4"/>
        <v>0</v>
      </c>
      <c r="CR22" s="307">
        <f t="shared" si="5"/>
        <v>0</v>
      </c>
      <c r="CS22" s="307">
        <f t="shared" si="6"/>
        <v>0</v>
      </c>
      <c r="CT22" s="307">
        <f t="shared" si="7"/>
        <v>0</v>
      </c>
      <c r="CU22" s="307">
        <f t="shared" si="8"/>
        <v>0</v>
      </c>
      <c r="CV22" s="307">
        <f t="shared" si="9"/>
        <v>0</v>
      </c>
      <c r="CW22" s="307">
        <f t="shared" si="10"/>
        <v>0</v>
      </c>
      <c r="CX22" s="307">
        <f t="shared" si="14"/>
        <v>0</v>
      </c>
      <c r="CY22" s="307">
        <f t="shared" si="15"/>
        <v>0</v>
      </c>
    </row>
    <row r="23" spans="1:103" s="230" customFormat="1" ht="21" customHeight="1">
      <c r="A23" s="448">
        <v>5411054</v>
      </c>
      <c r="B23" s="286" t="s">
        <v>373</v>
      </c>
      <c r="C23" s="287" t="s">
        <v>518</v>
      </c>
      <c r="D23" s="288">
        <v>1.587</v>
      </c>
      <c r="E23" s="290"/>
      <c r="F23" s="310"/>
      <c r="G23" s="311"/>
      <c r="H23" s="293"/>
      <c r="I23" s="221"/>
      <c r="J23" s="294"/>
      <c r="K23" s="294"/>
      <c r="L23" s="295"/>
      <c r="M23" s="293"/>
      <c r="N23" s="221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4"/>
      <c r="AB23" s="294"/>
      <c r="AC23" s="294"/>
      <c r="AD23" s="294"/>
      <c r="AE23" s="293"/>
      <c r="AF23" s="221"/>
      <c r="AG23" s="294"/>
      <c r="AH23" s="294"/>
      <c r="AI23" s="295"/>
      <c r="AJ23" s="293"/>
      <c r="AK23" s="295"/>
      <c r="AL23" s="295"/>
      <c r="AM23" s="295"/>
      <c r="AN23" s="295"/>
      <c r="AO23" s="295"/>
      <c r="AP23" s="295"/>
      <c r="AQ23" s="295"/>
      <c r="AR23" s="295"/>
      <c r="AS23" s="295"/>
      <c r="AT23" s="295"/>
      <c r="AU23" s="293"/>
      <c r="AV23" s="311"/>
      <c r="AW23" s="296"/>
      <c r="AX23" s="296"/>
      <c r="AY23" s="296"/>
      <c r="AZ23" s="296"/>
      <c r="BA23" s="296"/>
      <c r="BB23" s="296"/>
      <c r="BC23" s="296"/>
      <c r="BD23" s="293">
        <f t="shared" si="0"/>
        <v>0</v>
      </c>
      <c r="BE23" s="221"/>
      <c r="BF23" s="294"/>
      <c r="BG23" s="294"/>
      <c r="BH23" s="294"/>
      <c r="BI23" s="293">
        <f t="shared" si="16"/>
        <v>0</v>
      </c>
      <c r="BJ23" s="300"/>
      <c r="BK23" s="301">
        <f t="shared" si="1"/>
        <v>0</v>
      </c>
      <c r="BL23" s="312">
        <f t="shared" si="2"/>
        <v>0</v>
      </c>
      <c r="BM23" s="313">
        <f t="shared" si="3"/>
        <v>0</v>
      </c>
      <c r="BN23" s="314"/>
      <c r="BP23" s="305"/>
      <c r="BQ23" s="305"/>
      <c r="BR23" s="305"/>
      <c r="BS23" s="305"/>
      <c r="BT23" s="305"/>
      <c r="BU23" s="305"/>
      <c r="BV23" s="305"/>
      <c r="BW23" s="300">
        <f t="shared" si="11"/>
        <v>0</v>
      </c>
      <c r="BX23" s="300"/>
      <c r="BY23" s="305"/>
      <c r="BZ23" s="305"/>
      <c r="CA23" s="305"/>
      <c r="CB23" s="305"/>
      <c r="CC23" s="305"/>
      <c r="CD23" s="305"/>
      <c r="CE23" s="305"/>
      <c r="CF23" s="300">
        <f t="shared" si="12"/>
        <v>0</v>
      </c>
      <c r="CG23" s="300"/>
      <c r="CH23" s="305"/>
      <c r="CI23" s="305"/>
      <c r="CJ23" s="305"/>
      <c r="CK23" s="305"/>
      <c r="CL23" s="305"/>
      <c r="CM23" s="305"/>
      <c r="CN23" s="305"/>
      <c r="CO23" s="300">
        <f t="shared" si="13"/>
        <v>0</v>
      </c>
      <c r="CQ23" s="307">
        <f t="shared" si="4"/>
        <v>0</v>
      </c>
      <c r="CR23" s="307">
        <f t="shared" si="5"/>
        <v>0</v>
      </c>
      <c r="CS23" s="307">
        <f t="shared" si="6"/>
        <v>0</v>
      </c>
      <c r="CT23" s="307">
        <f t="shared" si="7"/>
        <v>0</v>
      </c>
      <c r="CU23" s="307">
        <f t="shared" si="8"/>
        <v>0</v>
      </c>
      <c r="CV23" s="307">
        <f t="shared" si="9"/>
        <v>0</v>
      </c>
      <c r="CW23" s="307">
        <f t="shared" si="10"/>
        <v>0</v>
      </c>
      <c r="CX23" s="307">
        <f t="shared" si="14"/>
        <v>0</v>
      </c>
      <c r="CY23" s="307">
        <f t="shared" si="15"/>
        <v>0</v>
      </c>
    </row>
    <row r="24" spans="1:103" s="230" customFormat="1" ht="21" customHeight="1">
      <c r="A24" s="448">
        <v>5111215</v>
      </c>
      <c r="B24" s="286" t="s">
        <v>373</v>
      </c>
      <c r="C24" s="287" t="s">
        <v>519</v>
      </c>
      <c r="D24" s="288" t="e">
        <v>#N/A</v>
      </c>
      <c r="E24" s="290"/>
      <c r="F24" s="310"/>
      <c r="G24" s="311"/>
      <c r="H24" s="293"/>
      <c r="I24" s="221"/>
      <c r="J24" s="294"/>
      <c r="K24" s="294"/>
      <c r="L24" s="295"/>
      <c r="M24" s="293"/>
      <c r="N24" s="221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  <c r="AA24" s="294"/>
      <c r="AB24" s="294"/>
      <c r="AC24" s="294"/>
      <c r="AD24" s="294"/>
      <c r="AE24" s="293"/>
      <c r="AF24" s="221"/>
      <c r="AG24" s="294"/>
      <c r="AH24" s="294"/>
      <c r="AI24" s="295"/>
      <c r="AJ24" s="293"/>
      <c r="AK24" s="295"/>
      <c r="AL24" s="295"/>
      <c r="AM24" s="295"/>
      <c r="AN24" s="295"/>
      <c r="AO24" s="295"/>
      <c r="AP24" s="295"/>
      <c r="AQ24" s="295"/>
      <c r="AR24" s="295"/>
      <c r="AS24" s="295"/>
      <c r="AT24" s="295"/>
      <c r="AU24" s="293"/>
      <c r="AV24" s="311"/>
      <c r="AW24" s="296"/>
      <c r="AX24" s="296"/>
      <c r="AY24" s="296"/>
      <c r="AZ24" s="296"/>
      <c r="BA24" s="296"/>
      <c r="BB24" s="296"/>
      <c r="BC24" s="296"/>
      <c r="BD24" s="293">
        <f t="shared" si="0"/>
        <v>0</v>
      </c>
      <c r="BE24" s="221"/>
      <c r="BF24" s="294"/>
      <c r="BG24" s="294"/>
      <c r="BH24" s="294"/>
      <c r="BI24" s="293">
        <f t="shared" si="16"/>
        <v>0</v>
      </c>
      <c r="BJ24" s="300"/>
      <c r="BK24" s="301">
        <f t="shared" si="1"/>
        <v>0</v>
      </c>
      <c r="BL24" s="312">
        <f t="shared" si="2"/>
        <v>0</v>
      </c>
      <c r="BM24" s="313">
        <f t="shared" si="3"/>
        <v>0</v>
      </c>
      <c r="BN24" s="314"/>
      <c r="BP24" s="305"/>
      <c r="BQ24" s="305"/>
      <c r="BR24" s="305"/>
      <c r="BS24" s="305"/>
      <c r="BT24" s="305"/>
      <c r="BU24" s="305"/>
      <c r="BV24" s="305"/>
      <c r="BW24" s="300">
        <f t="shared" si="11"/>
        <v>0</v>
      </c>
      <c r="BX24" s="300"/>
      <c r="BY24" s="305"/>
      <c r="BZ24" s="305"/>
      <c r="CA24" s="305"/>
      <c r="CB24" s="305"/>
      <c r="CC24" s="305"/>
      <c r="CD24" s="305"/>
      <c r="CE24" s="305"/>
      <c r="CF24" s="300">
        <f t="shared" si="12"/>
        <v>0</v>
      </c>
      <c r="CG24" s="300"/>
      <c r="CH24" s="305"/>
      <c r="CI24" s="305"/>
      <c r="CJ24" s="305"/>
      <c r="CK24" s="305"/>
      <c r="CL24" s="305"/>
      <c r="CM24" s="305"/>
      <c r="CN24" s="305"/>
      <c r="CO24" s="300">
        <f t="shared" si="13"/>
        <v>0</v>
      </c>
      <c r="CQ24" s="307">
        <f t="shared" si="4"/>
        <v>0</v>
      </c>
      <c r="CR24" s="307">
        <f t="shared" si="5"/>
        <v>0</v>
      </c>
      <c r="CS24" s="307">
        <f t="shared" si="6"/>
        <v>0</v>
      </c>
      <c r="CT24" s="307">
        <f t="shared" si="7"/>
        <v>0</v>
      </c>
      <c r="CU24" s="307">
        <f t="shared" si="8"/>
        <v>0</v>
      </c>
      <c r="CV24" s="307">
        <f t="shared" si="9"/>
        <v>0</v>
      </c>
      <c r="CW24" s="307">
        <f t="shared" si="10"/>
        <v>0</v>
      </c>
      <c r="CX24" s="307">
        <f t="shared" si="14"/>
        <v>0</v>
      </c>
      <c r="CY24" s="307">
        <f t="shared" si="15"/>
        <v>0</v>
      </c>
    </row>
    <row r="25" spans="1:103" s="230" customFormat="1" ht="21" customHeight="1">
      <c r="A25" s="448">
        <v>5021243</v>
      </c>
      <c r="B25" s="286" t="s">
        <v>373</v>
      </c>
      <c r="C25" s="287" t="s">
        <v>520</v>
      </c>
      <c r="D25" s="288">
        <v>3.8809999999999998</v>
      </c>
      <c r="E25" s="290"/>
      <c r="F25" s="310"/>
      <c r="G25" s="311"/>
      <c r="H25" s="293"/>
      <c r="I25" s="221"/>
      <c r="J25" s="294"/>
      <c r="K25" s="294"/>
      <c r="L25" s="295"/>
      <c r="M25" s="293"/>
      <c r="N25" s="221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3"/>
      <c r="AF25" s="221"/>
      <c r="AG25" s="294"/>
      <c r="AH25" s="294"/>
      <c r="AI25" s="295"/>
      <c r="AJ25" s="293"/>
      <c r="AK25" s="295"/>
      <c r="AL25" s="295"/>
      <c r="AM25" s="295"/>
      <c r="AN25" s="295"/>
      <c r="AO25" s="295"/>
      <c r="AP25" s="295"/>
      <c r="AQ25" s="295"/>
      <c r="AR25" s="295"/>
      <c r="AS25" s="295"/>
      <c r="AT25" s="295"/>
      <c r="AU25" s="293"/>
      <c r="AV25" s="311"/>
      <c r="AW25" s="296"/>
      <c r="AX25" s="296"/>
      <c r="AY25" s="296"/>
      <c r="AZ25" s="296"/>
      <c r="BA25" s="296"/>
      <c r="BB25" s="296"/>
      <c r="BC25" s="296"/>
      <c r="BD25" s="293">
        <f t="shared" si="0"/>
        <v>0</v>
      </c>
      <c r="BE25" s="221"/>
      <c r="BF25" s="294"/>
      <c r="BG25" s="294"/>
      <c r="BH25" s="294"/>
      <c r="BI25" s="293">
        <f t="shared" si="16"/>
        <v>0</v>
      </c>
      <c r="BJ25" s="300"/>
      <c r="BK25" s="301">
        <f t="shared" si="1"/>
        <v>0</v>
      </c>
      <c r="BL25" s="312">
        <f t="shared" si="2"/>
        <v>0</v>
      </c>
      <c r="BM25" s="313">
        <f t="shared" si="3"/>
        <v>0</v>
      </c>
      <c r="BN25" s="314"/>
      <c r="BP25" s="305"/>
      <c r="BQ25" s="305"/>
      <c r="BR25" s="305"/>
      <c r="BS25" s="305"/>
      <c r="BT25" s="305"/>
      <c r="BU25" s="305"/>
      <c r="BV25" s="305"/>
      <c r="BW25" s="300">
        <f t="shared" si="11"/>
        <v>0</v>
      </c>
      <c r="BX25" s="300"/>
      <c r="BY25" s="305"/>
      <c r="BZ25" s="305"/>
      <c r="CA25" s="305"/>
      <c r="CB25" s="305"/>
      <c r="CC25" s="305"/>
      <c r="CD25" s="305"/>
      <c r="CE25" s="305"/>
      <c r="CF25" s="300">
        <f t="shared" si="12"/>
        <v>0</v>
      </c>
      <c r="CG25" s="300"/>
      <c r="CH25" s="305"/>
      <c r="CI25" s="305"/>
      <c r="CJ25" s="305"/>
      <c r="CK25" s="305"/>
      <c r="CL25" s="305"/>
      <c r="CM25" s="305"/>
      <c r="CN25" s="305"/>
      <c r="CO25" s="300">
        <f t="shared" si="13"/>
        <v>0</v>
      </c>
      <c r="CQ25" s="307">
        <f t="shared" si="4"/>
        <v>0</v>
      </c>
      <c r="CR25" s="307">
        <f t="shared" si="5"/>
        <v>0</v>
      </c>
      <c r="CS25" s="307">
        <f t="shared" si="6"/>
        <v>0</v>
      </c>
      <c r="CT25" s="307">
        <f t="shared" si="7"/>
        <v>0</v>
      </c>
      <c r="CU25" s="307">
        <f t="shared" si="8"/>
        <v>0</v>
      </c>
      <c r="CV25" s="307">
        <f t="shared" si="9"/>
        <v>0</v>
      </c>
      <c r="CW25" s="307">
        <f t="shared" si="10"/>
        <v>0</v>
      </c>
      <c r="CX25" s="307">
        <f t="shared" si="14"/>
        <v>0</v>
      </c>
      <c r="CY25" s="307">
        <f t="shared" si="15"/>
        <v>0</v>
      </c>
    </row>
    <row r="26" spans="1:103" s="230" customFormat="1" ht="21" customHeight="1">
      <c r="A26" s="449">
        <v>5335110</v>
      </c>
      <c r="B26" s="286" t="s">
        <v>373</v>
      </c>
      <c r="C26" s="287" t="s">
        <v>543</v>
      </c>
      <c r="D26" s="288">
        <v>49.582000000000001</v>
      </c>
      <c r="E26" s="290"/>
      <c r="F26" s="310"/>
      <c r="G26" s="311"/>
      <c r="H26" s="293"/>
      <c r="I26" s="221"/>
      <c r="J26" s="294"/>
      <c r="K26" s="294"/>
      <c r="L26" s="295"/>
      <c r="M26" s="293"/>
      <c r="N26" s="221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3"/>
      <c r="AF26" s="221"/>
      <c r="AG26" s="294"/>
      <c r="AH26" s="294"/>
      <c r="AI26" s="295"/>
      <c r="AJ26" s="293"/>
      <c r="AK26" s="295"/>
      <c r="AL26" s="295"/>
      <c r="AM26" s="295"/>
      <c r="AN26" s="295"/>
      <c r="AO26" s="295"/>
      <c r="AP26" s="295"/>
      <c r="AQ26" s="295"/>
      <c r="AR26" s="295"/>
      <c r="AS26" s="295"/>
      <c r="AT26" s="295"/>
      <c r="AU26" s="293"/>
      <c r="AV26" s="311"/>
      <c r="AW26" s="296"/>
      <c r="AX26" s="296"/>
      <c r="AY26" s="296"/>
      <c r="AZ26" s="296"/>
      <c r="BA26" s="296"/>
      <c r="BB26" s="296"/>
      <c r="BC26" s="296"/>
      <c r="BD26" s="293">
        <f t="shared" si="0"/>
        <v>0</v>
      </c>
      <c r="BE26" s="221"/>
      <c r="BF26" s="294"/>
      <c r="BG26" s="294"/>
      <c r="BH26" s="294"/>
      <c r="BI26" s="293">
        <f t="shared" si="16"/>
        <v>0</v>
      </c>
      <c r="BJ26" s="300"/>
      <c r="BK26" s="301">
        <f t="shared" si="1"/>
        <v>0</v>
      </c>
      <c r="BL26" s="312">
        <f t="shared" si="2"/>
        <v>0</v>
      </c>
      <c r="BM26" s="313">
        <f t="shared" si="3"/>
        <v>0</v>
      </c>
      <c r="BN26" s="314"/>
      <c r="BP26" s="305"/>
      <c r="BQ26" s="305"/>
      <c r="BR26" s="305"/>
      <c r="BS26" s="305"/>
      <c r="BT26" s="305"/>
      <c r="BU26" s="305"/>
      <c r="BV26" s="305"/>
      <c r="BW26" s="300">
        <f t="shared" si="11"/>
        <v>0</v>
      </c>
      <c r="BX26" s="300"/>
      <c r="BY26" s="305"/>
      <c r="BZ26" s="305"/>
      <c r="CA26" s="305"/>
      <c r="CB26" s="305"/>
      <c r="CC26" s="305"/>
      <c r="CD26" s="305"/>
      <c r="CE26" s="305"/>
      <c r="CF26" s="300">
        <f t="shared" si="12"/>
        <v>0</v>
      </c>
      <c r="CG26" s="300"/>
      <c r="CH26" s="305"/>
      <c r="CI26" s="305"/>
      <c r="CJ26" s="305"/>
      <c r="CK26" s="305"/>
      <c r="CL26" s="305"/>
      <c r="CM26" s="305"/>
      <c r="CN26" s="305"/>
      <c r="CO26" s="300">
        <f t="shared" si="13"/>
        <v>0</v>
      </c>
      <c r="CQ26" s="307">
        <f t="shared" si="4"/>
        <v>0</v>
      </c>
      <c r="CR26" s="307">
        <f t="shared" si="5"/>
        <v>0</v>
      </c>
      <c r="CS26" s="307">
        <f t="shared" si="6"/>
        <v>0</v>
      </c>
      <c r="CT26" s="307">
        <f t="shared" si="7"/>
        <v>0</v>
      </c>
      <c r="CU26" s="307">
        <f t="shared" si="8"/>
        <v>0</v>
      </c>
      <c r="CV26" s="307">
        <f t="shared" si="9"/>
        <v>0</v>
      </c>
      <c r="CW26" s="307">
        <f t="shared" si="10"/>
        <v>0</v>
      </c>
      <c r="CX26" s="307">
        <f t="shared" si="14"/>
        <v>0</v>
      </c>
      <c r="CY26" s="307">
        <f t="shared" si="15"/>
        <v>0</v>
      </c>
    </row>
    <row r="27" spans="1:103" s="230" customFormat="1" ht="21" customHeight="1">
      <c r="A27" s="449">
        <v>5337120</v>
      </c>
      <c r="B27" s="286" t="s">
        <v>373</v>
      </c>
      <c r="C27" s="287" t="s">
        <v>544</v>
      </c>
      <c r="D27" s="288">
        <v>15.63</v>
      </c>
      <c r="E27" s="290"/>
      <c r="F27" s="310"/>
      <c r="G27" s="311"/>
      <c r="H27" s="293"/>
      <c r="I27" s="221"/>
      <c r="J27" s="294"/>
      <c r="K27" s="294"/>
      <c r="L27" s="295"/>
      <c r="M27" s="293"/>
      <c r="N27" s="221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  <c r="AC27" s="294"/>
      <c r="AD27" s="294"/>
      <c r="AE27" s="293"/>
      <c r="AF27" s="221"/>
      <c r="AG27" s="294"/>
      <c r="AH27" s="294"/>
      <c r="AI27" s="295"/>
      <c r="AJ27" s="293"/>
      <c r="AK27" s="295"/>
      <c r="AL27" s="295"/>
      <c r="AM27" s="295"/>
      <c r="AN27" s="295"/>
      <c r="AO27" s="295"/>
      <c r="AP27" s="295"/>
      <c r="AQ27" s="295"/>
      <c r="AR27" s="295"/>
      <c r="AS27" s="295"/>
      <c r="AT27" s="295"/>
      <c r="AU27" s="293"/>
      <c r="AV27" s="311"/>
      <c r="AW27" s="296"/>
      <c r="AX27" s="296"/>
      <c r="AY27" s="296"/>
      <c r="AZ27" s="296"/>
      <c r="BA27" s="296"/>
      <c r="BB27" s="296"/>
      <c r="BC27" s="296"/>
      <c r="BD27" s="293">
        <f t="shared" si="0"/>
        <v>0</v>
      </c>
      <c r="BE27" s="221"/>
      <c r="BF27" s="294"/>
      <c r="BG27" s="294"/>
      <c r="BH27" s="294"/>
      <c r="BI27" s="293">
        <f t="shared" si="16"/>
        <v>0</v>
      </c>
      <c r="BJ27" s="300"/>
      <c r="BK27" s="301">
        <f t="shared" si="1"/>
        <v>0</v>
      </c>
      <c r="BL27" s="312">
        <f t="shared" si="2"/>
        <v>0</v>
      </c>
      <c r="BM27" s="313">
        <f t="shared" si="3"/>
        <v>0</v>
      </c>
      <c r="BN27" s="314"/>
      <c r="BP27" s="305"/>
      <c r="BQ27" s="305"/>
      <c r="BR27" s="305"/>
      <c r="BS27" s="305"/>
      <c r="BT27" s="305"/>
      <c r="BU27" s="305"/>
      <c r="BV27" s="305"/>
      <c r="BW27" s="300">
        <f t="shared" si="11"/>
        <v>0</v>
      </c>
      <c r="BX27" s="300"/>
      <c r="BY27" s="305"/>
      <c r="BZ27" s="305"/>
      <c r="CA27" s="305"/>
      <c r="CB27" s="305"/>
      <c r="CC27" s="305"/>
      <c r="CD27" s="305"/>
      <c r="CE27" s="305"/>
      <c r="CF27" s="300">
        <f t="shared" si="12"/>
        <v>0</v>
      </c>
      <c r="CG27" s="300"/>
      <c r="CH27" s="305"/>
      <c r="CI27" s="305"/>
      <c r="CJ27" s="305"/>
      <c r="CK27" s="305"/>
      <c r="CL27" s="305"/>
      <c r="CM27" s="305"/>
      <c r="CN27" s="305"/>
      <c r="CO27" s="300">
        <f t="shared" si="13"/>
        <v>0</v>
      </c>
      <c r="CQ27" s="307">
        <f t="shared" si="4"/>
        <v>0</v>
      </c>
      <c r="CR27" s="307">
        <f t="shared" si="5"/>
        <v>0</v>
      </c>
      <c r="CS27" s="307">
        <f t="shared" si="6"/>
        <v>0</v>
      </c>
      <c r="CT27" s="307">
        <f t="shared" si="7"/>
        <v>0</v>
      </c>
      <c r="CU27" s="307">
        <f t="shared" si="8"/>
        <v>0</v>
      </c>
      <c r="CV27" s="307">
        <f t="shared" si="9"/>
        <v>0</v>
      </c>
      <c r="CW27" s="307">
        <f t="shared" si="10"/>
        <v>0</v>
      </c>
      <c r="CX27" s="307">
        <f t="shared" si="14"/>
        <v>0</v>
      </c>
      <c r="CY27" s="307">
        <f t="shared" si="15"/>
        <v>0</v>
      </c>
    </row>
    <row r="28" spans="1:103" s="230" customFormat="1" ht="21" customHeight="1">
      <c r="A28" s="449">
        <v>6941170</v>
      </c>
      <c r="B28" s="286" t="s">
        <v>373</v>
      </c>
      <c r="C28" s="287" t="s">
        <v>545</v>
      </c>
      <c r="D28" s="288">
        <v>29.53</v>
      </c>
      <c r="E28" s="290"/>
      <c r="F28" s="310"/>
      <c r="G28" s="311"/>
      <c r="H28" s="293"/>
      <c r="I28" s="221"/>
      <c r="J28" s="294"/>
      <c r="K28" s="294"/>
      <c r="L28" s="295"/>
      <c r="M28" s="293"/>
      <c r="N28" s="221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3"/>
      <c r="AF28" s="221"/>
      <c r="AG28" s="294"/>
      <c r="AH28" s="294"/>
      <c r="AI28" s="295"/>
      <c r="AJ28" s="293"/>
      <c r="AK28" s="295"/>
      <c r="AL28" s="295"/>
      <c r="AM28" s="295"/>
      <c r="AN28" s="295"/>
      <c r="AO28" s="295"/>
      <c r="AP28" s="295"/>
      <c r="AQ28" s="295"/>
      <c r="AR28" s="295"/>
      <c r="AS28" s="295"/>
      <c r="AT28" s="295"/>
      <c r="AU28" s="293"/>
      <c r="AV28" s="311"/>
      <c r="AW28" s="296"/>
      <c r="AX28" s="296"/>
      <c r="AY28" s="296"/>
      <c r="AZ28" s="296"/>
      <c r="BA28" s="296"/>
      <c r="BB28" s="296"/>
      <c r="BC28" s="296"/>
      <c r="BD28" s="293">
        <f t="shared" si="0"/>
        <v>0</v>
      </c>
      <c r="BE28" s="221"/>
      <c r="BF28" s="294"/>
      <c r="BG28" s="294"/>
      <c r="BH28" s="294"/>
      <c r="BI28" s="293">
        <f t="shared" si="16"/>
        <v>0</v>
      </c>
      <c r="BJ28" s="300"/>
      <c r="BK28" s="301">
        <f t="shared" si="1"/>
        <v>0</v>
      </c>
      <c r="BL28" s="312">
        <f t="shared" si="2"/>
        <v>0</v>
      </c>
      <c r="BM28" s="313">
        <f t="shared" si="3"/>
        <v>0</v>
      </c>
      <c r="BN28" s="314"/>
      <c r="BP28" s="305"/>
      <c r="BQ28" s="305"/>
      <c r="BR28" s="305"/>
      <c r="BS28" s="305"/>
      <c r="BT28" s="305"/>
      <c r="BU28" s="305"/>
      <c r="BV28" s="305"/>
      <c r="BW28" s="300">
        <f t="shared" si="11"/>
        <v>0</v>
      </c>
      <c r="BX28" s="300"/>
      <c r="BY28" s="305"/>
      <c r="BZ28" s="305"/>
      <c r="CA28" s="305"/>
      <c r="CB28" s="305"/>
      <c r="CC28" s="305"/>
      <c r="CD28" s="305"/>
      <c r="CE28" s="305"/>
      <c r="CF28" s="300">
        <f t="shared" si="12"/>
        <v>0</v>
      </c>
      <c r="CG28" s="300"/>
      <c r="CH28" s="305"/>
      <c r="CI28" s="305"/>
      <c r="CJ28" s="305"/>
      <c r="CK28" s="305"/>
      <c r="CL28" s="305"/>
      <c r="CM28" s="305"/>
      <c r="CN28" s="305"/>
      <c r="CO28" s="300">
        <f t="shared" si="13"/>
        <v>0</v>
      </c>
      <c r="CQ28" s="307">
        <f t="shared" si="4"/>
        <v>0</v>
      </c>
      <c r="CR28" s="307">
        <f t="shared" si="5"/>
        <v>0</v>
      </c>
      <c r="CS28" s="307">
        <f t="shared" si="6"/>
        <v>0</v>
      </c>
      <c r="CT28" s="307">
        <f t="shared" si="7"/>
        <v>0</v>
      </c>
      <c r="CU28" s="307">
        <f t="shared" si="8"/>
        <v>0</v>
      </c>
      <c r="CV28" s="307">
        <f t="shared" si="9"/>
        <v>0</v>
      </c>
      <c r="CW28" s="307">
        <f t="shared" si="10"/>
        <v>0</v>
      </c>
      <c r="CX28" s="307">
        <f t="shared" si="14"/>
        <v>0</v>
      </c>
      <c r="CY28" s="307">
        <f t="shared" si="15"/>
        <v>0</v>
      </c>
    </row>
    <row r="29" spans="1:103" s="230" customFormat="1" ht="21" customHeight="1">
      <c r="A29" s="449">
        <v>5463118</v>
      </c>
      <c r="B29" s="286" t="s">
        <v>373</v>
      </c>
      <c r="C29" s="287" t="s">
        <v>546</v>
      </c>
      <c r="D29" s="288">
        <v>4.7050000000000001</v>
      </c>
      <c r="E29" s="290"/>
      <c r="F29" s="310"/>
      <c r="G29" s="311"/>
      <c r="H29" s="293"/>
      <c r="I29" s="221"/>
      <c r="J29" s="294"/>
      <c r="K29" s="294"/>
      <c r="L29" s="295"/>
      <c r="M29" s="293"/>
      <c r="N29" s="221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  <c r="AE29" s="293"/>
      <c r="AF29" s="221"/>
      <c r="AG29" s="294"/>
      <c r="AH29" s="294"/>
      <c r="AI29" s="295"/>
      <c r="AJ29" s="293"/>
      <c r="AK29" s="295"/>
      <c r="AL29" s="295"/>
      <c r="AM29" s="295"/>
      <c r="AN29" s="295"/>
      <c r="AO29" s="295"/>
      <c r="AP29" s="295"/>
      <c r="AQ29" s="295"/>
      <c r="AR29" s="295"/>
      <c r="AS29" s="295"/>
      <c r="AT29" s="295"/>
      <c r="AU29" s="293"/>
      <c r="AV29" s="311"/>
      <c r="AW29" s="296"/>
      <c r="AX29" s="296"/>
      <c r="AY29" s="296"/>
      <c r="AZ29" s="296"/>
      <c r="BA29" s="296"/>
      <c r="BB29" s="296"/>
      <c r="BC29" s="296"/>
      <c r="BD29" s="293">
        <f t="shared" si="0"/>
        <v>0</v>
      </c>
      <c r="BE29" s="221"/>
      <c r="BF29" s="294"/>
      <c r="BG29" s="294"/>
      <c r="BH29" s="294"/>
      <c r="BI29" s="293">
        <f t="shared" si="16"/>
        <v>0</v>
      </c>
      <c r="BJ29" s="300"/>
      <c r="BK29" s="301">
        <f t="shared" si="1"/>
        <v>0</v>
      </c>
      <c r="BL29" s="312">
        <f t="shared" si="2"/>
        <v>0</v>
      </c>
      <c r="BM29" s="313">
        <f t="shared" si="3"/>
        <v>0</v>
      </c>
      <c r="BN29" s="314"/>
      <c r="BP29" s="305"/>
      <c r="BQ29" s="305"/>
      <c r="BR29" s="305"/>
      <c r="BS29" s="305"/>
      <c r="BT29" s="305"/>
      <c r="BU29" s="305"/>
      <c r="BV29" s="305"/>
      <c r="BW29" s="300">
        <f t="shared" si="11"/>
        <v>0</v>
      </c>
      <c r="BX29" s="300"/>
      <c r="BY29" s="305"/>
      <c r="BZ29" s="305"/>
      <c r="CA29" s="305"/>
      <c r="CB29" s="305"/>
      <c r="CC29" s="305"/>
      <c r="CD29" s="305"/>
      <c r="CE29" s="305"/>
      <c r="CF29" s="300">
        <f t="shared" si="12"/>
        <v>0</v>
      </c>
      <c r="CG29" s="300"/>
      <c r="CH29" s="305"/>
      <c r="CI29" s="305"/>
      <c r="CJ29" s="305"/>
      <c r="CK29" s="305"/>
      <c r="CL29" s="305"/>
      <c r="CM29" s="305"/>
      <c r="CN29" s="305"/>
      <c r="CO29" s="300">
        <f t="shared" si="13"/>
        <v>0</v>
      </c>
      <c r="CQ29" s="307">
        <f t="shared" si="4"/>
        <v>0</v>
      </c>
      <c r="CR29" s="307">
        <f t="shared" si="5"/>
        <v>0</v>
      </c>
      <c r="CS29" s="307">
        <f t="shared" si="6"/>
        <v>0</v>
      </c>
      <c r="CT29" s="307">
        <f t="shared" si="7"/>
        <v>0</v>
      </c>
      <c r="CU29" s="307">
        <f t="shared" si="8"/>
        <v>0</v>
      </c>
      <c r="CV29" s="307">
        <f t="shared" si="9"/>
        <v>0</v>
      </c>
      <c r="CW29" s="307">
        <f t="shared" si="10"/>
        <v>0</v>
      </c>
      <c r="CX29" s="307">
        <f t="shared" si="14"/>
        <v>0</v>
      </c>
      <c r="CY29" s="307">
        <f t="shared" si="15"/>
        <v>0</v>
      </c>
    </row>
    <row r="30" spans="1:103" s="230" customFormat="1" ht="21" customHeight="1">
      <c r="A30" s="449">
        <v>5463110</v>
      </c>
      <c r="B30" s="286" t="s">
        <v>373</v>
      </c>
      <c r="C30" s="287" t="s">
        <v>547</v>
      </c>
      <c r="D30" s="288">
        <v>2.9020000000000001</v>
      </c>
      <c r="E30" s="290"/>
      <c r="F30" s="310"/>
      <c r="G30" s="311"/>
      <c r="H30" s="293"/>
      <c r="I30" s="221"/>
      <c r="J30" s="294"/>
      <c r="K30" s="294"/>
      <c r="L30" s="295"/>
      <c r="M30" s="293"/>
      <c r="N30" s="221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3"/>
      <c r="AF30" s="221"/>
      <c r="AG30" s="294"/>
      <c r="AH30" s="294"/>
      <c r="AI30" s="295"/>
      <c r="AJ30" s="293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3"/>
      <c r="AV30" s="311"/>
      <c r="AW30" s="296"/>
      <c r="AX30" s="296"/>
      <c r="AY30" s="296"/>
      <c r="AZ30" s="296"/>
      <c r="BA30" s="296"/>
      <c r="BB30" s="296"/>
      <c r="BC30" s="296"/>
      <c r="BD30" s="293">
        <f t="shared" si="0"/>
        <v>0</v>
      </c>
      <c r="BE30" s="221"/>
      <c r="BF30" s="294"/>
      <c r="BG30" s="294"/>
      <c r="BH30" s="294"/>
      <c r="BI30" s="293">
        <f t="shared" si="16"/>
        <v>0</v>
      </c>
      <c r="BJ30" s="300"/>
      <c r="BK30" s="301">
        <f t="shared" si="1"/>
        <v>0</v>
      </c>
      <c r="BL30" s="312">
        <f t="shared" si="2"/>
        <v>0</v>
      </c>
      <c r="BM30" s="313">
        <f t="shared" si="3"/>
        <v>0</v>
      </c>
      <c r="BN30" s="314"/>
      <c r="BP30" s="305"/>
      <c r="BQ30" s="305"/>
      <c r="BR30" s="305"/>
      <c r="BS30" s="305"/>
      <c r="BT30" s="305"/>
      <c r="BU30" s="305"/>
      <c r="BV30" s="305"/>
      <c r="BW30" s="300">
        <f t="shared" si="11"/>
        <v>0</v>
      </c>
      <c r="BX30" s="300"/>
      <c r="BY30" s="305"/>
      <c r="BZ30" s="305"/>
      <c r="CA30" s="305"/>
      <c r="CB30" s="305"/>
      <c r="CC30" s="305"/>
      <c r="CD30" s="305"/>
      <c r="CE30" s="305"/>
      <c r="CF30" s="300">
        <f t="shared" si="12"/>
        <v>0</v>
      </c>
      <c r="CG30" s="300"/>
      <c r="CH30" s="305"/>
      <c r="CI30" s="305"/>
      <c r="CJ30" s="305"/>
      <c r="CK30" s="305"/>
      <c r="CL30" s="305"/>
      <c r="CM30" s="305"/>
      <c r="CN30" s="305"/>
      <c r="CO30" s="300">
        <f t="shared" si="13"/>
        <v>0</v>
      </c>
      <c r="CQ30" s="307">
        <f t="shared" si="4"/>
        <v>0</v>
      </c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7">
        <f t="shared" si="8"/>
        <v>0</v>
      </c>
      <c r="CV30" s="307">
        <f t="shared" si="9"/>
        <v>0</v>
      </c>
      <c r="CW30" s="307">
        <f t="shared" si="10"/>
        <v>0</v>
      </c>
      <c r="CX30" s="307">
        <f t="shared" si="14"/>
        <v>0</v>
      </c>
      <c r="CY30" s="307">
        <f t="shared" si="15"/>
        <v>0</v>
      </c>
    </row>
    <row r="31" spans="1:103" s="230" customFormat="1" ht="21" customHeight="1">
      <c r="A31" s="449">
        <v>5021407</v>
      </c>
      <c r="B31" s="286" t="s">
        <v>373</v>
      </c>
      <c r="C31" s="287" t="s">
        <v>521</v>
      </c>
      <c r="D31" s="288">
        <v>0.91600000000000004</v>
      </c>
      <c r="E31" s="290"/>
      <c r="F31" s="310"/>
      <c r="G31" s="311"/>
      <c r="H31" s="293"/>
      <c r="I31" s="221"/>
      <c r="J31" s="294"/>
      <c r="K31" s="294"/>
      <c r="L31" s="295"/>
      <c r="M31" s="293"/>
      <c r="N31" s="221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  <c r="AC31" s="294"/>
      <c r="AD31" s="294"/>
      <c r="AE31" s="293"/>
      <c r="AF31" s="221"/>
      <c r="AG31" s="294"/>
      <c r="AH31" s="294"/>
      <c r="AI31" s="295"/>
      <c r="AJ31" s="293"/>
      <c r="AK31" s="295"/>
      <c r="AL31" s="295"/>
      <c r="AM31" s="295"/>
      <c r="AN31" s="295"/>
      <c r="AO31" s="295"/>
      <c r="AP31" s="295"/>
      <c r="AQ31" s="295"/>
      <c r="AR31" s="295"/>
      <c r="AS31" s="295"/>
      <c r="AT31" s="295"/>
      <c r="AU31" s="293"/>
      <c r="AV31" s="311"/>
      <c r="AW31" s="296"/>
      <c r="AX31" s="296"/>
      <c r="AY31" s="296"/>
      <c r="AZ31" s="296"/>
      <c r="BA31" s="296"/>
      <c r="BB31" s="296"/>
      <c r="BC31" s="296"/>
      <c r="BD31" s="293">
        <f t="shared" si="0"/>
        <v>0</v>
      </c>
      <c r="BE31" s="221"/>
      <c r="BF31" s="294"/>
      <c r="BG31" s="294"/>
      <c r="BH31" s="294"/>
      <c r="BI31" s="293">
        <f t="shared" si="16"/>
        <v>0</v>
      </c>
      <c r="BJ31" s="300"/>
      <c r="BK31" s="301">
        <f t="shared" si="1"/>
        <v>0</v>
      </c>
      <c r="BL31" s="312">
        <f t="shared" si="2"/>
        <v>0</v>
      </c>
      <c r="BM31" s="313">
        <f t="shared" si="3"/>
        <v>0</v>
      </c>
      <c r="BN31" s="314"/>
      <c r="BP31" s="305"/>
      <c r="BQ31" s="305"/>
      <c r="BR31" s="305"/>
      <c r="BS31" s="305"/>
      <c r="BT31" s="305"/>
      <c r="BU31" s="305"/>
      <c r="BV31" s="305"/>
      <c r="BW31" s="300">
        <f t="shared" si="11"/>
        <v>0</v>
      </c>
      <c r="BX31" s="300"/>
      <c r="BY31" s="305"/>
      <c r="BZ31" s="305"/>
      <c r="CA31" s="305"/>
      <c r="CB31" s="305"/>
      <c r="CC31" s="305"/>
      <c r="CD31" s="305"/>
      <c r="CE31" s="305"/>
      <c r="CF31" s="300">
        <f t="shared" si="12"/>
        <v>0</v>
      </c>
      <c r="CG31" s="300"/>
      <c r="CH31" s="305"/>
      <c r="CI31" s="305"/>
      <c r="CJ31" s="305"/>
      <c r="CK31" s="305"/>
      <c r="CL31" s="305"/>
      <c r="CM31" s="305"/>
      <c r="CN31" s="305"/>
      <c r="CO31" s="300">
        <f t="shared" si="13"/>
        <v>0</v>
      </c>
      <c r="CQ31" s="307">
        <f t="shared" si="4"/>
        <v>0</v>
      </c>
      <c r="CR31" s="307">
        <f t="shared" si="5"/>
        <v>0</v>
      </c>
      <c r="CS31" s="307">
        <f t="shared" si="6"/>
        <v>0</v>
      </c>
      <c r="CT31" s="307">
        <f t="shared" si="7"/>
        <v>0</v>
      </c>
      <c r="CU31" s="307">
        <f t="shared" si="8"/>
        <v>0</v>
      </c>
      <c r="CV31" s="307">
        <f t="shared" si="9"/>
        <v>0</v>
      </c>
      <c r="CW31" s="307">
        <f t="shared" si="10"/>
        <v>0</v>
      </c>
      <c r="CX31" s="307">
        <f t="shared" si="14"/>
        <v>0</v>
      </c>
      <c r="CY31" s="307">
        <f t="shared" si="15"/>
        <v>0</v>
      </c>
    </row>
    <row r="32" spans="1:103" s="230" customFormat="1" ht="21" customHeight="1">
      <c r="A32" s="449">
        <v>5567063</v>
      </c>
      <c r="B32" s="286" t="s">
        <v>373</v>
      </c>
      <c r="C32" s="287" t="s">
        <v>372</v>
      </c>
      <c r="D32" s="288" t="e">
        <v>#N/A</v>
      </c>
      <c r="E32" s="290"/>
      <c r="F32" s="310"/>
      <c r="G32" s="311"/>
      <c r="H32" s="293"/>
      <c r="I32" s="221"/>
      <c r="J32" s="294"/>
      <c r="K32" s="294"/>
      <c r="L32" s="295"/>
      <c r="M32" s="293"/>
      <c r="N32" s="221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  <c r="AC32" s="294"/>
      <c r="AD32" s="294"/>
      <c r="AE32" s="293"/>
      <c r="AF32" s="221"/>
      <c r="AG32" s="294"/>
      <c r="AH32" s="294"/>
      <c r="AI32" s="295"/>
      <c r="AJ32" s="293"/>
      <c r="AK32" s="295"/>
      <c r="AL32" s="295"/>
      <c r="AM32" s="295"/>
      <c r="AN32" s="295"/>
      <c r="AO32" s="295"/>
      <c r="AP32" s="295"/>
      <c r="AQ32" s="295"/>
      <c r="AR32" s="295"/>
      <c r="AS32" s="295"/>
      <c r="AT32" s="295"/>
      <c r="AU32" s="293"/>
      <c r="AV32" s="311"/>
      <c r="AW32" s="296"/>
      <c r="AX32" s="296"/>
      <c r="AY32" s="296"/>
      <c r="AZ32" s="296"/>
      <c r="BA32" s="296"/>
      <c r="BB32" s="296"/>
      <c r="BC32" s="296"/>
      <c r="BD32" s="293">
        <f t="shared" si="0"/>
        <v>0</v>
      </c>
      <c r="BE32" s="221"/>
      <c r="BF32" s="294"/>
      <c r="BG32" s="294"/>
      <c r="BH32" s="294"/>
      <c r="BI32" s="293">
        <f t="shared" si="16"/>
        <v>0</v>
      </c>
      <c r="BJ32" s="300"/>
      <c r="BK32" s="301">
        <f t="shared" si="1"/>
        <v>0</v>
      </c>
      <c r="BL32" s="312">
        <f t="shared" si="2"/>
        <v>0</v>
      </c>
      <c r="BM32" s="313">
        <f t="shared" si="3"/>
        <v>0</v>
      </c>
      <c r="BN32" s="314"/>
      <c r="BP32" s="305"/>
      <c r="BQ32" s="305"/>
      <c r="BR32" s="305"/>
      <c r="BS32" s="305"/>
      <c r="BT32" s="305"/>
      <c r="BU32" s="305"/>
      <c r="BV32" s="305"/>
      <c r="BW32" s="300">
        <f t="shared" si="11"/>
        <v>0</v>
      </c>
      <c r="BX32" s="300"/>
      <c r="BY32" s="305"/>
      <c r="BZ32" s="305"/>
      <c r="CA32" s="305"/>
      <c r="CB32" s="305"/>
      <c r="CC32" s="305"/>
      <c r="CD32" s="305"/>
      <c r="CE32" s="305"/>
      <c r="CF32" s="300">
        <f t="shared" si="12"/>
        <v>0</v>
      </c>
      <c r="CG32" s="300"/>
      <c r="CH32" s="305"/>
      <c r="CI32" s="305"/>
      <c r="CJ32" s="305"/>
      <c r="CK32" s="305"/>
      <c r="CL32" s="305"/>
      <c r="CM32" s="305"/>
      <c r="CN32" s="305"/>
      <c r="CO32" s="300">
        <f t="shared" si="13"/>
        <v>0</v>
      </c>
      <c r="CQ32" s="307">
        <f t="shared" si="4"/>
        <v>0</v>
      </c>
      <c r="CR32" s="307">
        <f t="shared" si="5"/>
        <v>0</v>
      </c>
      <c r="CS32" s="307">
        <f t="shared" si="6"/>
        <v>0</v>
      </c>
      <c r="CT32" s="307">
        <f t="shared" si="7"/>
        <v>0</v>
      </c>
      <c r="CU32" s="307">
        <f t="shared" si="8"/>
        <v>0</v>
      </c>
      <c r="CV32" s="307">
        <f t="shared" si="9"/>
        <v>0</v>
      </c>
      <c r="CW32" s="307">
        <f t="shared" si="10"/>
        <v>0</v>
      </c>
      <c r="CX32" s="307">
        <f t="shared" si="14"/>
        <v>0</v>
      </c>
      <c r="CY32" s="307">
        <f t="shared" si="15"/>
        <v>0</v>
      </c>
    </row>
    <row r="33" spans="1:103" s="230" customFormat="1" ht="21" customHeight="1">
      <c r="A33" s="449">
        <v>6941274</v>
      </c>
      <c r="B33" s="286" t="s">
        <v>373</v>
      </c>
      <c r="C33" s="287" t="s">
        <v>522</v>
      </c>
      <c r="D33" s="288">
        <v>10.584</v>
      </c>
      <c r="E33" s="290"/>
      <c r="F33" s="310"/>
      <c r="G33" s="311"/>
      <c r="H33" s="293"/>
      <c r="I33" s="221"/>
      <c r="J33" s="294"/>
      <c r="K33" s="294"/>
      <c r="L33" s="295"/>
      <c r="M33" s="293"/>
      <c r="N33" s="221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4"/>
      <c r="AB33" s="294"/>
      <c r="AC33" s="294"/>
      <c r="AD33" s="294"/>
      <c r="AE33" s="293"/>
      <c r="AF33" s="221"/>
      <c r="AG33" s="294"/>
      <c r="AH33" s="294"/>
      <c r="AI33" s="295"/>
      <c r="AJ33" s="293"/>
      <c r="AK33" s="295"/>
      <c r="AL33" s="295"/>
      <c r="AM33" s="295"/>
      <c r="AN33" s="295"/>
      <c r="AO33" s="295"/>
      <c r="AP33" s="295"/>
      <c r="AQ33" s="295"/>
      <c r="AR33" s="295"/>
      <c r="AS33" s="295"/>
      <c r="AT33" s="295"/>
      <c r="AU33" s="293"/>
      <c r="AV33" s="311"/>
      <c r="AW33" s="296"/>
      <c r="AX33" s="296"/>
      <c r="AY33" s="296"/>
      <c r="AZ33" s="296"/>
      <c r="BA33" s="296"/>
      <c r="BB33" s="296"/>
      <c r="BC33" s="296"/>
      <c r="BD33" s="293">
        <f t="shared" si="0"/>
        <v>0</v>
      </c>
      <c r="BE33" s="221"/>
      <c r="BF33" s="294"/>
      <c r="BG33" s="294"/>
      <c r="BH33" s="294"/>
      <c r="BI33" s="293">
        <f t="shared" si="16"/>
        <v>0</v>
      </c>
      <c r="BJ33" s="300"/>
      <c r="BK33" s="301">
        <f t="shared" si="1"/>
        <v>0</v>
      </c>
      <c r="BL33" s="312">
        <f t="shared" si="2"/>
        <v>0</v>
      </c>
      <c r="BM33" s="313">
        <f t="shared" si="3"/>
        <v>0</v>
      </c>
      <c r="BN33" s="314"/>
      <c r="BP33" s="305"/>
      <c r="BQ33" s="305"/>
      <c r="BR33" s="305"/>
      <c r="BS33" s="305"/>
      <c r="BT33" s="305"/>
      <c r="BU33" s="305"/>
      <c r="BV33" s="305"/>
      <c r="BW33" s="300">
        <f t="shared" si="11"/>
        <v>0</v>
      </c>
      <c r="BX33" s="300"/>
      <c r="BY33" s="305"/>
      <c r="BZ33" s="305"/>
      <c r="CA33" s="305"/>
      <c r="CB33" s="305"/>
      <c r="CC33" s="305"/>
      <c r="CD33" s="305"/>
      <c r="CE33" s="305"/>
      <c r="CF33" s="300">
        <f t="shared" si="12"/>
        <v>0</v>
      </c>
      <c r="CG33" s="300"/>
      <c r="CH33" s="305"/>
      <c r="CI33" s="305"/>
      <c r="CJ33" s="305"/>
      <c r="CK33" s="305"/>
      <c r="CL33" s="305"/>
      <c r="CM33" s="305"/>
      <c r="CN33" s="305"/>
      <c r="CO33" s="300">
        <f t="shared" si="13"/>
        <v>0</v>
      </c>
      <c r="CQ33" s="307">
        <f t="shared" si="4"/>
        <v>0</v>
      </c>
      <c r="CR33" s="307">
        <f t="shared" si="5"/>
        <v>0</v>
      </c>
      <c r="CS33" s="307">
        <f t="shared" si="6"/>
        <v>0</v>
      </c>
      <c r="CT33" s="307">
        <f t="shared" si="7"/>
        <v>0</v>
      </c>
      <c r="CU33" s="307">
        <f t="shared" si="8"/>
        <v>0</v>
      </c>
      <c r="CV33" s="307">
        <f t="shared" si="9"/>
        <v>0</v>
      </c>
      <c r="CW33" s="307">
        <f t="shared" si="10"/>
        <v>0</v>
      </c>
      <c r="CX33" s="307">
        <f t="shared" si="14"/>
        <v>0</v>
      </c>
      <c r="CY33" s="307">
        <f t="shared" si="15"/>
        <v>0</v>
      </c>
    </row>
    <row r="34" spans="1:103" s="230" customFormat="1" ht="21" customHeight="1">
      <c r="A34" s="449">
        <v>1014213</v>
      </c>
      <c r="B34" s="309" t="s">
        <v>373</v>
      </c>
      <c r="C34" s="287" t="s">
        <v>501</v>
      </c>
      <c r="D34" s="288" t="e">
        <v>#N/A</v>
      </c>
      <c r="E34" s="290"/>
      <c r="F34" s="310"/>
      <c r="G34" s="311"/>
      <c r="H34" s="293"/>
      <c r="I34" s="221"/>
      <c r="J34" s="294"/>
      <c r="K34" s="294"/>
      <c r="L34" s="295"/>
      <c r="M34" s="293"/>
      <c r="N34" s="221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  <c r="AA34" s="294"/>
      <c r="AB34" s="294"/>
      <c r="AC34" s="294"/>
      <c r="AD34" s="294"/>
      <c r="AE34" s="293"/>
      <c r="AF34" s="221"/>
      <c r="AG34" s="294"/>
      <c r="AH34" s="294"/>
      <c r="AI34" s="295"/>
      <c r="AJ34" s="293"/>
      <c r="AK34" s="295"/>
      <c r="AL34" s="295"/>
      <c r="AM34" s="295"/>
      <c r="AN34" s="295"/>
      <c r="AO34" s="295"/>
      <c r="AP34" s="295"/>
      <c r="AQ34" s="295"/>
      <c r="AR34" s="295"/>
      <c r="AS34" s="295"/>
      <c r="AT34" s="295"/>
      <c r="AU34" s="293"/>
      <c r="AV34" s="311"/>
      <c r="AW34" s="296"/>
      <c r="AX34" s="296"/>
      <c r="AY34" s="296"/>
      <c r="AZ34" s="296"/>
      <c r="BA34" s="296"/>
      <c r="BB34" s="296"/>
      <c r="BC34" s="296"/>
      <c r="BD34" s="293">
        <f t="shared" si="0"/>
        <v>0</v>
      </c>
      <c r="BE34" s="221"/>
      <c r="BF34" s="294"/>
      <c r="BG34" s="294"/>
      <c r="BH34" s="294"/>
      <c r="BI34" s="293">
        <f t="shared" si="16"/>
        <v>0</v>
      </c>
      <c r="BJ34" s="300"/>
      <c r="BK34" s="301">
        <f t="shared" si="1"/>
        <v>0</v>
      </c>
      <c r="BL34" s="312">
        <f t="shared" si="2"/>
        <v>0</v>
      </c>
      <c r="BM34" s="313">
        <f t="shared" si="3"/>
        <v>0</v>
      </c>
      <c r="BN34" s="314"/>
      <c r="BP34" s="305"/>
      <c r="BQ34" s="305"/>
      <c r="BR34" s="305"/>
      <c r="BS34" s="305"/>
      <c r="BT34" s="305"/>
      <c r="BU34" s="305"/>
      <c r="BV34" s="305"/>
      <c r="BW34" s="300">
        <f t="shared" si="11"/>
        <v>0</v>
      </c>
      <c r="BX34" s="300"/>
      <c r="BY34" s="305"/>
      <c r="BZ34" s="305"/>
      <c r="CA34" s="305"/>
      <c r="CB34" s="305"/>
      <c r="CC34" s="305"/>
      <c r="CD34" s="305"/>
      <c r="CE34" s="305"/>
      <c r="CF34" s="300">
        <f t="shared" si="12"/>
        <v>0</v>
      </c>
      <c r="CG34" s="300"/>
      <c r="CH34" s="305"/>
      <c r="CI34" s="305"/>
      <c r="CJ34" s="305"/>
      <c r="CK34" s="305"/>
      <c r="CL34" s="305"/>
      <c r="CM34" s="305"/>
      <c r="CN34" s="305"/>
      <c r="CO34" s="300">
        <f t="shared" si="13"/>
        <v>0</v>
      </c>
      <c r="CQ34" s="307">
        <f t="shared" si="4"/>
        <v>0</v>
      </c>
      <c r="CR34" s="307">
        <f t="shared" si="5"/>
        <v>0</v>
      </c>
      <c r="CS34" s="307">
        <f t="shared" si="6"/>
        <v>0</v>
      </c>
      <c r="CT34" s="307">
        <f t="shared" si="7"/>
        <v>0</v>
      </c>
      <c r="CU34" s="307">
        <f t="shared" si="8"/>
        <v>0</v>
      </c>
      <c r="CV34" s="307">
        <f t="shared" si="9"/>
        <v>0</v>
      </c>
      <c r="CW34" s="307">
        <f t="shared" si="10"/>
        <v>0</v>
      </c>
      <c r="CX34" s="307">
        <f t="shared" si="14"/>
        <v>0</v>
      </c>
      <c r="CY34" s="307">
        <f t="shared" si="15"/>
        <v>0</v>
      </c>
    </row>
    <row r="35" spans="1:103" s="230" customFormat="1" ht="21" customHeight="1">
      <c r="A35" s="449">
        <v>1014308</v>
      </c>
      <c r="B35" s="309" t="s">
        <v>373</v>
      </c>
      <c r="C35" s="287" t="s">
        <v>402</v>
      </c>
      <c r="D35" s="288" t="e">
        <v>#N/A</v>
      </c>
      <c r="E35" s="290"/>
      <c r="F35" s="310"/>
      <c r="G35" s="311"/>
      <c r="H35" s="293"/>
      <c r="I35" s="221"/>
      <c r="J35" s="294"/>
      <c r="K35" s="294"/>
      <c r="L35" s="295"/>
      <c r="M35" s="293"/>
      <c r="N35" s="221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  <c r="AA35" s="294"/>
      <c r="AB35" s="294"/>
      <c r="AC35" s="294"/>
      <c r="AD35" s="294"/>
      <c r="AE35" s="293"/>
      <c r="AF35" s="221"/>
      <c r="AG35" s="294"/>
      <c r="AH35" s="294"/>
      <c r="AI35" s="295"/>
      <c r="AJ35" s="293"/>
      <c r="AK35" s="295"/>
      <c r="AL35" s="295"/>
      <c r="AM35" s="295"/>
      <c r="AN35" s="295"/>
      <c r="AO35" s="295"/>
      <c r="AP35" s="295"/>
      <c r="AQ35" s="295"/>
      <c r="AR35" s="295"/>
      <c r="AS35" s="295"/>
      <c r="AT35" s="295"/>
      <c r="AU35" s="293"/>
      <c r="AV35" s="311"/>
      <c r="AW35" s="296"/>
      <c r="AX35" s="296"/>
      <c r="AY35" s="296"/>
      <c r="AZ35" s="296"/>
      <c r="BA35" s="296"/>
      <c r="BB35" s="296"/>
      <c r="BC35" s="296"/>
      <c r="BD35" s="293">
        <f t="shared" si="0"/>
        <v>0</v>
      </c>
      <c r="BE35" s="221"/>
      <c r="BF35" s="294"/>
      <c r="BG35" s="294"/>
      <c r="BH35" s="294"/>
      <c r="BI35" s="293">
        <f t="shared" si="16"/>
        <v>0</v>
      </c>
      <c r="BJ35" s="300"/>
      <c r="BK35" s="301">
        <f t="shared" si="1"/>
        <v>0</v>
      </c>
      <c r="BL35" s="312">
        <f t="shared" si="2"/>
        <v>0</v>
      </c>
      <c r="BM35" s="313">
        <f t="shared" si="3"/>
        <v>0</v>
      </c>
      <c r="BN35" s="314"/>
      <c r="BP35" s="305"/>
      <c r="BQ35" s="305"/>
      <c r="BR35" s="305"/>
      <c r="BS35" s="305"/>
      <c r="BT35" s="305"/>
      <c r="BU35" s="305"/>
      <c r="BV35" s="305"/>
      <c r="BW35" s="300">
        <f t="shared" si="11"/>
        <v>0</v>
      </c>
      <c r="BX35" s="300"/>
      <c r="BY35" s="305"/>
      <c r="BZ35" s="305"/>
      <c r="CA35" s="305"/>
      <c r="CB35" s="305"/>
      <c r="CC35" s="305"/>
      <c r="CD35" s="305"/>
      <c r="CE35" s="305"/>
      <c r="CF35" s="300">
        <f t="shared" si="12"/>
        <v>0</v>
      </c>
      <c r="CG35" s="300"/>
      <c r="CH35" s="305"/>
      <c r="CI35" s="305"/>
      <c r="CJ35" s="305"/>
      <c r="CK35" s="305"/>
      <c r="CL35" s="305"/>
      <c r="CM35" s="305"/>
      <c r="CN35" s="305"/>
      <c r="CO35" s="300">
        <f t="shared" si="13"/>
        <v>0</v>
      </c>
      <c r="CQ35" s="307">
        <f t="shared" si="4"/>
        <v>0</v>
      </c>
      <c r="CR35" s="307">
        <f t="shared" si="5"/>
        <v>0</v>
      </c>
      <c r="CS35" s="307">
        <f t="shared" si="6"/>
        <v>0</v>
      </c>
      <c r="CT35" s="307">
        <f t="shared" si="7"/>
        <v>0</v>
      </c>
      <c r="CU35" s="307">
        <f t="shared" si="8"/>
        <v>0</v>
      </c>
      <c r="CV35" s="307">
        <f t="shared" si="9"/>
        <v>0</v>
      </c>
      <c r="CW35" s="307">
        <f t="shared" si="10"/>
        <v>0</v>
      </c>
      <c r="CX35" s="307">
        <f t="shared" si="14"/>
        <v>0</v>
      </c>
      <c r="CY35" s="307">
        <f t="shared" si="15"/>
        <v>0</v>
      </c>
    </row>
    <row r="36" spans="1:103" s="230" customFormat="1" ht="21" customHeight="1">
      <c r="A36" s="448">
        <v>6933194</v>
      </c>
      <c r="B36" s="309" t="s">
        <v>373</v>
      </c>
      <c r="C36" s="287" t="s">
        <v>548</v>
      </c>
      <c r="D36" s="288">
        <v>99.575000000000003</v>
      </c>
      <c r="E36" s="290"/>
      <c r="F36" s="310"/>
      <c r="G36" s="311"/>
      <c r="H36" s="293"/>
      <c r="I36" s="221"/>
      <c r="J36" s="294"/>
      <c r="K36" s="294"/>
      <c r="L36" s="295"/>
      <c r="M36" s="293"/>
      <c r="N36" s="221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94"/>
      <c r="AB36" s="294"/>
      <c r="AC36" s="294"/>
      <c r="AD36" s="294"/>
      <c r="AE36" s="293"/>
      <c r="AF36" s="221"/>
      <c r="AG36" s="294"/>
      <c r="AH36" s="294"/>
      <c r="AI36" s="295"/>
      <c r="AJ36" s="293"/>
      <c r="AK36" s="295"/>
      <c r="AL36" s="295"/>
      <c r="AM36" s="295"/>
      <c r="AN36" s="295"/>
      <c r="AO36" s="295"/>
      <c r="AP36" s="295"/>
      <c r="AQ36" s="295"/>
      <c r="AR36" s="295"/>
      <c r="AS36" s="295"/>
      <c r="AT36" s="295"/>
      <c r="AU36" s="293"/>
      <c r="AV36" s="311"/>
      <c r="AW36" s="296"/>
      <c r="AX36" s="296"/>
      <c r="AY36" s="296"/>
      <c r="AZ36" s="296"/>
      <c r="BA36" s="296"/>
      <c r="BB36" s="296"/>
      <c r="BC36" s="296"/>
      <c r="BD36" s="293">
        <f t="shared" si="0"/>
        <v>0</v>
      </c>
      <c r="BE36" s="221"/>
      <c r="BF36" s="294"/>
      <c r="BG36" s="294"/>
      <c r="BH36" s="294"/>
      <c r="BI36" s="293">
        <f t="shared" si="16"/>
        <v>0</v>
      </c>
      <c r="BJ36" s="300"/>
      <c r="BK36" s="301">
        <f t="shared" si="1"/>
        <v>0</v>
      </c>
      <c r="BL36" s="312">
        <f t="shared" si="2"/>
        <v>0</v>
      </c>
      <c r="BM36" s="313">
        <f t="shared" si="3"/>
        <v>0</v>
      </c>
      <c r="BN36" s="314"/>
      <c r="BP36" s="305"/>
      <c r="BQ36" s="305"/>
      <c r="BR36" s="305"/>
      <c r="BS36" s="305"/>
      <c r="BT36" s="305"/>
      <c r="BU36" s="305"/>
      <c r="BV36" s="305"/>
      <c r="BW36" s="300">
        <f t="shared" si="11"/>
        <v>0</v>
      </c>
      <c r="BX36" s="300"/>
      <c r="BY36" s="305"/>
      <c r="BZ36" s="305"/>
      <c r="CA36" s="305"/>
      <c r="CB36" s="305"/>
      <c r="CC36" s="305"/>
      <c r="CD36" s="305"/>
      <c r="CE36" s="305"/>
      <c r="CF36" s="300">
        <f t="shared" si="12"/>
        <v>0</v>
      </c>
      <c r="CG36" s="300"/>
      <c r="CH36" s="305"/>
      <c r="CI36" s="305"/>
      <c r="CJ36" s="305"/>
      <c r="CK36" s="305"/>
      <c r="CL36" s="305"/>
      <c r="CM36" s="305"/>
      <c r="CN36" s="305"/>
      <c r="CO36" s="300">
        <f t="shared" si="13"/>
        <v>0</v>
      </c>
      <c r="CQ36" s="307">
        <f t="shared" si="4"/>
        <v>0</v>
      </c>
      <c r="CR36" s="307">
        <f t="shared" si="5"/>
        <v>0</v>
      </c>
      <c r="CS36" s="307">
        <f t="shared" si="6"/>
        <v>0</v>
      </c>
      <c r="CT36" s="307">
        <f t="shared" si="7"/>
        <v>0</v>
      </c>
      <c r="CU36" s="307">
        <f t="shared" si="8"/>
        <v>0</v>
      </c>
      <c r="CV36" s="307">
        <f t="shared" si="9"/>
        <v>0</v>
      </c>
      <c r="CW36" s="307">
        <f t="shared" si="10"/>
        <v>0</v>
      </c>
      <c r="CX36" s="307">
        <f t="shared" si="14"/>
        <v>0</v>
      </c>
      <c r="CY36" s="307">
        <f t="shared" si="15"/>
        <v>0</v>
      </c>
    </row>
    <row r="37" spans="1:103" s="230" customFormat="1" ht="21" customHeight="1">
      <c r="A37" s="448">
        <v>5023720</v>
      </c>
      <c r="B37" s="309" t="s">
        <v>373</v>
      </c>
      <c r="C37" s="287" t="s">
        <v>549</v>
      </c>
      <c r="D37" s="288">
        <v>3.4430000000000001</v>
      </c>
      <c r="E37" s="290"/>
      <c r="F37" s="310"/>
      <c r="G37" s="311"/>
      <c r="H37" s="293"/>
      <c r="I37" s="221"/>
      <c r="J37" s="294"/>
      <c r="K37" s="294"/>
      <c r="L37" s="295"/>
      <c r="M37" s="293"/>
      <c r="N37" s="221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3"/>
      <c r="AF37" s="221"/>
      <c r="AG37" s="294"/>
      <c r="AH37" s="294"/>
      <c r="AI37" s="295"/>
      <c r="AJ37" s="293"/>
      <c r="AK37" s="295"/>
      <c r="AL37" s="295"/>
      <c r="AM37" s="295"/>
      <c r="AN37" s="295"/>
      <c r="AO37" s="295"/>
      <c r="AP37" s="295"/>
      <c r="AQ37" s="295"/>
      <c r="AR37" s="295"/>
      <c r="AS37" s="295"/>
      <c r="AT37" s="295"/>
      <c r="AU37" s="293"/>
      <c r="AV37" s="311"/>
      <c r="AW37" s="296"/>
      <c r="AX37" s="296"/>
      <c r="AY37" s="296"/>
      <c r="AZ37" s="296"/>
      <c r="BA37" s="296"/>
      <c r="BB37" s="296"/>
      <c r="BC37" s="296"/>
      <c r="BD37" s="293">
        <f t="shared" si="0"/>
        <v>0</v>
      </c>
      <c r="BE37" s="221"/>
      <c r="BF37" s="294"/>
      <c r="BG37" s="294"/>
      <c r="BH37" s="294"/>
      <c r="BI37" s="293">
        <f t="shared" si="16"/>
        <v>0</v>
      </c>
      <c r="BJ37" s="300"/>
      <c r="BK37" s="301">
        <f t="shared" si="1"/>
        <v>0</v>
      </c>
      <c r="BL37" s="312">
        <f t="shared" si="2"/>
        <v>0</v>
      </c>
      <c r="BM37" s="313">
        <f t="shared" si="3"/>
        <v>0</v>
      </c>
      <c r="BN37" s="314"/>
      <c r="BP37" s="305"/>
      <c r="BQ37" s="305"/>
      <c r="BR37" s="305"/>
      <c r="BS37" s="305"/>
      <c r="BT37" s="305"/>
      <c r="BU37" s="305"/>
      <c r="BV37" s="305"/>
      <c r="BW37" s="300">
        <f t="shared" si="11"/>
        <v>0</v>
      </c>
      <c r="BX37" s="300"/>
      <c r="BY37" s="305"/>
      <c r="BZ37" s="305"/>
      <c r="CA37" s="305"/>
      <c r="CB37" s="305"/>
      <c r="CC37" s="305"/>
      <c r="CD37" s="305"/>
      <c r="CE37" s="305"/>
      <c r="CF37" s="300">
        <f t="shared" si="12"/>
        <v>0</v>
      </c>
      <c r="CG37" s="300"/>
      <c r="CH37" s="305"/>
      <c r="CI37" s="305"/>
      <c r="CJ37" s="305"/>
      <c r="CK37" s="305"/>
      <c r="CL37" s="305"/>
      <c r="CM37" s="305"/>
      <c r="CN37" s="305"/>
      <c r="CO37" s="300">
        <f t="shared" si="13"/>
        <v>0</v>
      </c>
      <c r="CQ37" s="307">
        <f t="shared" si="4"/>
        <v>0</v>
      </c>
      <c r="CR37" s="307">
        <f t="shared" si="5"/>
        <v>0</v>
      </c>
      <c r="CS37" s="307">
        <f t="shared" si="6"/>
        <v>0</v>
      </c>
      <c r="CT37" s="307">
        <f t="shared" si="7"/>
        <v>0</v>
      </c>
      <c r="CU37" s="307">
        <f t="shared" si="8"/>
        <v>0</v>
      </c>
      <c r="CV37" s="307">
        <f t="shared" si="9"/>
        <v>0</v>
      </c>
      <c r="CW37" s="307">
        <f t="shared" si="10"/>
        <v>0</v>
      </c>
      <c r="CX37" s="307">
        <f t="shared" si="14"/>
        <v>0</v>
      </c>
      <c r="CY37" s="307">
        <f t="shared" si="15"/>
        <v>0</v>
      </c>
    </row>
    <row r="38" spans="1:103" s="230" customFormat="1" ht="21" customHeight="1">
      <c r="A38" s="448">
        <v>6941188</v>
      </c>
      <c r="B38" s="309" t="s">
        <v>373</v>
      </c>
      <c r="C38" s="287" t="s">
        <v>550</v>
      </c>
      <c r="D38" s="288">
        <v>13.994999999999999</v>
      </c>
      <c r="E38" s="290"/>
      <c r="F38" s="310"/>
      <c r="G38" s="311"/>
      <c r="H38" s="293"/>
      <c r="I38" s="221"/>
      <c r="J38" s="294"/>
      <c r="K38" s="294"/>
      <c r="L38" s="295"/>
      <c r="M38" s="293"/>
      <c r="N38" s="221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3"/>
      <c r="AF38" s="221"/>
      <c r="AG38" s="294"/>
      <c r="AH38" s="294"/>
      <c r="AI38" s="295"/>
      <c r="AJ38" s="293"/>
      <c r="AK38" s="295"/>
      <c r="AL38" s="295"/>
      <c r="AM38" s="295"/>
      <c r="AN38" s="295"/>
      <c r="AO38" s="295"/>
      <c r="AP38" s="295"/>
      <c r="AQ38" s="295"/>
      <c r="AR38" s="295"/>
      <c r="AS38" s="295"/>
      <c r="AT38" s="295"/>
      <c r="AU38" s="293"/>
      <c r="AV38" s="311"/>
      <c r="AW38" s="296"/>
      <c r="AX38" s="296"/>
      <c r="AY38" s="296"/>
      <c r="AZ38" s="296"/>
      <c r="BA38" s="296"/>
      <c r="BB38" s="296"/>
      <c r="BC38" s="296"/>
      <c r="BD38" s="293">
        <f t="shared" si="0"/>
        <v>0</v>
      </c>
      <c r="BE38" s="221"/>
      <c r="BF38" s="294"/>
      <c r="BG38" s="294"/>
      <c r="BH38" s="294"/>
      <c r="BI38" s="293">
        <f t="shared" si="16"/>
        <v>0</v>
      </c>
      <c r="BJ38" s="300"/>
      <c r="BK38" s="301">
        <f t="shared" si="1"/>
        <v>0</v>
      </c>
      <c r="BL38" s="312">
        <f t="shared" si="2"/>
        <v>0</v>
      </c>
      <c r="BM38" s="313">
        <f t="shared" si="3"/>
        <v>0</v>
      </c>
      <c r="BN38" s="314"/>
      <c r="BP38" s="305"/>
      <c r="BQ38" s="305"/>
      <c r="BR38" s="305"/>
      <c r="BS38" s="305"/>
      <c r="BT38" s="305"/>
      <c r="BU38" s="305"/>
      <c r="BV38" s="305"/>
      <c r="BW38" s="300">
        <f t="shared" si="11"/>
        <v>0</v>
      </c>
      <c r="BX38" s="300"/>
      <c r="BY38" s="305"/>
      <c r="BZ38" s="305"/>
      <c r="CA38" s="305"/>
      <c r="CB38" s="305"/>
      <c r="CC38" s="305"/>
      <c r="CD38" s="305"/>
      <c r="CE38" s="305"/>
      <c r="CF38" s="300">
        <f t="shared" si="12"/>
        <v>0</v>
      </c>
      <c r="CG38" s="300"/>
      <c r="CH38" s="305"/>
      <c r="CI38" s="305"/>
      <c r="CJ38" s="305"/>
      <c r="CK38" s="305"/>
      <c r="CL38" s="305"/>
      <c r="CM38" s="305"/>
      <c r="CN38" s="305"/>
      <c r="CO38" s="300">
        <f t="shared" si="13"/>
        <v>0</v>
      </c>
      <c r="CQ38" s="307">
        <f t="shared" si="4"/>
        <v>0</v>
      </c>
      <c r="CR38" s="307">
        <f t="shared" si="5"/>
        <v>0</v>
      </c>
      <c r="CS38" s="307">
        <f t="shared" si="6"/>
        <v>0</v>
      </c>
      <c r="CT38" s="307">
        <f t="shared" si="7"/>
        <v>0</v>
      </c>
      <c r="CU38" s="307">
        <f t="shared" si="8"/>
        <v>0</v>
      </c>
      <c r="CV38" s="307">
        <f t="shared" si="9"/>
        <v>0</v>
      </c>
      <c r="CW38" s="307">
        <f t="shared" si="10"/>
        <v>0</v>
      </c>
      <c r="CX38" s="307">
        <f t="shared" si="14"/>
        <v>0</v>
      </c>
      <c r="CY38" s="307">
        <f t="shared" si="15"/>
        <v>0</v>
      </c>
    </row>
    <row r="39" spans="1:103" s="230" customFormat="1" ht="21" customHeight="1">
      <c r="A39" s="448">
        <v>5411524</v>
      </c>
      <c r="B39" s="309" t="s">
        <v>373</v>
      </c>
      <c r="C39" s="287" t="s">
        <v>551</v>
      </c>
      <c r="D39" s="288">
        <v>4.9610000000000003</v>
      </c>
      <c r="E39" s="290"/>
      <c r="F39" s="310"/>
      <c r="G39" s="311"/>
      <c r="H39" s="293"/>
      <c r="I39" s="221"/>
      <c r="J39" s="294"/>
      <c r="K39" s="294"/>
      <c r="L39" s="295"/>
      <c r="M39" s="293"/>
      <c r="N39" s="221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4"/>
      <c r="AB39" s="294"/>
      <c r="AC39" s="294"/>
      <c r="AD39" s="294"/>
      <c r="AE39" s="293"/>
      <c r="AF39" s="221"/>
      <c r="AG39" s="294"/>
      <c r="AH39" s="294"/>
      <c r="AI39" s="295"/>
      <c r="AJ39" s="293"/>
      <c r="AK39" s="295"/>
      <c r="AL39" s="295"/>
      <c r="AM39" s="295"/>
      <c r="AN39" s="295"/>
      <c r="AO39" s="295"/>
      <c r="AP39" s="295"/>
      <c r="AQ39" s="295"/>
      <c r="AR39" s="295"/>
      <c r="AS39" s="295"/>
      <c r="AT39" s="295"/>
      <c r="AU39" s="293"/>
      <c r="AV39" s="311"/>
      <c r="AW39" s="296"/>
      <c r="AX39" s="296"/>
      <c r="AY39" s="296"/>
      <c r="AZ39" s="296"/>
      <c r="BA39" s="296"/>
      <c r="BB39" s="296"/>
      <c r="BC39" s="296"/>
      <c r="BD39" s="293">
        <f t="shared" si="0"/>
        <v>0</v>
      </c>
      <c r="BE39" s="221"/>
      <c r="BF39" s="294"/>
      <c r="BG39" s="294"/>
      <c r="BH39" s="294"/>
      <c r="BI39" s="293">
        <f t="shared" si="16"/>
        <v>0</v>
      </c>
      <c r="BJ39" s="300"/>
      <c r="BK39" s="301">
        <f t="shared" si="1"/>
        <v>0</v>
      </c>
      <c r="BL39" s="312">
        <f t="shared" si="2"/>
        <v>0</v>
      </c>
      <c r="BM39" s="313">
        <f t="shared" si="3"/>
        <v>0</v>
      </c>
      <c r="BN39" s="314"/>
      <c r="BP39" s="305"/>
      <c r="BQ39" s="305"/>
      <c r="BR39" s="305"/>
      <c r="BS39" s="305"/>
      <c r="BT39" s="305"/>
      <c r="BU39" s="305"/>
      <c r="BV39" s="305"/>
      <c r="BW39" s="300">
        <f t="shared" si="11"/>
        <v>0</v>
      </c>
      <c r="BX39" s="300"/>
      <c r="BY39" s="305"/>
      <c r="BZ39" s="305"/>
      <c r="CA39" s="305"/>
      <c r="CB39" s="305"/>
      <c r="CC39" s="305"/>
      <c r="CD39" s="305"/>
      <c r="CE39" s="305"/>
      <c r="CF39" s="300">
        <f t="shared" si="12"/>
        <v>0</v>
      </c>
      <c r="CG39" s="300"/>
      <c r="CH39" s="305"/>
      <c r="CI39" s="305"/>
      <c r="CJ39" s="305"/>
      <c r="CK39" s="305"/>
      <c r="CL39" s="305"/>
      <c r="CM39" s="305"/>
      <c r="CN39" s="305"/>
      <c r="CO39" s="300">
        <f t="shared" si="13"/>
        <v>0</v>
      </c>
      <c r="CQ39" s="307">
        <f t="shared" si="4"/>
        <v>0</v>
      </c>
      <c r="CR39" s="307">
        <f t="shared" si="5"/>
        <v>0</v>
      </c>
      <c r="CS39" s="307">
        <f t="shared" si="6"/>
        <v>0</v>
      </c>
      <c r="CT39" s="307">
        <f t="shared" si="7"/>
        <v>0</v>
      </c>
      <c r="CU39" s="307">
        <f t="shared" si="8"/>
        <v>0</v>
      </c>
      <c r="CV39" s="307">
        <f t="shared" si="9"/>
        <v>0</v>
      </c>
      <c r="CW39" s="307">
        <f t="shared" si="10"/>
        <v>0</v>
      </c>
      <c r="CX39" s="307">
        <f t="shared" si="14"/>
        <v>0</v>
      </c>
      <c r="CY39" s="307">
        <f t="shared" si="15"/>
        <v>0</v>
      </c>
    </row>
    <row r="40" spans="1:103" s="230" customFormat="1" ht="21" customHeight="1">
      <c r="A40" s="448">
        <v>5461510</v>
      </c>
      <c r="B40" s="309" t="s">
        <v>373</v>
      </c>
      <c r="C40" s="287" t="s">
        <v>552</v>
      </c>
      <c r="D40" s="288">
        <v>0.63100000000000001</v>
      </c>
      <c r="E40" s="290"/>
      <c r="F40" s="310"/>
      <c r="G40" s="311"/>
      <c r="H40" s="293"/>
      <c r="I40" s="221"/>
      <c r="J40" s="294"/>
      <c r="K40" s="294"/>
      <c r="L40" s="295"/>
      <c r="M40" s="293"/>
      <c r="N40" s="221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  <c r="AA40" s="294"/>
      <c r="AB40" s="294"/>
      <c r="AC40" s="294"/>
      <c r="AD40" s="294"/>
      <c r="AE40" s="293"/>
      <c r="AF40" s="221"/>
      <c r="AG40" s="294"/>
      <c r="AH40" s="294"/>
      <c r="AI40" s="295"/>
      <c r="AJ40" s="293"/>
      <c r="AK40" s="295"/>
      <c r="AL40" s="295"/>
      <c r="AM40" s="295"/>
      <c r="AN40" s="295"/>
      <c r="AO40" s="295"/>
      <c r="AP40" s="295"/>
      <c r="AQ40" s="295"/>
      <c r="AR40" s="295"/>
      <c r="AS40" s="295"/>
      <c r="AT40" s="295"/>
      <c r="AU40" s="293"/>
      <c r="AV40" s="311"/>
      <c r="AW40" s="296"/>
      <c r="AX40" s="296"/>
      <c r="AY40" s="296"/>
      <c r="AZ40" s="296"/>
      <c r="BA40" s="296"/>
      <c r="BB40" s="296"/>
      <c r="BC40" s="296"/>
      <c r="BD40" s="293">
        <f t="shared" si="0"/>
        <v>0</v>
      </c>
      <c r="BE40" s="221"/>
      <c r="BF40" s="294"/>
      <c r="BG40" s="294"/>
      <c r="BH40" s="294"/>
      <c r="BI40" s="293">
        <f t="shared" si="16"/>
        <v>0</v>
      </c>
      <c r="BJ40" s="300"/>
      <c r="BK40" s="301">
        <f t="shared" si="1"/>
        <v>0</v>
      </c>
      <c r="BL40" s="312">
        <f t="shared" si="2"/>
        <v>0</v>
      </c>
      <c r="BM40" s="313">
        <f t="shared" si="3"/>
        <v>0</v>
      </c>
      <c r="BN40" s="314"/>
      <c r="BP40" s="305"/>
      <c r="BQ40" s="305"/>
      <c r="BR40" s="305"/>
      <c r="BS40" s="305"/>
      <c r="BT40" s="305"/>
      <c r="BU40" s="305"/>
      <c r="BV40" s="305"/>
      <c r="BW40" s="300">
        <f t="shared" si="11"/>
        <v>0</v>
      </c>
      <c r="BX40" s="300"/>
      <c r="BY40" s="305"/>
      <c r="BZ40" s="305"/>
      <c r="CA40" s="305"/>
      <c r="CB40" s="305"/>
      <c r="CC40" s="305"/>
      <c r="CD40" s="305"/>
      <c r="CE40" s="305"/>
      <c r="CF40" s="300">
        <f t="shared" si="12"/>
        <v>0</v>
      </c>
      <c r="CG40" s="300"/>
      <c r="CH40" s="305"/>
      <c r="CI40" s="305"/>
      <c r="CJ40" s="305"/>
      <c r="CK40" s="305"/>
      <c r="CL40" s="305"/>
      <c r="CM40" s="305"/>
      <c r="CN40" s="305"/>
      <c r="CO40" s="300">
        <f t="shared" si="13"/>
        <v>0</v>
      </c>
      <c r="CQ40" s="307">
        <f t="shared" si="4"/>
        <v>0</v>
      </c>
      <c r="CR40" s="307">
        <f t="shared" si="5"/>
        <v>0</v>
      </c>
      <c r="CS40" s="307">
        <f t="shared" si="6"/>
        <v>0</v>
      </c>
      <c r="CT40" s="307">
        <f t="shared" si="7"/>
        <v>0</v>
      </c>
      <c r="CU40" s="307">
        <f t="shared" si="8"/>
        <v>0</v>
      </c>
      <c r="CV40" s="307">
        <f t="shared" si="9"/>
        <v>0</v>
      </c>
      <c r="CW40" s="307">
        <f t="shared" si="10"/>
        <v>0</v>
      </c>
      <c r="CX40" s="307">
        <f t="shared" si="14"/>
        <v>0</v>
      </c>
      <c r="CY40" s="307">
        <f t="shared" si="15"/>
        <v>0</v>
      </c>
    </row>
    <row r="41" spans="1:103" s="230" customFormat="1" ht="21" customHeight="1">
      <c r="A41" s="448">
        <v>5464210</v>
      </c>
      <c r="B41" s="309" t="s">
        <v>373</v>
      </c>
      <c r="C41" s="287" t="s">
        <v>553</v>
      </c>
      <c r="D41" s="288">
        <v>6.0110000000000001</v>
      </c>
      <c r="E41" s="290"/>
      <c r="F41" s="310"/>
      <c r="G41" s="311"/>
      <c r="H41" s="293"/>
      <c r="I41" s="221"/>
      <c r="J41" s="294"/>
      <c r="K41" s="294"/>
      <c r="L41" s="295"/>
      <c r="M41" s="293"/>
      <c r="N41" s="221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  <c r="AA41" s="294"/>
      <c r="AB41" s="294"/>
      <c r="AC41" s="294"/>
      <c r="AD41" s="294"/>
      <c r="AE41" s="293"/>
      <c r="AF41" s="221"/>
      <c r="AG41" s="294"/>
      <c r="AH41" s="294"/>
      <c r="AI41" s="295"/>
      <c r="AJ41" s="293"/>
      <c r="AK41" s="295"/>
      <c r="AL41" s="295"/>
      <c r="AM41" s="295"/>
      <c r="AN41" s="295"/>
      <c r="AO41" s="295"/>
      <c r="AP41" s="295"/>
      <c r="AQ41" s="295"/>
      <c r="AR41" s="295"/>
      <c r="AS41" s="295"/>
      <c r="AT41" s="295"/>
      <c r="AU41" s="293"/>
      <c r="AV41" s="311"/>
      <c r="AW41" s="296"/>
      <c r="AX41" s="296"/>
      <c r="AY41" s="296"/>
      <c r="AZ41" s="296"/>
      <c r="BA41" s="296"/>
      <c r="BB41" s="296"/>
      <c r="BC41" s="296"/>
      <c r="BD41" s="293">
        <f t="shared" si="0"/>
        <v>0</v>
      </c>
      <c r="BE41" s="221"/>
      <c r="BF41" s="294"/>
      <c r="BG41" s="294"/>
      <c r="BH41" s="294"/>
      <c r="BI41" s="293">
        <f t="shared" si="16"/>
        <v>0</v>
      </c>
      <c r="BJ41" s="300"/>
      <c r="BK41" s="301">
        <f t="shared" si="1"/>
        <v>0</v>
      </c>
      <c r="BL41" s="312">
        <f t="shared" si="2"/>
        <v>0</v>
      </c>
      <c r="BM41" s="313">
        <f t="shared" si="3"/>
        <v>0</v>
      </c>
      <c r="BN41" s="314"/>
      <c r="BP41" s="305"/>
      <c r="BQ41" s="305"/>
      <c r="BR41" s="305"/>
      <c r="BS41" s="305"/>
      <c r="BT41" s="305"/>
      <c r="BU41" s="305"/>
      <c r="BV41" s="305"/>
      <c r="BW41" s="300">
        <f t="shared" si="11"/>
        <v>0</v>
      </c>
      <c r="BX41" s="300"/>
      <c r="BY41" s="305"/>
      <c r="BZ41" s="305"/>
      <c r="CA41" s="305"/>
      <c r="CB41" s="305"/>
      <c r="CC41" s="305"/>
      <c r="CD41" s="305"/>
      <c r="CE41" s="305"/>
      <c r="CF41" s="300">
        <f t="shared" si="12"/>
        <v>0</v>
      </c>
      <c r="CG41" s="300"/>
      <c r="CH41" s="305"/>
      <c r="CI41" s="305"/>
      <c r="CJ41" s="305"/>
      <c r="CK41" s="305"/>
      <c r="CL41" s="305"/>
      <c r="CM41" s="305"/>
      <c r="CN41" s="305"/>
      <c r="CO41" s="300">
        <f t="shared" si="13"/>
        <v>0</v>
      </c>
      <c r="CQ41" s="307">
        <f t="shared" si="4"/>
        <v>0</v>
      </c>
      <c r="CR41" s="307">
        <f t="shared" si="5"/>
        <v>0</v>
      </c>
      <c r="CS41" s="307">
        <f t="shared" si="6"/>
        <v>0</v>
      </c>
      <c r="CT41" s="307">
        <f t="shared" si="7"/>
        <v>0</v>
      </c>
      <c r="CU41" s="307">
        <f t="shared" si="8"/>
        <v>0</v>
      </c>
      <c r="CV41" s="307">
        <f t="shared" si="9"/>
        <v>0</v>
      </c>
      <c r="CW41" s="307">
        <f t="shared" si="10"/>
        <v>0</v>
      </c>
      <c r="CX41" s="307">
        <f t="shared" si="14"/>
        <v>0</v>
      </c>
      <c r="CY41" s="307">
        <f t="shared" si="15"/>
        <v>0</v>
      </c>
    </row>
    <row r="42" spans="1:103" s="230" customFormat="1" ht="21" customHeight="1">
      <c r="A42" s="448">
        <v>5016361</v>
      </c>
      <c r="B42" s="309" t="s">
        <v>373</v>
      </c>
      <c r="C42" s="287" t="s">
        <v>554</v>
      </c>
      <c r="D42" s="288">
        <v>1.92</v>
      </c>
      <c r="E42" s="290"/>
      <c r="F42" s="310"/>
      <c r="G42" s="311"/>
      <c r="H42" s="293"/>
      <c r="I42" s="221"/>
      <c r="J42" s="294"/>
      <c r="K42" s="294"/>
      <c r="L42" s="295"/>
      <c r="M42" s="293"/>
      <c r="N42" s="221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294"/>
      <c r="AB42" s="294"/>
      <c r="AC42" s="294"/>
      <c r="AD42" s="294"/>
      <c r="AE42" s="293"/>
      <c r="AF42" s="221"/>
      <c r="AG42" s="294"/>
      <c r="AH42" s="294"/>
      <c r="AI42" s="295"/>
      <c r="AJ42" s="293"/>
      <c r="AK42" s="295"/>
      <c r="AL42" s="295"/>
      <c r="AM42" s="295"/>
      <c r="AN42" s="295"/>
      <c r="AO42" s="295"/>
      <c r="AP42" s="295"/>
      <c r="AQ42" s="295"/>
      <c r="AR42" s="295"/>
      <c r="AS42" s="295"/>
      <c r="AT42" s="295"/>
      <c r="AU42" s="293"/>
      <c r="AV42" s="311"/>
      <c r="AW42" s="296"/>
      <c r="AX42" s="296"/>
      <c r="AY42" s="296"/>
      <c r="AZ42" s="296"/>
      <c r="BA42" s="296"/>
      <c r="BB42" s="296"/>
      <c r="BC42" s="296"/>
      <c r="BD42" s="293">
        <f t="shared" si="0"/>
        <v>0</v>
      </c>
      <c r="BE42" s="221"/>
      <c r="BF42" s="294"/>
      <c r="BG42" s="294"/>
      <c r="BH42" s="294"/>
      <c r="BI42" s="293">
        <f t="shared" si="16"/>
        <v>0</v>
      </c>
      <c r="BJ42" s="300"/>
      <c r="BK42" s="301">
        <f t="shared" si="1"/>
        <v>0</v>
      </c>
      <c r="BL42" s="312">
        <f t="shared" si="2"/>
        <v>0</v>
      </c>
      <c r="BM42" s="313">
        <f t="shared" si="3"/>
        <v>0</v>
      </c>
      <c r="BN42" s="314"/>
      <c r="BP42" s="305"/>
      <c r="BQ42" s="305"/>
      <c r="BR42" s="305"/>
      <c r="BS42" s="305"/>
      <c r="BT42" s="305"/>
      <c r="BU42" s="305"/>
      <c r="BV42" s="305"/>
      <c r="BW42" s="300">
        <f t="shared" si="11"/>
        <v>0</v>
      </c>
      <c r="BX42" s="300"/>
      <c r="BY42" s="305"/>
      <c r="BZ42" s="305"/>
      <c r="CA42" s="305"/>
      <c r="CB42" s="305"/>
      <c r="CC42" s="305"/>
      <c r="CD42" s="305"/>
      <c r="CE42" s="305"/>
      <c r="CF42" s="300">
        <f t="shared" si="12"/>
        <v>0</v>
      </c>
      <c r="CG42" s="300"/>
      <c r="CH42" s="305"/>
      <c r="CI42" s="305"/>
      <c r="CJ42" s="305"/>
      <c r="CK42" s="305"/>
      <c r="CL42" s="305"/>
      <c r="CM42" s="305"/>
      <c r="CN42" s="305"/>
      <c r="CO42" s="300">
        <f t="shared" si="13"/>
        <v>0</v>
      </c>
      <c r="CQ42" s="307">
        <f t="shared" si="4"/>
        <v>0</v>
      </c>
      <c r="CR42" s="307">
        <f t="shared" si="5"/>
        <v>0</v>
      </c>
      <c r="CS42" s="307">
        <f t="shared" si="6"/>
        <v>0</v>
      </c>
      <c r="CT42" s="307">
        <f t="shared" si="7"/>
        <v>0</v>
      </c>
      <c r="CU42" s="307">
        <f t="shared" si="8"/>
        <v>0</v>
      </c>
      <c r="CV42" s="307">
        <f t="shared" si="9"/>
        <v>0</v>
      </c>
      <c r="CW42" s="307">
        <f t="shared" si="10"/>
        <v>0</v>
      </c>
      <c r="CX42" s="307">
        <f t="shared" si="14"/>
        <v>0</v>
      </c>
      <c r="CY42" s="307">
        <f t="shared" si="15"/>
        <v>0</v>
      </c>
    </row>
    <row r="43" spans="1:103" s="230" customFormat="1" ht="21" customHeight="1">
      <c r="A43" s="448">
        <v>5419120</v>
      </c>
      <c r="B43" s="309" t="s">
        <v>373</v>
      </c>
      <c r="C43" s="287" t="s">
        <v>555</v>
      </c>
      <c r="D43" s="288">
        <v>6.5209999999999999</v>
      </c>
      <c r="E43" s="290"/>
      <c r="F43" s="310"/>
      <c r="G43" s="311"/>
      <c r="H43" s="293"/>
      <c r="I43" s="221"/>
      <c r="J43" s="294"/>
      <c r="K43" s="294"/>
      <c r="L43" s="295"/>
      <c r="M43" s="293"/>
      <c r="N43" s="221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94"/>
      <c r="AB43" s="294"/>
      <c r="AC43" s="294"/>
      <c r="AD43" s="294"/>
      <c r="AE43" s="293"/>
      <c r="AF43" s="221"/>
      <c r="AG43" s="294"/>
      <c r="AH43" s="294"/>
      <c r="AI43" s="295"/>
      <c r="AJ43" s="293"/>
      <c r="AK43" s="295"/>
      <c r="AL43" s="295"/>
      <c r="AM43" s="295"/>
      <c r="AN43" s="295"/>
      <c r="AO43" s="295"/>
      <c r="AP43" s="295"/>
      <c r="AQ43" s="295"/>
      <c r="AR43" s="295"/>
      <c r="AS43" s="295"/>
      <c r="AT43" s="295"/>
      <c r="AU43" s="293"/>
      <c r="AV43" s="311"/>
      <c r="AW43" s="296"/>
      <c r="AX43" s="296"/>
      <c r="AY43" s="296"/>
      <c r="AZ43" s="296"/>
      <c r="BA43" s="296"/>
      <c r="BB43" s="296"/>
      <c r="BC43" s="296"/>
      <c r="BD43" s="293">
        <f t="shared" si="0"/>
        <v>0</v>
      </c>
      <c r="BE43" s="221"/>
      <c r="BF43" s="294"/>
      <c r="BG43" s="294"/>
      <c r="BH43" s="294"/>
      <c r="BI43" s="293">
        <f t="shared" si="16"/>
        <v>0</v>
      </c>
      <c r="BJ43" s="300"/>
      <c r="BK43" s="301">
        <f t="shared" si="1"/>
        <v>0</v>
      </c>
      <c r="BL43" s="312">
        <f t="shared" si="2"/>
        <v>0</v>
      </c>
      <c r="BM43" s="313">
        <f t="shared" si="3"/>
        <v>0</v>
      </c>
      <c r="BN43" s="314"/>
      <c r="BP43" s="305"/>
      <c r="BQ43" s="305"/>
      <c r="BR43" s="305"/>
      <c r="BS43" s="305"/>
      <c r="BT43" s="305"/>
      <c r="BU43" s="305"/>
      <c r="BV43" s="305"/>
      <c r="BW43" s="300">
        <f t="shared" si="11"/>
        <v>0</v>
      </c>
      <c r="BX43" s="300"/>
      <c r="BY43" s="305"/>
      <c r="BZ43" s="305"/>
      <c r="CA43" s="305"/>
      <c r="CB43" s="305"/>
      <c r="CC43" s="305"/>
      <c r="CD43" s="305"/>
      <c r="CE43" s="305"/>
      <c r="CF43" s="300">
        <f t="shared" si="12"/>
        <v>0</v>
      </c>
      <c r="CG43" s="300"/>
      <c r="CH43" s="305"/>
      <c r="CI43" s="305"/>
      <c r="CJ43" s="305"/>
      <c r="CK43" s="305"/>
      <c r="CL43" s="305"/>
      <c r="CM43" s="305"/>
      <c r="CN43" s="305"/>
      <c r="CO43" s="300">
        <f t="shared" si="13"/>
        <v>0</v>
      </c>
      <c r="CQ43" s="307">
        <f t="shared" si="4"/>
        <v>0</v>
      </c>
      <c r="CR43" s="307">
        <f t="shared" si="5"/>
        <v>0</v>
      </c>
      <c r="CS43" s="307">
        <f t="shared" si="6"/>
        <v>0</v>
      </c>
      <c r="CT43" s="307">
        <f t="shared" si="7"/>
        <v>0</v>
      </c>
      <c r="CU43" s="307">
        <f t="shared" si="8"/>
        <v>0</v>
      </c>
      <c r="CV43" s="307">
        <f t="shared" si="9"/>
        <v>0</v>
      </c>
      <c r="CW43" s="307">
        <f t="shared" si="10"/>
        <v>0</v>
      </c>
      <c r="CX43" s="307">
        <f t="shared" si="14"/>
        <v>0</v>
      </c>
      <c r="CY43" s="307">
        <f t="shared" si="15"/>
        <v>0</v>
      </c>
    </row>
    <row r="44" spans="1:103" s="230" customFormat="1" ht="21" customHeight="1">
      <c r="A44" s="448">
        <v>5217631</v>
      </c>
      <c r="B44" s="309" t="s">
        <v>373</v>
      </c>
      <c r="C44" s="287" t="s">
        <v>556</v>
      </c>
      <c r="D44" s="288">
        <v>5.9340000000000002</v>
      </c>
      <c r="E44" s="290"/>
      <c r="F44" s="310"/>
      <c r="G44" s="311"/>
      <c r="H44" s="293"/>
      <c r="I44" s="221"/>
      <c r="J44" s="294"/>
      <c r="K44" s="294"/>
      <c r="L44" s="295"/>
      <c r="M44" s="293"/>
      <c r="N44" s="221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94"/>
      <c r="AB44" s="294"/>
      <c r="AC44" s="294"/>
      <c r="AD44" s="294"/>
      <c r="AE44" s="293"/>
      <c r="AF44" s="221"/>
      <c r="AG44" s="294"/>
      <c r="AH44" s="294"/>
      <c r="AI44" s="295"/>
      <c r="AJ44" s="293"/>
      <c r="AK44" s="295"/>
      <c r="AL44" s="295"/>
      <c r="AM44" s="295"/>
      <c r="AN44" s="295"/>
      <c r="AO44" s="295"/>
      <c r="AP44" s="295"/>
      <c r="AQ44" s="295"/>
      <c r="AR44" s="295"/>
      <c r="AS44" s="295"/>
      <c r="AT44" s="295"/>
      <c r="AU44" s="293"/>
      <c r="AV44" s="311"/>
      <c r="AW44" s="296"/>
      <c r="AX44" s="296"/>
      <c r="AY44" s="296"/>
      <c r="AZ44" s="296"/>
      <c r="BA44" s="296"/>
      <c r="BB44" s="296"/>
      <c r="BC44" s="296"/>
      <c r="BD44" s="293">
        <f t="shared" si="0"/>
        <v>0</v>
      </c>
      <c r="BE44" s="221"/>
      <c r="BF44" s="294"/>
      <c r="BG44" s="294"/>
      <c r="BH44" s="294"/>
      <c r="BI44" s="293">
        <f t="shared" si="16"/>
        <v>0</v>
      </c>
      <c r="BJ44" s="300"/>
      <c r="BK44" s="301">
        <f t="shared" si="1"/>
        <v>0</v>
      </c>
      <c r="BL44" s="312">
        <f t="shared" si="2"/>
        <v>0</v>
      </c>
      <c r="BM44" s="313">
        <f t="shared" si="3"/>
        <v>0</v>
      </c>
      <c r="BN44" s="314"/>
      <c r="BP44" s="305"/>
      <c r="BQ44" s="305"/>
      <c r="BR44" s="305"/>
      <c r="BS44" s="305"/>
      <c r="BT44" s="305"/>
      <c r="BU44" s="305"/>
      <c r="BV44" s="305"/>
      <c r="BW44" s="300">
        <f t="shared" si="11"/>
        <v>0</v>
      </c>
      <c r="BX44" s="300"/>
      <c r="BY44" s="305"/>
      <c r="BZ44" s="305"/>
      <c r="CA44" s="305"/>
      <c r="CB44" s="305"/>
      <c r="CC44" s="305"/>
      <c r="CD44" s="305"/>
      <c r="CE44" s="305"/>
      <c r="CF44" s="300">
        <f t="shared" si="12"/>
        <v>0</v>
      </c>
      <c r="CG44" s="300"/>
      <c r="CH44" s="305"/>
      <c r="CI44" s="305"/>
      <c r="CJ44" s="305"/>
      <c r="CK44" s="305"/>
      <c r="CL44" s="305"/>
      <c r="CM44" s="305"/>
      <c r="CN44" s="305"/>
      <c r="CO44" s="300">
        <f t="shared" si="13"/>
        <v>0</v>
      </c>
      <c r="CQ44" s="307">
        <f t="shared" si="4"/>
        <v>0</v>
      </c>
      <c r="CR44" s="307">
        <f t="shared" si="5"/>
        <v>0</v>
      </c>
      <c r="CS44" s="307">
        <f t="shared" si="6"/>
        <v>0</v>
      </c>
      <c r="CT44" s="307">
        <f t="shared" si="7"/>
        <v>0</v>
      </c>
      <c r="CU44" s="307">
        <f t="shared" si="8"/>
        <v>0</v>
      </c>
      <c r="CV44" s="307">
        <f t="shared" si="9"/>
        <v>0</v>
      </c>
      <c r="CW44" s="307">
        <f t="shared" si="10"/>
        <v>0</v>
      </c>
      <c r="CX44" s="307">
        <f t="shared" si="14"/>
        <v>0</v>
      </c>
      <c r="CY44" s="307">
        <f t="shared" si="15"/>
        <v>0</v>
      </c>
    </row>
    <row r="45" spans="1:103" s="230" customFormat="1" ht="21" customHeight="1">
      <c r="A45" s="448">
        <v>5467804</v>
      </c>
      <c r="B45" s="309" t="s">
        <v>373</v>
      </c>
      <c r="C45" s="287" t="s">
        <v>557</v>
      </c>
      <c r="D45" s="288">
        <v>29.311</v>
      </c>
      <c r="E45" s="290"/>
      <c r="F45" s="310"/>
      <c r="G45" s="311"/>
      <c r="H45" s="293"/>
      <c r="I45" s="221"/>
      <c r="J45" s="294"/>
      <c r="K45" s="294"/>
      <c r="L45" s="295"/>
      <c r="M45" s="293"/>
      <c r="N45" s="221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  <c r="AA45" s="294"/>
      <c r="AB45" s="294"/>
      <c r="AC45" s="294"/>
      <c r="AD45" s="294"/>
      <c r="AE45" s="293"/>
      <c r="AF45" s="221"/>
      <c r="AG45" s="294"/>
      <c r="AH45" s="294"/>
      <c r="AI45" s="295"/>
      <c r="AJ45" s="293"/>
      <c r="AK45" s="295"/>
      <c r="AL45" s="295"/>
      <c r="AM45" s="295"/>
      <c r="AN45" s="295"/>
      <c r="AO45" s="295"/>
      <c r="AP45" s="295"/>
      <c r="AQ45" s="295"/>
      <c r="AR45" s="295"/>
      <c r="AS45" s="295"/>
      <c r="AT45" s="295"/>
      <c r="AU45" s="293"/>
      <c r="AV45" s="311"/>
      <c r="AW45" s="296"/>
      <c r="AX45" s="296"/>
      <c r="AY45" s="296"/>
      <c r="AZ45" s="296"/>
      <c r="BA45" s="296"/>
      <c r="BB45" s="296"/>
      <c r="BC45" s="296"/>
      <c r="BD45" s="293">
        <f t="shared" si="0"/>
        <v>0</v>
      </c>
      <c r="BE45" s="221"/>
      <c r="BF45" s="294"/>
      <c r="BG45" s="294"/>
      <c r="BH45" s="294"/>
      <c r="BI45" s="293">
        <f t="shared" si="16"/>
        <v>0</v>
      </c>
      <c r="BJ45" s="300"/>
      <c r="BK45" s="301">
        <f t="shared" si="1"/>
        <v>0</v>
      </c>
      <c r="BL45" s="312">
        <f t="shared" si="2"/>
        <v>0</v>
      </c>
      <c r="BM45" s="313">
        <f t="shared" si="3"/>
        <v>0</v>
      </c>
      <c r="BN45" s="314"/>
      <c r="BP45" s="305"/>
      <c r="BQ45" s="305"/>
      <c r="BR45" s="305"/>
      <c r="BS45" s="305"/>
      <c r="BT45" s="305"/>
      <c r="BU45" s="305"/>
      <c r="BV45" s="305"/>
      <c r="BW45" s="300">
        <f t="shared" si="11"/>
        <v>0</v>
      </c>
      <c r="BX45" s="300"/>
      <c r="BY45" s="305"/>
      <c r="BZ45" s="305"/>
      <c r="CA45" s="305"/>
      <c r="CB45" s="305"/>
      <c r="CC45" s="305"/>
      <c r="CD45" s="305"/>
      <c r="CE45" s="305"/>
      <c r="CF45" s="300">
        <f t="shared" si="12"/>
        <v>0</v>
      </c>
      <c r="CG45" s="300"/>
      <c r="CH45" s="305"/>
      <c r="CI45" s="305"/>
      <c r="CJ45" s="305"/>
      <c r="CK45" s="305"/>
      <c r="CL45" s="305"/>
      <c r="CM45" s="305"/>
      <c r="CN45" s="305"/>
      <c r="CO45" s="300">
        <f t="shared" si="13"/>
        <v>0</v>
      </c>
      <c r="CQ45" s="307">
        <f t="shared" si="4"/>
        <v>0</v>
      </c>
      <c r="CR45" s="307">
        <f t="shared" si="5"/>
        <v>0</v>
      </c>
      <c r="CS45" s="307">
        <f t="shared" si="6"/>
        <v>0</v>
      </c>
      <c r="CT45" s="307">
        <f t="shared" si="7"/>
        <v>0</v>
      </c>
      <c r="CU45" s="307">
        <f t="shared" si="8"/>
        <v>0</v>
      </c>
      <c r="CV45" s="307">
        <f t="shared" si="9"/>
        <v>0</v>
      </c>
      <c r="CW45" s="307">
        <f t="shared" si="10"/>
        <v>0</v>
      </c>
      <c r="CX45" s="307">
        <f t="shared" si="14"/>
        <v>0</v>
      </c>
      <c r="CY45" s="307">
        <f t="shared" si="15"/>
        <v>0</v>
      </c>
    </row>
    <row r="46" spans="1:103" s="230" customFormat="1" ht="21" customHeight="1">
      <c r="A46" s="448">
        <v>5467624</v>
      </c>
      <c r="B46" s="309" t="s">
        <v>373</v>
      </c>
      <c r="C46" s="287" t="s">
        <v>558</v>
      </c>
      <c r="D46" s="288">
        <v>16.315000000000001</v>
      </c>
      <c r="E46" s="290"/>
      <c r="F46" s="310"/>
      <c r="G46" s="311"/>
      <c r="H46" s="293"/>
      <c r="I46" s="221"/>
      <c r="J46" s="294"/>
      <c r="K46" s="294"/>
      <c r="L46" s="295"/>
      <c r="M46" s="293"/>
      <c r="N46" s="221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  <c r="AB46" s="294"/>
      <c r="AC46" s="294"/>
      <c r="AD46" s="294"/>
      <c r="AE46" s="293"/>
      <c r="AF46" s="221"/>
      <c r="AG46" s="294"/>
      <c r="AH46" s="294"/>
      <c r="AI46" s="295"/>
      <c r="AJ46" s="293"/>
      <c r="AK46" s="295"/>
      <c r="AL46" s="295"/>
      <c r="AM46" s="295"/>
      <c r="AN46" s="295"/>
      <c r="AO46" s="295"/>
      <c r="AP46" s="295"/>
      <c r="AQ46" s="295"/>
      <c r="AR46" s="295"/>
      <c r="AS46" s="295"/>
      <c r="AT46" s="295"/>
      <c r="AU46" s="293"/>
      <c r="AV46" s="311"/>
      <c r="AW46" s="296"/>
      <c r="AX46" s="296"/>
      <c r="AY46" s="296"/>
      <c r="AZ46" s="296"/>
      <c r="BA46" s="296"/>
      <c r="BB46" s="296"/>
      <c r="BC46" s="296"/>
      <c r="BD46" s="293">
        <f t="shared" ref="BD46:BD77" si="17">SUM(AV46:BC46)</f>
        <v>0</v>
      </c>
      <c r="BE46" s="221"/>
      <c r="BF46" s="294"/>
      <c r="BG46" s="294"/>
      <c r="BH46" s="294"/>
      <c r="BI46" s="293">
        <f t="shared" si="16"/>
        <v>0</v>
      </c>
      <c r="BJ46" s="300"/>
      <c r="BK46" s="301">
        <f t="shared" ref="BK46:BK77" si="18">H46+M46+AE46+AJ46+AU46+BD46+BI46</f>
        <v>0</v>
      </c>
      <c r="BL46" s="312">
        <f t="shared" ref="BL46:BL77" si="19">IF(E46-BK46&lt;0, BK46-E46, )</f>
        <v>0</v>
      </c>
      <c r="BM46" s="313">
        <f t="shared" ref="BM46:BM77" si="20">IF(E46-BK46&lt;0, ,E46-BK46)</f>
        <v>0</v>
      </c>
      <c r="BN46" s="314"/>
      <c r="BP46" s="305"/>
      <c r="BQ46" s="305"/>
      <c r="BR46" s="305"/>
      <c r="BS46" s="305"/>
      <c r="BT46" s="305"/>
      <c r="BU46" s="305"/>
      <c r="BV46" s="305"/>
      <c r="BW46" s="300">
        <f t="shared" si="11"/>
        <v>0</v>
      </c>
      <c r="BX46" s="300"/>
      <c r="BY46" s="305"/>
      <c r="BZ46" s="305"/>
      <c r="CA46" s="305"/>
      <c r="CB46" s="305"/>
      <c r="CC46" s="305"/>
      <c r="CD46" s="305"/>
      <c r="CE46" s="305"/>
      <c r="CF46" s="300">
        <f t="shared" si="12"/>
        <v>0</v>
      </c>
      <c r="CG46" s="300"/>
      <c r="CH46" s="305"/>
      <c r="CI46" s="305"/>
      <c r="CJ46" s="305"/>
      <c r="CK46" s="305"/>
      <c r="CL46" s="305"/>
      <c r="CM46" s="305"/>
      <c r="CN46" s="305"/>
      <c r="CO46" s="300">
        <f t="shared" si="13"/>
        <v>0</v>
      </c>
      <c r="CQ46" s="307">
        <f t="shared" ref="CQ46:CQ77" si="21">+H46-(BP46+BY46+CH46)</f>
        <v>0</v>
      </c>
      <c r="CR46" s="307">
        <f t="shared" ref="CR46:CR77" si="22">+M46-(BQ46+BZ46+CI46)</f>
        <v>0</v>
      </c>
      <c r="CS46" s="307">
        <f t="shared" ref="CS46:CS77" si="23">+AE46-(BR46+CA46+CJ46)</f>
        <v>0</v>
      </c>
      <c r="CT46" s="307">
        <f t="shared" ref="CT46:CT77" si="24">+AJ46-(BS46+CB46+CK46)</f>
        <v>0</v>
      </c>
      <c r="CU46" s="307">
        <f t="shared" ref="CU46:CU77" si="25">+AU46-(BT46+CC46+CL46)</f>
        <v>0</v>
      </c>
      <c r="CV46" s="307">
        <f t="shared" si="9"/>
        <v>0</v>
      </c>
      <c r="CW46" s="307">
        <f t="shared" si="10"/>
        <v>0</v>
      </c>
      <c r="CX46" s="307">
        <f t="shared" si="14"/>
        <v>0</v>
      </c>
      <c r="CY46" s="307">
        <f t="shared" si="15"/>
        <v>0</v>
      </c>
    </row>
    <row r="47" spans="1:103" s="230" customFormat="1" ht="21" customHeight="1">
      <c r="A47" s="448">
        <v>5464101</v>
      </c>
      <c r="B47" s="309" t="s">
        <v>373</v>
      </c>
      <c r="C47" s="287" t="s">
        <v>559</v>
      </c>
      <c r="D47" s="288">
        <v>6.3860000000000001</v>
      </c>
      <c r="E47" s="290"/>
      <c r="F47" s="310"/>
      <c r="G47" s="311"/>
      <c r="H47" s="293"/>
      <c r="I47" s="221"/>
      <c r="J47" s="294"/>
      <c r="K47" s="294"/>
      <c r="L47" s="295"/>
      <c r="M47" s="293"/>
      <c r="N47" s="221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294"/>
      <c r="AB47" s="294"/>
      <c r="AC47" s="294"/>
      <c r="AD47" s="294"/>
      <c r="AE47" s="293"/>
      <c r="AF47" s="221"/>
      <c r="AG47" s="294"/>
      <c r="AH47" s="294"/>
      <c r="AI47" s="295"/>
      <c r="AJ47" s="293"/>
      <c r="AK47" s="295"/>
      <c r="AL47" s="295"/>
      <c r="AM47" s="295"/>
      <c r="AN47" s="295"/>
      <c r="AO47" s="295"/>
      <c r="AP47" s="295"/>
      <c r="AQ47" s="295"/>
      <c r="AR47" s="295"/>
      <c r="AS47" s="295"/>
      <c r="AT47" s="295"/>
      <c r="AU47" s="293"/>
      <c r="AV47" s="311"/>
      <c r="AW47" s="296"/>
      <c r="AX47" s="296"/>
      <c r="AY47" s="296"/>
      <c r="AZ47" s="296"/>
      <c r="BA47" s="296"/>
      <c r="BB47" s="296"/>
      <c r="BC47" s="296"/>
      <c r="BD47" s="293">
        <f t="shared" si="17"/>
        <v>0</v>
      </c>
      <c r="BE47" s="221"/>
      <c r="BF47" s="294"/>
      <c r="BG47" s="294"/>
      <c r="BH47" s="294"/>
      <c r="BI47" s="293">
        <f>SUM(BE47:BH47)</f>
        <v>0</v>
      </c>
      <c r="BJ47" s="300"/>
      <c r="BK47" s="301">
        <f t="shared" si="18"/>
        <v>0</v>
      </c>
      <c r="BL47" s="312">
        <f t="shared" si="19"/>
        <v>0</v>
      </c>
      <c r="BM47" s="313">
        <f t="shared" si="20"/>
        <v>0</v>
      </c>
      <c r="BN47" s="314"/>
      <c r="BP47" s="305"/>
      <c r="BQ47" s="305"/>
      <c r="BR47" s="305"/>
      <c r="BS47" s="305"/>
      <c r="BT47" s="305"/>
      <c r="BU47" s="305"/>
      <c r="BV47" s="305"/>
      <c r="BW47" s="300">
        <f>SUM(BP47:BV47)</f>
        <v>0</v>
      </c>
      <c r="BX47" s="300"/>
      <c r="BY47" s="305"/>
      <c r="BZ47" s="305"/>
      <c r="CA47" s="305"/>
      <c r="CB47" s="305"/>
      <c r="CC47" s="305"/>
      <c r="CD47" s="305"/>
      <c r="CE47" s="305"/>
      <c r="CF47" s="300">
        <f>SUM(BY47:CE47)</f>
        <v>0</v>
      </c>
      <c r="CG47" s="300"/>
      <c r="CH47" s="305"/>
      <c r="CI47" s="305"/>
      <c r="CJ47" s="305"/>
      <c r="CK47" s="305"/>
      <c r="CL47" s="305"/>
      <c r="CM47" s="305"/>
      <c r="CN47" s="305"/>
      <c r="CO47" s="300">
        <f>SUM(CH47:CN47)</f>
        <v>0</v>
      </c>
      <c r="CQ47" s="307">
        <f t="shared" si="21"/>
        <v>0</v>
      </c>
      <c r="CR47" s="307">
        <f t="shared" si="22"/>
        <v>0</v>
      </c>
      <c r="CS47" s="307">
        <f t="shared" si="23"/>
        <v>0</v>
      </c>
      <c r="CT47" s="307">
        <f t="shared" si="24"/>
        <v>0</v>
      </c>
      <c r="CU47" s="307">
        <f t="shared" si="25"/>
        <v>0</v>
      </c>
      <c r="CV47" s="307">
        <f>+BD47-(BU47+CD47+CM47)</f>
        <v>0</v>
      </c>
      <c r="CW47" s="307">
        <f>+BI47-(BV47+CE47+CN47)</f>
        <v>0</v>
      </c>
      <c r="CX47" s="307">
        <f>BW47+CF47+CO47</f>
        <v>0</v>
      </c>
      <c r="CY47" s="307">
        <f>SUM(CQ47:CW47)</f>
        <v>0</v>
      </c>
    </row>
    <row r="48" spans="1:103" s="230" customFormat="1" ht="21" customHeight="1">
      <c r="A48" s="448">
        <v>5411528</v>
      </c>
      <c r="B48" s="309" t="s">
        <v>373</v>
      </c>
      <c r="C48" s="287" t="s">
        <v>560</v>
      </c>
      <c r="D48" s="288">
        <v>3.2650000000000001</v>
      </c>
      <c r="E48" s="290"/>
      <c r="F48" s="310"/>
      <c r="G48" s="311"/>
      <c r="H48" s="293"/>
      <c r="I48" s="221"/>
      <c r="J48" s="294"/>
      <c r="K48" s="294"/>
      <c r="L48" s="295"/>
      <c r="M48" s="293"/>
      <c r="N48" s="221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294"/>
      <c r="AB48" s="294"/>
      <c r="AC48" s="294"/>
      <c r="AD48" s="294"/>
      <c r="AE48" s="293"/>
      <c r="AF48" s="221"/>
      <c r="AG48" s="294"/>
      <c r="AH48" s="294"/>
      <c r="AI48" s="295"/>
      <c r="AJ48" s="293"/>
      <c r="AK48" s="295"/>
      <c r="AL48" s="295"/>
      <c r="AM48" s="295"/>
      <c r="AN48" s="295"/>
      <c r="AO48" s="295"/>
      <c r="AP48" s="295"/>
      <c r="AQ48" s="295"/>
      <c r="AR48" s="295"/>
      <c r="AS48" s="295"/>
      <c r="AT48" s="295"/>
      <c r="AU48" s="293"/>
      <c r="AV48" s="311"/>
      <c r="AW48" s="296"/>
      <c r="AX48" s="296"/>
      <c r="AY48" s="296"/>
      <c r="AZ48" s="296"/>
      <c r="BA48" s="296"/>
      <c r="BB48" s="296"/>
      <c r="BC48" s="296"/>
      <c r="BD48" s="293">
        <f t="shared" si="17"/>
        <v>0</v>
      </c>
      <c r="BE48" s="221"/>
      <c r="BF48" s="294"/>
      <c r="BG48" s="294"/>
      <c r="BH48" s="294"/>
      <c r="BI48" s="293">
        <f t="shared" si="16"/>
        <v>0</v>
      </c>
      <c r="BJ48" s="300"/>
      <c r="BK48" s="301">
        <f t="shared" si="18"/>
        <v>0</v>
      </c>
      <c r="BL48" s="312">
        <f t="shared" si="19"/>
        <v>0</v>
      </c>
      <c r="BM48" s="313">
        <f t="shared" si="20"/>
        <v>0</v>
      </c>
      <c r="BN48" s="314"/>
      <c r="BP48" s="305"/>
      <c r="BQ48" s="305"/>
      <c r="BR48" s="305"/>
      <c r="BS48" s="305"/>
      <c r="BT48" s="305"/>
      <c r="BU48" s="305"/>
      <c r="BV48" s="305"/>
      <c r="BW48" s="300">
        <f t="shared" si="11"/>
        <v>0</v>
      </c>
      <c r="BX48" s="300"/>
      <c r="BY48" s="305"/>
      <c r="BZ48" s="305"/>
      <c r="CA48" s="305"/>
      <c r="CB48" s="305"/>
      <c r="CC48" s="305"/>
      <c r="CD48" s="305"/>
      <c r="CE48" s="305"/>
      <c r="CF48" s="300">
        <f t="shared" si="12"/>
        <v>0</v>
      </c>
      <c r="CG48" s="300"/>
      <c r="CH48" s="305"/>
      <c r="CI48" s="305"/>
      <c r="CJ48" s="305"/>
      <c r="CK48" s="305"/>
      <c r="CL48" s="305"/>
      <c r="CM48" s="305"/>
      <c r="CN48" s="305"/>
      <c r="CO48" s="300">
        <f t="shared" si="13"/>
        <v>0</v>
      </c>
      <c r="CQ48" s="307">
        <f t="shared" si="21"/>
        <v>0</v>
      </c>
      <c r="CR48" s="307">
        <f t="shared" si="22"/>
        <v>0</v>
      </c>
      <c r="CS48" s="307">
        <f t="shared" si="23"/>
        <v>0</v>
      </c>
      <c r="CT48" s="307">
        <f t="shared" si="24"/>
        <v>0</v>
      </c>
      <c r="CU48" s="307">
        <f t="shared" si="25"/>
        <v>0</v>
      </c>
      <c r="CV48" s="307">
        <f t="shared" si="9"/>
        <v>0</v>
      </c>
      <c r="CW48" s="307">
        <f t="shared" si="10"/>
        <v>0</v>
      </c>
      <c r="CX48" s="307">
        <f t="shared" si="14"/>
        <v>0</v>
      </c>
      <c r="CY48" s="307">
        <f t="shared" si="15"/>
        <v>0</v>
      </c>
    </row>
    <row r="49" spans="1:103" s="230" customFormat="1" ht="21" customHeight="1">
      <c r="A49" s="448">
        <v>5467060</v>
      </c>
      <c r="B49" s="309" t="s">
        <v>373</v>
      </c>
      <c r="C49" s="287" t="s">
        <v>561</v>
      </c>
      <c r="D49" s="288">
        <v>4.3470000000000004</v>
      </c>
      <c r="E49" s="290"/>
      <c r="F49" s="310"/>
      <c r="G49" s="311"/>
      <c r="H49" s="293"/>
      <c r="I49" s="221"/>
      <c r="J49" s="294"/>
      <c r="K49" s="294"/>
      <c r="L49" s="295"/>
      <c r="M49" s="293"/>
      <c r="N49" s="221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94"/>
      <c r="AB49" s="294"/>
      <c r="AC49" s="294"/>
      <c r="AD49" s="294"/>
      <c r="AE49" s="293"/>
      <c r="AF49" s="221"/>
      <c r="AG49" s="294"/>
      <c r="AH49" s="294"/>
      <c r="AI49" s="295"/>
      <c r="AJ49" s="293"/>
      <c r="AK49" s="295"/>
      <c r="AL49" s="295"/>
      <c r="AM49" s="295"/>
      <c r="AN49" s="295"/>
      <c r="AO49" s="295"/>
      <c r="AP49" s="295"/>
      <c r="AQ49" s="295"/>
      <c r="AR49" s="295"/>
      <c r="AS49" s="295"/>
      <c r="AT49" s="295"/>
      <c r="AU49" s="293"/>
      <c r="AV49" s="311"/>
      <c r="AW49" s="296"/>
      <c r="AX49" s="296"/>
      <c r="AY49" s="296"/>
      <c r="AZ49" s="296"/>
      <c r="BA49" s="296"/>
      <c r="BB49" s="296"/>
      <c r="BC49" s="296"/>
      <c r="BD49" s="293">
        <f t="shared" si="17"/>
        <v>0</v>
      </c>
      <c r="BE49" s="221"/>
      <c r="BF49" s="294"/>
      <c r="BG49" s="294"/>
      <c r="BH49" s="294"/>
      <c r="BI49" s="293">
        <f t="shared" si="16"/>
        <v>0</v>
      </c>
      <c r="BJ49" s="300"/>
      <c r="BK49" s="301">
        <f t="shared" si="18"/>
        <v>0</v>
      </c>
      <c r="BL49" s="312">
        <f t="shared" si="19"/>
        <v>0</v>
      </c>
      <c r="BM49" s="313">
        <f t="shared" si="20"/>
        <v>0</v>
      </c>
      <c r="BN49" s="314"/>
      <c r="BP49" s="305"/>
      <c r="BQ49" s="305"/>
      <c r="BR49" s="305"/>
      <c r="BS49" s="305"/>
      <c r="BT49" s="305"/>
      <c r="BU49" s="305"/>
      <c r="BV49" s="305"/>
      <c r="BW49" s="300">
        <f t="shared" si="11"/>
        <v>0</v>
      </c>
      <c r="BX49" s="300"/>
      <c r="BY49" s="305"/>
      <c r="BZ49" s="305"/>
      <c r="CA49" s="305"/>
      <c r="CB49" s="305"/>
      <c r="CC49" s="305"/>
      <c r="CD49" s="305"/>
      <c r="CE49" s="305"/>
      <c r="CF49" s="300">
        <f t="shared" si="12"/>
        <v>0</v>
      </c>
      <c r="CG49" s="300"/>
      <c r="CH49" s="305"/>
      <c r="CI49" s="305"/>
      <c r="CJ49" s="305"/>
      <c r="CK49" s="305"/>
      <c r="CL49" s="305"/>
      <c r="CM49" s="305"/>
      <c r="CN49" s="305"/>
      <c r="CO49" s="300">
        <f t="shared" si="13"/>
        <v>0</v>
      </c>
      <c r="CQ49" s="307">
        <f t="shared" si="21"/>
        <v>0</v>
      </c>
      <c r="CR49" s="307">
        <f t="shared" si="22"/>
        <v>0</v>
      </c>
      <c r="CS49" s="307">
        <f t="shared" si="23"/>
        <v>0</v>
      </c>
      <c r="CT49" s="307">
        <f t="shared" si="24"/>
        <v>0</v>
      </c>
      <c r="CU49" s="307">
        <f t="shared" si="25"/>
        <v>0</v>
      </c>
      <c r="CV49" s="307">
        <f t="shared" si="9"/>
        <v>0</v>
      </c>
      <c r="CW49" s="307">
        <f t="shared" si="10"/>
        <v>0</v>
      </c>
      <c r="CX49" s="307">
        <f t="shared" si="14"/>
        <v>0</v>
      </c>
      <c r="CY49" s="307">
        <f t="shared" si="15"/>
        <v>0</v>
      </c>
    </row>
    <row r="50" spans="1:103" s="230" customFormat="1" ht="21" customHeight="1">
      <c r="A50" s="448">
        <v>5334104</v>
      </c>
      <c r="B50" s="309" t="s">
        <v>373</v>
      </c>
      <c r="C50" s="287" t="s">
        <v>562</v>
      </c>
      <c r="D50" s="288">
        <v>12.355</v>
      </c>
      <c r="E50" s="290"/>
      <c r="F50" s="310"/>
      <c r="G50" s="311"/>
      <c r="H50" s="293"/>
      <c r="I50" s="221"/>
      <c r="J50" s="294"/>
      <c r="K50" s="294"/>
      <c r="L50" s="295"/>
      <c r="M50" s="293"/>
      <c r="N50" s="221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94"/>
      <c r="AB50" s="294"/>
      <c r="AC50" s="294"/>
      <c r="AD50" s="294"/>
      <c r="AE50" s="293"/>
      <c r="AF50" s="221"/>
      <c r="AG50" s="294"/>
      <c r="AH50" s="294"/>
      <c r="AI50" s="295"/>
      <c r="AJ50" s="293"/>
      <c r="AK50" s="295"/>
      <c r="AL50" s="295"/>
      <c r="AM50" s="295"/>
      <c r="AN50" s="295"/>
      <c r="AO50" s="295"/>
      <c r="AP50" s="295"/>
      <c r="AQ50" s="295"/>
      <c r="AR50" s="295"/>
      <c r="AS50" s="295"/>
      <c r="AT50" s="295"/>
      <c r="AU50" s="293"/>
      <c r="AV50" s="311"/>
      <c r="AW50" s="296"/>
      <c r="AX50" s="296"/>
      <c r="AY50" s="296"/>
      <c r="AZ50" s="296"/>
      <c r="BA50" s="296"/>
      <c r="BB50" s="296"/>
      <c r="BC50" s="296"/>
      <c r="BD50" s="293">
        <f t="shared" si="17"/>
        <v>0</v>
      </c>
      <c r="BE50" s="221"/>
      <c r="BF50" s="294"/>
      <c r="BG50" s="294"/>
      <c r="BH50" s="294"/>
      <c r="BI50" s="293">
        <f t="shared" si="16"/>
        <v>0</v>
      </c>
      <c r="BJ50" s="300"/>
      <c r="BK50" s="301">
        <f t="shared" si="18"/>
        <v>0</v>
      </c>
      <c r="BL50" s="312">
        <f t="shared" si="19"/>
        <v>0</v>
      </c>
      <c r="BM50" s="313">
        <f t="shared" si="20"/>
        <v>0</v>
      </c>
      <c r="BN50" s="314"/>
      <c r="BP50" s="305"/>
      <c r="BQ50" s="305"/>
      <c r="BR50" s="305"/>
      <c r="BS50" s="305"/>
      <c r="BT50" s="305"/>
      <c r="BU50" s="305"/>
      <c r="BV50" s="305"/>
      <c r="BW50" s="300">
        <f t="shared" si="11"/>
        <v>0</v>
      </c>
      <c r="BX50" s="300"/>
      <c r="BY50" s="305"/>
      <c r="BZ50" s="305"/>
      <c r="CA50" s="305"/>
      <c r="CB50" s="305"/>
      <c r="CC50" s="305"/>
      <c r="CD50" s="305"/>
      <c r="CE50" s="305"/>
      <c r="CF50" s="300">
        <f t="shared" si="12"/>
        <v>0</v>
      </c>
      <c r="CG50" s="300"/>
      <c r="CH50" s="305"/>
      <c r="CI50" s="305"/>
      <c r="CJ50" s="305"/>
      <c r="CK50" s="305"/>
      <c r="CL50" s="305"/>
      <c r="CM50" s="305"/>
      <c r="CN50" s="305"/>
      <c r="CO50" s="300">
        <f t="shared" si="13"/>
        <v>0</v>
      </c>
      <c r="CQ50" s="307">
        <f t="shared" si="21"/>
        <v>0</v>
      </c>
      <c r="CR50" s="307">
        <f t="shared" si="22"/>
        <v>0</v>
      </c>
      <c r="CS50" s="307">
        <f t="shared" si="23"/>
        <v>0</v>
      </c>
      <c r="CT50" s="307">
        <f t="shared" si="24"/>
        <v>0</v>
      </c>
      <c r="CU50" s="307">
        <f t="shared" si="25"/>
        <v>0</v>
      </c>
      <c r="CV50" s="307">
        <f t="shared" si="9"/>
        <v>0</v>
      </c>
      <c r="CW50" s="307">
        <f t="shared" si="10"/>
        <v>0</v>
      </c>
      <c r="CX50" s="307">
        <f t="shared" si="14"/>
        <v>0</v>
      </c>
      <c r="CY50" s="307">
        <f t="shared" si="15"/>
        <v>0</v>
      </c>
    </row>
    <row r="51" spans="1:103" s="230" customFormat="1" ht="21" customHeight="1">
      <c r="A51" s="448">
        <v>5411010</v>
      </c>
      <c r="B51" s="309" t="s">
        <v>373</v>
      </c>
      <c r="C51" s="287" t="s">
        <v>563</v>
      </c>
      <c r="D51" s="288">
        <v>6.0339999999999998</v>
      </c>
      <c r="E51" s="290"/>
      <c r="F51" s="310"/>
      <c r="G51" s="311"/>
      <c r="H51" s="293"/>
      <c r="I51" s="221"/>
      <c r="J51" s="294"/>
      <c r="K51" s="294"/>
      <c r="L51" s="295"/>
      <c r="M51" s="293"/>
      <c r="N51" s="221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  <c r="AC51" s="294"/>
      <c r="AD51" s="294"/>
      <c r="AE51" s="293"/>
      <c r="AF51" s="221"/>
      <c r="AG51" s="294"/>
      <c r="AH51" s="294"/>
      <c r="AI51" s="295"/>
      <c r="AJ51" s="293"/>
      <c r="AK51" s="295"/>
      <c r="AL51" s="295"/>
      <c r="AM51" s="295"/>
      <c r="AN51" s="295"/>
      <c r="AO51" s="295"/>
      <c r="AP51" s="295"/>
      <c r="AQ51" s="295"/>
      <c r="AR51" s="295"/>
      <c r="AS51" s="295"/>
      <c r="AT51" s="295"/>
      <c r="AU51" s="293"/>
      <c r="AV51" s="311"/>
      <c r="AW51" s="296"/>
      <c r="AX51" s="296"/>
      <c r="AY51" s="296"/>
      <c r="AZ51" s="296"/>
      <c r="BA51" s="296"/>
      <c r="BB51" s="296"/>
      <c r="BC51" s="296"/>
      <c r="BD51" s="293">
        <f t="shared" si="17"/>
        <v>0</v>
      </c>
      <c r="BE51" s="221"/>
      <c r="BF51" s="294"/>
      <c r="BG51" s="294"/>
      <c r="BH51" s="294"/>
      <c r="BI51" s="293">
        <f t="shared" si="16"/>
        <v>0</v>
      </c>
      <c r="BJ51" s="300"/>
      <c r="BK51" s="301">
        <f t="shared" si="18"/>
        <v>0</v>
      </c>
      <c r="BL51" s="312">
        <f t="shared" si="19"/>
        <v>0</v>
      </c>
      <c r="BM51" s="313">
        <f t="shared" si="20"/>
        <v>0</v>
      </c>
      <c r="BN51" s="314"/>
      <c r="BP51" s="305"/>
      <c r="BQ51" s="305"/>
      <c r="BR51" s="305"/>
      <c r="BS51" s="305"/>
      <c r="BT51" s="305"/>
      <c r="BU51" s="305"/>
      <c r="BV51" s="305"/>
      <c r="BW51" s="300">
        <f t="shared" si="11"/>
        <v>0</v>
      </c>
      <c r="BX51" s="300"/>
      <c r="BY51" s="305"/>
      <c r="BZ51" s="305"/>
      <c r="CA51" s="305"/>
      <c r="CB51" s="305"/>
      <c r="CC51" s="305"/>
      <c r="CD51" s="305"/>
      <c r="CE51" s="305"/>
      <c r="CF51" s="300">
        <f t="shared" si="12"/>
        <v>0</v>
      </c>
      <c r="CG51" s="300"/>
      <c r="CH51" s="305"/>
      <c r="CI51" s="305"/>
      <c r="CJ51" s="305"/>
      <c r="CK51" s="305"/>
      <c r="CL51" s="305"/>
      <c r="CM51" s="305"/>
      <c r="CN51" s="305"/>
      <c r="CO51" s="300">
        <f t="shared" si="13"/>
        <v>0</v>
      </c>
      <c r="CQ51" s="307">
        <f t="shared" si="21"/>
        <v>0</v>
      </c>
      <c r="CR51" s="307">
        <f t="shared" si="22"/>
        <v>0</v>
      </c>
      <c r="CS51" s="307">
        <f t="shared" si="23"/>
        <v>0</v>
      </c>
      <c r="CT51" s="307">
        <f t="shared" si="24"/>
        <v>0</v>
      </c>
      <c r="CU51" s="307">
        <f t="shared" si="25"/>
        <v>0</v>
      </c>
      <c r="CV51" s="307">
        <f t="shared" si="9"/>
        <v>0</v>
      </c>
      <c r="CW51" s="307">
        <f t="shared" si="10"/>
        <v>0</v>
      </c>
      <c r="CX51" s="307">
        <f t="shared" si="14"/>
        <v>0</v>
      </c>
      <c r="CY51" s="307">
        <f t="shared" si="15"/>
        <v>0</v>
      </c>
    </row>
    <row r="52" spans="1:103" s="230" customFormat="1" ht="21" customHeight="1">
      <c r="A52" s="448">
        <v>5411058</v>
      </c>
      <c r="B52" s="309" t="s">
        <v>373</v>
      </c>
      <c r="C52" s="287" t="s">
        <v>523</v>
      </c>
      <c r="D52" s="288">
        <v>1.351</v>
      </c>
      <c r="E52" s="290"/>
      <c r="F52" s="310"/>
      <c r="G52" s="311"/>
      <c r="H52" s="293"/>
      <c r="I52" s="221"/>
      <c r="J52" s="294"/>
      <c r="K52" s="294"/>
      <c r="L52" s="295"/>
      <c r="M52" s="293"/>
      <c r="N52" s="221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4"/>
      <c r="AB52" s="294"/>
      <c r="AC52" s="294"/>
      <c r="AD52" s="294"/>
      <c r="AE52" s="293"/>
      <c r="AF52" s="221"/>
      <c r="AG52" s="294"/>
      <c r="AH52" s="294"/>
      <c r="AI52" s="295"/>
      <c r="AJ52" s="293"/>
      <c r="AK52" s="295"/>
      <c r="AL52" s="295"/>
      <c r="AM52" s="295"/>
      <c r="AN52" s="295"/>
      <c r="AO52" s="295"/>
      <c r="AP52" s="295"/>
      <c r="AQ52" s="295"/>
      <c r="AR52" s="295"/>
      <c r="AS52" s="295"/>
      <c r="AT52" s="295"/>
      <c r="AU52" s="293"/>
      <c r="AV52" s="311"/>
      <c r="AW52" s="296"/>
      <c r="AX52" s="296"/>
      <c r="AY52" s="296"/>
      <c r="AZ52" s="296"/>
      <c r="BA52" s="296"/>
      <c r="BB52" s="296"/>
      <c r="BC52" s="296"/>
      <c r="BD52" s="293">
        <f t="shared" si="17"/>
        <v>0</v>
      </c>
      <c r="BE52" s="221"/>
      <c r="BF52" s="294"/>
      <c r="BG52" s="294"/>
      <c r="BH52" s="294"/>
      <c r="BI52" s="293">
        <f t="shared" si="16"/>
        <v>0</v>
      </c>
      <c r="BJ52" s="300"/>
      <c r="BK52" s="301">
        <f t="shared" si="18"/>
        <v>0</v>
      </c>
      <c r="BL52" s="312">
        <f t="shared" si="19"/>
        <v>0</v>
      </c>
      <c r="BM52" s="313">
        <f t="shared" si="20"/>
        <v>0</v>
      </c>
      <c r="BN52" s="314"/>
      <c r="BP52" s="305"/>
      <c r="BQ52" s="305"/>
      <c r="BR52" s="305"/>
      <c r="BS52" s="305"/>
      <c r="BT52" s="305"/>
      <c r="BU52" s="305"/>
      <c r="BV52" s="305"/>
      <c r="BW52" s="300">
        <f t="shared" si="11"/>
        <v>0</v>
      </c>
      <c r="BX52" s="300"/>
      <c r="BY52" s="305"/>
      <c r="BZ52" s="305"/>
      <c r="CA52" s="305"/>
      <c r="CB52" s="305"/>
      <c r="CC52" s="305"/>
      <c r="CD52" s="305"/>
      <c r="CE52" s="305"/>
      <c r="CF52" s="300">
        <f t="shared" si="12"/>
        <v>0</v>
      </c>
      <c r="CG52" s="300"/>
      <c r="CH52" s="305"/>
      <c r="CI52" s="305"/>
      <c r="CJ52" s="305"/>
      <c r="CK52" s="305"/>
      <c r="CL52" s="305"/>
      <c r="CM52" s="305"/>
      <c r="CN52" s="305"/>
      <c r="CO52" s="300">
        <f t="shared" si="13"/>
        <v>0</v>
      </c>
      <c r="CQ52" s="307">
        <f t="shared" si="21"/>
        <v>0</v>
      </c>
      <c r="CR52" s="307">
        <f t="shared" si="22"/>
        <v>0</v>
      </c>
      <c r="CS52" s="307">
        <f t="shared" si="23"/>
        <v>0</v>
      </c>
      <c r="CT52" s="307">
        <f t="shared" si="24"/>
        <v>0</v>
      </c>
      <c r="CU52" s="307">
        <f t="shared" si="25"/>
        <v>0</v>
      </c>
      <c r="CV52" s="307">
        <f t="shared" si="9"/>
        <v>0</v>
      </c>
      <c r="CW52" s="307">
        <f t="shared" si="10"/>
        <v>0</v>
      </c>
      <c r="CX52" s="307">
        <f t="shared" si="14"/>
        <v>0</v>
      </c>
      <c r="CY52" s="307">
        <f t="shared" si="15"/>
        <v>0</v>
      </c>
    </row>
    <row r="53" spans="1:103" s="230" customFormat="1" ht="21" customHeight="1">
      <c r="A53" s="448">
        <v>5411056</v>
      </c>
      <c r="B53" s="309" t="s">
        <v>373</v>
      </c>
      <c r="C53" s="287" t="s">
        <v>564</v>
      </c>
      <c r="D53" s="288">
        <v>1.46</v>
      </c>
      <c r="E53" s="290"/>
      <c r="F53" s="310"/>
      <c r="G53" s="311"/>
      <c r="H53" s="293"/>
      <c r="I53" s="221"/>
      <c r="J53" s="294"/>
      <c r="K53" s="294"/>
      <c r="L53" s="295"/>
      <c r="M53" s="293"/>
      <c r="N53" s="221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  <c r="AE53" s="293"/>
      <c r="AF53" s="221"/>
      <c r="AG53" s="294"/>
      <c r="AH53" s="294"/>
      <c r="AI53" s="295"/>
      <c r="AJ53" s="293"/>
      <c r="AK53" s="221"/>
      <c r="AL53" s="295"/>
      <c r="AM53" s="295"/>
      <c r="AN53" s="295"/>
      <c r="AO53" s="295"/>
      <c r="AP53" s="295"/>
      <c r="AQ53" s="295"/>
      <c r="AR53" s="295"/>
      <c r="AS53" s="295"/>
      <c r="AT53" s="295"/>
      <c r="AU53" s="293"/>
      <c r="AV53" s="311"/>
      <c r="AW53" s="296"/>
      <c r="AX53" s="296"/>
      <c r="AY53" s="296"/>
      <c r="AZ53" s="296"/>
      <c r="BA53" s="296"/>
      <c r="BB53" s="296"/>
      <c r="BC53" s="296"/>
      <c r="BD53" s="293">
        <f t="shared" si="17"/>
        <v>0</v>
      </c>
      <c r="BE53" s="221"/>
      <c r="BF53" s="294"/>
      <c r="BG53" s="294"/>
      <c r="BH53" s="294"/>
      <c r="BI53" s="293">
        <f t="shared" si="16"/>
        <v>0</v>
      </c>
      <c r="BJ53" s="300"/>
      <c r="BK53" s="301">
        <f t="shared" si="18"/>
        <v>0</v>
      </c>
      <c r="BL53" s="312">
        <f t="shared" si="19"/>
        <v>0</v>
      </c>
      <c r="BM53" s="313">
        <f t="shared" si="20"/>
        <v>0</v>
      </c>
      <c r="BN53" s="314"/>
      <c r="BP53" s="305"/>
      <c r="BQ53" s="305"/>
      <c r="BR53" s="305"/>
      <c r="BS53" s="305"/>
      <c r="BT53" s="305"/>
      <c r="BU53" s="305"/>
      <c r="BV53" s="305"/>
      <c r="BW53" s="300">
        <f t="shared" si="11"/>
        <v>0</v>
      </c>
      <c r="BX53" s="300"/>
      <c r="BY53" s="305"/>
      <c r="BZ53" s="305"/>
      <c r="CA53" s="305"/>
      <c r="CB53" s="305"/>
      <c r="CC53" s="305"/>
      <c r="CD53" s="305"/>
      <c r="CE53" s="305"/>
      <c r="CF53" s="300">
        <f t="shared" si="12"/>
        <v>0</v>
      </c>
      <c r="CG53" s="300"/>
      <c r="CH53" s="305"/>
      <c r="CI53" s="305"/>
      <c r="CJ53" s="305"/>
      <c r="CK53" s="305"/>
      <c r="CL53" s="305"/>
      <c r="CM53" s="305"/>
      <c r="CN53" s="305"/>
      <c r="CO53" s="300">
        <f t="shared" si="13"/>
        <v>0</v>
      </c>
      <c r="CQ53" s="307">
        <f t="shared" si="21"/>
        <v>0</v>
      </c>
      <c r="CR53" s="307">
        <f t="shared" si="22"/>
        <v>0</v>
      </c>
      <c r="CS53" s="307">
        <f t="shared" si="23"/>
        <v>0</v>
      </c>
      <c r="CT53" s="307">
        <f t="shared" si="24"/>
        <v>0</v>
      </c>
      <c r="CU53" s="307">
        <f t="shared" si="25"/>
        <v>0</v>
      </c>
      <c r="CV53" s="307">
        <f t="shared" si="9"/>
        <v>0</v>
      </c>
      <c r="CW53" s="307">
        <f t="shared" si="10"/>
        <v>0</v>
      </c>
      <c r="CX53" s="307">
        <f t="shared" si="14"/>
        <v>0</v>
      </c>
      <c r="CY53" s="307">
        <f t="shared" si="15"/>
        <v>0</v>
      </c>
    </row>
    <row r="54" spans="1:103" s="230" customFormat="1" ht="21" customHeight="1">
      <c r="A54" s="448">
        <v>5111102</v>
      </c>
      <c r="B54" s="309" t="s">
        <v>373</v>
      </c>
      <c r="C54" s="287" t="s">
        <v>565</v>
      </c>
      <c r="D54" s="288">
        <v>5.1959999999999997</v>
      </c>
      <c r="E54" s="290"/>
      <c r="F54" s="310"/>
      <c r="G54" s="311"/>
      <c r="H54" s="293"/>
      <c r="I54" s="221"/>
      <c r="J54" s="294"/>
      <c r="K54" s="294"/>
      <c r="L54" s="295"/>
      <c r="M54" s="293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21"/>
      <c r="AC54" s="294"/>
      <c r="AD54" s="294"/>
      <c r="AE54" s="293"/>
      <c r="AF54" s="221"/>
      <c r="AG54" s="294"/>
      <c r="AH54" s="294"/>
      <c r="AI54" s="295"/>
      <c r="AJ54" s="293"/>
      <c r="AK54" s="295"/>
      <c r="AL54" s="295"/>
      <c r="AM54" s="295"/>
      <c r="AN54" s="295"/>
      <c r="AO54" s="295"/>
      <c r="AP54" s="295"/>
      <c r="AQ54" s="295"/>
      <c r="AR54" s="295"/>
      <c r="AS54" s="295"/>
      <c r="AT54" s="295"/>
      <c r="AU54" s="293"/>
      <c r="AV54" s="311"/>
      <c r="AW54" s="296"/>
      <c r="AX54" s="296"/>
      <c r="AY54" s="296"/>
      <c r="AZ54" s="296"/>
      <c r="BA54" s="296"/>
      <c r="BB54" s="296"/>
      <c r="BC54" s="296"/>
      <c r="BD54" s="293">
        <f t="shared" si="17"/>
        <v>0</v>
      </c>
      <c r="BE54" s="221"/>
      <c r="BF54" s="294"/>
      <c r="BG54" s="294"/>
      <c r="BH54" s="294"/>
      <c r="BI54" s="293">
        <f t="shared" si="16"/>
        <v>0</v>
      </c>
      <c r="BJ54" s="300"/>
      <c r="BK54" s="301">
        <f t="shared" si="18"/>
        <v>0</v>
      </c>
      <c r="BL54" s="312">
        <f t="shared" si="19"/>
        <v>0</v>
      </c>
      <c r="BM54" s="313">
        <f t="shared" si="20"/>
        <v>0</v>
      </c>
      <c r="BN54" s="314"/>
      <c r="BP54" s="305"/>
      <c r="BQ54" s="305"/>
      <c r="BR54" s="305"/>
      <c r="BS54" s="305"/>
      <c r="BT54" s="305"/>
      <c r="BU54" s="305"/>
      <c r="BV54" s="305"/>
      <c r="BW54" s="300">
        <f t="shared" si="11"/>
        <v>0</v>
      </c>
      <c r="BX54" s="300"/>
      <c r="BY54" s="305"/>
      <c r="BZ54" s="305"/>
      <c r="CA54" s="305"/>
      <c r="CB54" s="305"/>
      <c r="CC54" s="305"/>
      <c r="CD54" s="305"/>
      <c r="CE54" s="305"/>
      <c r="CF54" s="300">
        <f t="shared" si="12"/>
        <v>0</v>
      </c>
      <c r="CG54" s="300"/>
      <c r="CH54" s="305"/>
      <c r="CI54" s="305"/>
      <c r="CJ54" s="305"/>
      <c r="CK54" s="305"/>
      <c r="CL54" s="305"/>
      <c r="CM54" s="305"/>
      <c r="CN54" s="305"/>
      <c r="CO54" s="300">
        <f t="shared" si="13"/>
        <v>0</v>
      </c>
      <c r="CQ54" s="307">
        <f t="shared" si="21"/>
        <v>0</v>
      </c>
      <c r="CR54" s="307">
        <f t="shared" si="22"/>
        <v>0</v>
      </c>
      <c r="CS54" s="307">
        <f t="shared" si="23"/>
        <v>0</v>
      </c>
      <c r="CT54" s="307">
        <f t="shared" si="24"/>
        <v>0</v>
      </c>
      <c r="CU54" s="307">
        <f t="shared" si="25"/>
        <v>0</v>
      </c>
      <c r="CV54" s="307">
        <f t="shared" si="9"/>
        <v>0</v>
      </c>
      <c r="CW54" s="307">
        <f t="shared" si="10"/>
        <v>0</v>
      </c>
      <c r="CX54" s="307">
        <f t="shared" si="14"/>
        <v>0</v>
      </c>
      <c r="CY54" s="307">
        <f t="shared" si="15"/>
        <v>0</v>
      </c>
    </row>
    <row r="55" spans="1:103" s="230" customFormat="1" ht="21" customHeight="1">
      <c r="A55" s="448">
        <v>5131920</v>
      </c>
      <c r="B55" s="309" t="s">
        <v>373</v>
      </c>
      <c r="C55" s="287" t="s">
        <v>566</v>
      </c>
      <c r="D55" s="288">
        <v>1.42</v>
      </c>
      <c r="E55" s="290"/>
      <c r="F55" s="310"/>
      <c r="G55" s="311"/>
      <c r="H55" s="293"/>
      <c r="I55" s="221"/>
      <c r="J55" s="294"/>
      <c r="K55" s="294"/>
      <c r="L55" s="295"/>
      <c r="M55" s="293"/>
      <c r="N55" s="221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94"/>
      <c r="AE55" s="293"/>
      <c r="AF55" s="221"/>
      <c r="AG55" s="294"/>
      <c r="AH55" s="294"/>
      <c r="AI55" s="295"/>
      <c r="AJ55" s="293"/>
      <c r="AK55" s="295"/>
      <c r="AL55" s="295"/>
      <c r="AM55" s="295"/>
      <c r="AN55" s="295"/>
      <c r="AO55" s="295"/>
      <c r="AP55" s="295"/>
      <c r="AQ55" s="295"/>
      <c r="AR55" s="295"/>
      <c r="AS55" s="295"/>
      <c r="AT55" s="295"/>
      <c r="AU55" s="293"/>
      <c r="AV55" s="311"/>
      <c r="AW55" s="296"/>
      <c r="AX55" s="296"/>
      <c r="AY55" s="296"/>
      <c r="AZ55" s="296"/>
      <c r="BA55" s="296"/>
      <c r="BB55" s="296"/>
      <c r="BC55" s="296"/>
      <c r="BD55" s="293">
        <f t="shared" si="17"/>
        <v>0</v>
      </c>
      <c r="BE55" s="221"/>
      <c r="BF55" s="294"/>
      <c r="BG55" s="294"/>
      <c r="BH55" s="294"/>
      <c r="BI55" s="293">
        <f t="shared" si="16"/>
        <v>0</v>
      </c>
      <c r="BJ55" s="300"/>
      <c r="BK55" s="301">
        <f t="shared" si="18"/>
        <v>0</v>
      </c>
      <c r="BL55" s="312">
        <f t="shared" si="19"/>
        <v>0</v>
      </c>
      <c r="BM55" s="313">
        <f t="shared" si="20"/>
        <v>0</v>
      </c>
      <c r="BN55" s="314"/>
      <c r="BP55" s="305"/>
      <c r="BQ55" s="305"/>
      <c r="BR55" s="305"/>
      <c r="BS55" s="305"/>
      <c r="BT55" s="305"/>
      <c r="BU55" s="305"/>
      <c r="BV55" s="305"/>
      <c r="BW55" s="300">
        <f t="shared" si="11"/>
        <v>0</v>
      </c>
      <c r="BX55" s="300"/>
      <c r="BY55" s="305"/>
      <c r="BZ55" s="305"/>
      <c r="CA55" s="305"/>
      <c r="CB55" s="305"/>
      <c r="CC55" s="305"/>
      <c r="CD55" s="305"/>
      <c r="CE55" s="305"/>
      <c r="CF55" s="300">
        <f t="shared" si="12"/>
        <v>0</v>
      </c>
      <c r="CG55" s="300"/>
      <c r="CH55" s="305"/>
      <c r="CI55" s="305"/>
      <c r="CJ55" s="305"/>
      <c r="CK55" s="305"/>
      <c r="CL55" s="305"/>
      <c r="CM55" s="305"/>
      <c r="CN55" s="305"/>
      <c r="CO55" s="300">
        <f t="shared" si="13"/>
        <v>0</v>
      </c>
      <c r="CQ55" s="307">
        <f t="shared" si="21"/>
        <v>0</v>
      </c>
      <c r="CR55" s="307">
        <f t="shared" si="22"/>
        <v>0</v>
      </c>
      <c r="CS55" s="307">
        <f t="shared" si="23"/>
        <v>0</v>
      </c>
      <c r="CT55" s="307">
        <f t="shared" si="24"/>
        <v>0</v>
      </c>
      <c r="CU55" s="307">
        <f t="shared" si="25"/>
        <v>0</v>
      </c>
      <c r="CV55" s="307">
        <f t="shared" si="9"/>
        <v>0</v>
      </c>
      <c r="CW55" s="307">
        <f t="shared" si="10"/>
        <v>0</v>
      </c>
      <c r="CX55" s="307">
        <f t="shared" si="14"/>
        <v>0</v>
      </c>
      <c r="CY55" s="307">
        <f t="shared" si="15"/>
        <v>0</v>
      </c>
    </row>
    <row r="56" spans="1:103" s="230" customFormat="1" ht="21" customHeight="1">
      <c r="A56" s="448">
        <v>5114702</v>
      </c>
      <c r="B56" s="309" t="s">
        <v>373</v>
      </c>
      <c r="C56" s="287" t="s">
        <v>567</v>
      </c>
      <c r="D56" s="288">
        <v>0.184</v>
      </c>
      <c r="E56" s="290"/>
      <c r="F56" s="310"/>
      <c r="G56" s="311"/>
      <c r="H56" s="293"/>
      <c r="I56" s="221"/>
      <c r="J56" s="294"/>
      <c r="K56" s="294"/>
      <c r="L56" s="295"/>
      <c r="M56" s="293"/>
      <c r="N56" s="221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  <c r="AC56" s="294"/>
      <c r="AD56" s="294"/>
      <c r="AE56" s="293"/>
      <c r="AF56" s="221"/>
      <c r="AG56" s="294"/>
      <c r="AH56" s="294"/>
      <c r="AI56" s="295"/>
      <c r="AJ56" s="293"/>
      <c r="AK56" s="295"/>
      <c r="AL56" s="295"/>
      <c r="AM56" s="295"/>
      <c r="AN56" s="295"/>
      <c r="AO56" s="295"/>
      <c r="AP56" s="295"/>
      <c r="AQ56" s="295"/>
      <c r="AR56" s="295"/>
      <c r="AS56" s="295"/>
      <c r="AT56" s="295"/>
      <c r="AU56" s="293"/>
      <c r="AV56" s="311"/>
      <c r="AW56" s="296"/>
      <c r="AX56" s="296"/>
      <c r="AY56" s="296"/>
      <c r="AZ56" s="296"/>
      <c r="BA56" s="296"/>
      <c r="BB56" s="296"/>
      <c r="BC56" s="296"/>
      <c r="BD56" s="293">
        <f t="shared" si="17"/>
        <v>0</v>
      </c>
      <c r="BE56" s="221"/>
      <c r="BF56" s="294"/>
      <c r="BG56" s="294"/>
      <c r="BH56" s="294"/>
      <c r="BI56" s="293">
        <f t="shared" si="16"/>
        <v>0</v>
      </c>
      <c r="BJ56" s="300"/>
      <c r="BK56" s="301">
        <f t="shared" si="18"/>
        <v>0</v>
      </c>
      <c r="BL56" s="312">
        <f t="shared" si="19"/>
        <v>0</v>
      </c>
      <c r="BM56" s="313">
        <f t="shared" si="20"/>
        <v>0</v>
      </c>
      <c r="BN56" s="314"/>
      <c r="BP56" s="305"/>
      <c r="BQ56" s="305"/>
      <c r="BR56" s="305"/>
      <c r="BS56" s="305"/>
      <c r="BT56" s="305"/>
      <c r="BU56" s="305"/>
      <c r="BV56" s="305"/>
      <c r="BW56" s="300">
        <f t="shared" si="11"/>
        <v>0</v>
      </c>
      <c r="BX56" s="300"/>
      <c r="BY56" s="305"/>
      <c r="BZ56" s="305"/>
      <c r="CA56" s="305"/>
      <c r="CB56" s="305"/>
      <c r="CC56" s="305"/>
      <c r="CD56" s="305"/>
      <c r="CE56" s="305"/>
      <c r="CF56" s="300">
        <f t="shared" si="12"/>
        <v>0</v>
      </c>
      <c r="CG56" s="300"/>
      <c r="CH56" s="305"/>
      <c r="CI56" s="305"/>
      <c r="CJ56" s="305"/>
      <c r="CK56" s="305"/>
      <c r="CL56" s="305"/>
      <c r="CM56" s="305"/>
      <c r="CN56" s="305"/>
      <c r="CO56" s="300">
        <f t="shared" si="13"/>
        <v>0</v>
      </c>
      <c r="CQ56" s="307">
        <f t="shared" si="21"/>
        <v>0</v>
      </c>
      <c r="CR56" s="307">
        <f t="shared" si="22"/>
        <v>0</v>
      </c>
      <c r="CS56" s="307">
        <f t="shared" si="23"/>
        <v>0</v>
      </c>
      <c r="CT56" s="307">
        <f t="shared" si="24"/>
        <v>0</v>
      </c>
      <c r="CU56" s="307">
        <f t="shared" si="25"/>
        <v>0</v>
      </c>
      <c r="CV56" s="307">
        <f t="shared" si="9"/>
        <v>0</v>
      </c>
      <c r="CW56" s="307">
        <f t="shared" si="10"/>
        <v>0</v>
      </c>
      <c r="CX56" s="307">
        <f t="shared" si="14"/>
        <v>0</v>
      </c>
      <c r="CY56" s="307">
        <f t="shared" si="15"/>
        <v>0</v>
      </c>
    </row>
    <row r="57" spans="1:103" s="230" customFormat="1" ht="21" customHeight="1">
      <c r="A57" s="448">
        <v>5031165</v>
      </c>
      <c r="B57" s="309" t="s">
        <v>373</v>
      </c>
      <c r="C57" s="287" t="s">
        <v>568</v>
      </c>
      <c r="D57" s="288">
        <v>3.5720000000000001</v>
      </c>
      <c r="E57" s="290"/>
      <c r="F57" s="310"/>
      <c r="G57" s="311"/>
      <c r="H57" s="293"/>
      <c r="I57" s="221"/>
      <c r="J57" s="294"/>
      <c r="K57" s="294"/>
      <c r="L57" s="295"/>
      <c r="M57" s="293"/>
      <c r="N57" s="221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3"/>
      <c r="AF57" s="221"/>
      <c r="AG57" s="294"/>
      <c r="AH57" s="294"/>
      <c r="AI57" s="295"/>
      <c r="AJ57" s="293"/>
      <c r="AK57" s="295"/>
      <c r="AL57" s="295"/>
      <c r="AM57" s="295"/>
      <c r="AN57" s="295"/>
      <c r="AO57" s="295"/>
      <c r="AP57" s="295"/>
      <c r="AQ57" s="295"/>
      <c r="AR57" s="295"/>
      <c r="AS57" s="295"/>
      <c r="AT57" s="295"/>
      <c r="AU57" s="293"/>
      <c r="AV57" s="311"/>
      <c r="AW57" s="296"/>
      <c r="AX57" s="296"/>
      <c r="AY57" s="296"/>
      <c r="AZ57" s="296"/>
      <c r="BA57" s="296"/>
      <c r="BB57" s="296"/>
      <c r="BC57" s="296"/>
      <c r="BD57" s="293">
        <f t="shared" si="17"/>
        <v>0</v>
      </c>
      <c r="BE57" s="221"/>
      <c r="BF57" s="294"/>
      <c r="BG57" s="294"/>
      <c r="BH57" s="294"/>
      <c r="BI57" s="293">
        <f t="shared" si="16"/>
        <v>0</v>
      </c>
      <c r="BJ57" s="300"/>
      <c r="BK57" s="301">
        <f t="shared" si="18"/>
        <v>0</v>
      </c>
      <c r="BL57" s="312">
        <f t="shared" si="19"/>
        <v>0</v>
      </c>
      <c r="BM57" s="313">
        <f t="shared" si="20"/>
        <v>0</v>
      </c>
      <c r="BN57" s="314"/>
      <c r="BP57" s="305"/>
      <c r="BQ57" s="305"/>
      <c r="BR57" s="305"/>
      <c r="BS57" s="305"/>
      <c r="BT57" s="305"/>
      <c r="BU57" s="305"/>
      <c r="BV57" s="305"/>
      <c r="BW57" s="300">
        <f t="shared" si="11"/>
        <v>0</v>
      </c>
      <c r="BX57" s="300"/>
      <c r="BY57" s="305"/>
      <c r="BZ57" s="305"/>
      <c r="CA57" s="305"/>
      <c r="CB57" s="305"/>
      <c r="CC57" s="305"/>
      <c r="CD57" s="305"/>
      <c r="CE57" s="305"/>
      <c r="CF57" s="300">
        <f t="shared" si="12"/>
        <v>0</v>
      </c>
      <c r="CG57" s="300"/>
      <c r="CH57" s="305"/>
      <c r="CI57" s="305"/>
      <c r="CJ57" s="305"/>
      <c r="CK57" s="305"/>
      <c r="CL57" s="305"/>
      <c r="CM57" s="305"/>
      <c r="CN57" s="305"/>
      <c r="CO57" s="300">
        <f t="shared" si="13"/>
        <v>0</v>
      </c>
      <c r="CQ57" s="307">
        <f t="shared" si="21"/>
        <v>0</v>
      </c>
      <c r="CR57" s="307">
        <f t="shared" si="22"/>
        <v>0</v>
      </c>
      <c r="CS57" s="307">
        <f t="shared" si="23"/>
        <v>0</v>
      </c>
      <c r="CT57" s="307">
        <f t="shared" si="24"/>
        <v>0</v>
      </c>
      <c r="CU57" s="307">
        <f t="shared" si="25"/>
        <v>0</v>
      </c>
      <c r="CV57" s="307">
        <f t="shared" si="9"/>
        <v>0</v>
      </c>
      <c r="CW57" s="307">
        <f t="shared" si="10"/>
        <v>0</v>
      </c>
      <c r="CX57" s="307">
        <f t="shared" si="14"/>
        <v>0</v>
      </c>
      <c r="CY57" s="307">
        <f t="shared" si="15"/>
        <v>0</v>
      </c>
    </row>
    <row r="58" spans="1:103" s="230" customFormat="1" ht="21" customHeight="1">
      <c r="A58" s="448">
        <v>5347088</v>
      </c>
      <c r="B58" s="309" t="s">
        <v>373</v>
      </c>
      <c r="C58" s="287" t="s">
        <v>524</v>
      </c>
      <c r="D58" s="288">
        <v>67.656999999999996</v>
      </c>
      <c r="E58" s="290"/>
      <c r="F58" s="310"/>
      <c r="G58" s="311"/>
      <c r="H58" s="293"/>
      <c r="I58" s="221"/>
      <c r="J58" s="294"/>
      <c r="K58" s="294"/>
      <c r="L58" s="295"/>
      <c r="M58" s="293"/>
      <c r="N58" s="221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  <c r="AC58" s="294"/>
      <c r="AD58" s="294"/>
      <c r="AE58" s="293"/>
      <c r="AF58" s="221"/>
      <c r="AG58" s="294"/>
      <c r="AH58" s="294"/>
      <c r="AI58" s="295"/>
      <c r="AJ58" s="293"/>
      <c r="AK58" s="295"/>
      <c r="AL58" s="295"/>
      <c r="AM58" s="295"/>
      <c r="AN58" s="295"/>
      <c r="AO58" s="295"/>
      <c r="AP58" s="295"/>
      <c r="AQ58" s="295"/>
      <c r="AR58" s="295"/>
      <c r="AS58" s="295"/>
      <c r="AT58" s="295"/>
      <c r="AU58" s="293"/>
      <c r="AV58" s="446"/>
      <c r="AW58" s="296"/>
      <c r="AX58" s="296"/>
      <c r="AY58" s="296"/>
      <c r="AZ58" s="296"/>
      <c r="BA58" s="296"/>
      <c r="BB58" s="296"/>
      <c r="BC58" s="296"/>
      <c r="BD58" s="293">
        <f t="shared" si="17"/>
        <v>0</v>
      </c>
      <c r="BE58" s="221"/>
      <c r="BF58" s="294"/>
      <c r="BG58" s="294"/>
      <c r="BH58" s="294"/>
      <c r="BI58" s="293">
        <f t="shared" si="16"/>
        <v>0</v>
      </c>
      <c r="BJ58" s="300"/>
      <c r="BK58" s="301">
        <f t="shared" si="18"/>
        <v>0</v>
      </c>
      <c r="BL58" s="312">
        <f t="shared" si="19"/>
        <v>0</v>
      </c>
      <c r="BM58" s="313">
        <f t="shared" si="20"/>
        <v>0</v>
      </c>
      <c r="BN58" s="314"/>
      <c r="BP58" s="305"/>
      <c r="BQ58" s="305"/>
      <c r="BR58" s="305"/>
      <c r="BS58" s="305"/>
      <c r="BT58" s="305"/>
      <c r="BU58" s="305"/>
      <c r="BV58" s="305"/>
      <c r="BW58" s="300">
        <f t="shared" si="11"/>
        <v>0</v>
      </c>
      <c r="BX58" s="300"/>
      <c r="BY58" s="305"/>
      <c r="BZ58" s="305"/>
      <c r="CA58" s="305"/>
      <c r="CB58" s="305"/>
      <c r="CC58" s="305"/>
      <c r="CD58" s="305"/>
      <c r="CE58" s="305"/>
      <c r="CF58" s="300">
        <f t="shared" si="12"/>
        <v>0</v>
      </c>
      <c r="CG58" s="300"/>
      <c r="CH58" s="305"/>
      <c r="CI58" s="305"/>
      <c r="CJ58" s="305"/>
      <c r="CK58" s="305"/>
      <c r="CL58" s="305"/>
      <c r="CM58" s="305"/>
      <c r="CN58" s="305"/>
      <c r="CO58" s="300">
        <f t="shared" si="13"/>
        <v>0</v>
      </c>
      <c r="CQ58" s="307">
        <f t="shared" si="21"/>
        <v>0</v>
      </c>
      <c r="CR58" s="307">
        <f t="shared" si="22"/>
        <v>0</v>
      </c>
      <c r="CS58" s="307">
        <f t="shared" si="23"/>
        <v>0</v>
      </c>
      <c r="CT58" s="307">
        <f t="shared" si="24"/>
        <v>0</v>
      </c>
      <c r="CU58" s="307">
        <f t="shared" si="25"/>
        <v>0</v>
      </c>
      <c r="CV58" s="307">
        <f t="shared" si="9"/>
        <v>0</v>
      </c>
      <c r="CW58" s="307">
        <f t="shared" si="10"/>
        <v>0</v>
      </c>
      <c r="CX58" s="307">
        <f t="shared" si="14"/>
        <v>0</v>
      </c>
      <c r="CY58" s="307">
        <f t="shared" si="15"/>
        <v>0</v>
      </c>
    </row>
    <row r="59" spans="1:103" s="230" customFormat="1" ht="21" customHeight="1">
      <c r="A59" s="450">
        <v>5347174</v>
      </c>
      <c r="B59" s="309" t="s">
        <v>373</v>
      </c>
      <c r="C59" s="287" t="s">
        <v>525</v>
      </c>
      <c r="D59" s="288" t="e">
        <v>#N/A</v>
      </c>
      <c r="E59" s="290"/>
      <c r="F59" s="310"/>
      <c r="G59" s="311"/>
      <c r="H59" s="293"/>
      <c r="I59" s="221"/>
      <c r="J59" s="294"/>
      <c r="K59" s="294"/>
      <c r="L59" s="295"/>
      <c r="M59" s="293"/>
      <c r="N59" s="221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  <c r="AC59" s="294"/>
      <c r="AD59" s="294"/>
      <c r="AE59" s="293"/>
      <c r="AF59" s="221"/>
      <c r="AG59" s="294"/>
      <c r="AH59" s="294"/>
      <c r="AI59" s="295"/>
      <c r="AJ59" s="293"/>
      <c r="AK59" s="295"/>
      <c r="AL59" s="295"/>
      <c r="AM59" s="295"/>
      <c r="AN59" s="295"/>
      <c r="AO59" s="295"/>
      <c r="AP59" s="295"/>
      <c r="AQ59" s="295"/>
      <c r="AR59" s="295"/>
      <c r="AS59" s="295"/>
      <c r="AT59" s="295"/>
      <c r="AU59" s="293"/>
      <c r="AV59" s="311"/>
      <c r="AW59" s="296"/>
      <c r="AX59" s="296"/>
      <c r="AY59" s="296"/>
      <c r="AZ59" s="296"/>
      <c r="BA59" s="296"/>
      <c r="BB59" s="296"/>
      <c r="BC59" s="296"/>
      <c r="BD59" s="293">
        <f t="shared" si="17"/>
        <v>0</v>
      </c>
      <c r="BE59" s="221"/>
      <c r="BF59" s="294"/>
      <c r="BG59" s="294"/>
      <c r="BH59" s="294"/>
      <c r="BI59" s="293">
        <f t="shared" si="16"/>
        <v>0</v>
      </c>
      <c r="BJ59" s="300"/>
      <c r="BK59" s="301">
        <f t="shared" si="18"/>
        <v>0</v>
      </c>
      <c r="BL59" s="312">
        <f t="shared" si="19"/>
        <v>0</v>
      </c>
      <c r="BM59" s="313">
        <f t="shared" si="20"/>
        <v>0</v>
      </c>
      <c r="BN59" s="314"/>
      <c r="BP59" s="305"/>
      <c r="BQ59" s="305"/>
      <c r="BR59" s="305"/>
      <c r="BS59" s="305"/>
      <c r="BT59" s="305"/>
      <c r="BU59" s="305"/>
      <c r="BV59" s="305"/>
      <c r="BW59" s="300">
        <f t="shared" si="11"/>
        <v>0</v>
      </c>
      <c r="BX59" s="300"/>
      <c r="BY59" s="305"/>
      <c r="BZ59" s="305"/>
      <c r="CA59" s="305"/>
      <c r="CB59" s="305"/>
      <c r="CC59" s="305"/>
      <c r="CD59" s="305"/>
      <c r="CE59" s="305"/>
      <c r="CF59" s="300">
        <f t="shared" si="12"/>
        <v>0</v>
      </c>
      <c r="CG59" s="300"/>
      <c r="CH59" s="305"/>
      <c r="CI59" s="305"/>
      <c r="CJ59" s="305"/>
      <c r="CK59" s="305"/>
      <c r="CL59" s="305"/>
      <c r="CM59" s="305"/>
      <c r="CN59" s="305"/>
      <c r="CO59" s="300">
        <f t="shared" si="13"/>
        <v>0</v>
      </c>
      <c r="CQ59" s="307">
        <f t="shared" si="21"/>
        <v>0</v>
      </c>
      <c r="CR59" s="307">
        <f t="shared" si="22"/>
        <v>0</v>
      </c>
      <c r="CS59" s="307">
        <f t="shared" si="23"/>
        <v>0</v>
      </c>
      <c r="CT59" s="307">
        <f t="shared" si="24"/>
        <v>0</v>
      </c>
      <c r="CU59" s="307">
        <f t="shared" si="25"/>
        <v>0</v>
      </c>
      <c r="CV59" s="307">
        <f t="shared" si="9"/>
        <v>0</v>
      </c>
      <c r="CW59" s="307">
        <f t="shared" si="10"/>
        <v>0</v>
      </c>
      <c r="CX59" s="307">
        <f t="shared" si="14"/>
        <v>0</v>
      </c>
      <c r="CY59" s="307">
        <f t="shared" si="15"/>
        <v>0</v>
      </c>
    </row>
    <row r="60" spans="1:103" s="230" customFormat="1" ht="21" customHeight="1">
      <c r="A60" s="448">
        <v>5484220</v>
      </c>
      <c r="B60" s="363" t="s">
        <v>373</v>
      </c>
      <c r="C60" s="364" t="s">
        <v>569</v>
      </c>
      <c r="D60" s="365">
        <v>1.002</v>
      </c>
      <c r="E60" s="290"/>
      <c r="F60" s="310"/>
      <c r="G60" s="311"/>
      <c r="H60" s="293"/>
      <c r="I60" s="221"/>
      <c r="J60" s="294"/>
      <c r="K60" s="294"/>
      <c r="L60" s="295"/>
      <c r="M60" s="293"/>
      <c r="N60" s="221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  <c r="AC60" s="294"/>
      <c r="AD60" s="294"/>
      <c r="AE60" s="293"/>
      <c r="AF60" s="221"/>
      <c r="AG60" s="294"/>
      <c r="AH60" s="294"/>
      <c r="AI60" s="295"/>
      <c r="AJ60" s="293"/>
      <c r="AK60" s="295"/>
      <c r="AL60" s="295"/>
      <c r="AM60" s="295"/>
      <c r="AN60" s="295"/>
      <c r="AO60" s="295"/>
      <c r="AP60" s="295"/>
      <c r="AQ60" s="295"/>
      <c r="AR60" s="295"/>
      <c r="AS60" s="295"/>
      <c r="AT60" s="295"/>
      <c r="AU60" s="293"/>
      <c r="AV60" s="311"/>
      <c r="AW60" s="296"/>
      <c r="AX60" s="296"/>
      <c r="AY60" s="296"/>
      <c r="AZ60" s="296"/>
      <c r="BA60" s="296"/>
      <c r="BB60" s="296"/>
      <c r="BC60" s="296"/>
      <c r="BD60" s="293">
        <f t="shared" si="17"/>
        <v>0</v>
      </c>
      <c r="BE60" s="221"/>
      <c r="BF60" s="294"/>
      <c r="BG60" s="294"/>
      <c r="BH60" s="294"/>
      <c r="BI60" s="293">
        <f t="shared" si="16"/>
        <v>0</v>
      </c>
      <c r="BJ60" s="300"/>
      <c r="BK60" s="301">
        <f t="shared" si="18"/>
        <v>0</v>
      </c>
      <c r="BL60" s="312">
        <f t="shared" si="19"/>
        <v>0</v>
      </c>
      <c r="BM60" s="313">
        <f t="shared" si="20"/>
        <v>0</v>
      </c>
      <c r="BN60" s="314"/>
      <c r="BP60" s="305"/>
      <c r="BQ60" s="305"/>
      <c r="BR60" s="305"/>
      <c r="BS60" s="305"/>
      <c r="BT60" s="305"/>
      <c r="BU60" s="305"/>
      <c r="BV60" s="305"/>
      <c r="BW60" s="300">
        <f t="shared" si="11"/>
        <v>0</v>
      </c>
      <c r="BX60" s="300"/>
      <c r="BY60" s="305"/>
      <c r="BZ60" s="305"/>
      <c r="CA60" s="305"/>
      <c r="CB60" s="305"/>
      <c r="CC60" s="305"/>
      <c r="CD60" s="305"/>
      <c r="CE60" s="305"/>
      <c r="CF60" s="300">
        <f t="shared" si="12"/>
        <v>0</v>
      </c>
      <c r="CG60" s="300"/>
      <c r="CH60" s="305"/>
      <c r="CI60" s="305"/>
      <c r="CJ60" s="305"/>
      <c r="CK60" s="305"/>
      <c r="CL60" s="305"/>
      <c r="CM60" s="305"/>
      <c r="CN60" s="305"/>
      <c r="CO60" s="300">
        <f t="shared" si="13"/>
        <v>0</v>
      </c>
      <c r="CQ60" s="307">
        <f t="shared" si="21"/>
        <v>0</v>
      </c>
      <c r="CR60" s="307">
        <f t="shared" si="22"/>
        <v>0</v>
      </c>
      <c r="CS60" s="307">
        <f t="shared" si="23"/>
        <v>0</v>
      </c>
      <c r="CT60" s="307">
        <f t="shared" si="24"/>
        <v>0</v>
      </c>
      <c r="CU60" s="307">
        <f t="shared" si="25"/>
        <v>0</v>
      </c>
      <c r="CV60" s="307">
        <f t="shared" si="9"/>
        <v>0</v>
      </c>
      <c r="CW60" s="307">
        <f t="shared" si="10"/>
        <v>0</v>
      </c>
      <c r="CX60" s="307">
        <f t="shared" si="14"/>
        <v>0</v>
      </c>
      <c r="CY60" s="307">
        <f t="shared" si="15"/>
        <v>0</v>
      </c>
    </row>
    <row r="61" spans="1:103" s="230" customFormat="1" ht="21" customHeight="1">
      <c r="A61" s="448">
        <v>5111262</v>
      </c>
      <c r="B61" s="363" t="s">
        <v>373</v>
      </c>
      <c r="C61" s="364" t="s">
        <v>570</v>
      </c>
      <c r="D61" s="365">
        <v>17.434999999999999</v>
      </c>
      <c r="E61" s="290"/>
      <c r="F61" s="310"/>
      <c r="G61" s="311"/>
      <c r="H61" s="293"/>
      <c r="I61" s="221"/>
      <c r="J61" s="294"/>
      <c r="K61" s="294"/>
      <c r="L61" s="295"/>
      <c r="M61" s="293"/>
      <c r="N61" s="221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  <c r="AC61" s="294"/>
      <c r="AD61" s="294"/>
      <c r="AE61" s="293"/>
      <c r="AF61" s="221"/>
      <c r="AG61" s="294"/>
      <c r="AH61" s="294"/>
      <c r="AI61" s="295"/>
      <c r="AJ61" s="293"/>
      <c r="AK61" s="295"/>
      <c r="AL61" s="295"/>
      <c r="AM61" s="295"/>
      <c r="AN61" s="295"/>
      <c r="AO61" s="295"/>
      <c r="AP61" s="295"/>
      <c r="AQ61" s="295"/>
      <c r="AR61" s="295"/>
      <c r="AS61" s="295"/>
      <c r="AT61" s="295"/>
      <c r="AU61" s="293"/>
      <c r="AV61" s="311"/>
      <c r="AW61" s="296"/>
      <c r="AX61" s="296"/>
      <c r="AY61" s="296"/>
      <c r="AZ61" s="296"/>
      <c r="BA61" s="296"/>
      <c r="BB61" s="296"/>
      <c r="BC61" s="296"/>
      <c r="BD61" s="293">
        <f t="shared" si="17"/>
        <v>0</v>
      </c>
      <c r="BE61" s="221"/>
      <c r="BF61" s="294"/>
      <c r="BG61" s="294"/>
      <c r="BH61" s="294"/>
      <c r="BI61" s="293">
        <f t="shared" si="16"/>
        <v>0</v>
      </c>
      <c r="BJ61" s="300"/>
      <c r="BK61" s="301">
        <f t="shared" si="18"/>
        <v>0</v>
      </c>
      <c r="BL61" s="312">
        <f t="shared" si="19"/>
        <v>0</v>
      </c>
      <c r="BM61" s="313">
        <f t="shared" si="20"/>
        <v>0</v>
      </c>
      <c r="BN61" s="314"/>
      <c r="BP61" s="305"/>
      <c r="BQ61" s="305"/>
      <c r="BR61" s="305"/>
      <c r="BS61" s="305"/>
      <c r="BT61" s="305"/>
      <c r="BU61" s="305"/>
      <c r="BV61" s="305"/>
      <c r="BW61" s="300">
        <f t="shared" si="11"/>
        <v>0</v>
      </c>
      <c r="BX61" s="300"/>
      <c r="BY61" s="305"/>
      <c r="BZ61" s="305"/>
      <c r="CA61" s="305"/>
      <c r="CB61" s="305"/>
      <c r="CC61" s="305"/>
      <c r="CD61" s="305"/>
      <c r="CE61" s="305"/>
      <c r="CF61" s="300">
        <f t="shared" si="12"/>
        <v>0</v>
      </c>
      <c r="CG61" s="300"/>
      <c r="CH61" s="305"/>
      <c r="CI61" s="305"/>
      <c r="CJ61" s="305"/>
      <c r="CK61" s="305"/>
      <c r="CL61" s="305"/>
      <c r="CM61" s="305"/>
      <c r="CN61" s="305"/>
      <c r="CO61" s="300">
        <f t="shared" si="13"/>
        <v>0</v>
      </c>
      <c r="CQ61" s="307">
        <f t="shared" si="21"/>
        <v>0</v>
      </c>
      <c r="CR61" s="307">
        <f t="shared" si="22"/>
        <v>0</v>
      </c>
      <c r="CS61" s="307">
        <f t="shared" si="23"/>
        <v>0</v>
      </c>
      <c r="CT61" s="307">
        <f t="shared" si="24"/>
        <v>0</v>
      </c>
      <c r="CU61" s="307">
        <f t="shared" si="25"/>
        <v>0</v>
      </c>
      <c r="CV61" s="307">
        <f t="shared" si="9"/>
        <v>0</v>
      </c>
      <c r="CW61" s="307">
        <f t="shared" si="10"/>
        <v>0</v>
      </c>
      <c r="CX61" s="307">
        <f t="shared" si="14"/>
        <v>0</v>
      </c>
      <c r="CY61" s="307">
        <f t="shared" si="15"/>
        <v>0</v>
      </c>
    </row>
    <row r="62" spans="1:103" s="230" customFormat="1" ht="21" customHeight="1">
      <c r="A62" s="448">
        <v>5411032</v>
      </c>
      <c r="B62" s="309" t="s">
        <v>373</v>
      </c>
      <c r="C62" s="287" t="s">
        <v>571</v>
      </c>
      <c r="D62" s="288">
        <v>6.8280000000000003</v>
      </c>
      <c r="E62" s="290"/>
      <c r="F62" s="310"/>
      <c r="G62" s="311"/>
      <c r="H62" s="293"/>
      <c r="I62" s="221"/>
      <c r="J62" s="294"/>
      <c r="K62" s="294"/>
      <c r="L62" s="295"/>
      <c r="M62" s="293"/>
      <c r="N62" s="221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  <c r="AC62" s="294"/>
      <c r="AD62" s="294"/>
      <c r="AE62" s="293"/>
      <c r="AF62" s="221"/>
      <c r="AG62" s="294"/>
      <c r="AH62" s="294"/>
      <c r="AI62" s="295"/>
      <c r="AJ62" s="293"/>
      <c r="AK62" s="295"/>
      <c r="AL62" s="295"/>
      <c r="AM62" s="295"/>
      <c r="AN62" s="295"/>
      <c r="AO62" s="295"/>
      <c r="AP62" s="295"/>
      <c r="AQ62" s="295"/>
      <c r="AR62" s="295"/>
      <c r="AS62" s="295"/>
      <c r="AT62" s="295"/>
      <c r="AU62" s="293"/>
      <c r="AV62" s="311"/>
      <c r="AW62" s="296"/>
      <c r="AX62" s="296"/>
      <c r="AY62" s="296"/>
      <c r="AZ62" s="296"/>
      <c r="BA62" s="296"/>
      <c r="BB62" s="296"/>
      <c r="BC62" s="296"/>
      <c r="BD62" s="293">
        <f t="shared" si="17"/>
        <v>0</v>
      </c>
      <c r="BE62" s="221"/>
      <c r="BF62" s="294"/>
      <c r="BG62" s="294"/>
      <c r="BH62" s="294"/>
      <c r="BI62" s="293">
        <f t="shared" si="16"/>
        <v>0</v>
      </c>
      <c r="BJ62" s="300"/>
      <c r="BK62" s="301">
        <f t="shared" si="18"/>
        <v>0</v>
      </c>
      <c r="BL62" s="312">
        <f t="shared" si="19"/>
        <v>0</v>
      </c>
      <c r="BM62" s="313">
        <f t="shared" si="20"/>
        <v>0</v>
      </c>
      <c r="BN62" s="314"/>
      <c r="BP62" s="305"/>
      <c r="BQ62" s="305"/>
      <c r="BR62" s="305"/>
      <c r="BS62" s="305"/>
      <c r="BT62" s="305"/>
      <c r="BU62" s="305"/>
      <c r="BV62" s="305"/>
      <c r="BW62" s="300">
        <f t="shared" si="11"/>
        <v>0</v>
      </c>
      <c r="BX62" s="300"/>
      <c r="BY62" s="305"/>
      <c r="BZ62" s="305"/>
      <c r="CA62" s="305"/>
      <c r="CB62" s="305"/>
      <c r="CC62" s="305"/>
      <c r="CD62" s="305"/>
      <c r="CE62" s="305"/>
      <c r="CF62" s="300">
        <f t="shared" si="12"/>
        <v>0</v>
      </c>
      <c r="CG62" s="300"/>
      <c r="CH62" s="305"/>
      <c r="CI62" s="305"/>
      <c r="CJ62" s="305"/>
      <c r="CK62" s="305"/>
      <c r="CL62" s="305"/>
      <c r="CM62" s="305"/>
      <c r="CN62" s="305"/>
      <c r="CO62" s="300">
        <f t="shared" si="13"/>
        <v>0</v>
      </c>
      <c r="CQ62" s="307">
        <f t="shared" si="21"/>
        <v>0</v>
      </c>
      <c r="CR62" s="307">
        <f t="shared" si="22"/>
        <v>0</v>
      </c>
      <c r="CS62" s="307">
        <f t="shared" si="23"/>
        <v>0</v>
      </c>
      <c r="CT62" s="307">
        <f t="shared" si="24"/>
        <v>0</v>
      </c>
      <c r="CU62" s="307">
        <f t="shared" si="25"/>
        <v>0</v>
      </c>
      <c r="CV62" s="307">
        <f t="shared" si="9"/>
        <v>0</v>
      </c>
      <c r="CW62" s="307">
        <f t="shared" si="10"/>
        <v>0</v>
      </c>
      <c r="CX62" s="307">
        <f t="shared" si="14"/>
        <v>0</v>
      </c>
      <c r="CY62" s="307">
        <f t="shared" si="15"/>
        <v>0</v>
      </c>
    </row>
    <row r="63" spans="1:103" s="230" customFormat="1" ht="21" customHeight="1">
      <c r="A63" s="448">
        <v>5466606</v>
      </c>
      <c r="B63" s="309" t="s">
        <v>373</v>
      </c>
      <c r="C63" s="287" t="s">
        <v>572</v>
      </c>
      <c r="D63" s="288">
        <v>4.3410000000000002</v>
      </c>
      <c r="E63" s="290"/>
      <c r="F63" s="310"/>
      <c r="G63" s="311"/>
      <c r="H63" s="293"/>
      <c r="I63" s="221"/>
      <c r="J63" s="294"/>
      <c r="K63" s="294"/>
      <c r="L63" s="295"/>
      <c r="M63" s="293"/>
      <c r="N63" s="310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  <c r="AC63" s="294"/>
      <c r="AD63" s="294"/>
      <c r="AE63" s="293"/>
      <c r="AF63" s="221"/>
      <c r="AG63" s="294"/>
      <c r="AH63" s="294"/>
      <c r="AI63" s="295"/>
      <c r="AJ63" s="293"/>
      <c r="AK63" s="295"/>
      <c r="AL63" s="295"/>
      <c r="AM63" s="295"/>
      <c r="AN63" s="295"/>
      <c r="AO63" s="295"/>
      <c r="AP63" s="295"/>
      <c r="AQ63" s="295"/>
      <c r="AR63" s="295"/>
      <c r="AS63" s="295"/>
      <c r="AT63" s="295"/>
      <c r="AU63" s="293"/>
      <c r="AV63" s="311"/>
      <c r="AW63" s="296"/>
      <c r="AX63" s="296"/>
      <c r="AY63" s="296"/>
      <c r="AZ63" s="296"/>
      <c r="BA63" s="296"/>
      <c r="BB63" s="296"/>
      <c r="BC63" s="296"/>
      <c r="BD63" s="293">
        <f t="shared" si="17"/>
        <v>0</v>
      </c>
      <c r="BE63" s="221"/>
      <c r="BF63" s="294"/>
      <c r="BG63" s="294"/>
      <c r="BH63" s="294"/>
      <c r="BI63" s="293">
        <f t="shared" si="16"/>
        <v>0</v>
      </c>
      <c r="BJ63" s="300"/>
      <c r="BK63" s="301">
        <f t="shared" si="18"/>
        <v>0</v>
      </c>
      <c r="BL63" s="312">
        <f t="shared" si="19"/>
        <v>0</v>
      </c>
      <c r="BM63" s="313">
        <f t="shared" si="20"/>
        <v>0</v>
      </c>
      <c r="BN63" s="314"/>
      <c r="BP63" s="305"/>
      <c r="BQ63" s="305"/>
      <c r="BR63" s="305"/>
      <c r="BS63" s="305"/>
      <c r="BT63" s="305"/>
      <c r="BU63" s="305"/>
      <c r="BV63" s="305"/>
      <c r="BW63" s="300">
        <f t="shared" si="11"/>
        <v>0</v>
      </c>
      <c r="BX63" s="300"/>
      <c r="BY63" s="305"/>
      <c r="BZ63" s="305"/>
      <c r="CA63" s="305"/>
      <c r="CB63" s="305"/>
      <c r="CC63" s="305"/>
      <c r="CD63" s="305"/>
      <c r="CE63" s="305"/>
      <c r="CF63" s="300">
        <f t="shared" si="12"/>
        <v>0</v>
      </c>
      <c r="CG63" s="300"/>
      <c r="CH63" s="305"/>
      <c r="CI63" s="305"/>
      <c r="CJ63" s="305"/>
      <c r="CK63" s="305"/>
      <c r="CL63" s="305"/>
      <c r="CM63" s="305"/>
      <c r="CN63" s="305"/>
      <c r="CO63" s="300">
        <f t="shared" si="13"/>
        <v>0</v>
      </c>
      <c r="CQ63" s="307">
        <f t="shared" si="21"/>
        <v>0</v>
      </c>
      <c r="CR63" s="307">
        <f t="shared" si="22"/>
        <v>0</v>
      </c>
      <c r="CS63" s="307">
        <f t="shared" si="23"/>
        <v>0</v>
      </c>
      <c r="CT63" s="307">
        <f t="shared" si="24"/>
        <v>0</v>
      </c>
      <c r="CU63" s="307">
        <f t="shared" si="25"/>
        <v>0</v>
      </c>
      <c r="CV63" s="307">
        <f t="shared" si="9"/>
        <v>0</v>
      </c>
      <c r="CW63" s="307">
        <f t="shared" si="10"/>
        <v>0</v>
      </c>
      <c r="CX63" s="307">
        <f t="shared" si="14"/>
        <v>0</v>
      </c>
      <c r="CY63" s="307">
        <f t="shared" si="15"/>
        <v>0</v>
      </c>
    </row>
    <row r="64" spans="1:103" s="230" customFormat="1" ht="21" customHeight="1">
      <c r="A64" s="448">
        <v>5111218</v>
      </c>
      <c r="B64" s="309" t="s">
        <v>373</v>
      </c>
      <c r="C64" s="287" t="s">
        <v>573</v>
      </c>
      <c r="D64" s="288" t="e">
        <v>#N/A</v>
      </c>
      <c r="E64" s="290"/>
      <c r="F64" s="310"/>
      <c r="G64" s="311"/>
      <c r="H64" s="293"/>
      <c r="I64" s="221"/>
      <c r="J64" s="294"/>
      <c r="K64" s="294"/>
      <c r="L64" s="295"/>
      <c r="M64" s="293"/>
      <c r="N64" s="310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  <c r="AC64" s="294"/>
      <c r="AD64" s="294"/>
      <c r="AE64" s="293"/>
      <c r="AF64" s="221"/>
      <c r="AG64" s="294"/>
      <c r="AH64" s="294"/>
      <c r="AI64" s="295"/>
      <c r="AJ64" s="293"/>
      <c r="AK64" s="295"/>
      <c r="AL64" s="295"/>
      <c r="AM64" s="295"/>
      <c r="AN64" s="295"/>
      <c r="AO64" s="295"/>
      <c r="AP64" s="295"/>
      <c r="AQ64" s="295"/>
      <c r="AR64" s="295"/>
      <c r="AS64" s="295"/>
      <c r="AT64" s="295"/>
      <c r="AU64" s="293"/>
      <c r="AV64" s="311"/>
      <c r="AW64" s="296"/>
      <c r="AX64" s="296"/>
      <c r="AY64" s="296"/>
      <c r="AZ64" s="296"/>
      <c r="BA64" s="296"/>
      <c r="BB64" s="296"/>
      <c r="BC64" s="296"/>
      <c r="BD64" s="293">
        <f t="shared" si="17"/>
        <v>0</v>
      </c>
      <c r="BE64" s="221"/>
      <c r="BF64" s="294"/>
      <c r="BG64" s="294"/>
      <c r="BH64" s="294"/>
      <c r="BI64" s="293">
        <f t="shared" si="16"/>
        <v>0</v>
      </c>
      <c r="BJ64" s="300"/>
      <c r="BK64" s="301">
        <f t="shared" si="18"/>
        <v>0</v>
      </c>
      <c r="BL64" s="312">
        <f t="shared" si="19"/>
        <v>0</v>
      </c>
      <c r="BM64" s="313">
        <f t="shared" si="20"/>
        <v>0</v>
      </c>
      <c r="BN64" s="314"/>
      <c r="BP64" s="305"/>
      <c r="BQ64" s="305"/>
      <c r="BR64" s="305"/>
      <c r="BS64" s="305"/>
      <c r="BT64" s="305"/>
      <c r="BU64" s="305"/>
      <c r="BV64" s="305"/>
      <c r="BW64" s="300">
        <f t="shared" si="11"/>
        <v>0</v>
      </c>
      <c r="BX64" s="300"/>
      <c r="BY64" s="305"/>
      <c r="BZ64" s="305"/>
      <c r="CA64" s="305"/>
      <c r="CB64" s="305"/>
      <c r="CC64" s="305"/>
      <c r="CD64" s="305"/>
      <c r="CE64" s="305"/>
      <c r="CF64" s="300">
        <f t="shared" si="12"/>
        <v>0</v>
      </c>
      <c r="CG64" s="300"/>
      <c r="CH64" s="305"/>
      <c r="CI64" s="305"/>
      <c r="CJ64" s="305"/>
      <c r="CK64" s="305"/>
      <c r="CL64" s="305"/>
      <c r="CM64" s="305"/>
      <c r="CN64" s="305"/>
      <c r="CO64" s="300">
        <f t="shared" si="13"/>
        <v>0</v>
      </c>
      <c r="CQ64" s="307">
        <f t="shared" si="21"/>
        <v>0</v>
      </c>
      <c r="CR64" s="307">
        <f t="shared" si="22"/>
        <v>0</v>
      </c>
      <c r="CS64" s="307">
        <f t="shared" si="23"/>
        <v>0</v>
      </c>
      <c r="CT64" s="307">
        <f t="shared" si="24"/>
        <v>0</v>
      </c>
      <c r="CU64" s="307">
        <f t="shared" si="25"/>
        <v>0</v>
      </c>
      <c r="CV64" s="307">
        <f t="shared" si="9"/>
        <v>0</v>
      </c>
      <c r="CW64" s="307">
        <f t="shared" si="10"/>
        <v>0</v>
      </c>
      <c r="CX64" s="307">
        <f t="shared" si="14"/>
        <v>0</v>
      </c>
      <c r="CY64" s="307">
        <f t="shared" si="15"/>
        <v>0</v>
      </c>
    </row>
    <row r="65" spans="1:103" s="230" customFormat="1" ht="21" customHeight="1">
      <c r="A65" s="448">
        <v>5411011</v>
      </c>
      <c r="B65" s="309" t="s">
        <v>373</v>
      </c>
      <c r="C65" s="287" t="s">
        <v>574</v>
      </c>
      <c r="D65" s="288">
        <v>5.8810000000000002</v>
      </c>
      <c r="E65" s="290"/>
      <c r="F65" s="310"/>
      <c r="G65" s="311"/>
      <c r="H65" s="293"/>
      <c r="I65" s="221"/>
      <c r="J65" s="294"/>
      <c r="K65" s="294"/>
      <c r="L65" s="295"/>
      <c r="M65" s="293"/>
      <c r="N65" s="310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  <c r="AD65" s="294"/>
      <c r="AE65" s="293"/>
      <c r="AF65" s="221"/>
      <c r="AG65" s="294"/>
      <c r="AH65" s="294"/>
      <c r="AI65" s="295"/>
      <c r="AJ65" s="293"/>
      <c r="AK65" s="295"/>
      <c r="AL65" s="295"/>
      <c r="AM65" s="295"/>
      <c r="AN65" s="295"/>
      <c r="AO65" s="295"/>
      <c r="AP65" s="295"/>
      <c r="AQ65" s="295"/>
      <c r="AR65" s="295"/>
      <c r="AS65" s="295"/>
      <c r="AT65" s="295"/>
      <c r="AU65" s="293"/>
      <c r="AV65" s="311"/>
      <c r="AW65" s="296"/>
      <c r="AX65" s="296"/>
      <c r="AY65" s="296"/>
      <c r="AZ65" s="296"/>
      <c r="BA65" s="296"/>
      <c r="BB65" s="296"/>
      <c r="BC65" s="296"/>
      <c r="BD65" s="293">
        <f t="shared" si="17"/>
        <v>0</v>
      </c>
      <c r="BE65" s="221"/>
      <c r="BF65" s="294"/>
      <c r="BG65" s="294"/>
      <c r="BH65" s="294"/>
      <c r="BI65" s="293">
        <f t="shared" si="16"/>
        <v>0</v>
      </c>
      <c r="BJ65" s="300"/>
      <c r="BK65" s="301">
        <f t="shared" si="18"/>
        <v>0</v>
      </c>
      <c r="BL65" s="312">
        <f t="shared" si="19"/>
        <v>0</v>
      </c>
      <c r="BM65" s="313">
        <f t="shared" si="20"/>
        <v>0</v>
      </c>
      <c r="BN65" s="314"/>
      <c r="BP65" s="305"/>
      <c r="BQ65" s="305"/>
      <c r="BR65" s="305"/>
      <c r="BS65" s="305"/>
      <c r="BT65" s="305"/>
      <c r="BU65" s="305"/>
      <c r="BV65" s="305"/>
      <c r="BW65" s="300">
        <f t="shared" si="11"/>
        <v>0</v>
      </c>
      <c r="BX65" s="300"/>
      <c r="BY65" s="305"/>
      <c r="BZ65" s="305"/>
      <c r="CA65" s="305"/>
      <c r="CB65" s="305"/>
      <c r="CC65" s="305"/>
      <c r="CD65" s="305"/>
      <c r="CE65" s="305"/>
      <c r="CF65" s="300">
        <f t="shared" si="12"/>
        <v>0</v>
      </c>
      <c r="CG65" s="300"/>
      <c r="CH65" s="305"/>
      <c r="CI65" s="305"/>
      <c r="CJ65" s="305"/>
      <c r="CK65" s="305"/>
      <c r="CL65" s="305"/>
      <c r="CM65" s="305"/>
      <c r="CN65" s="305"/>
      <c r="CO65" s="300">
        <f t="shared" si="13"/>
        <v>0</v>
      </c>
      <c r="CQ65" s="307">
        <f t="shared" si="21"/>
        <v>0</v>
      </c>
      <c r="CR65" s="307">
        <f t="shared" si="22"/>
        <v>0</v>
      </c>
      <c r="CS65" s="307">
        <f t="shared" si="23"/>
        <v>0</v>
      </c>
      <c r="CT65" s="307">
        <f t="shared" si="24"/>
        <v>0</v>
      </c>
      <c r="CU65" s="307">
        <f t="shared" si="25"/>
        <v>0</v>
      </c>
      <c r="CV65" s="307">
        <f t="shared" si="9"/>
        <v>0</v>
      </c>
      <c r="CW65" s="307">
        <f t="shared" si="10"/>
        <v>0</v>
      </c>
      <c r="CX65" s="307">
        <f t="shared" si="14"/>
        <v>0</v>
      </c>
      <c r="CY65" s="307">
        <f t="shared" si="15"/>
        <v>0</v>
      </c>
    </row>
    <row r="66" spans="1:103" s="230" customFormat="1" ht="21" customHeight="1">
      <c r="A66" s="448">
        <v>1035714</v>
      </c>
      <c r="B66" s="309" t="s">
        <v>373</v>
      </c>
      <c r="C66" s="287" t="s">
        <v>575</v>
      </c>
      <c r="D66" s="288">
        <v>1.1870000000000001</v>
      </c>
      <c r="E66" s="290"/>
      <c r="F66" s="310"/>
      <c r="G66" s="311"/>
      <c r="H66" s="293"/>
      <c r="I66" s="221"/>
      <c r="J66" s="294"/>
      <c r="K66" s="294"/>
      <c r="L66" s="295"/>
      <c r="M66" s="293"/>
      <c r="N66" s="310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  <c r="AC66" s="294"/>
      <c r="AD66" s="294"/>
      <c r="AE66" s="293"/>
      <c r="AF66" s="221"/>
      <c r="AG66" s="294"/>
      <c r="AH66" s="294"/>
      <c r="AI66" s="295"/>
      <c r="AJ66" s="293"/>
      <c r="AK66" s="295"/>
      <c r="AL66" s="295"/>
      <c r="AM66" s="295"/>
      <c r="AN66" s="295"/>
      <c r="AO66" s="295"/>
      <c r="AP66" s="295"/>
      <c r="AQ66" s="295"/>
      <c r="AR66" s="295"/>
      <c r="AS66" s="295"/>
      <c r="AT66" s="295"/>
      <c r="AU66" s="293"/>
      <c r="AV66" s="311"/>
      <c r="AW66" s="296"/>
      <c r="AX66" s="296"/>
      <c r="AY66" s="296"/>
      <c r="AZ66" s="296"/>
      <c r="BA66" s="296"/>
      <c r="BB66" s="296"/>
      <c r="BC66" s="296"/>
      <c r="BD66" s="293">
        <f t="shared" si="17"/>
        <v>0</v>
      </c>
      <c r="BE66" s="221"/>
      <c r="BF66" s="294"/>
      <c r="BG66" s="294"/>
      <c r="BH66" s="294"/>
      <c r="BI66" s="293">
        <f t="shared" si="16"/>
        <v>0</v>
      </c>
      <c r="BJ66" s="300"/>
      <c r="BK66" s="301">
        <f t="shared" si="18"/>
        <v>0</v>
      </c>
      <c r="BL66" s="312">
        <f t="shared" si="19"/>
        <v>0</v>
      </c>
      <c r="BM66" s="313">
        <f t="shared" si="20"/>
        <v>0</v>
      </c>
      <c r="BN66" s="314"/>
      <c r="BP66" s="305"/>
      <c r="BQ66" s="305"/>
      <c r="BR66" s="305"/>
      <c r="BS66" s="305"/>
      <c r="BT66" s="305"/>
      <c r="BU66" s="305"/>
      <c r="BV66" s="305"/>
      <c r="BW66" s="300">
        <f t="shared" si="11"/>
        <v>0</v>
      </c>
      <c r="BX66" s="300"/>
      <c r="BY66" s="305"/>
      <c r="BZ66" s="305"/>
      <c r="CA66" s="305"/>
      <c r="CB66" s="305"/>
      <c r="CC66" s="305"/>
      <c r="CD66" s="305"/>
      <c r="CE66" s="305"/>
      <c r="CF66" s="300">
        <f t="shared" si="12"/>
        <v>0</v>
      </c>
      <c r="CG66" s="300"/>
      <c r="CH66" s="305"/>
      <c r="CI66" s="305"/>
      <c r="CJ66" s="305"/>
      <c r="CK66" s="305"/>
      <c r="CL66" s="305"/>
      <c r="CM66" s="305"/>
      <c r="CN66" s="305"/>
      <c r="CO66" s="300">
        <f t="shared" si="13"/>
        <v>0</v>
      </c>
      <c r="CQ66" s="307">
        <f t="shared" si="21"/>
        <v>0</v>
      </c>
      <c r="CR66" s="307">
        <f t="shared" si="22"/>
        <v>0</v>
      </c>
      <c r="CS66" s="307">
        <f t="shared" si="23"/>
        <v>0</v>
      </c>
      <c r="CT66" s="307">
        <f t="shared" si="24"/>
        <v>0</v>
      </c>
      <c r="CU66" s="307">
        <f t="shared" si="25"/>
        <v>0</v>
      </c>
      <c r="CV66" s="307">
        <f t="shared" si="9"/>
        <v>0</v>
      </c>
      <c r="CW66" s="307">
        <f t="shared" si="10"/>
        <v>0</v>
      </c>
      <c r="CX66" s="307">
        <f t="shared" si="14"/>
        <v>0</v>
      </c>
      <c r="CY66" s="307">
        <f t="shared" si="15"/>
        <v>0</v>
      </c>
    </row>
    <row r="67" spans="1:103" s="230" customFormat="1" ht="21" customHeight="1">
      <c r="A67" s="448">
        <v>1035718</v>
      </c>
      <c r="B67" s="309" t="s">
        <v>373</v>
      </c>
      <c r="C67" s="287" t="s">
        <v>576</v>
      </c>
      <c r="D67" s="288">
        <v>3.391</v>
      </c>
      <c r="E67" s="290"/>
      <c r="F67" s="310"/>
      <c r="G67" s="311"/>
      <c r="H67" s="293"/>
      <c r="I67" s="221"/>
      <c r="J67" s="294"/>
      <c r="K67" s="294"/>
      <c r="L67" s="295"/>
      <c r="M67" s="293"/>
      <c r="N67" s="310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  <c r="AC67" s="294"/>
      <c r="AD67" s="294"/>
      <c r="AE67" s="293"/>
      <c r="AF67" s="221"/>
      <c r="AG67" s="294"/>
      <c r="AH67" s="294"/>
      <c r="AI67" s="295"/>
      <c r="AJ67" s="293"/>
      <c r="AK67" s="295"/>
      <c r="AL67" s="295"/>
      <c r="AM67" s="295"/>
      <c r="AN67" s="295"/>
      <c r="AO67" s="295"/>
      <c r="AP67" s="295"/>
      <c r="AQ67" s="295"/>
      <c r="AR67" s="295"/>
      <c r="AS67" s="295"/>
      <c r="AT67" s="295"/>
      <c r="AU67" s="293"/>
      <c r="AV67" s="311"/>
      <c r="AW67" s="296"/>
      <c r="AX67" s="296"/>
      <c r="AY67" s="296"/>
      <c r="AZ67" s="296"/>
      <c r="BA67" s="296"/>
      <c r="BB67" s="296"/>
      <c r="BC67" s="296"/>
      <c r="BD67" s="293">
        <f t="shared" si="17"/>
        <v>0</v>
      </c>
      <c r="BE67" s="221"/>
      <c r="BF67" s="294"/>
      <c r="BG67" s="294"/>
      <c r="BH67" s="294"/>
      <c r="BI67" s="293">
        <f t="shared" si="16"/>
        <v>0</v>
      </c>
      <c r="BJ67" s="300"/>
      <c r="BK67" s="301">
        <f t="shared" si="18"/>
        <v>0</v>
      </c>
      <c r="BL67" s="312">
        <f t="shared" si="19"/>
        <v>0</v>
      </c>
      <c r="BM67" s="313">
        <f t="shared" si="20"/>
        <v>0</v>
      </c>
      <c r="BN67" s="314"/>
      <c r="BP67" s="305"/>
      <c r="BQ67" s="305"/>
      <c r="BR67" s="305"/>
      <c r="BS67" s="305"/>
      <c r="BT67" s="305"/>
      <c r="BU67" s="305"/>
      <c r="BV67" s="305"/>
      <c r="BW67" s="300">
        <f t="shared" si="11"/>
        <v>0</v>
      </c>
      <c r="BX67" s="300"/>
      <c r="BY67" s="305"/>
      <c r="BZ67" s="305"/>
      <c r="CA67" s="305"/>
      <c r="CB67" s="305"/>
      <c r="CC67" s="305"/>
      <c r="CD67" s="305"/>
      <c r="CE67" s="305"/>
      <c r="CF67" s="300">
        <f t="shared" si="12"/>
        <v>0</v>
      </c>
      <c r="CG67" s="300"/>
      <c r="CH67" s="305"/>
      <c r="CI67" s="305"/>
      <c r="CJ67" s="305"/>
      <c r="CK67" s="305"/>
      <c r="CL67" s="305"/>
      <c r="CM67" s="305"/>
      <c r="CN67" s="305"/>
      <c r="CO67" s="300">
        <f t="shared" si="13"/>
        <v>0</v>
      </c>
      <c r="CQ67" s="307">
        <f t="shared" si="21"/>
        <v>0</v>
      </c>
      <c r="CR67" s="307">
        <f t="shared" si="22"/>
        <v>0</v>
      </c>
      <c r="CS67" s="307">
        <f t="shared" si="23"/>
        <v>0</v>
      </c>
      <c r="CT67" s="307">
        <f t="shared" si="24"/>
        <v>0</v>
      </c>
      <c r="CU67" s="307">
        <f t="shared" si="25"/>
        <v>0</v>
      </c>
      <c r="CV67" s="307">
        <f t="shared" si="9"/>
        <v>0</v>
      </c>
      <c r="CW67" s="307">
        <f t="shared" si="10"/>
        <v>0</v>
      </c>
      <c r="CX67" s="307">
        <f t="shared" si="14"/>
        <v>0</v>
      </c>
      <c r="CY67" s="307">
        <f t="shared" si="15"/>
        <v>0</v>
      </c>
    </row>
    <row r="68" spans="1:103" s="230" customFormat="1" ht="21" customHeight="1">
      <c r="A68" s="448">
        <v>5022006</v>
      </c>
      <c r="B68" s="309" t="s">
        <v>373</v>
      </c>
      <c r="C68" s="287" t="s">
        <v>577</v>
      </c>
      <c r="D68" s="288">
        <v>3.335</v>
      </c>
      <c r="E68" s="290"/>
      <c r="F68" s="310"/>
      <c r="G68" s="311"/>
      <c r="H68" s="293"/>
      <c r="I68" s="221"/>
      <c r="J68" s="294"/>
      <c r="K68" s="294"/>
      <c r="L68" s="295"/>
      <c r="M68" s="293"/>
      <c r="N68" s="310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  <c r="AC68" s="294"/>
      <c r="AD68" s="294"/>
      <c r="AE68" s="293"/>
      <c r="AF68" s="221"/>
      <c r="AG68" s="294"/>
      <c r="AH68" s="294"/>
      <c r="AI68" s="295"/>
      <c r="AJ68" s="293"/>
      <c r="AK68" s="295"/>
      <c r="AL68" s="295"/>
      <c r="AM68" s="295"/>
      <c r="AN68" s="295"/>
      <c r="AO68" s="295"/>
      <c r="AP68" s="295"/>
      <c r="AQ68" s="295"/>
      <c r="AR68" s="295"/>
      <c r="AS68" s="295"/>
      <c r="AT68" s="295"/>
      <c r="AU68" s="293"/>
      <c r="AV68" s="311"/>
      <c r="AW68" s="296"/>
      <c r="AX68" s="296"/>
      <c r="AY68" s="296"/>
      <c r="AZ68" s="296"/>
      <c r="BA68" s="296"/>
      <c r="BB68" s="296"/>
      <c r="BC68" s="296"/>
      <c r="BD68" s="293">
        <f t="shared" si="17"/>
        <v>0</v>
      </c>
      <c r="BE68" s="221"/>
      <c r="BF68" s="294"/>
      <c r="BG68" s="294"/>
      <c r="BH68" s="294"/>
      <c r="BI68" s="293">
        <f t="shared" si="16"/>
        <v>0</v>
      </c>
      <c r="BJ68" s="300"/>
      <c r="BK68" s="301">
        <f t="shared" si="18"/>
        <v>0</v>
      </c>
      <c r="BL68" s="312">
        <f t="shared" si="19"/>
        <v>0</v>
      </c>
      <c r="BM68" s="313">
        <f t="shared" si="20"/>
        <v>0</v>
      </c>
      <c r="BN68" s="314"/>
      <c r="BP68" s="305"/>
      <c r="BQ68" s="305"/>
      <c r="BR68" s="305"/>
      <c r="BS68" s="305"/>
      <c r="BT68" s="305"/>
      <c r="BU68" s="305"/>
      <c r="BV68" s="305"/>
      <c r="BW68" s="300">
        <f t="shared" si="11"/>
        <v>0</v>
      </c>
      <c r="BX68" s="300"/>
      <c r="BY68" s="305"/>
      <c r="BZ68" s="305"/>
      <c r="CA68" s="305"/>
      <c r="CB68" s="305"/>
      <c r="CC68" s="305"/>
      <c r="CD68" s="305"/>
      <c r="CE68" s="305"/>
      <c r="CF68" s="300">
        <f t="shared" si="12"/>
        <v>0</v>
      </c>
      <c r="CG68" s="300"/>
      <c r="CH68" s="305"/>
      <c r="CI68" s="305"/>
      <c r="CJ68" s="305"/>
      <c r="CK68" s="305"/>
      <c r="CL68" s="305"/>
      <c r="CM68" s="305"/>
      <c r="CN68" s="305"/>
      <c r="CO68" s="300">
        <f t="shared" si="13"/>
        <v>0</v>
      </c>
      <c r="CQ68" s="307">
        <f t="shared" si="21"/>
        <v>0</v>
      </c>
      <c r="CR68" s="307">
        <f t="shared" si="22"/>
        <v>0</v>
      </c>
      <c r="CS68" s="307">
        <f t="shared" si="23"/>
        <v>0</v>
      </c>
      <c r="CT68" s="307">
        <f t="shared" si="24"/>
        <v>0</v>
      </c>
      <c r="CU68" s="307">
        <f t="shared" si="25"/>
        <v>0</v>
      </c>
      <c r="CV68" s="307">
        <f t="shared" si="9"/>
        <v>0</v>
      </c>
      <c r="CW68" s="307">
        <f t="shared" si="10"/>
        <v>0</v>
      </c>
      <c r="CX68" s="307">
        <f t="shared" si="14"/>
        <v>0</v>
      </c>
      <c r="CY68" s="307">
        <f t="shared" si="15"/>
        <v>0</v>
      </c>
    </row>
    <row r="69" spans="1:103" s="230" customFormat="1" ht="21" customHeight="1">
      <c r="A69" s="448">
        <v>5031175</v>
      </c>
      <c r="B69" s="309" t="s">
        <v>373</v>
      </c>
      <c r="C69" s="287" t="s">
        <v>578</v>
      </c>
      <c r="D69" s="288">
        <v>12.978</v>
      </c>
      <c r="E69" s="290"/>
      <c r="F69" s="310"/>
      <c r="G69" s="311"/>
      <c r="H69" s="293"/>
      <c r="I69" s="221"/>
      <c r="J69" s="294"/>
      <c r="K69" s="294"/>
      <c r="L69" s="295"/>
      <c r="M69" s="293"/>
      <c r="N69" s="310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  <c r="AC69" s="294"/>
      <c r="AD69" s="294"/>
      <c r="AE69" s="293"/>
      <c r="AF69" s="221"/>
      <c r="AG69" s="294"/>
      <c r="AH69" s="294"/>
      <c r="AI69" s="295"/>
      <c r="AJ69" s="293"/>
      <c r="AK69" s="295"/>
      <c r="AL69" s="295"/>
      <c r="AM69" s="295"/>
      <c r="AN69" s="295"/>
      <c r="AO69" s="295"/>
      <c r="AP69" s="295"/>
      <c r="AQ69" s="295"/>
      <c r="AR69" s="295"/>
      <c r="AS69" s="295"/>
      <c r="AT69" s="295"/>
      <c r="AU69" s="293"/>
      <c r="AV69" s="311"/>
      <c r="AW69" s="296"/>
      <c r="AX69" s="296"/>
      <c r="AY69" s="296"/>
      <c r="AZ69" s="296"/>
      <c r="BA69" s="296"/>
      <c r="BB69" s="296"/>
      <c r="BC69" s="296"/>
      <c r="BD69" s="293">
        <f t="shared" si="17"/>
        <v>0</v>
      </c>
      <c r="BE69" s="221"/>
      <c r="BF69" s="294"/>
      <c r="BG69" s="294"/>
      <c r="BH69" s="294"/>
      <c r="BI69" s="293">
        <f t="shared" si="16"/>
        <v>0</v>
      </c>
      <c r="BJ69" s="300"/>
      <c r="BK69" s="301">
        <f t="shared" si="18"/>
        <v>0</v>
      </c>
      <c r="BL69" s="312">
        <f t="shared" si="19"/>
        <v>0</v>
      </c>
      <c r="BM69" s="313">
        <f t="shared" si="20"/>
        <v>0</v>
      </c>
      <c r="BN69" s="314"/>
      <c r="BP69" s="305"/>
      <c r="BQ69" s="305"/>
      <c r="BR69" s="305"/>
      <c r="BS69" s="305"/>
      <c r="BT69" s="305"/>
      <c r="BU69" s="305"/>
      <c r="BV69" s="305"/>
      <c r="BW69" s="300">
        <f t="shared" si="11"/>
        <v>0</v>
      </c>
      <c r="BX69" s="300"/>
      <c r="BY69" s="305"/>
      <c r="BZ69" s="305"/>
      <c r="CA69" s="305"/>
      <c r="CB69" s="305"/>
      <c r="CC69" s="305"/>
      <c r="CD69" s="305"/>
      <c r="CE69" s="305"/>
      <c r="CF69" s="300">
        <f t="shared" si="12"/>
        <v>0</v>
      </c>
      <c r="CG69" s="300"/>
      <c r="CH69" s="305"/>
      <c r="CI69" s="305"/>
      <c r="CJ69" s="305"/>
      <c r="CK69" s="305"/>
      <c r="CL69" s="305"/>
      <c r="CM69" s="305"/>
      <c r="CN69" s="305"/>
      <c r="CO69" s="300">
        <f t="shared" si="13"/>
        <v>0</v>
      </c>
      <c r="CQ69" s="307">
        <f t="shared" si="21"/>
        <v>0</v>
      </c>
      <c r="CR69" s="307">
        <f t="shared" si="22"/>
        <v>0</v>
      </c>
      <c r="CS69" s="307">
        <f t="shared" si="23"/>
        <v>0</v>
      </c>
      <c r="CT69" s="307">
        <f t="shared" si="24"/>
        <v>0</v>
      </c>
      <c r="CU69" s="307">
        <f t="shared" si="25"/>
        <v>0</v>
      </c>
      <c r="CV69" s="307">
        <f t="shared" si="9"/>
        <v>0</v>
      </c>
      <c r="CW69" s="307">
        <f t="shared" si="10"/>
        <v>0</v>
      </c>
      <c r="CX69" s="307">
        <f t="shared" si="14"/>
        <v>0</v>
      </c>
      <c r="CY69" s="307">
        <f t="shared" si="15"/>
        <v>0</v>
      </c>
    </row>
    <row r="70" spans="1:103" s="230" customFormat="1" ht="21" customHeight="1">
      <c r="A70" s="448">
        <v>5031178</v>
      </c>
      <c r="B70" s="309" t="s">
        <v>373</v>
      </c>
      <c r="C70" s="287" t="s">
        <v>579</v>
      </c>
      <c r="D70" s="288">
        <v>49.311999999999998</v>
      </c>
      <c r="E70" s="290"/>
      <c r="F70" s="310"/>
      <c r="G70" s="311"/>
      <c r="H70" s="293"/>
      <c r="I70" s="221"/>
      <c r="J70" s="294"/>
      <c r="K70" s="294"/>
      <c r="L70" s="295"/>
      <c r="M70" s="293"/>
      <c r="N70" s="310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94"/>
      <c r="AE70" s="293"/>
      <c r="AF70" s="221"/>
      <c r="AG70" s="294"/>
      <c r="AH70" s="294"/>
      <c r="AI70" s="295"/>
      <c r="AJ70" s="293"/>
      <c r="AK70" s="295"/>
      <c r="AL70" s="295"/>
      <c r="AM70" s="295"/>
      <c r="AN70" s="295"/>
      <c r="AO70" s="295"/>
      <c r="AP70" s="295"/>
      <c r="AQ70" s="295"/>
      <c r="AR70" s="295"/>
      <c r="AS70" s="295"/>
      <c r="AT70" s="295"/>
      <c r="AU70" s="293"/>
      <c r="AV70" s="311"/>
      <c r="AW70" s="296"/>
      <c r="AX70" s="296"/>
      <c r="AY70" s="296"/>
      <c r="AZ70" s="296"/>
      <c r="BA70" s="296"/>
      <c r="BB70" s="296"/>
      <c r="BC70" s="296"/>
      <c r="BD70" s="293">
        <f t="shared" si="17"/>
        <v>0</v>
      </c>
      <c r="BE70" s="221"/>
      <c r="BF70" s="294"/>
      <c r="BG70" s="294"/>
      <c r="BH70" s="294"/>
      <c r="BI70" s="293">
        <f t="shared" si="16"/>
        <v>0</v>
      </c>
      <c r="BJ70" s="300"/>
      <c r="BK70" s="301">
        <f t="shared" si="18"/>
        <v>0</v>
      </c>
      <c r="BL70" s="312">
        <f t="shared" si="19"/>
        <v>0</v>
      </c>
      <c r="BM70" s="313">
        <f t="shared" si="20"/>
        <v>0</v>
      </c>
      <c r="BN70" s="314"/>
      <c r="BP70" s="305"/>
      <c r="BQ70" s="305"/>
      <c r="BR70" s="305"/>
      <c r="BS70" s="305"/>
      <c r="BT70" s="305"/>
      <c r="BU70" s="305"/>
      <c r="BV70" s="305"/>
      <c r="BW70" s="300">
        <f t="shared" si="11"/>
        <v>0</v>
      </c>
      <c r="BX70" s="300"/>
      <c r="BY70" s="305"/>
      <c r="BZ70" s="305"/>
      <c r="CA70" s="305"/>
      <c r="CB70" s="305"/>
      <c r="CC70" s="305"/>
      <c r="CD70" s="305"/>
      <c r="CE70" s="305"/>
      <c r="CF70" s="300">
        <f t="shared" si="12"/>
        <v>0</v>
      </c>
      <c r="CG70" s="300"/>
      <c r="CH70" s="305"/>
      <c r="CI70" s="305"/>
      <c r="CJ70" s="305"/>
      <c r="CK70" s="305"/>
      <c r="CL70" s="305"/>
      <c r="CM70" s="305"/>
      <c r="CN70" s="305"/>
      <c r="CO70" s="300">
        <f t="shared" si="13"/>
        <v>0</v>
      </c>
      <c r="CQ70" s="307">
        <f t="shared" si="21"/>
        <v>0</v>
      </c>
      <c r="CR70" s="307">
        <f t="shared" si="22"/>
        <v>0</v>
      </c>
      <c r="CS70" s="307">
        <f t="shared" si="23"/>
        <v>0</v>
      </c>
      <c r="CT70" s="307">
        <f t="shared" si="24"/>
        <v>0</v>
      </c>
      <c r="CU70" s="307">
        <f t="shared" si="25"/>
        <v>0</v>
      </c>
      <c r="CV70" s="307">
        <f t="shared" si="9"/>
        <v>0</v>
      </c>
      <c r="CW70" s="307">
        <f t="shared" si="10"/>
        <v>0</v>
      </c>
      <c r="CX70" s="307">
        <f t="shared" si="14"/>
        <v>0</v>
      </c>
      <c r="CY70" s="307">
        <f t="shared" si="15"/>
        <v>0</v>
      </c>
    </row>
    <row r="71" spans="1:103" s="230" customFormat="1" ht="21" customHeight="1">
      <c r="A71" s="448">
        <v>5111267</v>
      </c>
      <c r="B71" s="309" t="s">
        <v>373</v>
      </c>
      <c r="C71" s="287" t="s">
        <v>580</v>
      </c>
      <c r="D71" s="288">
        <v>47.567999999999998</v>
      </c>
      <c r="E71" s="290"/>
      <c r="F71" s="310"/>
      <c r="G71" s="311"/>
      <c r="H71" s="293"/>
      <c r="I71" s="221"/>
      <c r="J71" s="294"/>
      <c r="K71" s="294"/>
      <c r="L71" s="295"/>
      <c r="M71" s="293"/>
      <c r="N71" s="310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  <c r="AD71" s="294"/>
      <c r="AE71" s="293"/>
      <c r="AF71" s="221"/>
      <c r="AG71" s="294"/>
      <c r="AH71" s="294"/>
      <c r="AI71" s="295"/>
      <c r="AJ71" s="293"/>
      <c r="AK71" s="295"/>
      <c r="AL71" s="295"/>
      <c r="AM71" s="295"/>
      <c r="AN71" s="295"/>
      <c r="AO71" s="295"/>
      <c r="AP71" s="295"/>
      <c r="AQ71" s="295"/>
      <c r="AR71" s="295"/>
      <c r="AS71" s="295"/>
      <c r="AT71" s="295"/>
      <c r="AU71" s="293"/>
      <c r="AV71" s="311"/>
      <c r="AW71" s="296"/>
      <c r="AX71" s="296"/>
      <c r="AY71" s="296"/>
      <c r="AZ71" s="296"/>
      <c r="BA71" s="296"/>
      <c r="BB71" s="296"/>
      <c r="BC71" s="296"/>
      <c r="BD71" s="293">
        <f t="shared" si="17"/>
        <v>0</v>
      </c>
      <c r="BE71" s="221"/>
      <c r="BF71" s="294"/>
      <c r="BG71" s="294"/>
      <c r="BH71" s="294"/>
      <c r="BI71" s="293">
        <f t="shared" si="16"/>
        <v>0</v>
      </c>
      <c r="BJ71" s="300"/>
      <c r="BK71" s="301">
        <f t="shared" si="18"/>
        <v>0</v>
      </c>
      <c r="BL71" s="312">
        <f t="shared" si="19"/>
        <v>0</v>
      </c>
      <c r="BM71" s="313">
        <f t="shared" si="20"/>
        <v>0</v>
      </c>
      <c r="BN71" s="314"/>
      <c r="BP71" s="305"/>
      <c r="BQ71" s="305"/>
      <c r="BR71" s="305"/>
      <c r="BS71" s="305"/>
      <c r="BT71" s="305"/>
      <c r="BU71" s="305"/>
      <c r="BV71" s="305"/>
      <c r="BW71" s="300">
        <f t="shared" si="11"/>
        <v>0</v>
      </c>
      <c r="BX71" s="300"/>
      <c r="BY71" s="305"/>
      <c r="BZ71" s="305"/>
      <c r="CA71" s="305"/>
      <c r="CB71" s="305"/>
      <c r="CC71" s="305"/>
      <c r="CD71" s="305"/>
      <c r="CE71" s="305"/>
      <c r="CF71" s="300">
        <f t="shared" si="12"/>
        <v>0</v>
      </c>
      <c r="CG71" s="300"/>
      <c r="CH71" s="305"/>
      <c r="CI71" s="305"/>
      <c r="CJ71" s="305"/>
      <c r="CK71" s="305"/>
      <c r="CL71" s="305"/>
      <c r="CM71" s="305"/>
      <c r="CN71" s="305"/>
      <c r="CO71" s="300">
        <f t="shared" si="13"/>
        <v>0</v>
      </c>
      <c r="CQ71" s="307">
        <f t="shared" si="21"/>
        <v>0</v>
      </c>
      <c r="CR71" s="307">
        <f t="shared" si="22"/>
        <v>0</v>
      </c>
      <c r="CS71" s="307">
        <f t="shared" si="23"/>
        <v>0</v>
      </c>
      <c r="CT71" s="307">
        <f t="shared" si="24"/>
        <v>0</v>
      </c>
      <c r="CU71" s="307">
        <f t="shared" si="25"/>
        <v>0</v>
      </c>
      <c r="CV71" s="307">
        <f t="shared" si="9"/>
        <v>0</v>
      </c>
      <c r="CW71" s="307">
        <f t="shared" si="10"/>
        <v>0</v>
      </c>
      <c r="CX71" s="307">
        <f t="shared" si="14"/>
        <v>0</v>
      </c>
      <c r="CY71" s="307">
        <f t="shared" si="15"/>
        <v>0</v>
      </c>
    </row>
    <row r="72" spans="1:103" s="230" customFormat="1" ht="21" customHeight="1">
      <c r="A72" s="448">
        <v>5112876</v>
      </c>
      <c r="B72" s="309" t="s">
        <v>373</v>
      </c>
      <c r="C72" s="287" t="s">
        <v>581</v>
      </c>
      <c r="D72" s="288">
        <v>55.69</v>
      </c>
      <c r="E72" s="290"/>
      <c r="F72" s="310"/>
      <c r="G72" s="311"/>
      <c r="H72" s="293"/>
      <c r="I72" s="221"/>
      <c r="J72" s="294"/>
      <c r="K72" s="294"/>
      <c r="L72" s="295"/>
      <c r="M72" s="293"/>
      <c r="N72" s="310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94"/>
      <c r="AE72" s="293"/>
      <c r="AF72" s="221"/>
      <c r="AG72" s="294"/>
      <c r="AH72" s="294"/>
      <c r="AI72" s="295"/>
      <c r="AJ72" s="293"/>
      <c r="AK72" s="295"/>
      <c r="AL72" s="295"/>
      <c r="AM72" s="295"/>
      <c r="AN72" s="295"/>
      <c r="AO72" s="295"/>
      <c r="AP72" s="295"/>
      <c r="AQ72" s="295"/>
      <c r="AR72" s="295"/>
      <c r="AS72" s="295"/>
      <c r="AT72" s="295"/>
      <c r="AU72" s="293"/>
      <c r="AV72" s="311"/>
      <c r="AW72" s="296"/>
      <c r="AX72" s="296"/>
      <c r="AY72" s="296"/>
      <c r="AZ72" s="296"/>
      <c r="BA72" s="296"/>
      <c r="BB72" s="296"/>
      <c r="BC72" s="296"/>
      <c r="BD72" s="293">
        <f t="shared" si="17"/>
        <v>0</v>
      </c>
      <c r="BE72" s="221"/>
      <c r="BF72" s="294"/>
      <c r="BG72" s="294"/>
      <c r="BH72" s="294"/>
      <c r="BI72" s="293">
        <f t="shared" si="16"/>
        <v>0</v>
      </c>
      <c r="BJ72" s="300"/>
      <c r="BK72" s="301">
        <f t="shared" si="18"/>
        <v>0</v>
      </c>
      <c r="BL72" s="312">
        <f t="shared" si="19"/>
        <v>0</v>
      </c>
      <c r="BM72" s="313">
        <f t="shared" si="20"/>
        <v>0</v>
      </c>
      <c r="BN72" s="314"/>
      <c r="BP72" s="305"/>
      <c r="BQ72" s="305"/>
      <c r="BR72" s="305"/>
      <c r="BS72" s="305"/>
      <c r="BT72" s="305"/>
      <c r="BU72" s="305"/>
      <c r="BV72" s="305"/>
      <c r="BW72" s="300">
        <f t="shared" si="11"/>
        <v>0</v>
      </c>
      <c r="BX72" s="300"/>
      <c r="BY72" s="305"/>
      <c r="BZ72" s="305"/>
      <c r="CA72" s="305"/>
      <c r="CB72" s="305"/>
      <c r="CC72" s="305"/>
      <c r="CD72" s="305"/>
      <c r="CE72" s="305"/>
      <c r="CF72" s="300">
        <f t="shared" si="12"/>
        <v>0</v>
      </c>
      <c r="CG72" s="300"/>
      <c r="CH72" s="305"/>
      <c r="CI72" s="305"/>
      <c r="CJ72" s="305"/>
      <c r="CK72" s="305"/>
      <c r="CL72" s="305"/>
      <c r="CM72" s="305"/>
      <c r="CN72" s="305"/>
      <c r="CO72" s="300">
        <f t="shared" si="13"/>
        <v>0</v>
      </c>
      <c r="CQ72" s="307">
        <f t="shared" si="21"/>
        <v>0</v>
      </c>
      <c r="CR72" s="307">
        <f t="shared" si="22"/>
        <v>0</v>
      </c>
      <c r="CS72" s="307">
        <f t="shared" si="23"/>
        <v>0</v>
      </c>
      <c r="CT72" s="307">
        <f t="shared" si="24"/>
        <v>0</v>
      </c>
      <c r="CU72" s="307">
        <f t="shared" si="25"/>
        <v>0</v>
      </c>
      <c r="CV72" s="307">
        <f t="shared" si="9"/>
        <v>0</v>
      </c>
      <c r="CW72" s="307">
        <f t="shared" si="10"/>
        <v>0</v>
      </c>
      <c r="CX72" s="307">
        <f t="shared" si="14"/>
        <v>0</v>
      </c>
      <c r="CY72" s="307">
        <f t="shared" si="15"/>
        <v>0</v>
      </c>
    </row>
    <row r="73" spans="1:103" s="230" customFormat="1" ht="21" customHeight="1">
      <c r="A73" s="448">
        <v>5567061</v>
      </c>
      <c r="B73" s="309" t="s">
        <v>373</v>
      </c>
      <c r="C73" s="287" t="s">
        <v>430</v>
      </c>
      <c r="D73" s="288" t="e">
        <v>#N/A</v>
      </c>
      <c r="E73" s="290"/>
      <c r="F73" s="310"/>
      <c r="G73" s="311"/>
      <c r="H73" s="293"/>
      <c r="I73" s="221"/>
      <c r="J73" s="294"/>
      <c r="K73" s="294"/>
      <c r="L73" s="295"/>
      <c r="M73" s="293"/>
      <c r="N73" s="310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94"/>
      <c r="AE73" s="293"/>
      <c r="AF73" s="221"/>
      <c r="AG73" s="294"/>
      <c r="AH73" s="294"/>
      <c r="AI73" s="295"/>
      <c r="AJ73" s="293"/>
      <c r="AK73" s="295"/>
      <c r="AL73" s="295"/>
      <c r="AM73" s="295"/>
      <c r="AN73" s="295"/>
      <c r="AO73" s="295"/>
      <c r="AP73" s="295"/>
      <c r="AQ73" s="295"/>
      <c r="AR73" s="295"/>
      <c r="AS73" s="295"/>
      <c r="AT73" s="295"/>
      <c r="AU73" s="293"/>
      <c r="AV73" s="311"/>
      <c r="AW73" s="296"/>
      <c r="AX73" s="296"/>
      <c r="AY73" s="296"/>
      <c r="AZ73" s="296"/>
      <c r="BA73" s="296"/>
      <c r="BB73" s="296"/>
      <c r="BC73" s="296"/>
      <c r="BD73" s="293">
        <f t="shared" si="17"/>
        <v>0</v>
      </c>
      <c r="BE73" s="221"/>
      <c r="BF73" s="294"/>
      <c r="BG73" s="294"/>
      <c r="BH73" s="294"/>
      <c r="BI73" s="293">
        <f t="shared" si="16"/>
        <v>0</v>
      </c>
      <c r="BJ73" s="300"/>
      <c r="BK73" s="301">
        <f t="shared" si="18"/>
        <v>0</v>
      </c>
      <c r="BL73" s="312">
        <f t="shared" si="19"/>
        <v>0</v>
      </c>
      <c r="BM73" s="313">
        <f t="shared" si="20"/>
        <v>0</v>
      </c>
      <c r="BN73" s="314"/>
      <c r="BP73" s="305"/>
      <c r="BQ73" s="305"/>
      <c r="BR73" s="305"/>
      <c r="BS73" s="305"/>
      <c r="BT73" s="305"/>
      <c r="BU73" s="305"/>
      <c r="BV73" s="305"/>
      <c r="BW73" s="300">
        <f t="shared" si="11"/>
        <v>0</v>
      </c>
      <c r="BX73" s="300"/>
      <c r="BY73" s="305"/>
      <c r="BZ73" s="305"/>
      <c r="CA73" s="305"/>
      <c r="CB73" s="305"/>
      <c r="CC73" s="305"/>
      <c r="CD73" s="305"/>
      <c r="CE73" s="305"/>
      <c r="CF73" s="300">
        <f t="shared" si="12"/>
        <v>0</v>
      </c>
      <c r="CG73" s="300"/>
      <c r="CH73" s="305"/>
      <c r="CI73" s="305"/>
      <c r="CJ73" s="305"/>
      <c r="CK73" s="305"/>
      <c r="CL73" s="305"/>
      <c r="CM73" s="305"/>
      <c r="CN73" s="305"/>
      <c r="CO73" s="300">
        <f t="shared" si="13"/>
        <v>0</v>
      </c>
      <c r="CQ73" s="307">
        <f t="shared" si="21"/>
        <v>0</v>
      </c>
      <c r="CR73" s="307">
        <f t="shared" si="22"/>
        <v>0</v>
      </c>
      <c r="CS73" s="307">
        <f t="shared" si="23"/>
        <v>0</v>
      </c>
      <c r="CT73" s="307">
        <f t="shared" si="24"/>
        <v>0</v>
      </c>
      <c r="CU73" s="307">
        <f t="shared" si="25"/>
        <v>0</v>
      </c>
      <c r="CV73" s="307">
        <f t="shared" si="9"/>
        <v>0</v>
      </c>
      <c r="CW73" s="307">
        <f t="shared" si="10"/>
        <v>0</v>
      </c>
      <c r="CX73" s="307">
        <f t="shared" si="14"/>
        <v>0</v>
      </c>
      <c r="CY73" s="307">
        <f t="shared" si="15"/>
        <v>0</v>
      </c>
    </row>
    <row r="74" spans="1:103" s="230" customFormat="1" ht="21" customHeight="1">
      <c r="A74" s="448">
        <v>5464501</v>
      </c>
      <c r="B74" s="309" t="s">
        <v>373</v>
      </c>
      <c r="C74" s="287" t="s">
        <v>582</v>
      </c>
      <c r="D74" s="288">
        <v>3.0310000000000001</v>
      </c>
      <c r="E74" s="290"/>
      <c r="F74" s="310"/>
      <c r="G74" s="311"/>
      <c r="H74" s="293"/>
      <c r="I74" s="221"/>
      <c r="J74" s="294"/>
      <c r="K74" s="294"/>
      <c r="L74" s="295"/>
      <c r="M74" s="293"/>
      <c r="N74" s="310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94"/>
      <c r="AE74" s="293"/>
      <c r="AF74" s="221"/>
      <c r="AG74" s="294"/>
      <c r="AH74" s="294"/>
      <c r="AI74" s="295"/>
      <c r="AJ74" s="293"/>
      <c r="AK74" s="295"/>
      <c r="AL74" s="295"/>
      <c r="AM74" s="295"/>
      <c r="AN74" s="295"/>
      <c r="AO74" s="295"/>
      <c r="AP74" s="295"/>
      <c r="AQ74" s="295"/>
      <c r="AR74" s="295"/>
      <c r="AS74" s="295"/>
      <c r="AT74" s="295"/>
      <c r="AU74" s="293"/>
      <c r="AV74" s="311"/>
      <c r="AW74" s="296"/>
      <c r="AX74" s="296"/>
      <c r="AY74" s="296"/>
      <c r="AZ74" s="296"/>
      <c r="BA74" s="296"/>
      <c r="BB74" s="296"/>
      <c r="BC74" s="296"/>
      <c r="BD74" s="293">
        <f t="shared" si="17"/>
        <v>0</v>
      </c>
      <c r="BE74" s="221"/>
      <c r="BF74" s="294"/>
      <c r="BG74" s="294"/>
      <c r="BH74" s="294"/>
      <c r="BI74" s="293">
        <f t="shared" si="16"/>
        <v>0</v>
      </c>
      <c r="BJ74" s="300"/>
      <c r="BK74" s="301">
        <f t="shared" si="18"/>
        <v>0</v>
      </c>
      <c r="BL74" s="312">
        <f t="shared" si="19"/>
        <v>0</v>
      </c>
      <c r="BM74" s="313">
        <f t="shared" si="20"/>
        <v>0</v>
      </c>
      <c r="BN74" s="314"/>
      <c r="BP74" s="305"/>
      <c r="BQ74" s="305"/>
      <c r="BR74" s="305"/>
      <c r="BS74" s="305"/>
      <c r="BT74" s="305"/>
      <c r="BU74" s="305"/>
      <c r="BV74" s="305"/>
      <c r="BW74" s="300">
        <f t="shared" si="11"/>
        <v>0</v>
      </c>
      <c r="BX74" s="300"/>
      <c r="BY74" s="305"/>
      <c r="BZ74" s="305"/>
      <c r="CA74" s="305"/>
      <c r="CB74" s="305"/>
      <c r="CC74" s="305"/>
      <c r="CD74" s="305"/>
      <c r="CE74" s="305"/>
      <c r="CF74" s="300">
        <f t="shared" si="12"/>
        <v>0</v>
      </c>
      <c r="CG74" s="300"/>
      <c r="CH74" s="305"/>
      <c r="CI74" s="305"/>
      <c r="CJ74" s="305"/>
      <c r="CK74" s="305"/>
      <c r="CL74" s="305"/>
      <c r="CM74" s="305"/>
      <c r="CN74" s="305"/>
      <c r="CO74" s="300">
        <f t="shared" si="13"/>
        <v>0</v>
      </c>
      <c r="CQ74" s="307">
        <f t="shared" si="21"/>
        <v>0</v>
      </c>
      <c r="CR74" s="307">
        <f t="shared" si="22"/>
        <v>0</v>
      </c>
      <c r="CS74" s="307">
        <f t="shared" si="23"/>
        <v>0</v>
      </c>
      <c r="CT74" s="307">
        <f t="shared" si="24"/>
        <v>0</v>
      </c>
      <c r="CU74" s="307">
        <f t="shared" si="25"/>
        <v>0</v>
      </c>
      <c r="CV74" s="307">
        <f t="shared" si="9"/>
        <v>0</v>
      </c>
      <c r="CW74" s="307">
        <f t="shared" si="10"/>
        <v>0</v>
      </c>
      <c r="CX74" s="307">
        <f t="shared" si="14"/>
        <v>0</v>
      </c>
      <c r="CY74" s="307">
        <f t="shared" si="15"/>
        <v>0</v>
      </c>
    </row>
    <row r="75" spans="1:103" s="230" customFormat="1" ht="21" customHeight="1">
      <c r="A75" s="448">
        <v>5111588</v>
      </c>
      <c r="B75" s="309" t="s">
        <v>373</v>
      </c>
      <c r="C75" s="287" t="s">
        <v>583</v>
      </c>
      <c r="D75" s="288" t="e">
        <v>#N/A</v>
      </c>
      <c r="E75" s="290"/>
      <c r="F75" s="310"/>
      <c r="G75" s="311"/>
      <c r="H75" s="293"/>
      <c r="I75" s="221"/>
      <c r="J75" s="294"/>
      <c r="K75" s="294"/>
      <c r="L75" s="295"/>
      <c r="M75" s="293"/>
      <c r="N75" s="310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  <c r="AC75" s="294"/>
      <c r="AD75" s="294"/>
      <c r="AE75" s="293"/>
      <c r="AF75" s="221"/>
      <c r="AG75" s="294"/>
      <c r="AH75" s="294"/>
      <c r="AI75" s="295"/>
      <c r="AJ75" s="293"/>
      <c r="AK75" s="295"/>
      <c r="AL75" s="295"/>
      <c r="AM75" s="295"/>
      <c r="AN75" s="295"/>
      <c r="AO75" s="295"/>
      <c r="AP75" s="295"/>
      <c r="AQ75" s="295"/>
      <c r="AR75" s="295"/>
      <c r="AS75" s="295"/>
      <c r="AT75" s="295"/>
      <c r="AU75" s="293"/>
      <c r="AV75" s="311"/>
      <c r="AW75" s="296"/>
      <c r="AX75" s="296"/>
      <c r="AY75" s="296"/>
      <c r="AZ75" s="296"/>
      <c r="BA75" s="296"/>
      <c r="BB75" s="296"/>
      <c r="BC75" s="296"/>
      <c r="BD75" s="293">
        <f t="shared" si="17"/>
        <v>0</v>
      </c>
      <c r="BE75" s="221"/>
      <c r="BF75" s="294"/>
      <c r="BG75" s="294"/>
      <c r="BH75" s="294"/>
      <c r="BI75" s="293">
        <f t="shared" si="16"/>
        <v>0</v>
      </c>
      <c r="BJ75" s="300"/>
      <c r="BK75" s="301">
        <f t="shared" si="18"/>
        <v>0</v>
      </c>
      <c r="BL75" s="312">
        <f t="shared" si="19"/>
        <v>0</v>
      </c>
      <c r="BM75" s="313">
        <f t="shared" si="20"/>
        <v>0</v>
      </c>
      <c r="BN75" s="314"/>
      <c r="BP75" s="305"/>
      <c r="BQ75" s="305"/>
      <c r="BR75" s="305"/>
      <c r="BS75" s="305"/>
      <c r="BT75" s="305"/>
      <c r="BU75" s="305"/>
      <c r="BV75" s="305"/>
      <c r="BW75" s="300">
        <f t="shared" si="11"/>
        <v>0</v>
      </c>
      <c r="BX75" s="300"/>
      <c r="BY75" s="305"/>
      <c r="BZ75" s="305"/>
      <c r="CA75" s="305"/>
      <c r="CB75" s="305"/>
      <c r="CC75" s="305"/>
      <c r="CD75" s="305"/>
      <c r="CE75" s="305"/>
      <c r="CF75" s="300">
        <f t="shared" si="12"/>
        <v>0</v>
      </c>
      <c r="CG75" s="300"/>
      <c r="CH75" s="305"/>
      <c r="CI75" s="305"/>
      <c r="CJ75" s="305"/>
      <c r="CK75" s="305"/>
      <c r="CL75" s="305"/>
      <c r="CM75" s="305"/>
      <c r="CN75" s="305"/>
      <c r="CO75" s="300">
        <f t="shared" si="13"/>
        <v>0</v>
      </c>
      <c r="CQ75" s="307">
        <f t="shared" si="21"/>
        <v>0</v>
      </c>
      <c r="CR75" s="307">
        <f t="shared" si="22"/>
        <v>0</v>
      </c>
      <c r="CS75" s="307">
        <f t="shared" si="23"/>
        <v>0</v>
      </c>
      <c r="CT75" s="307">
        <f t="shared" si="24"/>
        <v>0</v>
      </c>
      <c r="CU75" s="307">
        <f t="shared" si="25"/>
        <v>0</v>
      </c>
      <c r="CV75" s="307">
        <f t="shared" si="9"/>
        <v>0</v>
      </c>
      <c r="CW75" s="307">
        <f t="shared" si="10"/>
        <v>0</v>
      </c>
      <c r="CX75" s="307">
        <f t="shared" si="14"/>
        <v>0</v>
      </c>
      <c r="CY75" s="307">
        <f t="shared" si="15"/>
        <v>0</v>
      </c>
    </row>
    <row r="76" spans="1:103" s="230" customFormat="1" ht="21" customHeight="1">
      <c r="A76" s="448">
        <v>5347015</v>
      </c>
      <c r="B76" s="309" t="s">
        <v>373</v>
      </c>
      <c r="C76" s="287" t="s">
        <v>526</v>
      </c>
      <c r="D76" s="288">
        <v>29.754000000000001</v>
      </c>
      <c r="E76" s="290"/>
      <c r="F76" s="310"/>
      <c r="G76" s="311"/>
      <c r="H76" s="293"/>
      <c r="I76" s="221"/>
      <c r="J76" s="294"/>
      <c r="K76" s="294"/>
      <c r="L76" s="295"/>
      <c r="M76" s="293"/>
      <c r="N76" s="310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  <c r="AB76" s="294"/>
      <c r="AC76" s="294"/>
      <c r="AD76" s="294"/>
      <c r="AE76" s="293"/>
      <c r="AF76" s="221"/>
      <c r="AG76" s="294"/>
      <c r="AH76" s="294"/>
      <c r="AI76" s="295"/>
      <c r="AJ76" s="293"/>
      <c r="AK76" s="295"/>
      <c r="AL76" s="295"/>
      <c r="AM76" s="295"/>
      <c r="AN76" s="295"/>
      <c r="AO76" s="295"/>
      <c r="AP76" s="295"/>
      <c r="AQ76" s="295"/>
      <c r="AR76" s="295"/>
      <c r="AS76" s="295"/>
      <c r="AT76" s="295"/>
      <c r="AU76" s="293"/>
      <c r="AV76" s="311"/>
      <c r="AW76" s="296"/>
      <c r="AX76" s="296"/>
      <c r="AY76" s="296"/>
      <c r="AZ76" s="296"/>
      <c r="BA76" s="296"/>
      <c r="BB76" s="296"/>
      <c r="BC76" s="296"/>
      <c r="BD76" s="293">
        <f t="shared" si="17"/>
        <v>0</v>
      </c>
      <c r="BE76" s="221"/>
      <c r="BF76" s="294"/>
      <c r="BG76" s="294"/>
      <c r="BH76" s="294"/>
      <c r="BI76" s="293">
        <f t="shared" si="16"/>
        <v>0</v>
      </c>
      <c r="BJ76" s="300"/>
      <c r="BK76" s="301">
        <f t="shared" si="18"/>
        <v>0</v>
      </c>
      <c r="BL76" s="312">
        <f t="shared" si="19"/>
        <v>0</v>
      </c>
      <c r="BM76" s="313">
        <f t="shared" si="20"/>
        <v>0</v>
      </c>
      <c r="BN76" s="314"/>
      <c r="BP76" s="305"/>
      <c r="BQ76" s="305"/>
      <c r="BR76" s="305"/>
      <c r="BS76" s="305"/>
      <c r="BT76" s="305"/>
      <c r="BU76" s="305"/>
      <c r="BV76" s="305"/>
      <c r="BW76" s="300">
        <f t="shared" si="11"/>
        <v>0</v>
      </c>
      <c r="BX76" s="300"/>
      <c r="BY76" s="305"/>
      <c r="BZ76" s="305"/>
      <c r="CA76" s="305"/>
      <c r="CB76" s="305"/>
      <c r="CC76" s="305"/>
      <c r="CD76" s="305"/>
      <c r="CE76" s="305"/>
      <c r="CF76" s="300">
        <f t="shared" si="12"/>
        <v>0</v>
      </c>
      <c r="CG76" s="300"/>
      <c r="CH76" s="305"/>
      <c r="CI76" s="305"/>
      <c r="CJ76" s="305"/>
      <c r="CK76" s="305"/>
      <c r="CL76" s="305"/>
      <c r="CM76" s="305"/>
      <c r="CN76" s="305"/>
      <c r="CO76" s="300">
        <f t="shared" si="13"/>
        <v>0</v>
      </c>
      <c r="CQ76" s="307">
        <f t="shared" si="21"/>
        <v>0</v>
      </c>
      <c r="CR76" s="307">
        <f t="shared" si="22"/>
        <v>0</v>
      </c>
      <c r="CS76" s="307">
        <f t="shared" si="23"/>
        <v>0</v>
      </c>
      <c r="CT76" s="307">
        <f t="shared" si="24"/>
        <v>0</v>
      </c>
      <c r="CU76" s="307">
        <f t="shared" si="25"/>
        <v>0</v>
      </c>
      <c r="CV76" s="307">
        <f t="shared" si="9"/>
        <v>0</v>
      </c>
      <c r="CW76" s="307">
        <f t="shared" si="10"/>
        <v>0</v>
      </c>
      <c r="CX76" s="307">
        <f t="shared" si="14"/>
        <v>0</v>
      </c>
      <c r="CY76" s="307">
        <f t="shared" si="15"/>
        <v>0</v>
      </c>
    </row>
    <row r="77" spans="1:103" s="230" customFormat="1" ht="21" customHeight="1">
      <c r="A77" s="448">
        <v>5114191</v>
      </c>
      <c r="B77" s="309" t="s">
        <v>373</v>
      </c>
      <c r="C77" s="287" t="s">
        <v>432</v>
      </c>
      <c r="D77" s="288" t="e">
        <v>#N/A</v>
      </c>
      <c r="E77" s="290"/>
      <c r="F77" s="310"/>
      <c r="G77" s="311"/>
      <c r="H77" s="293"/>
      <c r="I77" s="221"/>
      <c r="J77" s="294"/>
      <c r="K77" s="294"/>
      <c r="L77" s="295"/>
      <c r="M77" s="293"/>
      <c r="N77" s="310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  <c r="AB77" s="294"/>
      <c r="AC77" s="294"/>
      <c r="AD77" s="294"/>
      <c r="AE77" s="293"/>
      <c r="AF77" s="221"/>
      <c r="AG77" s="294"/>
      <c r="AH77" s="294"/>
      <c r="AI77" s="295"/>
      <c r="AJ77" s="293"/>
      <c r="AK77" s="295"/>
      <c r="AL77" s="295"/>
      <c r="AM77" s="295"/>
      <c r="AN77" s="295"/>
      <c r="AO77" s="295"/>
      <c r="AP77" s="295"/>
      <c r="AQ77" s="295"/>
      <c r="AR77" s="295"/>
      <c r="AS77" s="295"/>
      <c r="AT77" s="295"/>
      <c r="AU77" s="293"/>
      <c r="AV77" s="311"/>
      <c r="AW77" s="296"/>
      <c r="AX77" s="296"/>
      <c r="AY77" s="296"/>
      <c r="AZ77" s="296"/>
      <c r="BA77" s="296"/>
      <c r="BB77" s="296"/>
      <c r="BC77" s="296"/>
      <c r="BD77" s="293">
        <f t="shared" si="17"/>
        <v>0</v>
      </c>
      <c r="BE77" s="221"/>
      <c r="BF77" s="294"/>
      <c r="BG77" s="294"/>
      <c r="BH77" s="294"/>
      <c r="BI77" s="293">
        <f t="shared" si="16"/>
        <v>0</v>
      </c>
      <c r="BJ77" s="300"/>
      <c r="BK77" s="301">
        <f t="shared" si="18"/>
        <v>0</v>
      </c>
      <c r="BL77" s="312">
        <f t="shared" si="19"/>
        <v>0</v>
      </c>
      <c r="BM77" s="313">
        <f t="shared" si="20"/>
        <v>0</v>
      </c>
      <c r="BN77" s="314"/>
      <c r="BP77" s="305"/>
      <c r="BQ77" s="305"/>
      <c r="BR77" s="305"/>
      <c r="BS77" s="305"/>
      <c r="BT77" s="305"/>
      <c r="BU77" s="305"/>
      <c r="BV77" s="305"/>
      <c r="BW77" s="300">
        <f t="shared" si="11"/>
        <v>0</v>
      </c>
      <c r="BX77" s="300"/>
      <c r="BY77" s="305"/>
      <c r="BZ77" s="305"/>
      <c r="CA77" s="305"/>
      <c r="CB77" s="305"/>
      <c r="CC77" s="305"/>
      <c r="CD77" s="305"/>
      <c r="CE77" s="305"/>
      <c r="CF77" s="300">
        <f t="shared" si="12"/>
        <v>0</v>
      </c>
      <c r="CG77" s="300"/>
      <c r="CH77" s="305"/>
      <c r="CI77" s="305"/>
      <c r="CJ77" s="305"/>
      <c r="CK77" s="305"/>
      <c r="CL77" s="305"/>
      <c r="CM77" s="305"/>
      <c r="CN77" s="305"/>
      <c r="CO77" s="300">
        <f t="shared" si="13"/>
        <v>0</v>
      </c>
      <c r="CQ77" s="307">
        <f t="shared" si="21"/>
        <v>0</v>
      </c>
      <c r="CR77" s="307">
        <f t="shared" si="22"/>
        <v>0</v>
      </c>
      <c r="CS77" s="307">
        <f t="shared" si="23"/>
        <v>0</v>
      </c>
      <c r="CT77" s="307">
        <f t="shared" si="24"/>
        <v>0</v>
      </c>
      <c r="CU77" s="307">
        <f t="shared" si="25"/>
        <v>0</v>
      </c>
      <c r="CV77" s="307">
        <f t="shared" si="9"/>
        <v>0</v>
      </c>
      <c r="CW77" s="307">
        <f t="shared" si="10"/>
        <v>0</v>
      </c>
      <c r="CX77" s="307">
        <f t="shared" si="14"/>
        <v>0</v>
      </c>
      <c r="CY77" s="307">
        <f t="shared" si="15"/>
        <v>0</v>
      </c>
    </row>
    <row r="78" spans="1:103" s="230" customFormat="1" ht="21" customHeight="1">
      <c r="A78" s="448">
        <v>5134557</v>
      </c>
      <c r="B78" s="309" t="s">
        <v>373</v>
      </c>
      <c r="C78" s="287" t="s">
        <v>584</v>
      </c>
      <c r="D78" s="288">
        <v>56.843000000000004</v>
      </c>
      <c r="E78" s="290"/>
      <c r="F78" s="310"/>
      <c r="G78" s="311"/>
      <c r="H78" s="293"/>
      <c r="I78" s="221"/>
      <c r="J78" s="294"/>
      <c r="K78" s="294"/>
      <c r="L78" s="295"/>
      <c r="M78" s="293"/>
      <c r="N78" s="310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  <c r="AB78" s="294"/>
      <c r="AC78" s="294"/>
      <c r="AD78" s="294"/>
      <c r="AE78" s="293"/>
      <c r="AF78" s="221"/>
      <c r="AG78" s="294"/>
      <c r="AH78" s="294"/>
      <c r="AI78" s="295"/>
      <c r="AJ78" s="293"/>
      <c r="AK78" s="295"/>
      <c r="AL78" s="295"/>
      <c r="AM78" s="295"/>
      <c r="AN78" s="295"/>
      <c r="AO78" s="295"/>
      <c r="AP78" s="295"/>
      <c r="AQ78" s="295"/>
      <c r="AR78" s="295"/>
      <c r="AS78" s="295"/>
      <c r="AT78" s="295"/>
      <c r="AU78" s="293"/>
      <c r="AV78" s="311"/>
      <c r="AW78" s="296"/>
      <c r="AX78" s="296"/>
      <c r="AY78" s="296"/>
      <c r="AZ78" s="296"/>
      <c r="BA78" s="296"/>
      <c r="BB78" s="296"/>
      <c r="BC78" s="296"/>
      <c r="BD78" s="293">
        <f t="shared" ref="BD78:BD108" si="26">SUM(AV78:BC78)</f>
        <v>0</v>
      </c>
      <c r="BE78" s="221"/>
      <c r="BF78" s="294"/>
      <c r="BG78" s="294"/>
      <c r="BH78" s="294"/>
      <c r="BI78" s="293">
        <f t="shared" si="16"/>
        <v>0</v>
      </c>
      <c r="BJ78" s="300"/>
      <c r="BK78" s="301">
        <f t="shared" ref="BK78:BK109" si="27">H78+M78+AE78+AJ78+AU78+BD78+BI78</f>
        <v>0</v>
      </c>
      <c r="BL78" s="312">
        <f t="shared" ref="BL78:BL109" si="28">IF(E78-BK78&lt;0, BK78-E78, )</f>
        <v>0</v>
      </c>
      <c r="BM78" s="313">
        <f t="shared" ref="BM78:BM109" si="29">IF(E78-BK78&lt;0, ,E78-BK78)</f>
        <v>0</v>
      </c>
      <c r="BN78" s="314"/>
      <c r="BP78" s="305"/>
      <c r="BQ78" s="305"/>
      <c r="BR78" s="305"/>
      <c r="BS78" s="305"/>
      <c r="BT78" s="305"/>
      <c r="BU78" s="305"/>
      <c r="BV78" s="305"/>
      <c r="BW78" s="300">
        <f t="shared" si="11"/>
        <v>0</v>
      </c>
      <c r="BX78" s="300"/>
      <c r="BY78" s="305"/>
      <c r="BZ78" s="305"/>
      <c r="CA78" s="305"/>
      <c r="CB78" s="305"/>
      <c r="CC78" s="305"/>
      <c r="CD78" s="305"/>
      <c r="CE78" s="305"/>
      <c r="CF78" s="300">
        <f t="shared" si="12"/>
        <v>0</v>
      </c>
      <c r="CG78" s="300"/>
      <c r="CH78" s="305"/>
      <c r="CI78" s="305"/>
      <c r="CJ78" s="305"/>
      <c r="CK78" s="305"/>
      <c r="CL78" s="305"/>
      <c r="CM78" s="305"/>
      <c r="CN78" s="305"/>
      <c r="CO78" s="300">
        <f t="shared" si="13"/>
        <v>0</v>
      </c>
      <c r="CQ78" s="307">
        <f t="shared" ref="CQ78:CQ109" si="30">+H78-(BP78+BY78+CH78)</f>
        <v>0</v>
      </c>
      <c r="CR78" s="307">
        <f t="shared" ref="CR78:CR109" si="31">+M78-(BQ78+BZ78+CI78)</f>
        <v>0</v>
      </c>
      <c r="CS78" s="307">
        <f t="shared" ref="CS78:CS109" si="32">+AE78-(BR78+CA78+CJ78)</f>
        <v>0</v>
      </c>
      <c r="CT78" s="307">
        <f t="shared" ref="CT78:CT109" si="33">+AJ78-(BS78+CB78+CK78)</f>
        <v>0</v>
      </c>
      <c r="CU78" s="307">
        <f t="shared" ref="CU78:CU109" si="34">+AU78-(BT78+CC78+CL78)</f>
        <v>0</v>
      </c>
      <c r="CV78" s="307">
        <f t="shared" si="9"/>
        <v>0</v>
      </c>
      <c r="CW78" s="307">
        <f t="shared" si="10"/>
        <v>0</v>
      </c>
      <c r="CX78" s="307">
        <f t="shared" si="14"/>
        <v>0</v>
      </c>
      <c r="CY78" s="307">
        <f t="shared" si="15"/>
        <v>0</v>
      </c>
    </row>
    <row r="79" spans="1:103" s="230" customFormat="1" ht="21" customHeight="1">
      <c r="A79" s="448">
        <v>5111180</v>
      </c>
      <c r="B79" s="309" t="s">
        <v>373</v>
      </c>
      <c r="C79" s="287" t="s">
        <v>585</v>
      </c>
      <c r="D79" s="288">
        <v>5.0510000000000002</v>
      </c>
      <c r="E79" s="290"/>
      <c r="F79" s="310"/>
      <c r="G79" s="311"/>
      <c r="H79" s="293"/>
      <c r="I79" s="221"/>
      <c r="J79" s="294"/>
      <c r="K79" s="294"/>
      <c r="L79" s="295"/>
      <c r="M79" s="293"/>
      <c r="N79" s="310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  <c r="AC79" s="294"/>
      <c r="AD79" s="294"/>
      <c r="AE79" s="293"/>
      <c r="AF79" s="221"/>
      <c r="AG79" s="294"/>
      <c r="AH79" s="294"/>
      <c r="AI79" s="295"/>
      <c r="AJ79" s="293"/>
      <c r="AK79" s="295"/>
      <c r="AL79" s="295"/>
      <c r="AM79" s="295"/>
      <c r="AN79" s="295"/>
      <c r="AO79" s="295"/>
      <c r="AP79" s="295"/>
      <c r="AQ79" s="295"/>
      <c r="AR79" s="295"/>
      <c r="AS79" s="295"/>
      <c r="AT79" s="295"/>
      <c r="AU79" s="293"/>
      <c r="AV79" s="311"/>
      <c r="AW79" s="296"/>
      <c r="AX79" s="296"/>
      <c r="AY79" s="296"/>
      <c r="AZ79" s="296"/>
      <c r="BA79" s="296"/>
      <c r="BB79" s="296"/>
      <c r="BC79" s="296"/>
      <c r="BD79" s="293">
        <f t="shared" si="26"/>
        <v>0</v>
      </c>
      <c r="BE79" s="221"/>
      <c r="BF79" s="294"/>
      <c r="BG79" s="294"/>
      <c r="BH79" s="294"/>
      <c r="BI79" s="293">
        <f t="shared" si="16"/>
        <v>0</v>
      </c>
      <c r="BJ79" s="300"/>
      <c r="BK79" s="301">
        <f t="shared" si="27"/>
        <v>0</v>
      </c>
      <c r="BL79" s="312">
        <f t="shared" si="28"/>
        <v>0</v>
      </c>
      <c r="BM79" s="313">
        <f t="shared" si="29"/>
        <v>0</v>
      </c>
      <c r="BN79" s="314"/>
      <c r="BP79" s="305"/>
      <c r="BQ79" s="305"/>
      <c r="BR79" s="305"/>
      <c r="BS79" s="305"/>
      <c r="BT79" s="305"/>
      <c r="BU79" s="305"/>
      <c r="BV79" s="305"/>
      <c r="BW79" s="300">
        <f t="shared" si="11"/>
        <v>0</v>
      </c>
      <c r="BX79" s="300"/>
      <c r="BY79" s="305"/>
      <c r="BZ79" s="305"/>
      <c r="CA79" s="305"/>
      <c r="CB79" s="305"/>
      <c r="CC79" s="305"/>
      <c r="CD79" s="305"/>
      <c r="CE79" s="305"/>
      <c r="CF79" s="300">
        <f t="shared" si="12"/>
        <v>0</v>
      </c>
      <c r="CG79" s="300"/>
      <c r="CH79" s="305"/>
      <c r="CI79" s="305"/>
      <c r="CJ79" s="305"/>
      <c r="CK79" s="305"/>
      <c r="CL79" s="305"/>
      <c r="CM79" s="305"/>
      <c r="CN79" s="305"/>
      <c r="CO79" s="300">
        <f t="shared" si="13"/>
        <v>0</v>
      </c>
      <c r="CQ79" s="307">
        <f t="shared" si="30"/>
        <v>0</v>
      </c>
      <c r="CR79" s="307">
        <f t="shared" si="31"/>
        <v>0</v>
      </c>
      <c r="CS79" s="307">
        <f t="shared" si="32"/>
        <v>0</v>
      </c>
      <c r="CT79" s="307">
        <f t="shared" si="33"/>
        <v>0</v>
      </c>
      <c r="CU79" s="307">
        <f t="shared" si="34"/>
        <v>0</v>
      </c>
      <c r="CV79" s="307">
        <f t="shared" si="9"/>
        <v>0</v>
      </c>
      <c r="CW79" s="307">
        <f t="shared" si="10"/>
        <v>0</v>
      </c>
      <c r="CX79" s="307">
        <f t="shared" si="14"/>
        <v>0</v>
      </c>
      <c r="CY79" s="307">
        <f t="shared" si="15"/>
        <v>0</v>
      </c>
    </row>
    <row r="80" spans="1:103" s="230" customFormat="1" ht="21" customHeight="1">
      <c r="A80" s="448">
        <v>1035712</v>
      </c>
      <c r="B80" s="309" t="s">
        <v>373</v>
      </c>
      <c r="C80" s="287" t="s">
        <v>586</v>
      </c>
      <c r="D80" s="288">
        <v>0.92700000000000005</v>
      </c>
      <c r="E80" s="290"/>
      <c r="F80" s="310"/>
      <c r="G80" s="311"/>
      <c r="H80" s="293"/>
      <c r="I80" s="221"/>
      <c r="J80" s="294"/>
      <c r="K80" s="294"/>
      <c r="L80" s="295"/>
      <c r="M80" s="293"/>
      <c r="N80" s="310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  <c r="AC80" s="294"/>
      <c r="AD80" s="294"/>
      <c r="AE80" s="293"/>
      <c r="AF80" s="221"/>
      <c r="AG80" s="294"/>
      <c r="AH80" s="294"/>
      <c r="AI80" s="295"/>
      <c r="AJ80" s="293"/>
      <c r="AK80" s="295"/>
      <c r="AL80" s="295"/>
      <c r="AM80" s="295"/>
      <c r="AN80" s="295"/>
      <c r="AO80" s="295"/>
      <c r="AP80" s="295"/>
      <c r="AQ80" s="295"/>
      <c r="AR80" s="295"/>
      <c r="AS80" s="295"/>
      <c r="AT80" s="295"/>
      <c r="AU80" s="293"/>
      <c r="AV80" s="311"/>
      <c r="AW80" s="296"/>
      <c r="AX80" s="296"/>
      <c r="AY80" s="296"/>
      <c r="AZ80" s="296"/>
      <c r="BA80" s="296"/>
      <c r="BB80" s="296"/>
      <c r="BC80" s="296"/>
      <c r="BD80" s="293">
        <f t="shared" si="26"/>
        <v>0</v>
      </c>
      <c r="BE80" s="221"/>
      <c r="BF80" s="294"/>
      <c r="BG80" s="294"/>
      <c r="BH80" s="294"/>
      <c r="BI80" s="293">
        <f t="shared" si="16"/>
        <v>0</v>
      </c>
      <c r="BJ80" s="300"/>
      <c r="BK80" s="301">
        <f t="shared" si="27"/>
        <v>0</v>
      </c>
      <c r="BL80" s="312">
        <f t="shared" si="28"/>
        <v>0</v>
      </c>
      <c r="BM80" s="313">
        <f t="shared" si="29"/>
        <v>0</v>
      </c>
      <c r="BN80" s="314"/>
      <c r="BP80" s="305"/>
      <c r="BQ80" s="305"/>
      <c r="BR80" s="305"/>
      <c r="BS80" s="305"/>
      <c r="BT80" s="305"/>
      <c r="BU80" s="305"/>
      <c r="BV80" s="305"/>
      <c r="BW80" s="300">
        <f t="shared" si="11"/>
        <v>0</v>
      </c>
      <c r="BX80" s="300"/>
      <c r="BY80" s="305"/>
      <c r="BZ80" s="305"/>
      <c r="CA80" s="305"/>
      <c r="CB80" s="305"/>
      <c r="CC80" s="305"/>
      <c r="CD80" s="305"/>
      <c r="CE80" s="305"/>
      <c r="CF80" s="300">
        <f t="shared" si="12"/>
        <v>0</v>
      </c>
      <c r="CG80" s="300"/>
      <c r="CH80" s="305"/>
      <c r="CI80" s="305"/>
      <c r="CJ80" s="305"/>
      <c r="CK80" s="305"/>
      <c r="CL80" s="305"/>
      <c r="CM80" s="305"/>
      <c r="CN80" s="305"/>
      <c r="CO80" s="300">
        <f t="shared" si="13"/>
        <v>0</v>
      </c>
      <c r="CQ80" s="307">
        <f t="shared" si="30"/>
        <v>0</v>
      </c>
      <c r="CR80" s="307">
        <f t="shared" si="31"/>
        <v>0</v>
      </c>
      <c r="CS80" s="307">
        <f t="shared" si="32"/>
        <v>0</v>
      </c>
      <c r="CT80" s="307">
        <f t="shared" si="33"/>
        <v>0</v>
      </c>
      <c r="CU80" s="307">
        <f t="shared" si="34"/>
        <v>0</v>
      </c>
      <c r="CV80" s="307">
        <f t="shared" ref="CV80:CV142" si="35">+BD80-(BU80+CD80+CM80)</f>
        <v>0</v>
      </c>
      <c r="CW80" s="307">
        <f t="shared" ref="CW80:CW142" si="36">+BI80-(BV80+CE80+CN80)</f>
        <v>0</v>
      </c>
      <c r="CX80" s="307">
        <f t="shared" si="14"/>
        <v>0</v>
      </c>
      <c r="CY80" s="307">
        <f t="shared" si="15"/>
        <v>0</v>
      </c>
    </row>
    <row r="81" spans="1:103" s="230" customFormat="1" ht="21" customHeight="1">
      <c r="A81" s="448">
        <v>5111188</v>
      </c>
      <c r="B81" s="309" t="s">
        <v>373</v>
      </c>
      <c r="C81" s="287" t="s">
        <v>587</v>
      </c>
      <c r="D81" s="288">
        <v>27.253</v>
      </c>
      <c r="E81" s="290"/>
      <c r="F81" s="310"/>
      <c r="G81" s="311"/>
      <c r="H81" s="293"/>
      <c r="I81" s="221"/>
      <c r="J81" s="294"/>
      <c r="K81" s="294"/>
      <c r="L81" s="295"/>
      <c r="M81" s="293"/>
      <c r="N81" s="310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  <c r="AD81" s="294"/>
      <c r="AE81" s="293"/>
      <c r="AF81" s="221"/>
      <c r="AG81" s="294"/>
      <c r="AH81" s="294"/>
      <c r="AI81" s="295"/>
      <c r="AJ81" s="293"/>
      <c r="AK81" s="295"/>
      <c r="AL81" s="295"/>
      <c r="AM81" s="295"/>
      <c r="AN81" s="295"/>
      <c r="AO81" s="295"/>
      <c r="AP81" s="295"/>
      <c r="AQ81" s="295"/>
      <c r="AR81" s="295"/>
      <c r="AS81" s="295"/>
      <c r="AT81" s="295"/>
      <c r="AU81" s="293"/>
      <c r="AV81" s="311"/>
      <c r="AW81" s="296"/>
      <c r="AX81" s="296"/>
      <c r="AY81" s="296"/>
      <c r="AZ81" s="296"/>
      <c r="BA81" s="296"/>
      <c r="BB81" s="296"/>
      <c r="BC81" s="296"/>
      <c r="BD81" s="293">
        <f t="shared" si="26"/>
        <v>0</v>
      </c>
      <c r="BE81" s="221"/>
      <c r="BF81" s="294"/>
      <c r="BG81" s="294"/>
      <c r="BH81" s="294"/>
      <c r="BI81" s="293">
        <f t="shared" si="16"/>
        <v>0</v>
      </c>
      <c r="BJ81" s="300"/>
      <c r="BK81" s="301">
        <f t="shared" si="27"/>
        <v>0</v>
      </c>
      <c r="BL81" s="312">
        <f t="shared" si="28"/>
        <v>0</v>
      </c>
      <c r="BM81" s="313">
        <f t="shared" si="29"/>
        <v>0</v>
      </c>
      <c r="BN81" s="314"/>
      <c r="BP81" s="305"/>
      <c r="BQ81" s="305"/>
      <c r="BR81" s="305"/>
      <c r="BS81" s="305"/>
      <c r="BT81" s="305"/>
      <c r="BU81" s="305"/>
      <c r="BV81" s="305"/>
      <c r="BW81" s="300">
        <f t="shared" ref="BW81:BW143" si="37">SUM(BP81:BV81)</f>
        <v>0</v>
      </c>
      <c r="BX81" s="300"/>
      <c r="BY81" s="305"/>
      <c r="BZ81" s="305"/>
      <c r="CA81" s="305"/>
      <c r="CB81" s="305"/>
      <c r="CC81" s="305"/>
      <c r="CD81" s="305"/>
      <c r="CE81" s="305"/>
      <c r="CF81" s="300">
        <f t="shared" ref="CF81:CF143" si="38">SUM(BY81:CE81)</f>
        <v>0</v>
      </c>
      <c r="CG81" s="300"/>
      <c r="CH81" s="305"/>
      <c r="CI81" s="305"/>
      <c r="CJ81" s="305"/>
      <c r="CK81" s="305"/>
      <c r="CL81" s="305"/>
      <c r="CM81" s="305"/>
      <c r="CN81" s="305"/>
      <c r="CO81" s="300">
        <f t="shared" ref="CO81:CO143" si="39">SUM(CH81:CN81)</f>
        <v>0</v>
      </c>
      <c r="CQ81" s="307">
        <f t="shared" si="30"/>
        <v>0</v>
      </c>
      <c r="CR81" s="307">
        <f t="shared" si="31"/>
        <v>0</v>
      </c>
      <c r="CS81" s="307">
        <f t="shared" si="32"/>
        <v>0</v>
      </c>
      <c r="CT81" s="307">
        <f t="shared" si="33"/>
        <v>0</v>
      </c>
      <c r="CU81" s="307">
        <f t="shared" si="34"/>
        <v>0</v>
      </c>
      <c r="CV81" s="307">
        <f t="shared" si="35"/>
        <v>0</v>
      </c>
      <c r="CW81" s="307">
        <f t="shared" si="36"/>
        <v>0</v>
      </c>
      <c r="CX81" s="307">
        <f t="shared" ref="CX81:CX143" si="40">BW81+CF81+CO81</f>
        <v>0</v>
      </c>
      <c r="CY81" s="307">
        <f t="shared" ref="CY81:CY143" si="41">SUM(CQ81:CW81)</f>
        <v>0</v>
      </c>
    </row>
    <row r="82" spans="1:103" s="230" customFormat="1" ht="21" customHeight="1">
      <c r="A82" s="448">
        <v>5111587</v>
      </c>
      <c r="B82" s="309" t="s">
        <v>373</v>
      </c>
      <c r="C82" s="287" t="s">
        <v>588</v>
      </c>
      <c r="D82" s="288">
        <v>29.114999999999998</v>
      </c>
      <c r="E82" s="290"/>
      <c r="F82" s="310"/>
      <c r="G82" s="311"/>
      <c r="H82" s="293"/>
      <c r="I82" s="221"/>
      <c r="J82" s="294"/>
      <c r="K82" s="294"/>
      <c r="L82" s="295"/>
      <c r="M82" s="293"/>
      <c r="N82" s="310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  <c r="AC82" s="294"/>
      <c r="AD82" s="294"/>
      <c r="AE82" s="293"/>
      <c r="AF82" s="221"/>
      <c r="AG82" s="294"/>
      <c r="AH82" s="294"/>
      <c r="AI82" s="295"/>
      <c r="AJ82" s="293"/>
      <c r="AK82" s="295"/>
      <c r="AL82" s="295"/>
      <c r="AM82" s="295"/>
      <c r="AN82" s="295"/>
      <c r="AO82" s="295"/>
      <c r="AP82" s="295"/>
      <c r="AQ82" s="295"/>
      <c r="AR82" s="295"/>
      <c r="AS82" s="295"/>
      <c r="AT82" s="295"/>
      <c r="AU82" s="293"/>
      <c r="AV82" s="311"/>
      <c r="AW82" s="296"/>
      <c r="AX82" s="296"/>
      <c r="AY82" s="296"/>
      <c r="AZ82" s="296"/>
      <c r="BA82" s="296"/>
      <c r="BB82" s="296"/>
      <c r="BC82" s="296"/>
      <c r="BD82" s="293">
        <f t="shared" si="26"/>
        <v>0</v>
      </c>
      <c r="BE82" s="221"/>
      <c r="BF82" s="294"/>
      <c r="BG82" s="294"/>
      <c r="BH82" s="294"/>
      <c r="BI82" s="293">
        <f t="shared" ref="BI82:BI170" si="42">SUM(BE82:BH82)</f>
        <v>0</v>
      </c>
      <c r="BJ82" s="300"/>
      <c r="BK82" s="301">
        <f t="shared" si="27"/>
        <v>0</v>
      </c>
      <c r="BL82" s="312">
        <f t="shared" si="28"/>
        <v>0</v>
      </c>
      <c r="BM82" s="313">
        <f t="shared" si="29"/>
        <v>0</v>
      </c>
      <c r="BN82" s="314"/>
      <c r="BP82" s="305"/>
      <c r="BQ82" s="305"/>
      <c r="BR82" s="305"/>
      <c r="BS82" s="305"/>
      <c r="BT82" s="305"/>
      <c r="BU82" s="305"/>
      <c r="BV82" s="305"/>
      <c r="BW82" s="300">
        <f t="shared" si="37"/>
        <v>0</v>
      </c>
      <c r="BX82" s="300"/>
      <c r="BY82" s="305"/>
      <c r="BZ82" s="305"/>
      <c r="CA82" s="305"/>
      <c r="CB82" s="305"/>
      <c r="CC82" s="305"/>
      <c r="CD82" s="305"/>
      <c r="CE82" s="305"/>
      <c r="CF82" s="300">
        <f t="shared" si="38"/>
        <v>0</v>
      </c>
      <c r="CG82" s="300"/>
      <c r="CH82" s="305"/>
      <c r="CI82" s="305"/>
      <c r="CJ82" s="305"/>
      <c r="CK82" s="305"/>
      <c r="CL82" s="305"/>
      <c r="CM82" s="305"/>
      <c r="CN82" s="305"/>
      <c r="CO82" s="300">
        <f t="shared" si="39"/>
        <v>0</v>
      </c>
      <c r="CQ82" s="307">
        <f t="shared" si="30"/>
        <v>0</v>
      </c>
      <c r="CR82" s="307">
        <f t="shared" si="31"/>
        <v>0</v>
      </c>
      <c r="CS82" s="307">
        <f t="shared" si="32"/>
        <v>0</v>
      </c>
      <c r="CT82" s="307">
        <f t="shared" si="33"/>
        <v>0</v>
      </c>
      <c r="CU82" s="307">
        <f t="shared" si="34"/>
        <v>0</v>
      </c>
      <c r="CV82" s="307">
        <f t="shared" si="35"/>
        <v>0</v>
      </c>
      <c r="CW82" s="307">
        <f t="shared" si="36"/>
        <v>0</v>
      </c>
      <c r="CX82" s="307">
        <f t="shared" si="40"/>
        <v>0</v>
      </c>
      <c r="CY82" s="307">
        <f t="shared" si="41"/>
        <v>0</v>
      </c>
    </row>
    <row r="83" spans="1:103" s="230" customFormat="1" ht="21" customHeight="1">
      <c r="A83" s="448">
        <v>5484222</v>
      </c>
      <c r="B83" s="309" t="s">
        <v>373</v>
      </c>
      <c r="C83" s="287" t="s">
        <v>589</v>
      </c>
      <c r="D83" s="288">
        <v>6.2169999999999996</v>
      </c>
      <c r="E83" s="290"/>
      <c r="F83" s="310"/>
      <c r="G83" s="311"/>
      <c r="H83" s="293"/>
      <c r="I83" s="221"/>
      <c r="J83" s="294"/>
      <c r="K83" s="294"/>
      <c r="L83" s="295"/>
      <c r="M83" s="293"/>
      <c r="N83" s="310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  <c r="AC83" s="294"/>
      <c r="AD83" s="294"/>
      <c r="AE83" s="293"/>
      <c r="AF83" s="221"/>
      <c r="AG83" s="294"/>
      <c r="AH83" s="294"/>
      <c r="AI83" s="295"/>
      <c r="AJ83" s="293"/>
      <c r="AK83" s="295"/>
      <c r="AL83" s="295"/>
      <c r="AM83" s="295"/>
      <c r="AN83" s="295"/>
      <c r="AO83" s="295"/>
      <c r="AP83" s="295"/>
      <c r="AQ83" s="295"/>
      <c r="AR83" s="295"/>
      <c r="AS83" s="295"/>
      <c r="AT83" s="295"/>
      <c r="AU83" s="293"/>
      <c r="AV83" s="311"/>
      <c r="AW83" s="296"/>
      <c r="AX83" s="296"/>
      <c r="AY83" s="296"/>
      <c r="AZ83" s="296"/>
      <c r="BA83" s="296"/>
      <c r="BB83" s="296"/>
      <c r="BC83" s="296"/>
      <c r="BD83" s="293">
        <f t="shared" si="26"/>
        <v>0</v>
      </c>
      <c r="BE83" s="221"/>
      <c r="BF83" s="294"/>
      <c r="BG83" s="294"/>
      <c r="BH83" s="294"/>
      <c r="BI83" s="293">
        <f t="shared" si="42"/>
        <v>0</v>
      </c>
      <c r="BJ83" s="300"/>
      <c r="BK83" s="301">
        <f t="shared" si="27"/>
        <v>0</v>
      </c>
      <c r="BL83" s="312">
        <f t="shared" si="28"/>
        <v>0</v>
      </c>
      <c r="BM83" s="313">
        <f t="shared" si="29"/>
        <v>0</v>
      </c>
      <c r="BN83" s="314"/>
      <c r="BP83" s="305"/>
      <c r="BQ83" s="305"/>
      <c r="BR83" s="305"/>
      <c r="BS83" s="305"/>
      <c r="BT83" s="305"/>
      <c r="BU83" s="305"/>
      <c r="BV83" s="305"/>
      <c r="BW83" s="300">
        <f t="shared" si="37"/>
        <v>0</v>
      </c>
      <c r="BX83" s="300"/>
      <c r="BY83" s="305"/>
      <c r="BZ83" s="305"/>
      <c r="CA83" s="305"/>
      <c r="CB83" s="305"/>
      <c r="CC83" s="305"/>
      <c r="CD83" s="305"/>
      <c r="CE83" s="305"/>
      <c r="CF83" s="300">
        <f t="shared" si="38"/>
        <v>0</v>
      </c>
      <c r="CG83" s="300"/>
      <c r="CH83" s="305"/>
      <c r="CI83" s="305"/>
      <c r="CJ83" s="305"/>
      <c r="CK83" s="305"/>
      <c r="CL83" s="305"/>
      <c r="CM83" s="305"/>
      <c r="CN83" s="305"/>
      <c r="CO83" s="300">
        <f t="shared" si="39"/>
        <v>0</v>
      </c>
      <c r="CQ83" s="307">
        <f t="shared" si="30"/>
        <v>0</v>
      </c>
      <c r="CR83" s="307">
        <f t="shared" si="31"/>
        <v>0</v>
      </c>
      <c r="CS83" s="307">
        <f t="shared" si="32"/>
        <v>0</v>
      </c>
      <c r="CT83" s="307">
        <f t="shared" si="33"/>
        <v>0</v>
      </c>
      <c r="CU83" s="307">
        <f t="shared" si="34"/>
        <v>0</v>
      </c>
      <c r="CV83" s="307">
        <f t="shared" si="35"/>
        <v>0</v>
      </c>
      <c r="CW83" s="307">
        <f t="shared" si="36"/>
        <v>0</v>
      </c>
      <c r="CX83" s="307">
        <f t="shared" si="40"/>
        <v>0</v>
      </c>
      <c r="CY83" s="307">
        <f t="shared" si="41"/>
        <v>0</v>
      </c>
    </row>
    <row r="84" spans="1:103" s="230" customFormat="1" ht="21" customHeight="1">
      <c r="A84" s="448">
        <v>5023744</v>
      </c>
      <c r="B84" s="309" t="s">
        <v>373</v>
      </c>
      <c r="C84" s="287" t="s">
        <v>590</v>
      </c>
      <c r="D84" s="288">
        <v>5.8129999999999997</v>
      </c>
      <c r="E84" s="290"/>
      <c r="F84" s="310"/>
      <c r="G84" s="311"/>
      <c r="H84" s="293"/>
      <c r="I84" s="221"/>
      <c r="J84" s="294"/>
      <c r="K84" s="294"/>
      <c r="L84" s="295"/>
      <c r="M84" s="293"/>
      <c r="N84" s="310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  <c r="AC84" s="294"/>
      <c r="AD84" s="294"/>
      <c r="AE84" s="293"/>
      <c r="AF84" s="221"/>
      <c r="AG84" s="294"/>
      <c r="AH84" s="294"/>
      <c r="AI84" s="295"/>
      <c r="AJ84" s="293"/>
      <c r="AK84" s="295"/>
      <c r="AL84" s="295"/>
      <c r="AM84" s="295"/>
      <c r="AN84" s="295"/>
      <c r="AO84" s="295"/>
      <c r="AP84" s="295"/>
      <c r="AQ84" s="295"/>
      <c r="AR84" s="295"/>
      <c r="AS84" s="295"/>
      <c r="AT84" s="295"/>
      <c r="AU84" s="293"/>
      <c r="AV84" s="311"/>
      <c r="AW84" s="296"/>
      <c r="AX84" s="296"/>
      <c r="AY84" s="296"/>
      <c r="AZ84" s="296"/>
      <c r="BA84" s="296"/>
      <c r="BB84" s="296"/>
      <c r="BC84" s="296"/>
      <c r="BD84" s="293">
        <f t="shared" si="26"/>
        <v>0</v>
      </c>
      <c r="BE84" s="221"/>
      <c r="BF84" s="294"/>
      <c r="BG84" s="294"/>
      <c r="BH84" s="294"/>
      <c r="BI84" s="293">
        <f t="shared" si="42"/>
        <v>0</v>
      </c>
      <c r="BJ84" s="300"/>
      <c r="BK84" s="301">
        <f t="shared" si="27"/>
        <v>0</v>
      </c>
      <c r="BL84" s="312">
        <f t="shared" si="28"/>
        <v>0</v>
      </c>
      <c r="BM84" s="313">
        <f t="shared" si="29"/>
        <v>0</v>
      </c>
      <c r="BN84" s="314"/>
      <c r="BP84" s="305"/>
      <c r="BQ84" s="305"/>
      <c r="BR84" s="305"/>
      <c r="BS84" s="305"/>
      <c r="BT84" s="305"/>
      <c r="BU84" s="305"/>
      <c r="BV84" s="305"/>
      <c r="BW84" s="300">
        <f t="shared" si="37"/>
        <v>0</v>
      </c>
      <c r="BX84" s="300"/>
      <c r="BY84" s="305"/>
      <c r="BZ84" s="305"/>
      <c r="CA84" s="305"/>
      <c r="CB84" s="305"/>
      <c r="CC84" s="305"/>
      <c r="CD84" s="305"/>
      <c r="CE84" s="305"/>
      <c r="CF84" s="300">
        <f t="shared" si="38"/>
        <v>0</v>
      </c>
      <c r="CG84" s="300"/>
      <c r="CH84" s="305"/>
      <c r="CI84" s="305"/>
      <c r="CJ84" s="305"/>
      <c r="CK84" s="305"/>
      <c r="CL84" s="305"/>
      <c r="CM84" s="305"/>
      <c r="CN84" s="305"/>
      <c r="CO84" s="300">
        <f t="shared" si="39"/>
        <v>0</v>
      </c>
      <c r="CQ84" s="307">
        <f t="shared" si="30"/>
        <v>0</v>
      </c>
      <c r="CR84" s="307">
        <f t="shared" si="31"/>
        <v>0</v>
      </c>
      <c r="CS84" s="307">
        <f t="shared" si="32"/>
        <v>0</v>
      </c>
      <c r="CT84" s="307">
        <f t="shared" si="33"/>
        <v>0</v>
      </c>
      <c r="CU84" s="307">
        <f t="shared" si="34"/>
        <v>0</v>
      </c>
      <c r="CV84" s="307">
        <f t="shared" si="35"/>
        <v>0</v>
      </c>
      <c r="CW84" s="307">
        <f t="shared" si="36"/>
        <v>0</v>
      </c>
      <c r="CX84" s="307">
        <f t="shared" si="40"/>
        <v>0</v>
      </c>
      <c r="CY84" s="307">
        <f t="shared" si="41"/>
        <v>0</v>
      </c>
    </row>
    <row r="85" spans="1:103" s="230" customFormat="1" ht="21" customHeight="1">
      <c r="A85" s="448">
        <v>5022004</v>
      </c>
      <c r="B85" s="309" t="s">
        <v>373</v>
      </c>
      <c r="C85" s="287" t="s">
        <v>591</v>
      </c>
      <c r="D85" s="288">
        <v>2.464</v>
      </c>
      <c r="E85" s="290"/>
      <c r="F85" s="310"/>
      <c r="G85" s="311"/>
      <c r="H85" s="293"/>
      <c r="I85" s="221"/>
      <c r="J85" s="294"/>
      <c r="K85" s="294"/>
      <c r="L85" s="295"/>
      <c r="M85" s="293"/>
      <c r="N85" s="310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  <c r="AD85" s="294"/>
      <c r="AE85" s="293"/>
      <c r="AF85" s="221"/>
      <c r="AG85" s="294"/>
      <c r="AH85" s="294"/>
      <c r="AI85" s="295"/>
      <c r="AJ85" s="293"/>
      <c r="AK85" s="295"/>
      <c r="AL85" s="295"/>
      <c r="AM85" s="295"/>
      <c r="AN85" s="295"/>
      <c r="AO85" s="295"/>
      <c r="AP85" s="295"/>
      <c r="AQ85" s="295"/>
      <c r="AR85" s="295"/>
      <c r="AS85" s="295"/>
      <c r="AT85" s="295"/>
      <c r="AU85" s="293"/>
      <c r="AV85" s="311"/>
      <c r="AW85" s="296"/>
      <c r="AX85" s="296"/>
      <c r="AY85" s="296"/>
      <c r="AZ85" s="296"/>
      <c r="BA85" s="296"/>
      <c r="BB85" s="296"/>
      <c r="BC85" s="296"/>
      <c r="BD85" s="293">
        <f t="shared" si="26"/>
        <v>0</v>
      </c>
      <c r="BE85" s="221"/>
      <c r="BF85" s="294"/>
      <c r="BG85" s="294"/>
      <c r="BH85" s="294"/>
      <c r="BI85" s="293">
        <f t="shared" si="42"/>
        <v>0</v>
      </c>
      <c r="BJ85" s="300"/>
      <c r="BK85" s="301">
        <f t="shared" si="27"/>
        <v>0</v>
      </c>
      <c r="BL85" s="312">
        <f t="shared" si="28"/>
        <v>0</v>
      </c>
      <c r="BM85" s="313">
        <f t="shared" si="29"/>
        <v>0</v>
      </c>
      <c r="BN85" s="314"/>
      <c r="BP85" s="305"/>
      <c r="BQ85" s="305"/>
      <c r="BR85" s="305"/>
      <c r="BS85" s="305"/>
      <c r="BT85" s="305"/>
      <c r="BU85" s="305"/>
      <c r="BV85" s="305"/>
      <c r="BW85" s="300">
        <f t="shared" si="37"/>
        <v>0</v>
      </c>
      <c r="BX85" s="300"/>
      <c r="BY85" s="305"/>
      <c r="BZ85" s="305"/>
      <c r="CA85" s="305"/>
      <c r="CB85" s="305"/>
      <c r="CC85" s="305"/>
      <c r="CD85" s="305"/>
      <c r="CE85" s="305"/>
      <c r="CF85" s="300">
        <f t="shared" si="38"/>
        <v>0</v>
      </c>
      <c r="CG85" s="300"/>
      <c r="CH85" s="305"/>
      <c r="CI85" s="305"/>
      <c r="CJ85" s="305"/>
      <c r="CK85" s="305"/>
      <c r="CL85" s="305"/>
      <c r="CM85" s="305"/>
      <c r="CN85" s="305"/>
      <c r="CO85" s="300">
        <f t="shared" si="39"/>
        <v>0</v>
      </c>
      <c r="CQ85" s="307">
        <f t="shared" si="30"/>
        <v>0</v>
      </c>
      <c r="CR85" s="307">
        <f t="shared" si="31"/>
        <v>0</v>
      </c>
      <c r="CS85" s="307">
        <f t="shared" si="32"/>
        <v>0</v>
      </c>
      <c r="CT85" s="307">
        <f t="shared" si="33"/>
        <v>0</v>
      </c>
      <c r="CU85" s="307">
        <f t="shared" si="34"/>
        <v>0</v>
      </c>
      <c r="CV85" s="307">
        <f t="shared" si="35"/>
        <v>0</v>
      </c>
      <c r="CW85" s="307">
        <f t="shared" si="36"/>
        <v>0</v>
      </c>
      <c r="CX85" s="307">
        <f t="shared" si="40"/>
        <v>0</v>
      </c>
      <c r="CY85" s="307">
        <f t="shared" si="41"/>
        <v>0</v>
      </c>
    </row>
    <row r="86" spans="1:103" s="230" customFormat="1" ht="21" customHeight="1">
      <c r="A86" s="448">
        <v>5567146</v>
      </c>
      <c r="B86" s="309" t="s">
        <v>373</v>
      </c>
      <c r="C86" s="287" t="s">
        <v>527</v>
      </c>
      <c r="D86" s="288" t="e">
        <v>#N/A</v>
      </c>
      <c r="E86" s="290"/>
      <c r="F86" s="310"/>
      <c r="G86" s="311"/>
      <c r="H86" s="293"/>
      <c r="I86" s="221"/>
      <c r="J86" s="294"/>
      <c r="K86" s="294"/>
      <c r="L86" s="295"/>
      <c r="M86" s="293"/>
      <c r="N86" s="310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  <c r="AC86" s="294"/>
      <c r="AD86" s="294"/>
      <c r="AE86" s="293"/>
      <c r="AF86" s="221"/>
      <c r="AG86" s="294"/>
      <c r="AH86" s="294"/>
      <c r="AI86" s="295"/>
      <c r="AJ86" s="293"/>
      <c r="AK86" s="295"/>
      <c r="AL86" s="295"/>
      <c r="AM86" s="295"/>
      <c r="AN86" s="295"/>
      <c r="AO86" s="295"/>
      <c r="AP86" s="295"/>
      <c r="AQ86" s="295"/>
      <c r="AR86" s="295"/>
      <c r="AS86" s="295"/>
      <c r="AT86" s="295"/>
      <c r="AU86" s="293"/>
      <c r="AV86" s="311"/>
      <c r="AW86" s="296"/>
      <c r="AX86" s="296"/>
      <c r="AY86" s="296"/>
      <c r="AZ86" s="296"/>
      <c r="BA86" s="296"/>
      <c r="BB86" s="296"/>
      <c r="BC86" s="296"/>
      <c r="BD86" s="293">
        <f t="shared" si="26"/>
        <v>0</v>
      </c>
      <c r="BE86" s="221"/>
      <c r="BF86" s="294"/>
      <c r="BG86" s="294"/>
      <c r="BH86" s="294"/>
      <c r="BI86" s="293">
        <f t="shared" si="42"/>
        <v>0</v>
      </c>
      <c r="BJ86" s="300"/>
      <c r="BK86" s="301">
        <f t="shared" si="27"/>
        <v>0</v>
      </c>
      <c r="BL86" s="312">
        <f t="shared" si="28"/>
        <v>0</v>
      </c>
      <c r="BM86" s="313">
        <f t="shared" si="29"/>
        <v>0</v>
      </c>
      <c r="BN86" s="314"/>
      <c r="BP86" s="305"/>
      <c r="BQ86" s="305"/>
      <c r="BR86" s="305"/>
      <c r="BS86" s="305"/>
      <c r="BT86" s="305"/>
      <c r="BU86" s="305"/>
      <c r="BV86" s="305"/>
      <c r="BW86" s="300">
        <f t="shared" si="37"/>
        <v>0</v>
      </c>
      <c r="BX86" s="300"/>
      <c r="BY86" s="305"/>
      <c r="BZ86" s="305"/>
      <c r="CA86" s="305"/>
      <c r="CB86" s="305"/>
      <c r="CC86" s="305"/>
      <c r="CD86" s="305"/>
      <c r="CE86" s="305"/>
      <c r="CF86" s="300">
        <f t="shared" si="38"/>
        <v>0</v>
      </c>
      <c r="CG86" s="300"/>
      <c r="CH86" s="305"/>
      <c r="CI86" s="305"/>
      <c r="CJ86" s="305"/>
      <c r="CK86" s="305"/>
      <c r="CL86" s="305"/>
      <c r="CM86" s="305"/>
      <c r="CN86" s="305"/>
      <c r="CO86" s="300">
        <f t="shared" si="39"/>
        <v>0</v>
      </c>
      <c r="CQ86" s="307">
        <f t="shared" si="30"/>
        <v>0</v>
      </c>
      <c r="CR86" s="307">
        <f t="shared" si="31"/>
        <v>0</v>
      </c>
      <c r="CS86" s="307">
        <f t="shared" si="32"/>
        <v>0</v>
      </c>
      <c r="CT86" s="307">
        <f t="shared" si="33"/>
        <v>0</v>
      </c>
      <c r="CU86" s="307">
        <f t="shared" si="34"/>
        <v>0</v>
      </c>
      <c r="CV86" s="307">
        <f t="shared" si="35"/>
        <v>0</v>
      </c>
      <c r="CW86" s="307">
        <f t="shared" si="36"/>
        <v>0</v>
      </c>
      <c r="CX86" s="307">
        <f t="shared" si="40"/>
        <v>0</v>
      </c>
      <c r="CY86" s="307">
        <f t="shared" si="41"/>
        <v>0</v>
      </c>
    </row>
    <row r="87" spans="1:103" s="230" customFormat="1" ht="21" customHeight="1">
      <c r="A87" s="448">
        <v>5567145</v>
      </c>
      <c r="B87" s="309" t="s">
        <v>373</v>
      </c>
      <c r="C87" s="287" t="s">
        <v>528</v>
      </c>
      <c r="D87" s="288" t="e">
        <v>#N/A</v>
      </c>
      <c r="E87" s="290"/>
      <c r="F87" s="310"/>
      <c r="G87" s="311"/>
      <c r="H87" s="293"/>
      <c r="I87" s="221"/>
      <c r="J87" s="294"/>
      <c r="K87" s="294"/>
      <c r="L87" s="295"/>
      <c r="M87" s="293"/>
      <c r="N87" s="310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  <c r="AC87" s="294"/>
      <c r="AD87" s="294"/>
      <c r="AE87" s="293"/>
      <c r="AF87" s="221"/>
      <c r="AG87" s="294"/>
      <c r="AH87" s="294"/>
      <c r="AI87" s="295"/>
      <c r="AJ87" s="293"/>
      <c r="AK87" s="295"/>
      <c r="AL87" s="295"/>
      <c r="AM87" s="295"/>
      <c r="AN87" s="295"/>
      <c r="AO87" s="295"/>
      <c r="AP87" s="295"/>
      <c r="AQ87" s="295"/>
      <c r="AR87" s="295"/>
      <c r="AS87" s="295"/>
      <c r="AT87" s="295"/>
      <c r="AU87" s="293"/>
      <c r="AV87" s="311"/>
      <c r="AW87" s="296"/>
      <c r="AX87" s="296"/>
      <c r="AY87" s="296"/>
      <c r="AZ87" s="296"/>
      <c r="BA87" s="296"/>
      <c r="BB87" s="296"/>
      <c r="BC87" s="296"/>
      <c r="BD87" s="293">
        <f t="shared" si="26"/>
        <v>0</v>
      </c>
      <c r="BE87" s="221"/>
      <c r="BF87" s="294"/>
      <c r="BG87" s="294"/>
      <c r="BH87" s="294"/>
      <c r="BI87" s="293">
        <f t="shared" si="42"/>
        <v>0</v>
      </c>
      <c r="BJ87" s="300"/>
      <c r="BK87" s="301">
        <f t="shared" si="27"/>
        <v>0</v>
      </c>
      <c r="BL87" s="312">
        <f t="shared" si="28"/>
        <v>0</v>
      </c>
      <c r="BM87" s="313">
        <f t="shared" si="29"/>
        <v>0</v>
      </c>
      <c r="BN87" s="314"/>
      <c r="BP87" s="305"/>
      <c r="BQ87" s="305"/>
      <c r="BR87" s="305"/>
      <c r="BS87" s="305"/>
      <c r="BT87" s="305"/>
      <c r="BU87" s="305"/>
      <c r="BV87" s="305"/>
      <c r="BW87" s="300">
        <f t="shared" si="37"/>
        <v>0</v>
      </c>
      <c r="BX87" s="300"/>
      <c r="BY87" s="305"/>
      <c r="BZ87" s="305"/>
      <c r="CA87" s="305"/>
      <c r="CB87" s="305"/>
      <c r="CC87" s="305"/>
      <c r="CD87" s="305"/>
      <c r="CE87" s="305"/>
      <c r="CF87" s="300">
        <f t="shared" si="38"/>
        <v>0</v>
      </c>
      <c r="CG87" s="300"/>
      <c r="CH87" s="305"/>
      <c r="CI87" s="305"/>
      <c r="CJ87" s="305"/>
      <c r="CK87" s="305"/>
      <c r="CL87" s="305"/>
      <c r="CM87" s="305"/>
      <c r="CN87" s="305"/>
      <c r="CO87" s="300">
        <f t="shared" si="39"/>
        <v>0</v>
      </c>
      <c r="CQ87" s="307">
        <f t="shared" si="30"/>
        <v>0</v>
      </c>
      <c r="CR87" s="307">
        <f t="shared" si="31"/>
        <v>0</v>
      </c>
      <c r="CS87" s="307">
        <f t="shared" si="32"/>
        <v>0</v>
      </c>
      <c r="CT87" s="307">
        <f t="shared" si="33"/>
        <v>0</v>
      </c>
      <c r="CU87" s="307">
        <f t="shared" si="34"/>
        <v>0</v>
      </c>
      <c r="CV87" s="307">
        <f t="shared" si="35"/>
        <v>0</v>
      </c>
      <c r="CW87" s="307">
        <f t="shared" si="36"/>
        <v>0</v>
      </c>
      <c r="CX87" s="307">
        <f t="shared" si="40"/>
        <v>0</v>
      </c>
      <c r="CY87" s="307">
        <f t="shared" si="41"/>
        <v>0</v>
      </c>
    </row>
    <row r="88" spans="1:103" s="230" customFormat="1" ht="21" customHeight="1">
      <c r="A88" s="448">
        <v>5329301</v>
      </c>
      <c r="B88" s="309" t="s">
        <v>373</v>
      </c>
      <c r="C88" s="287" t="s">
        <v>592</v>
      </c>
      <c r="D88" s="288">
        <v>11.680999999999999</v>
      </c>
      <c r="E88" s="290"/>
      <c r="F88" s="310"/>
      <c r="G88" s="311"/>
      <c r="H88" s="293"/>
      <c r="I88" s="221"/>
      <c r="J88" s="294"/>
      <c r="K88" s="294"/>
      <c r="L88" s="295"/>
      <c r="M88" s="293"/>
      <c r="N88" s="310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  <c r="AC88" s="294"/>
      <c r="AD88" s="294"/>
      <c r="AE88" s="293"/>
      <c r="AF88" s="221"/>
      <c r="AG88" s="294"/>
      <c r="AH88" s="294"/>
      <c r="AI88" s="295"/>
      <c r="AJ88" s="293"/>
      <c r="AK88" s="295"/>
      <c r="AL88" s="295"/>
      <c r="AM88" s="295"/>
      <c r="AN88" s="295"/>
      <c r="AO88" s="295"/>
      <c r="AP88" s="295"/>
      <c r="AQ88" s="295"/>
      <c r="AR88" s="295"/>
      <c r="AS88" s="295"/>
      <c r="AT88" s="295"/>
      <c r="AU88" s="293"/>
      <c r="AV88" s="311"/>
      <c r="AW88" s="296"/>
      <c r="AX88" s="296"/>
      <c r="AY88" s="296"/>
      <c r="AZ88" s="296"/>
      <c r="BA88" s="296"/>
      <c r="BB88" s="296">
        <f>+ROUNDUP(AV88*0.03,0)</f>
        <v>0</v>
      </c>
      <c r="BC88" s="296"/>
      <c r="BD88" s="293">
        <f t="shared" si="26"/>
        <v>0</v>
      </c>
      <c r="BE88" s="221"/>
      <c r="BF88" s="294"/>
      <c r="BG88" s="294"/>
      <c r="BH88" s="294"/>
      <c r="BI88" s="293">
        <f t="shared" si="42"/>
        <v>0</v>
      </c>
      <c r="BJ88" s="300"/>
      <c r="BK88" s="301">
        <f t="shared" si="27"/>
        <v>0</v>
      </c>
      <c r="BL88" s="312">
        <f t="shared" si="28"/>
        <v>0</v>
      </c>
      <c r="BM88" s="313">
        <f t="shared" si="29"/>
        <v>0</v>
      </c>
      <c r="BN88" s="314"/>
      <c r="BP88" s="305"/>
      <c r="BQ88" s="305"/>
      <c r="BR88" s="305"/>
      <c r="BS88" s="305"/>
      <c r="BT88" s="305"/>
      <c r="BU88" s="305"/>
      <c r="BV88" s="305"/>
      <c r="BW88" s="300">
        <f t="shared" si="37"/>
        <v>0</v>
      </c>
      <c r="BX88" s="300"/>
      <c r="BY88" s="305"/>
      <c r="BZ88" s="305"/>
      <c r="CA88" s="305"/>
      <c r="CB88" s="305"/>
      <c r="CC88" s="305"/>
      <c r="CD88" s="305"/>
      <c r="CE88" s="305"/>
      <c r="CF88" s="300">
        <f t="shared" si="38"/>
        <v>0</v>
      </c>
      <c r="CG88" s="300"/>
      <c r="CH88" s="305"/>
      <c r="CI88" s="305"/>
      <c r="CJ88" s="305"/>
      <c r="CK88" s="305"/>
      <c r="CL88" s="305"/>
      <c r="CM88" s="305"/>
      <c r="CN88" s="305"/>
      <c r="CO88" s="300">
        <f t="shared" si="39"/>
        <v>0</v>
      </c>
      <c r="CQ88" s="307">
        <f t="shared" si="30"/>
        <v>0</v>
      </c>
      <c r="CR88" s="307">
        <f t="shared" si="31"/>
        <v>0</v>
      </c>
      <c r="CS88" s="307">
        <f t="shared" si="32"/>
        <v>0</v>
      </c>
      <c r="CT88" s="307">
        <f t="shared" si="33"/>
        <v>0</v>
      </c>
      <c r="CU88" s="307">
        <f t="shared" si="34"/>
        <v>0</v>
      </c>
      <c r="CV88" s="307">
        <f t="shared" si="35"/>
        <v>0</v>
      </c>
      <c r="CW88" s="307">
        <f t="shared" si="36"/>
        <v>0</v>
      </c>
      <c r="CX88" s="307">
        <f t="shared" si="40"/>
        <v>0</v>
      </c>
      <c r="CY88" s="307">
        <f t="shared" si="41"/>
        <v>0</v>
      </c>
    </row>
    <row r="89" spans="1:103" s="230" customFormat="1" ht="21" customHeight="1">
      <c r="A89" s="448">
        <v>5467101</v>
      </c>
      <c r="B89" s="309" t="s">
        <v>373</v>
      </c>
      <c r="C89" s="287" t="s">
        <v>593</v>
      </c>
      <c r="D89" s="288">
        <v>21.911000000000001</v>
      </c>
      <c r="E89" s="290"/>
      <c r="F89" s="310"/>
      <c r="G89" s="311"/>
      <c r="H89" s="293"/>
      <c r="I89" s="221"/>
      <c r="J89" s="294"/>
      <c r="K89" s="294"/>
      <c r="L89" s="295"/>
      <c r="M89" s="293"/>
      <c r="N89" s="310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  <c r="AC89" s="294"/>
      <c r="AD89" s="294"/>
      <c r="AE89" s="293"/>
      <c r="AF89" s="221"/>
      <c r="AG89" s="294"/>
      <c r="AH89" s="294"/>
      <c r="AI89" s="295"/>
      <c r="AJ89" s="293"/>
      <c r="AK89" s="295"/>
      <c r="AL89" s="295"/>
      <c r="AM89" s="295"/>
      <c r="AN89" s="295"/>
      <c r="AO89" s="295"/>
      <c r="AP89" s="295"/>
      <c r="AQ89" s="295"/>
      <c r="AR89" s="295"/>
      <c r="AS89" s="295"/>
      <c r="AT89" s="295"/>
      <c r="AU89" s="293"/>
      <c r="AV89" s="311"/>
      <c r="AW89" s="296"/>
      <c r="AX89" s="296"/>
      <c r="AY89" s="296"/>
      <c r="AZ89" s="296"/>
      <c r="BA89" s="296"/>
      <c r="BB89" s="296"/>
      <c r="BC89" s="296"/>
      <c r="BD89" s="293">
        <f t="shared" si="26"/>
        <v>0</v>
      </c>
      <c r="BE89" s="221"/>
      <c r="BF89" s="294"/>
      <c r="BG89" s="294"/>
      <c r="BH89" s="294"/>
      <c r="BI89" s="293">
        <f t="shared" si="42"/>
        <v>0</v>
      </c>
      <c r="BJ89" s="300"/>
      <c r="BK89" s="301">
        <f t="shared" si="27"/>
        <v>0</v>
      </c>
      <c r="BL89" s="312">
        <f t="shared" si="28"/>
        <v>0</v>
      </c>
      <c r="BM89" s="313">
        <f t="shared" si="29"/>
        <v>0</v>
      </c>
      <c r="BN89" s="314"/>
      <c r="BP89" s="305"/>
      <c r="BQ89" s="305"/>
      <c r="BR89" s="305"/>
      <c r="BS89" s="305"/>
      <c r="BT89" s="305"/>
      <c r="BU89" s="305"/>
      <c r="BV89" s="305"/>
      <c r="BW89" s="300">
        <f t="shared" si="37"/>
        <v>0</v>
      </c>
      <c r="BX89" s="300"/>
      <c r="BY89" s="305"/>
      <c r="BZ89" s="305"/>
      <c r="CA89" s="305"/>
      <c r="CB89" s="305"/>
      <c r="CC89" s="305"/>
      <c r="CD89" s="305"/>
      <c r="CE89" s="305"/>
      <c r="CF89" s="300">
        <f t="shared" si="38"/>
        <v>0</v>
      </c>
      <c r="CG89" s="300"/>
      <c r="CH89" s="305"/>
      <c r="CI89" s="305"/>
      <c r="CJ89" s="305"/>
      <c r="CK89" s="305"/>
      <c r="CL89" s="305"/>
      <c r="CM89" s="305"/>
      <c r="CN89" s="305"/>
      <c r="CO89" s="300">
        <f t="shared" si="39"/>
        <v>0</v>
      </c>
      <c r="CQ89" s="307">
        <f t="shared" si="30"/>
        <v>0</v>
      </c>
      <c r="CR89" s="307">
        <f t="shared" si="31"/>
        <v>0</v>
      </c>
      <c r="CS89" s="307">
        <f t="shared" si="32"/>
        <v>0</v>
      </c>
      <c r="CT89" s="307">
        <f t="shared" si="33"/>
        <v>0</v>
      </c>
      <c r="CU89" s="307">
        <f t="shared" si="34"/>
        <v>0</v>
      </c>
      <c r="CV89" s="307">
        <f t="shared" si="35"/>
        <v>0</v>
      </c>
      <c r="CW89" s="307">
        <f t="shared" si="36"/>
        <v>0</v>
      </c>
      <c r="CX89" s="307">
        <f t="shared" si="40"/>
        <v>0</v>
      </c>
      <c r="CY89" s="307">
        <f t="shared" si="41"/>
        <v>0</v>
      </c>
    </row>
    <row r="90" spans="1:103" s="230" customFormat="1" ht="21" customHeight="1">
      <c r="A90" s="448">
        <v>5411050</v>
      </c>
      <c r="B90" s="309" t="s">
        <v>373</v>
      </c>
      <c r="C90" s="287" t="s">
        <v>594</v>
      </c>
      <c r="D90" s="288">
        <v>4.9080000000000004</v>
      </c>
      <c r="E90" s="290"/>
      <c r="F90" s="310"/>
      <c r="G90" s="311"/>
      <c r="H90" s="293"/>
      <c r="I90" s="221"/>
      <c r="J90" s="294"/>
      <c r="K90" s="294"/>
      <c r="L90" s="295"/>
      <c r="M90" s="293"/>
      <c r="N90" s="310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  <c r="AC90" s="294"/>
      <c r="AD90" s="294"/>
      <c r="AE90" s="293"/>
      <c r="AF90" s="221"/>
      <c r="AG90" s="294"/>
      <c r="AH90" s="294"/>
      <c r="AI90" s="295"/>
      <c r="AJ90" s="293"/>
      <c r="AK90" s="295"/>
      <c r="AL90" s="295"/>
      <c r="AM90" s="295"/>
      <c r="AN90" s="295"/>
      <c r="AO90" s="295"/>
      <c r="AP90" s="295"/>
      <c r="AQ90" s="295"/>
      <c r="AR90" s="295"/>
      <c r="AS90" s="295"/>
      <c r="AT90" s="295"/>
      <c r="AU90" s="293"/>
      <c r="AV90" s="311"/>
      <c r="AW90" s="296"/>
      <c r="AX90" s="296"/>
      <c r="AY90" s="296"/>
      <c r="AZ90" s="296"/>
      <c r="BA90" s="296"/>
      <c r="BB90" s="296"/>
      <c r="BC90" s="296"/>
      <c r="BD90" s="293">
        <f t="shared" si="26"/>
        <v>0</v>
      </c>
      <c r="BE90" s="221"/>
      <c r="BF90" s="294"/>
      <c r="BG90" s="294"/>
      <c r="BH90" s="294"/>
      <c r="BI90" s="293">
        <f t="shared" si="42"/>
        <v>0</v>
      </c>
      <c r="BJ90" s="300"/>
      <c r="BK90" s="301">
        <f t="shared" si="27"/>
        <v>0</v>
      </c>
      <c r="BL90" s="312">
        <f t="shared" si="28"/>
        <v>0</v>
      </c>
      <c r="BM90" s="313">
        <f t="shared" si="29"/>
        <v>0</v>
      </c>
      <c r="BN90" s="314"/>
      <c r="BP90" s="305"/>
      <c r="BQ90" s="305"/>
      <c r="BR90" s="305"/>
      <c r="BS90" s="305"/>
      <c r="BT90" s="305"/>
      <c r="BU90" s="305"/>
      <c r="BV90" s="305"/>
      <c r="BW90" s="300">
        <f t="shared" si="37"/>
        <v>0</v>
      </c>
      <c r="BX90" s="300"/>
      <c r="BY90" s="305"/>
      <c r="BZ90" s="305"/>
      <c r="CA90" s="305"/>
      <c r="CB90" s="305"/>
      <c r="CC90" s="305"/>
      <c r="CD90" s="305"/>
      <c r="CE90" s="305"/>
      <c r="CF90" s="300">
        <f t="shared" si="38"/>
        <v>0</v>
      </c>
      <c r="CG90" s="300"/>
      <c r="CH90" s="305"/>
      <c r="CI90" s="305"/>
      <c r="CJ90" s="305"/>
      <c r="CK90" s="305"/>
      <c r="CL90" s="305"/>
      <c r="CM90" s="305"/>
      <c r="CN90" s="305"/>
      <c r="CO90" s="300">
        <f t="shared" si="39"/>
        <v>0</v>
      </c>
      <c r="CQ90" s="307">
        <f t="shared" si="30"/>
        <v>0</v>
      </c>
      <c r="CR90" s="307">
        <f t="shared" si="31"/>
        <v>0</v>
      </c>
      <c r="CS90" s="307">
        <f t="shared" si="32"/>
        <v>0</v>
      </c>
      <c r="CT90" s="307">
        <f t="shared" si="33"/>
        <v>0</v>
      </c>
      <c r="CU90" s="307">
        <f t="shared" si="34"/>
        <v>0</v>
      </c>
      <c r="CV90" s="307">
        <f t="shared" si="35"/>
        <v>0</v>
      </c>
      <c r="CW90" s="307">
        <f t="shared" si="36"/>
        <v>0</v>
      </c>
      <c r="CX90" s="307">
        <f t="shared" si="40"/>
        <v>0</v>
      </c>
      <c r="CY90" s="307">
        <f t="shared" si="41"/>
        <v>0</v>
      </c>
    </row>
    <row r="91" spans="1:103" s="230" customFormat="1" ht="21" customHeight="1">
      <c r="A91" s="448">
        <v>5411052</v>
      </c>
      <c r="B91" s="309" t="s">
        <v>373</v>
      </c>
      <c r="C91" s="287" t="s">
        <v>595</v>
      </c>
      <c r="D91" s="288">
        <v>2.8820000000000001</v>
      </c>
      <c r="E91" s="290"/>
      <c r="F91" s="310"/>
      <c r="G91" s="311"/>
      <c r="H91" s="293"/>
      <c r="I91" s="221"/>
      <c r="J91" s="294"/>
      <c r="K91" s="294"/>
      <c r="L91" s="295"/>
      <c r="M91" s="293"/>
      <c r="N91" s="310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  <c r="AA91" s="294"/>
      <c r="AB91" s="294"/>
      <c r="AC91" s="294"/>
      <c r="AD91" s="294"/>
      <c r="AE91" s="293"/>
      <c r="AF91" s="221"/>
      <c r="AG91" s="294"/>
      <c r="AH91" s="294"/>
      <c r="AI91" s="295"/>
      <c r="AJ91" s="293"/>
      <c r="AK91" s="295"/>
      <c r="AL91" s="295"/>
      <c r="AM91" s="295"/>
      <c r="AN91" s="295"/>
      <c r="AO91" s="295"/>
      <c r="AP91" s="295"/>
      <c r="AQ91" s="295"/>
      <c r="AR91" s="295"/>
      <c r="AS91" s="295"/>
      <c r="AT91" s="295"/>
      <c r="AU91" s="293"/>
      <c r="AV91" s="311"/>
      <c r="AW91" s="296"/>
      <c r="AX91" s="296"/>
      <c r="AY91" s="296"/>
      <c r="AZ91" s="296"/>
      <c r="BA91" s="296"/>
      <c r="BB91" s="296"/>
      <c r="BC91" s="296"/>
      <c r="BD91" s="293">
        <f t="shared" si="26"/>
        <v>0</v>
      </c>
      <c r="BE91" s="221"/>
      <c r="BF91" s="294"/>
      <c r="BG91" s="294"/>
      <c r="BH91" s="294"/>
      <c r="BI91" s="293">
        <f t="shared" si="42"/>
        <v>0</v>
      </c>
      <c r="BJ91" s="300"/>
      <c r="BK91" s="301">
        <f t="shared" si="27"/>
        <v>0</v>
      </c>
      <c r="BL91" s="312">
        <f t="shared" si="28"/>
        <v>0</v>
      </c>
      <c r="BM91" s="313">
        <f t="shared" si="29"/>
        <v>0</v>
      </c>
      <c r="BN91" s="314"/>
      <c r="BP91" s="305"/>
      <c r="BQ91" s="305"/>
      <c r="BR91" s="305"/>
      <c r="BS91" s="305"/>
      <c r="BT91" s="305"/>
      <c r="BU91" s="305"/>
      <c r="BV91" s="305"/>
      <c r="BW91" s="300">
        <f t="shared" si="37"/>
        <v>0</v>
      </c>
      <c r="BX91" s="300"/>
      <c r="BY91" s="305"/>
      <c r="BZ91" s="305"/>
      <c r="CA91" s="305"/>
      <c r="CB91" s="305"/>
      <c r="CC91" s="305"/>
      <c r="CD91" s="305"/>
      <c r="CE91" s="305"/>
      <c r="CF91" s="300">
        <f t="shared" si="38"/>
        <v>0</v>
      </c>
      <c r="CG91" s="300"/>
      <c r="CH91" s="305"/>
      <c r="CI91" s="305"/>
      <c r="CJ91" s="305"/>
      <c r="CK91" s="305"/>
      <c r="CL91" s="305"/>
      <c r="CM91" s="305"/>
      <c r="CN91" s="305"/>
      <c r="CO91" s="300">
        <f t="shared" si="39"/>
        <v>0</v>
      </c>
      <c r="CQ91" s="307">
        <f t="shared" si="30"/>
        <v>0</v>
      </c>
      <c r="CR91" s="307">
        <f t="shared" si="31"/>
        <v>0</v>
      </c>
      <c r="CS91" s="307">
        <f t="shared" si="32"/>
        <v>0</v>
      </c>
      <c r="CT91" s="307">
        <f t="shared" si="33"/>
        <v>0</v>
      </c>
      <c r="CU91" s="307">
        <f t="shared" si="34"/>
        <v>0</v>
      </c>
      <c r="CV91" s="307">
        <f t="shared" si="35"/>
        <v>0</v>
      </c>
      <c r="CW91" s="307">
        <f t="shared" si="36"/>
        <v>0</v>
      </c>
      <c r="CX91" s="307">
        <f t="shared" si="40"/>
        <v>0</v>
      </c>
      <c r="CY91" s="307">
        <f t="shared" si="41"/>
        <v>0</v>
      </c>
    </row>
    <row r="92" spans="1:103" s="230" customFormat="1" ht="21" customHeight="1">
      <c r="A92" s="448">
        <v>5411060</v>
      </c>
      <c r="B92" s="309" t="s">
        <v>373</v>
      </c>
      <c r="C92" s="287" t="s">
        <v>529</v>
      </c>
      <c r="D92" s="288" t="e">
        <v>#N/A</v>
      </c>
      <c r="E92" s="290"/>
      <c r="F92" s="310"/>
      <c r="G92" s="311"/>
      <c r="H92" s="293"/>
      <c r="I92" s="221"/>
      <c r="J92" s="294"/>
      <c r="K92" s="294"/>
      <c r="L92" s="295"/>
      <c r="M92" s="293"/>
      <c r="N92" s="310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  <c r="AA92" s="294"/>
      <c r="AB92" s="294"/>
      <c r="AC92" s="294"/>
      <c r="AD92" s="294"/>
      <c r="AE92" s="293"/>
      <c r="AF92" s="221"/>
      <c r="AG92" s="294"/>
      <c r="AH92" s="294"/>
      <c r="AI92" s="295"/>
      <c r="AJ92" s="293"/>
      <c r="AK92" s="295"/>
      <c r="AL92" s="295"/>
      <c r="AM92" s="295"/>
      <c r="AN92" s="295"/>
      <c r="AO92" s="295"/>
      <c r="AP92" s="295"/>
      <c r="AQ92" s="295"/>
      <c r="AR92" s="295"/>
      <c r="AS92" s="295"/>
      <c r="AT92" s="295"/>
      <c r="AU92" s="293"/>
      <c r="AV92" s="311"/>
      <c r="AW92" s="296"/>
      <c r="AX92" s="296"/>
      <c r="AY92" s="296"/>
      <c r="AZ92" s="296"/>
      <c r="BA92" s="296"/>
      <c r="BB92" s="296"/>
      <c r="BC92" s="296"/>
      <c r="BD92" s="293">
        <f t="shared" si="26"/>
        <v>0</v>
      </c>
      <c r="BE92" s="221"/>
      <c r="BF92" s="294"/>
      <c r="BG92" s="294"/>
      <c r="BH92" s="294"/>
      <c r="BI92" s="293">
        <f t="shared" si="42"/>
        <v>0</v>
      </c>
      <c r="BJ92" s="300"/>
      <c r="BK92" s="301">
        <f t="shared" si="27"/>
        <v>0</v>
      </c>
      <c r="BL92" s="312">
        <f t="shared" si="28"/>
        <v>0</v>
      </c>
      <c r="BM92" s="313">
        <f t="shared" si="29"/>
        <v>0</v>
      </c>
      <c r="BN92" s="314"/>
      <c r="BP92" s="305"/>
      <c r="BQ92" s="305"/>
      <c r="BR92" s="305"/>
      <c r="BS92" s="305"/>
      <c r="BT92" s="305"/>
      <c r="BU92" s="305"/>
      <c r="BV92" s="305"/>
      <c r="BW92" s="300">
        <f t="shared" si="37"/>
        <v>0</v>
      </c>
      <c r="BX92" s="300"/>
      <c r="BY92" s="305"/>
      <c r="BZ92" s="305"/>
      <c r="CA92" s="305"/>
      <c r="CB92" s="305"/>
      <c r="CC92" s="305"/>
      <c r="CD92" s="305"/>
      <c r="CE92" s="305"/>
      <c r="CF92" s="300">
        <f t="shared" si="38"/>
        <v>0</v>
      </c>
      <c r="CG92" s="300"/>
      <c r="CH92" s="305"/>
      <c r="CI92" s="305"/>
      <c r="CJ92" s="305"/>
      <c r="CK92" s="305"/>
      <c r="CL92" s="305"/>
      <c r="CM92" s="305"/>
      <c r="CN92" s="305"/>
      <c r="CO92" s="300">
        <f t="shared" si="39"/>
        <v>0</v>
      </c>
      <c r="CQ92" s="307">
        <f t="shared" si="30"/>
        <v>0</v>
      </c>
      <c r="CR92" s="307">
        <f t="shared" si="31"/>
        <v>0</v>
      </c>
      <c r="CS92" s="307">
        <f t="shared" si="32"/>
        <v>0</v>
      </c>
      <c r="CT92" s="307">
        <f t="shared" si="33"/>
        <v>0</v>
      </c>
      <c r="CU92" s="307">
        <f t="shared" si="34"/>
        <v>0</v>
      </c>
      <c r="CV92" s="307">
        <f t="shared" si="35"/>
        <v>0</v>
      </c>
      <c r="CW92" s="307">
        <f t="shared" si="36"/>
        <v>0</v>
      </c>
      <c r="CX92" s="307">
        <f t="shared" si="40"/>
        <v>0</v>
      </c>
      <c r="CY92" s="307">
        <f t="shared" si="41"/>
        <v>0</v>
      </c>
    </row>
    <row r="93" spans="1:103" s="230" customFormat="1" ht="21" customHeight="1">
      <c r="A93" s="448">
        <v>5411062</v>
      </c>
      <c r="B93" s="309" t="s">
        <v>373</v>
      </c>
      <c r="C93" s="287" t="s">
        <v>596</v>
      </c>
      <c r="D93" s="288">
        <v>6.5019999999999998</v>
      </c>
      <c r="E93" s="290"/>
      <c r="F93" s="310"/>
      <c r="G93" s="311"/>
      <c r="H93" s="293"/>
      <c r="I93" s="221"/>
      <c r="J93" s="294"/>
      <c r="K93" s="294"/>
      <c r="L93" s="295"/>
      <c r="M93" s="293"/>
      <c r="N93" s="310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  <c r="AC93" s="294"/>
      <c r="AD93" s="294"/>
      <c r="AE93" s="293"/>
      <c r="AF93" s="221"/>
      <c r="AG93" s="294"/>
      <c r="AH93" s="294"/>
      <c r="AI93" s="295"/>
      <c r="AJ93" s="293"/>
      <c r="AK93" s="295"/>
      <c r="AL93" s="295"/>
      <c r="AM93" s="295"/>
      <c r="AN93" s="295"/>
      <c r="AO93" s="295"/>
      <c r="AP93" s="295"/>
      <c r="AQ93" s="295"/>
      <c r="AR93" s="295"/>
      <c r="AS93" s="295"/>
      <c r="AT93" s="295"/>
      <c r="AU93" s="293"/>
      <c r="AV93" s="311"/>
      <c r="AW93" s="296"/>
      <c r="AX93" s="296"/>
      <c r="AY93" s="296"/>
      <c r="AZ93" s="296"/>
      <c r="BA93" s="296"/>
      <c r="BB93" s="296"/>
      <c r="BC93" s="296"/>
      <c r="BD93" s="293">
        <f t="shared" si="26"/>
        <v>0</v>
      </c>
      <c r="BE93" s="221"/>
      <c r="BF93" s="294"/>
      <c r="BG93" s="294"/>
      <c r="BH93" s="294"/>
      <c r="BI93" s="293">
        <f t="shared" si="42"/>
        <v>0</v>
      </c>
      <c r="BJ93" s="300"/>
      <c r="BK93" s="301">
        <f t="shared" si="27"/>
        <v>0</v>
      </c>
      <c r="BL93" s="312">
        <f t="shared" si="28"/>
        <v>0</v>
      </c>
      <c r="BM93" s="313">
        <f t="shared" si="29"/>
        <v>0</v>
      </c>
      <c r="BN93" s="314"/>
      <c r="BP93" s="305"/>
      <c r="BQ93" s="305"/>
      <c r="BR93" s="305"/>
      <c r="BS93" s="305"/>
      <c r="BT93" s="305"/>
      <c r="BU93" s="305"/>
      <c r="BV93" s="305"/>
      <c r="BW93" s="300">
        <f t="shared" si="37"/>
        <v>0</v>
      </c>
      <c r="BX93" s="300"/>
      <c r="BY93" s="305"/>
      <c r="BZ93" s="305"/>
      <c r="CA93" s="305"/>
      <c r="CB93" s="305"/>
      <c r="CC93" s="305"/>
      <c r="CD93" s="305"/>
      <c r="CE93" s="305"/>
      <c r="CF93" s="300">
        <f t="shared" si="38"/>
        <v>0</v>
      </c>
      <c r="CG93" s="300"/>
      <c r="CH93" s="305"/>
      <c r="CI93" s="305"/>
      <c r="CJ93" s="305"/>
      <c r="CK93" s="305"/>
      <c r="CL93" s="305"/>
      <c r="CM93" s="305"/>
      <c r="CN93" s="305"/>
      <c r="CO93" s="300">
        <f t="shared" si="39"/>
        <v>0</v>
      </c>
      <c r="CQ93" s="307">
        <f t="shared" si="30"/>
        <v>0</v>
      </c>
      <c r="CR93" s="307">
        <f t="shared" si="31"/>
        <v>0</v>
      </c>
      <c r="CS93" s="307">
        <f t="shared" si="32"/>
        <v>0</v>
      </c>
      <c r="CT93" s="307">
        <f t="shared" si="33"/>
        <v>0</v>
      </c>
      <c r="CU93" s="307">
        <f t="shared" si="34"/>
        <v>0</v>
      </c>
      <c r="CV93" s="307">
        <f t="shared" si="35"/>
        <v>0</v>
      </c>
      <c r="CW93" s="307">
        <f t="shared" si="36"/>
        <v>0</v>
      </c>
      <c r="CX93" s="307">
        <f t="shared" si="40"/>
        <v>0</v>
      </c>
      <c r="CY93" s="307">
        <f t="shared" si="41"/>
        <v>0</v>
      </c>
    </row>
    <row r="94" spans="1:103" s="230" customFormat="1" ht="21" customHeight="1">
      <c r="A94" s="448">
        <v>5411063</v>
      </c>
      <c r="B94" s="309" t="s">
        <v>373</v>
      </c>
      <c r="C94" s="287" t="s">
        <v>530</v>
      </c>
      <c r="D94" s="288" t="e">
        <v>#N/A</v>
      </c>
      <c r="E94" s="290"/>
      <c r="F94" s="310"/>
      <c r="G94" s="311"/>
      <c r="H94" s="293"/>
      <c r="I94" s="221"/>
      <c r="J94" s="294"/>
      <c r="K94" s="294"/>
      <c r="L94" s="295"/>
      <c r="M94" s="293"/>
      <c r="N94" s="310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  <c r="AA94" s="294"/>
      <c r="AB94" s="294"/>
      <c r="AC94" s="294"/>
      <c r="AD94" s="294"/>
      <c r="AE94" s="293"/>
      <c r="AF94" s="221"/>
      <c r="AG94" s="294"/>
      <c r="AH94" s="294"/>
      <c r="AI94" s="295"/>
      <c r="AJ94" s="293"/>
      <c r="AK94" s="295"/>
      <c r="AL94" s="295"/>
      <c r="AM94" s="295"/>
      <c r="AN94" s="295"/>
      <c r="AO94" s="295"/>
      <c r="AP94" s="295"/>
      <c r="AQ94" s="295"/>
      <c r="AR94" s="295"/>
      <c r="AS94" s="295"/>
      <c r="AT94" s="295"/>
      <c r="AU94" s="293"/>
      <c r="AV94" s="311"/>
      <c r="AW94" s="296"/>
      <c r="AX94" s="296"/>
      <c r="AY94" s="296"/>
      <c r="AZ94" s="296"/>
      <c r="BA94" s="296"/>
      <c r="BB94" s="296"/>
      <c r="BC94" s="296"/>
      <c r="BD94" s="293">
        <f t="shared" si="26"/>
        <v>0</v>
      </c>
      <c r="BE94" s="221"/>
      <c r="BF94" s="294"/>
      <c r="BG94" s="294"/>
      <c r="BH94" s="294"/>
      <c r="BI94" s="293">
        <f t="shared" si="42"/>
        <v>0</v>
      </c>
      <c r="BJ94" s="300"/>
      <c r="BK94" s="301">
        <f t="shared" si="27"/>
        <v>0</v>
      </c>
      <c r="BL94" s="312">
        <f t="shared" si="28"/>
        <v>0</v>
      </c>
      <c r="BM94" s="313">
        <f t="shared" si="29"/>
        <v>0</v>
      </c>
      <c r="BN94" s="314"/>
      <c r="BP94" s="305"/>
      <c r="BQ94" s="305"/>
      <c r="BR94" s="305"/>
      <c r="BS94" s="305"/>
      <c r="BT94" s="305"/>
      <c r="BU94" s="305"/>
      <c r="BV94" s="305"/>
      <c r="BW94" s="300">
        <f t="shared" si="37"/>
        <v>0</v>
      </c>
      <c r="BX94" s="300"/>
      <c r="BY94" s="305"/>
      <c r="BZ94" s="305"/>
      <c r="CA94" s="305"/>
      <c r="CB94" s="305"/>
      <c r="CC94" s="305"/>
      <c r="CD94" s="305"/>
      <c r="CE94" s="305"/>
      <c r="CF94" s="300">
        <f t="shared" si="38"/>
        <v>0</v>
      </c>
      <c r="CG94" s="300"/>
      <c r="CH94" s="305"/>
      <c r="CI94" s="305"/>
      <c r="CJ94" s="305"/>
      <c r="CK94" s="305"/>
      <c r="CL94" s="305"/>
      <c r="CM94" s="305"/>
      <c r="CN94" s="305"/>
      <c r="CO94" s="300">
        <f t="shared" si="39"/>
        <v>0</v>
      </c>
      <c r="CQ94" s="307">
        <f t="shared" si="30"/>
        <v>0</v>
      </c>
      <c r="CR94" s="307">
        <f t="shared" si="31"/>
        <v>0</v>
      </c>
      <c r="CS94" s="307">
        <f t="shared" si="32"/>
        <v>0</v>
      </c>
      <c r="CT94" s="307">
        <f t="shared" si="33"/>
        <v>0</v>
      </c>
      <c r="CU94" s="307">
        <f t="shared" si="34"/>
        <v>0</v>
      </c>
      <c r="CV94" s="307">
        <f t="shared" si="35"/>
        <v>0</v>
      </c>
      <c r="CW94" s="307">
        <f t="shared" si="36"/>
        <v>0</v>
      </c>
      <c r="CX94" s="307">
        <f t="shared" si="40"/>
        <v>0</v>
      </c>
      <c r="CY94" s="307">
        <f t="shared" si="41"/>
        <v>0</v>
      </c>
    </row>
    <row r="95" spans="1:103" s="230" customFormat="1" ht="21" customHeight="1">
      <c r="A95" s="448">
        <v>5411076</v>
      </c>
      <c r="B95" s="309" t="s">
        <v>373</v>
      </c>
      <c r="C95" s="287" t="s">
        <v>531</v>
      </c>
      <c r="D95" s="288">
        <v>7.8949999999999996</v>
      </c>
      <c r="E95" s="290"/>
      <c r="F95" s="310"/>
      <c r="G95" s="311"/>
      <c r="H95" s="293"/>
      <c r="I95" s="221"/>
      <c r="J95" s="294"/>
      <c r="K95" s="294"/>
      <c r="L95" s="295"/>
      <c r="M95" s="293"/>
      <c r="N95" s="310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4"/>
      <c r="AC95" s="294"/>
      <c r="AD95" s="294"/>
      <c r="AE95" s="293"/>
      <c r="AF95" s="221"/>
      <c r="AG95" s="294"/>
      <c r="AH95" s="294"/>
      <c r="AI95" s="295"/>
      <c r="AJ95" s="293"/>
      <c r="AK95" s="295"/>
      <c r="AL95" s="295"/>
      <c r="AM95" s="295"/>
      <c r="AN95" s="295"/>
      <c r="AO95" s="295"/>
      <c r="AP95" s="295"/>
      <c r="AQ95" s="295"/>
      <c r="AR95" s="295"/>
      <c r="AS95" s="295"/>
      <c r="AT95" s="295"/>
      <c r="AU95" s="293"/>
      <c r="AV95" s="311"/>
      <c r="AW95" s="296"/>
      <c r="AX95" s="296"/>
      <c r="AY95" s="296"/>
      <c r="AZ95" s="296"/>
      <c r="BA95" s="296"/>
      <c r="BB95" s="296"/>
      <c r="BC95" s="296"/>
      <c r="BD95" s="293">
        <f t="shared" si="26"/>
        <v>0</v>
      </c>
      <c r="BE95" s="221"/>
      <c r="BF95" s="294"/>
      <c r="BG95" s="294"/>
      <c r="BH95" s="294"/>
      <c r="BI95" s="293">
        <f t="shared" si="42"/>
        <v>0</v>
      </c>
      <c r="BJ95" s="300"/>
      <c r="BK95" s="301">
        <f t="shared" si="27"/>
        <v>0</v>
      </c>
      <c r="BL95" s="312">
        <f t="shared" si="28"/>
        <v>0</v>
      </c>
      <c r="BM95" s="313">
        <f t="shared" si="29"/>
        <v>0</v>
      </c>
      <c r="BN95" s="314"/>
      <c r="BP95" s="305"/>
      <c r="BQ95" s="305"/>
      <c r="BR95" s="305"/>
      <c r="BS95" s="305"/>
      <c r="BT95" s="305"/>
      <c r="BU95" s="305"/>
      <c r="BV95" s="305"/>
      <c r="BW95" s="300">
        <f t="shared" si="37"/>
        <v>0</v>
      </c>
      <c r="BX95" s="300"/>
      <c r="BY95" s="305"/>
      <c r="BZ95" s="305"/>
      <c r="CA95" s="305"/>
      <c r="CB95" s="305"/>
      <c r="CC95" s="305"/>
      <c r="CD95" s="305"/>
      <c r="CE95" s="305"/>
      <c r="CF95" s="300">
        <f t="shared" si="38"/>
        <v>0</v>
      </c>
      <c r="CG95" s="300"/>
      <c r="CH95" s="305"/>
      <c r="CI95" s="305"/>
      <c r="CJ95" s="305"/>
      <c r="CK95" s="305"/>
      <c r="CL95" s="305"/>
      <c r="CM95" s="305"/>
      <c r="CN95" s="305"/>
      <c r="CO95" s="300">
        <f t="shared" si="39"/>
        <v>0</v>
      </c>
      <c r="CQ95" s="307">
        <f t="shared" si="30"/>
        <v>0</v>
      </c>
      <c r="CR95" s="307">
        <f t="shared" si="31"/>
        <v>0</v>
      </c>
      <c r="CS95" s="307">
        <f t="shared" si="32"/>
        <v>0</v>
      </c>
      <c r="CT95" s="307">
        <f t="shared" si="33"/>
        <v>0</v>
      </c>
      <c r="CU95" s="307">
        <f t="shared" si="34"/>
        <v>0</v>
      </c>
      <c r="CV95" s="307">
        <f t="shared" si="35"/>
        <v>0</v>
      </c>
      <c r="CW95" s="307">
        <f t="shared" si="36"/>
        <v>0</v>
      </c>
      <c r="CX95" s="307">
        <f t="shared" si="40"/>
        <v>0</v>
      </c>
      <c r="CY95" s="307">
        <f t="shared" si="41"/>
        <v>0</v>
      </c>
    </row>
    <row r="96" spans="1:103" s="230" customFormat="1" ht="21" customHeight="1">
      <c r="A96" s="448">
        <v>5411078</v>
      </c>
      <c r="B96" s="309" t="s">
        <v>373</v>
      </c>
      <c r="C96" s="287" t="s">
        <v>532</v>
      </c>
      <c r="D96" s="288" t="e">
        <v>#N/A</v>
      </c>
      <c r="E96" s="290"/>
      <c r="F96" s="310"/>
      <c r="G96" s="311"/>
      <c r="H96" s="293"/>
      <c r="I96" s="221"/>
      <c r="J96" s="294"/>
      <c r="K96" s="294"/>
      <c r="L96" s="295"/>
      <c r="M96" s="293"/>
      <c r="N96" s="310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  <c r="AA96" s="294"/>
      <c r="AB96" s="294"/>
      <c r="AC96" s="294"/>
      <c r="AD96" s="294"/>
      <c r="AE96" s="293"/>
      <c r="AF96" s="221"/>
      <c r="AG96" s="294"/>
      <c r="AH96" s="294"/>
      <c r="AI96" s="295"/>
      <c r="AJ96" s="293"/>
      <c r="AK96" s="295"/>
      <c r="AL96" s="295"/>
      <c r="AM96" s="295"/>
      <c r="AN96" s="295"/>
      <c r="AO96" s="295"/>
      <c r="AP96" s="295"/>
      <c r="AQ96" s="295"/>
      <c r="AR96" s="295"/>
      <c r="AS96" s="295"/>
      <c r="AT96" s="295"/>
      <c r="AU96" s="293"/>
      <c r="AV96" s="311"/>
      <c r="AW96" s="296"/>
      <c r="AX96" s="296"/>
      <c r="AY96" s="296"/>
      <c r="AZ96" s="296"/>
      <c r="BA96" s="296"/>
      <c r="BB96" s="296"/>
      <c r="BC96" s="296"/>
      <c r="BD96" s="293">
        <f t="shared" si="26"/>
        <v>0</v>
      </c>
      <c r="BE96" s="221"/>
      <c r="BF96" s="294"/>
      <c r="BG96" s="294"/>
      <c r="BH96" s="294"/>
      <c r="BI96" s="293">
        <f t="shared" si="42"/>
        <v>0</v>
      </c>
      <c r="BJ96" s="300"/>
      <c r="BK96" s="301">
        <f t="shared" si="27"/>
        <v>0</v>
      </c>
      <c r="BL96" s="312">
        <f t="shared" si="28"/>
        <v>0</v>
      </c>
      <c r="BM96" s="313">
        <f t="shared" si="29"/>
        <v>0</v>
      </c>
      <c r="BN96" s="314"/>
      <c r="BP96" s="305"/>
      <c r="BQ96" s="305"/>
      <c r="BR96" s="305"/>
      <c r="BS96" s="305"/>
      <c r="BT96" s="305"/>
      <c r="BU96" s="305"/>
      <c r="BV96" s="305"/>
      <c r="BW96" s="300">
        <f t="shared" si="37"/>
        <v>0</v>
      </c>
      <c r="BX96" s="300"/>
      <c r="BY96" s="305"/>
      <c r="BZ96" s="305"/>
      <c r="CA96" s="305"/>
      <c r="CB96" s="305"/>
      <c r="CC96" s="305"/>
      <c r="CD96" s="305"/>
      <c r="CE96" s="305"/>
      <c r="CF96" s="300">
        <f t="shared" si="38"/>
        <v>0</v>
      </c>
      <c r="CG96" s="300"/>
      <c r="CH96" s="305"/>
      <c r="CI96" s="305"/>
      <c r="CJ96" s="305"/>
      <c r="CK96" s="305"/>
      <c r="CL96" s="305"/>
      <c r="CM96" s="305"/>
      <c r="CN96" s="305"/>
      <c r="CO96" s="300">
        <f t="shared" si="39"/>
        <v>0</v>
      </c>
      <c r="CQ96" s="307">
        <f t="shared" si="30"/>
        <v>0</v>
      </c>
      <c r="CR96" s="307">
        <f t="shared" si="31"/>
        <v>0</v>
      </c>
      <c r="CS96" s="307">
        <f t="shared" si="32"/>
        <v>0</v>
      </c>
      <c r="CT96" s="307">
        <f t="shared" si="33"/>
        <v>0</v>
      </c>
      <c r="CU96" s="307">
        <f t="shared" si="34"/>
        <v>0</v>
      </c>
      <c r="CV96" s="307">
        <f t="shared" si="35"/>
        <v>0</v>
      </c>
      <c r="CW96" s="307">
        <f t="shared" si="36"/>
        <v>0</v>
      </c>
      <c r="CX96" s="307">
        <f t="shared" si="40"/>
        <v>0</v>
      </c>
      <c r="CY96" s="307">
        <f t="shared" si="41"/>
        <v>0</v>
      </c>
    </row>
    <row r="97" spans="1:103" s="230" customFormat="1" ht="21" customHeight="1">
      <c r="A97" s="448">
        <v>5411072</v>
      </c>
      <c r="B97" s="309" t="s">
        <v>373</v>
      </c>
      <c r="C97" s="287" t="s">
        <v>533</v>
      </c>
      <c r="D97" s="288">
        <v>5.2839999999999998</v>
      </c>
      <c r="E97" s="290"/>
      <c r="F97" s="310"/>
      <c r="G97" s="311"/>
      <c r="H97" s="293"/>
      <c r="I97" s="221"/>
      <c r="J97" s="294"/>
      <c r="K97" s="294"/>
      <c r="L97" s="295"/>
      <c r="M97" s="293"/>
      <c r="N97" s="310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  <c r="AA97" s="294"/>
      <c r="AB97" s="294"/>
      <c r="AC97" s="294"/>
      <c r="AD97" s="294"/>
      <c r="AE97" s="293"/>
      <c r="AF97" s="221"/>
      <c r="AG97" s="294"/>
      <c r="AH97" s="294"/>
      <c r="AI97" s="295"/>
      <c r="AJ97" s="293"/>
      <c r="AK97" s="295"/>
      <c r="AL97" s="295"/>
      <c r="AM97" s="295"/>
      <c r="AN97" s="295"/>
      <c r="AO97" s="295"/>
      <c r="AP97" s="295"/>
      <c r="AQ97" s="295"/>
      <c r="AR97" s="295"/>
      <c r="AS97" s="295"/>
      <c r="AT97" s="295"/>
      <c r="AU97" s="293"/>
      <c r="AV97" s="311"/>
      <c r="AW97" s="296"/>
      <c r="AX97" s="296"/>
      <c r="AY97" s="296"/>
      <c r="AZ97" s="296"/>
      <c r="BA97" s="296"/>
      <c r="BB97" s="296"/>
      <c r="BC97" s="296"/>
      <c r="BD97" s="293">
        <f t="shared" si="26"/>
        <v>0</v>
      </c>
      <c r="BE97" s="221"/>
      <c r="BF97" s="294"/>
      <c r="BG97" s="294"/>
      <c r="BH97" s="294"/>
      <c r="BI97" s="293">
        <f t="shared" si="42"/>
        <v>0</v>
      </c>
      <c r="BJ97" s="300"/>
      <c r="BK97" s="301">
        <f t="shared" si="27"/>
        <v>0</v>
      </c>
      <c r="BL97" s="312">
        <f t="shared" si="28"/>
        <v>0</v>
      </c>
      <c r="BM97" s="313">
        <f t="shared" si="29"/>
        <v>0</v>
      </c>
      <c r="BN97" s="314"/>
      <c r="BP97" s="305"/>
      <c r="BQ97" s="305"/>
      <c r="BR97" s="305"/>
      <c r="BS97" s="305"/>
      <c r="BT97" s="305"/>
      <c r="BU97" s="305"/>
      <c r="BV97" s="305"/>
      <c r="BW97" s="300">
        <f t="shared" si="37"/>
        <v>0</v>
      </c>
      <c r="BX97" s="300"/>
      <c r="BY97" s="305"/>
      <c r="BZ97" s="305"/>
      <c r="CA97" s="305"/>
      <c r="CB97" s="305"/>
      <c r="CC97" s="305"/>
      <c r="CD97" s="305"/>
      <c r="CE97" s="305"/>
      <c r="CF97" s="300">
        <f t="shared" si="38"/>
        <v>0</v>
      </c>
      <c r="CG97" s="300"/>
      <c r="CH97" s="305"/>
      <c r="CI97" s="305"/>
      <c r="CJ97" s="305"/>
      <c r="CK97" s="305"/>
      <c r="CL97" s="305"/>
      <c r="CM97" s="305"/>
      <c r="CN97" s="305"/>
      <c r="CO97" s="300">
        <f t="shared" si="39"/>
        <v>0</v>
      </c>
      <c r="CQ97" s="307">
        <f t="shared" si="30"/>
        <v>0</v>
      </c>
      <c r="CR97" s="307">
        <f t="shared" si="31"/>
        <v>0</v>
      </c>
      <c r="CS97" s="307">
        <f t="shared" si="32"/>
        <v>0</v>
      </c>
      <c r="CT97" s="307">
        <f t="shared" si="33"/>
        <v>0</v>
      </c>
      <c r="CU97" s="307">
        <f t="shared" si="34"/>
        <v>0</v>
      </c>
      <c r="CV97" s="307">
        <f t="shared" si="35"/>
        <v>0</v>
      </c>
      <c r="CW97" s="307">
        <f t="shared" si="36"/>
        <v>0</v>
      </c>
      <c r="CX97" s="307">
        <f t="shared" si="40"/>
        <v>0</v>
      </c>
      <c r="CY97" s="307">
        <f t="shared" si="41"/>
        <v>0</v>
      </c>
    </row>
    <row r="98" spans="1:103" s="230" customFormat="1" ht="21" customHeight="1">
      <c r="A98" s="448">
        <v>5347095</v>
      </c>
      <c r="B98" s="309" t="s">
        <v>373</v>
      </c>
      <c r="C98" s="287" t="s">
        <v>524</v>
      </c>
      <c r="D98" s="288" t="e">
        <v>#N/A</v>
      </c>
      <c r="E98" s="290"/>
      <c r="F98" s="310"/>
      <c r="G98" s="311"/>
      <c r="H98" s="293"/>
      <c r="I98" s="221"/>
      <c r="J98" s="294"/>
      <c r="K98" s="294"/>
      <c r="L98" s="295"/>
      <c r="M98" s="293"/>
      <c r="N98" s="310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  <c r="AA98" s="294"/>
      <c r="AB98" s="294"/>
      <c r="AC98" s="294"/>
      <c r="AD98" s="294"/>
      <c r="AE98" s="293"/>
      <c r="AF98" s="221"/>
      <c r="AG98" s="294"/>
      <c r="AH98" s="294"/>
      <c r="AI98" s="295"/>
      <c r="AJ98" s="293"/>
      <c r="AK98" s="295"/>
      <c r="AL98" s="295"/>
      <c r="AM98" s="295"/>
      <c r="AN98" s="295"/>
      <c r="AO98" s="295"/>
      <c r="AP98" s="295"/>
      <c r="AQ98" s="295"/>
      <c r="AR98" s="295"/>
      <c r="AS98" s="295"/>
      <c r="AT98" s="295"/>
      <c r="AU98" s="293"/>
      <c r="AV98" s="311"/>
      <c r="AW98" s="296"/>
      <c r="AX98" s="296"/>
      <c r="AY98" s="296"/>
      <c r="AZ98" s="296"/>
      <c r="BA98" s="296"/>
      <c r="BB98" s="296"/>
      <c r="BC98" s="296"/>
      <c r="BD98" s="293">
        <f t="shared" si="26"/>
        <v>0</v>
      </c>
      <c r="BE98" s="221"/>
      <c r="BF98" s="294"/>
      <c r="BG98" s="294"/>
      <c r="BH98" s="294"/>
      <c r="BI98" s="293">
        <f t="shared" si="42"/>
        <v>0</v>
      </c>
      <c r="BJ98" s="300"/>
      <c r="BK98" s="301">
        <f t="shared" si="27"/>
        <v>0</v>
      </c>
      <c r="BL98" s="312">
        <f t="shared" si="28"/>
        <v>0</v>
      </c>
      <c r="BM98" s="313">
        <f t="shared" si="29"/>
        <v>0</v>
      </c>
      <c r="BN98" s="314"/>
      <c r="BP98" s="305"/>
      <c r="BQ98" s="305"/>
      <c r="BR98" s="305"/>
      <c r="BS98" s="305"/>
      <c r="BT98" s="305"/>
      <c r="BU98" s="305"/>
      <c r="BV98" s="305"/>
      <c r="BW98" s="300">
        <f t="shared" si="37"/>
        <v>0</v>
      </c>
      <c r="BX98" s="300"/>
      <c r="BY98" s="305"/>
      <c r="BZ98" s="305"/>
      <c r="CA98" s="305"/>
      <c r="CB98" s="305"/>
      <c r="CC98" s="305"/>
      <c r="CD98" s="305"/>
      <c r="CE98" s="305"/>
      <c r="CF98" s="300">
        <f t="shared" si="38"/>
        <v>0</v>
      </c>
      <c r="CG98" s="300"/>
      <c r="CH98" s="305"/>
      <c r="CI98" s="305"/>
      <c r="CJ98" s="305"/>
      <c r="CK98" s="305"/>
      <c r="CL98" s="305"/>
      <c r="CM98" s="305"/>
      <c r="CN98" s="305"/>
      <c r="CO98" s="300">
        <f t="shared" si="39"/>
        <v>0</v>
      </c>
      <c r="CQ98" s="307">
        <f t="shared" si="30"/>
        <v>0</v>
      </c>
      <c r="CR98" s="307">
        <f t="shared" si="31"/>
        <v>0</v>
      </c>
      <c r="CS98" s="307">
        <f t="shared" si="32"/>
        <v>0</v>
      </c>
      <c r="CT98" s="307">
        <f t="shared" si="33"/>
        <v>0</v>
      </c>
      <c r="CU98" s="307">
        <f t="shared" si="34"/>
        <v>0</v>
      </c>
      <c r="CV98" s="307">
        <f t="shared" si="35"/>
        <v>0</v>
      </c>
      <c r="CW98" s="307">
        <f t="shared" si="36"/>
        <v>0</v>
      </c>
      <c r="CX98" s="307">
        <f t="shared" si="40"/>
        <v>0</v>
      </c>
      <c r="CY98" s="307">
        <f t="shared" si="41"/>
        <v>0</v>
      </c>
    </row>
    <row r="99" spans="1:103" s="230" customFormat="1" ht="21" customHeight="1">
      <c r="A99" s="448">
        <v>5411070</v>
      </c>
      <c r="B99" s="309" t="s">
        <v>373</v>
      </c>
      <c r="C99" s="287" t="s">
        <v>534</v>
      </c>
      <c r="D99" s="288">
        <v>8.8480000000000008</v>
      </c>
      <c r="E99" s="290"/>
      <c r="F99" s="310"/>
      <c r="G99" s="311"/>
      <c r="H99" s="293"/>
      <c r="I99" s="221"/>
      <c r="J99" s="294"/>
      <c r="K99" s="294"/>
      <c r="L99" s="295"/>
      <c r="M99" s="293"/>
      <c r="N99" s="310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94"/>
      <c r="AB99" s="294"/>
      <c r="AC99" s="294"/>
      <c r="AD99" s="294"/>
      <c r="AE99" s="293"/>
      <c r="AF99" s="221"/>
      <c r="AG99" s="294"/>
      <c r="AH99" s="294"/>
      <c r="AI99" s="295"/>
      <c r="AJ99" s="293"/>
      <c r="AK99" s="295"/>
      <c r="AL99" s="295"/>
      <c r="AM99" s="295"/>
      <c r="AN99" s="295"/>
      <c r="AO99" s="295"/>
      <c r="AP99" s="295"/>
      <c r="AQ99" s="295"/>
      <c r="AR99" s="295"/>
      <c r="AS99" s="295"/>
      <c r="AT99" s="295"/>
      <c r="AU99" s="293"/>
      <c r="AV99" s="311"/>
      <c r="AW99" s="296"/>
      <c r="AX99" s="296"/>
      <c r="AY99" s="296"/>
      <c r="AZ99" s="296"/>
      <c r="BA99" s="296"/>
      <c r="BB99" s="296"/>
      <c r="BC99" s="296"/>
      <c r="BD99" s="293">
        <f t="shared" si="26"/>
        <v>0</v>
      </c>
      <c r="BE99" s="221"/>
      <c r="BF99" s="294"/>
      <c r="BG99" s="294"/>
      <c r="BH99" s="294"/>
      <c r="BI99" s="293">
        <f t="shared" si="42"/>
        <v>0</v>
      </c>
      <c r="BJ99" s="300"/>
      <c r="BK99" s="301">
        <f t="shared" si="27"/>
        <v>0</v>
      </c>
      <c r="BL99" s="312">
        <f t="shared" si="28"/>
        <v>0</v>
      </c>
      <c r="BM99" s="313">
        <f t="shared" si="29"/>
        <v>0</v>
      </c>
      <c r="BN99" s="314"/>
      <c r="BP99" s="305"/>
      <c r="BQ99" s="305"/>
      <c r="BR99" s="305"/>
      <c r="BS99" s="305"/>
      <c r="BT99" s="305"/>
      <c r="BU99" s="305"/>
      <c r="BV99" s="305"/>
      <c r="BW99" s="300">
        <f t="shared" si="37"/>
        <v>0</v>
      </c>
      <c r="BX99" s="300"/>
      <c r="BY99" s="305"/>
      <c r="BZ99" s="305"/>
      <c r="CA99" s="305"/>
      <c r="CB99" s="305"/>
      <c r="CC99" s="305"/>
      <c r="CD99" s="305"/>
      <c r="CE99" s="305"/>
      <c r="CF99" s="300">
        <f t="shared" si="38"/>
        <v>0</v>
      </c>
      <c r="CG99" s="300"/>
      <c r="CH99" s="305"/>
      <c r="CI99" s="305"/>
      <c r="CJ99" s="305"/>
      <c r="CK99" s="305"/>
      <c r="CL99" s="305"/>
      <c r="CM99" s="305"/>
      <c r="CN99" s="305"/>
      <c r="CO99" s="300">
        <f t="shared" si="39"/>
        <v>0</v>
      </c>
      <c r="CQ99" s="307">
        <f t="shared" si="30"/>
        <v>0</v>
      </c>
      <c r="CR99" s="307">
        <f t="shared" si="31"/>
        <v>0</v>
      </c>
      <c r="CS99" s="307">
        <f t="shared" si="32"/>
        <v>0</v>
      </c>
      <c r="CT99" s="307">
        <f t="shared" si="33"/>
        <v>0</v>
      </c>
      <c r="CU99" s="307">
        <f t="shared" si="34"/>
        <v>0</v>
      </c>
      <c r="CV99" s="307">
        <f t="shared" si="35"/>
        <v>0</v>
      </c>
      <c r="CW99" s="307">
        <f t="shared" si="36"/>
        <v>0</v>
      </c>
      <c r="CX99" s="307">
        <f t="shared" si="40"/>
        <v>0</v>
      </c>
      <c r="CY99" s="307">
        <f t="shared" si="41"/>
        <v>0</v>
      </c>
    </row>
    <row r="100" spans="1:103" s="230" customFormat="1" ht="21" customHeight="1">
      <c r="A100" s="448">
        <v>5111221</v>
      </c>
      <c r="B100" s="309" t="s">
        <v>373</v>
      </c>
      <c r="C100" s="287" t="s">
        <v>535</v>
      </c>
      <c r="D100" s="288" t="e">
        <v>#N/A</v>
      </c>
      <c r="E100" s="290"/>
      <c r="F100" s="310"/>
      <c r="G100" s="311"/>
      <c r="H100" s="293"/>
      <c r="I100" s="221"/>
      <c r="J100" s="294"/>
      <c r="K100" s="294"/>
      <c r="L100" s="295"/>
      <c r="M100" s="293"/>
      <c r="N100" s="310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94"/>
      <c r="AB100" s="294"/>
      <c r="AC100" s="294"/>
      <c r="AD100" s="294"/>
      <c r="AE100" s="293"/>
      <c r="AF100" s="221"/>
      <c r="AG100" s="294"/>
      <c r="AH100" s="294"/>
      <c r="AI100" s="295"/>
      <c r="AJ100" s="293"/>
      <c r="AK100" s="295"/>
      <c r="AL100" s="295"/>
      <c r="AM100" s="295"/>
      <c r="AN100" s="295"/>
      <c r="AO100" s="295"/>
      <c r="AP100" s="295"/>
      <c r="AQ100" s="295"/>
      <c r="AR100" s="295"/>
      <c r="AS100" s="295"/>
      <c r="AT100" s="295"/>
      <c r="AU100" s="293"/>
      <c r="AV100" s="311"/>
      <c r="AW100" s="296"/>
      <c r="AX100" s="296"/>
      <c r="AY100" s="296"/>
      <c r="AZ100" s="296"/>
      <c r="BA100" s="296"/>
      <c r="BB100" s="296"/>
      <c r="BC100" s="296"/>
      <c r="BD100" s="293">
        <f t="shared" si="26"/>
        <v>0</v>
      </c>
      <c r="BE100" s="221"/>
      <c r="BF100" s="294"/>
      <c r="BG100" s="294"/>
      <c r="BH100" s="294"/>
      <c r="BI100" s="293">
        <f t="shared" si="42"/>
        <v>0</v>
      </c>
      <c r="BJ100" s="300"/>
      <c r="BK100" s="301">
        <f t="shared" si="27"/>
        <v>0</v>
      </c>
      <c r="BL100" s="312">
        <f t="shared" si="28"/>
        <v>0</v>
      </c>
      <c r="BM100" s="313">
        <f t="shared" si="29"/>
        <v>0</v>
      </c>
      <c r="BN100" s="314"/>
      <c r="BP100" s="305"/>
      <c r="BQ100" s="305"/>
      <c r="BR100" s="305"/>
      <c r="BS100" s="305"/>
      <c r="BT100" s="305"/>
      <c r="BU100" s="305"/>
      <c r="BV100" s="305"/>
      <c r="BW100" s="300">
        <f t="shared" si="37"/>
        <v>0</v>
      </c>
      <c r="BX100" s="300"/>
      <c r="BY100" s="305"/>
      <c r="BZ100" s="305"/>
      <c r="CA100" s="305"/>
      <c r="CB100" s="305"/>
      <c r="CC100" s="305"/>
      <c r="CD100" s="305"/>
      <c r="CE100" s="305"/>
      <c r="CF100" s="300">
        <f t="shared" si="38"/>
        <v>0</v>
      </c>
      <c r="CG100" s="300"/>
      <c r="CH100" s="305"/>
      <c r="CI100" s="305"/>
      <c r="CJ100" s="305"/>
      <c r="CK100" s="305"/>
      <c r="CL100" s="305"/>
      <c r="CM100" s="305"/>
      <c r="CN100" s="305"/>
      <c r="CO100" s="300">
        <f t="shared" si="39"/>
        <v>0</v>
      </c>
      <c r="CQ100" s="307">
        <f t="shared" si="30"/>
        <v>0</v>
      </c>
      <c r="CR100" s="307">
        <f t="shared" si="31"/>
        <v>0</v>
      </c>
      <c r="CS100" s="307">
        <f t="shared" si="32"/>
        <v>0</v>
      </c>
      <c r="CT100" s="307">
        <f t="shared" si="33"/>
        <v>0</v>
      </c>
      <c r="CU100" s="307">
        <f t="shared" si="34"/>
        <v>0</v>
      </c>
      <c r="CV100" s="307">
        <f t="shared" si="35"/>
        <v>0</v>
      </c>
      <c r="CW100" s="307">
        <f t="shared" si="36"/>
        <v>0</v>
      </c>
      <c r="CX100" s="307">
        <f t="shared" si="40"/>
        <v>0</v>
      </c>
      <c r="CY100" s="307">
        <f t="shared" si="41"/>
        <v>0</v>
      </c>
    </row>
    <row r="101" spans="1:103" s="230" customFormat="1" ht="21" customHeight="1">
      <c r="A101" s="308"/>
      <c r="B101" s="309"/>
      <c r="C101" s="287" t="str">
        <f>IF($A101=0,"",(VLOOKUP(A101,[3]MAT!$B$5:$D$4756,3,FALSE)))</f>
        <v/>
      </c>
      <c r="D101" s="288" t="s">
        <v>597</v>
      </c>
      <c r="E101" s="290"/>
      <c r="F101" s="310"/>
      <c r="G101" s="311"/>
      <c r="H101" s="293"/>
      <c r="I101" s="221"/>
      <c r="J101" s="294"/>
      <c r="K101" s="294"/>
      <c r="L101" s="295"/>
      <c r="M101" s="293"/>
      <c r="N101" s="310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  <c r="AA101" s="294"/>
      <c r="AB101" s="294"/>
      <c r="AC101" s="294"/>
      <c r="AD101" s="294"/>
      <c r="AE101" s="293"/>
      <c r="AF101" s="221"/>
      <c r="AG101" s="294"/>
      <c r="AH101" s="294"/>
      <c r="AI101" s="295"/>
      <c r="AJ101" s="293"/>
      <c r="AK101" s="295"/>
      <c r="AL101" s="295"/>
      <c r="AM101" s="295"/>
      <c r="AN101" s="295"/>
      <c r="AO101" s="295"/>
      <c r="AP101" s="295"/>
      <c r="AQ101" s="295"/>
      <c r="AR101" s="295"/>
      <c r="AS101" s="295"/>
      <c r="AT101" s="295"/>
      <c r="AU101" s="293"/>
      <c r="AV101" s="311"/>
      <c r="AW101" s="296"/>
      <c r="AX101" s="296"/>
      <c r="AY101" s="296"/>
      <c r="AZ101" s="296"/>
      <c r="BA101" s="296"/>
      <c r="BB101" s="296"/>
      <c r="BC101" s="296"/>
      <c r="BD101" s="293">
        <f t="shared" si="26"/>
        <v>0</v>
      </c>
      <c r="BE101" s="221"/>
      <c r="BF101" s="294"/>
      <c r="BG101" s="294"/>
      <c r="BH101" s="294"/>
      <c r="BI101" s="293">
        <f t="shared" si="42"/>
        <v>0</v>
      </c>
      <c r="BJ101" s="300"/>
      <c r="BK101" s="301">
        <f t="shared" si="27"/>
        <v>0</v>
      </c>
      <c r="BL101" s="312">
        <f t="shared" si="28"/>
        <v>0</v>
      </c>
      <c r="BM101" s="313">
        <f t="shared" si="29"/>
        <v>0</v>
      </c>
      <c r="BN101" s="314"/>
      <c r="BP101" s="305"/>
      <c r="BQ101" s="305"/>
      <c r="BR101" s="305"/>
      <c r="BS101" s="305"/>
      <c r="BT101" s="305"/>
      <c r="BU101" s="305"/>
      <c r="BV101" s="305"/>
      <c r="BW101" s="300">
        <f t="shared" si="37"/>
        <v>0</v>
      </c>
      <c r="BX101" s="300"/>
      <c r="BY101" s="305"/>
      <c r="BZ101" s="305"/>
      <c r="CA101" s="305"/>
      <c r="CB101" s="305"/>
      <c r="CC101" s="305"/>
      <c r="CD101" s="305"/>
      <c r="CE101" s="305"/>
      <c r="CF101" s="300">
        <f t="shared" si="38"/>
        <v>0</v>
      </c>
      <c r="CG101" s="300"/>
      <c r="CH101" s="305"/>
      <c r="CI101" s="305"/>
      <c r="CJ101" s="305"/>
      <c r="CK101" s="305"/>
      <c r="CL101" s="305"/>
      <c r="CM101" s="305"/>
      <c r="CN101" s="305"/>
      <c r="CO101" s="300">
        <f t="shared" si="39"/>
        <v>0</v>
      </c>
      <c r="CQ101" s="307">
        <f t="shared" si="30"/>
        <v>0</v>
      </c>
      <c r="CR101" s="307">
        <f t="shared" si="31"/>
        <v>0</v>
      </c>
      <c r="CS101" s="307">
        <f t="shared" si="32"/>
        <v>0</v>
      </c>
      <c r="CT101" s="307">
        <f t="shared" si="33"/>
        <v>0</v>
      </c>
      <c r="CU101" s="307">
        <f t="shared" si="34"/>
        <v>0</v>
      </c>
      <c r="CV101" s="307">
        <f t="shared" si="35"/>
        <v>0</v>
      </c>
      <c r="CW101" s="307">
        <f t="shared" si="36"/>
        <v>0</v>
      </c>
      <c r="CX101" s="307">
        <f t="shared" si="40"/>
        <v>0</v>
      </c>
      <c r="CY101" s="307">
        <f t="shared" si="41"/>
        <v>0</v>
      </c>
    </row>
    <row r="102" spans="1:103" s="230" customFormat="1" ht="21" customHeight="1">
      <c r="A102" s="308"/>
      <c r="B102" s="309"/>
      <c r="C102" s="287" t="str">
        <f>IF($A102=0,"",(VLOOKUP(A102,[3]MAT!$B$5:$D$4756,3,FALSE)))</f>
        <v/>
      </c>
      <c r="D102" s="288" t="s">
        <v>597</v>
      </c>
      <c r="E102" s="290"/>
      <c r="F102" s="310"/>
      <c r="G102" s="311"/>
      <c r="H102" s="293"/>
      <c r="I102" s="221"/>
      <c r="J102" s="294"/>
      <c r="K102" s="294"/>
      <c r="L102" s="295"/>
      <c r="M102" s="293"/>
      <c r="N102" s="310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  <c r="AA102" s="294"/>
      <c r="AB102" s="294"/>
      <c r="AC102" s="294"/>
      <c r="AD102" s="294"/>
      <c r="AE102" s="293"/>
      <c r="AF102" s="221"/>
      <c r="AG102" s="294"/>
      <c r="AH102" s="294"/>
      <c r="AI102" s="295"/>
      <c r="AJ102" s="293"/>
      <c r="AK102" s="295"/>
      <c r="AL102" s="295"/>
      <c r="AM102" s="295"/>
      <c r="AN102" s="295"/>
      <c r="AO102" s="295"/>
      <c r="AP102" s="295"/>
      <c r="AQ102" s="295"/>
      <c r="AR102" s="295"/>
      <c r="AS102" s="295"/>
      <c r="AT102" s="295"/>
      <c r="AU102" s="293"/>
      <c r="AV102" s="311"/>
      <c r="AW102" s="296"/>
      <c r="AX102" s="296"/>
      <c r="AY102" s="296"/>
      <c r="AZ102" s="296"/>
      <c r="BA102" s="296"/>
      <c r="BB102" s="296"/>
      <c r="BC102" s="296"/>
      <c r="BD102" s="293">
        <f t="shared" si="26"/>
        <v>0</v>
      </c>
      <c r="BE102" s="221"/>
      <c r="BF102" s="294"/>
      <c r="BG102" s="294"/>
      <c r="BH102" s="294"/>
      <c r="BI102" s="293">
        <f t="shared" si="42"/>
        <v>0</v>
      </c>
      <c r="BJ102" s="300"/>
      <c r="BK102" s="301">
        <f t="shared" si="27"/>
        <v>0</v>
      </c>
      <c r="BL102" s="312">
        <f t="shared" si="28"/>
        <v>0</v>
      </c>
      <c r="BM102" s="313">
        <f t="shared" si="29"/>
        <v>0</v>
      </c>
      <c r="BN102" s="314"/>
      <c r="BP102" s="305"/>
      <c r="BQ102" s="305"/>
      <c r="BR102" s="305"/>
      <c r="BS102" s="305"/>
      <c r="BT102" s="305"/>
      <c r="BU102" s="305"/>
      <c r="BV102" s="305"/>
      <c r="BW102" s="300">
        <f t="shared" si="37"/>
        <v>0</v>
      </c>
      <c r="BX102" s="300"/>
      <c r="BY102" s="305"/>
      <c r="BZ102" s="305"/>
      <c r="CA102" s="305"/>
      <c r="CB102" s="305"/>
      <c r="CC102" s="305"/>
      <c r="CD102" s="305"/>
      <c r="CE102" s="305"/>
      <c r="CF102" s="300">
        <f t="shared" si="38"/>
        <v>0</v>
      </c>
      <c r="CG102" s="300"/>
      <c r="CH102" s="305"/>
      <c r="CI102" s="305"/>
      <c r="CJ102" s="305"/>
      <c r="CK102" s="305"/>
      <c r="CL102" s="305"/>
      <c r="CM102" s="305"/>
      <c r="CN102" s="305"/>
      <c r="CO102" s="300">
        <f t="shared" si="39"/>
        <v>0</v>
      </c>
      <c r="CQ102" s="307">
        <f t="shared" si="30"/>
        <v>0</v>
      </c>
      <c r="CR102" s="307">
        <f t="shared" si="31"/>
        <v>0</v>
      </c>
      <c r="CS102" s="307">
        <f t="shared" si="32"/>
        <v>0</v>
      </c>
      <c r="CT102" s="307">
        <f t="shared" si="33"/>
        <v>0</v>
      </c>
      <c r="CU102" s="307">
        <f t="shared" si="34"/>
        <v>0</v>
      </c>
      <c r="CV102" s="307">
        <f t="shared" si="35"/>
        <v>0</v>
      </c>
      <c r="CW102" s="307">
        <f t="shared" si="36"/>
        <v>0</v>
      </c>
      <c r="CX102" s="307">
        <f t="shared" si="40"/>
        <v>0</v>
      </c>
      <c r="CY102" s="307">
        <f t="shared" si="41"/>
        <v>0</v>
      </c>
    </row>
    <row r="103" spans="1:103" s="230" customFormat="1" ht="21" customHeight="1">
      <c r="A103" s="308"/>
      <c r="B103" s="309"/>
      <c r="C103" s="287" t="str">
        <f>IF($A103=0,"",(VLOOKUP(A103,[3]MAT!$B$5:$D$4756,3,FALSE)))</f>
        <v/>
      </c>
      <c r="D103" s="288" t="s">
        <v>597</v>
      </c>
      <c r="E103" s="290"/>
      <c r="F103" s="310"/>
      <c r="G103" s="311"/>
      <c r="H103" s="293"/>
      <c r="I103" s="221"/>
      <c r="J103" s="294"/>
      <c r="K103" s="294"/>
      <c r="L103" s="295"/>
      <c r="M103" s="293"/>
      <c r="N103" s="310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  <c r="AA103" s="294"/>
      <c r="AB103" s="294"/>
      <c r="AC103" s="294"/>
      <c r="AD103" s="294"/>
      <c r="AE103" s="293"/>
      <c r="AF103" s="221"/>
      <c r="AG103" s="294"/>
      <c r="AH103" s="294"/>
      <c r="AI103" s="295"/>
      <c r="AJ103" s="293"/>
      <c r="AK103" s="295"/>
      <c r="AL103" s="295"/>
      <c r="AM103" s="295"/>
      <c r="AN103" s="295"/>
      <c r="AO103" s="295"/>
      <c r="AP103" s="295"/>
      <c r="AQ103" s="295"/>
      <c r="AR103" s="295"/>
      <c r="AS103" s="295"/>
      <c r="AT103" s="295"/>
      <c r="AU103" s="293"/>
      <c r="AV103" s="311"/>
      <c r="AW103" s="296"/>
      <c r="AX103" s="296"/>
      <c r="AY103" s="296"/>
      <c r="AZ103" s="296"/>
      <c r="BA103" s="296"/>
      <c r="BB103" s="296"/>
      <c r="BC103" s="296"/>
      <c r="BD103" s="293">
        <f t="shared" si="26"/>
        <v>0</v>
      </c>
      <c r="BE103" s="221"/>
      <c r="BF103" s="294"/>
      <c r="BG103" s="294"/>
      <c r="BH103" s="294"/>
      <c r="BI103" s="293">
        <f t="shared" si="42"/>
        <v>0</v>
      </c>
      <c r="BJ103" s="300"/>
      <c r="BK103" s="301">
        <f t="shared" si="27"/>
        <v>0</v>
      </c>
      <c r="BL103" s="312">
        <f t="shared" si="28"/>
        <v>0</v>
      </c>
      <c r="BM103" s="313">
        <f t="shared" si="29"/>
        <v>0</v>
      </c>
      <c r="BN103" s="314"/>
      <c r="BP103" s="305"/>
      <c r="BQ103" s="305"/>
      <c r="BR103" s="305"/>
      <c r="BS103" s="305"/>
      <c r="BT103" s="305"/>
      <c r="BU103" s="305"/>
      <c r="BV103" s="305"/>
      <c r="BW103" s="300">
        <f t="shared" si="37"/>
        <v>0</v>
      </c>
      <c r="BX103" s="300"/>
      <c r="BY103" s="305"/>
      <c r="BZ103" s="305"/>
      <c r="CA103" s="305"/>
      <c r="CB103" s="305"/>
      <c r="CC103" s="305"/>
      <c r="CD103" s="305"/>
      <c r="CE103" s="305"/>
      <c r="CF103" s="300">
        <f t="shared" si="38"/>
        <v>0</v>
      </c>
      <c r="CG103" s="300"/>
      <c r="CH103" s="305"/>
      <c r="CI103" s="305"/>
      <c r="CJ103" s="305"/>
      <c r="CK103" s="305"/>
      <c r="CL103" s="305"/>
      <c r="CM103" s="305"/>
      <c r="CN103" s="305"/>
      <c r="CO103" s="300">
        <f t="shared" si="39"/>
        <v>0</v>
      </c>
      <c r="CQ103" s="307">
        <f t="shared" si="30"/>
        <v>0</v>
      </c>
      <c r="CR103" s="307">
        <f t="shared" si="31"/>
        <v>0</v>
      </c>
      <c r="CS103" s="307">
        <f t="shared" si="32"/>
        <v>0</v>
      </c>
      <c r="CT103" s="307">
        <f t="shared" si="33"/>
        <v>0</v>
      </c>
      <c r="CU103" s="307">
        <f t="shared" si="34"/>
        <v>0</v>
      </c>
      <c r="CV103" s="307">
        <f t="shared" si="35"/>
        <v>0</v>
      </c>
      <c r="CW103" s="307">
        <f t="shared" si="36"/>
        <v>0</v>
      </c>
      <c r="CX103" s="307">
        <f t="shared" si="40"/>
        <v>0</v>
      </c>
      <c r="CY103" s="307">
        <f t="shared" si="41"/>
        <v>0</v>
      </c>
    </row>
    <row r="104" spans="1:103" s="230" customFormat="1" ht="21" customHeight="1">
      <c r="A104" s="308"/>
      <c r="B104" s="309"/>
      <c r="C104" s="287" t="str">
        <f>IF($A104=0,"",(VLOOKUP(A104,[3]MAT!$B$5:$D$4756,3,FALSE)))</f>
        <v/>
      </c>
      <c r="D104" s="288" t="s">
        <v>597</v>
      </c>
      <c r="E104" s="290"/>
      <c r="F104" s="310"/>
      <c r="G104" s="311"/>
      <c r="H104" s="293"/>
      <c r="I104" s="221"/>
      <c r="J104" s="294"/>
      <c r="K104" s="294"/>
      <c r="L104" s="295"/>
      <c r="M104" s="293"/>
      <c r="N104" s="310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  <c r="AA104" s="294"/>
      <c r="AB104" s="294"/>
      <c r="AC104" s="294"/>
      <c r="AD104" s="294"/>
      <c r="AE104" s="293"/>
      <c r="AF104" s="221"/>
      <c r="AG104" s="294"/>
      <c r="AH104" s="294"/>
      <c r="AI104" s="295"/>
      <c r="AJ104" s="293"/>
      <c r="AK104" s="295"/>
      <c r="AL104" s="295"/>
      <c r="AM104" s="295"/>
      <c r="AN104" s="295"/>
      <c r="AO104" s="295"/>
      <c r="AP104" s="295"/>
      <c r="AQ104" s="295"/>
      <c r="AR104" s="295"/>
      <c r="AS104" s="295"/>
      <c r="AT104" s="295"/>
      <c r="AU104" s="293"/>
      <c r="AV104" s="311"/>
      <c r="AW104" s="296"/>
      <c r="AX104" s="296"/>
      <c r="AY104" s="296"/>
      <c r="AZ104" s="296"/>
      <c r="BA104" s="296"/>
      <c r="BB104" s="296"/>
      <c r="BC104" s="296"/>
      <c r="BD104" s="293">
        <f t="shared" si="26"/>
        <v>0</v>
      </c>
      <c r="BE104" s="221"/>
      <c r="BF104" s="294"/>
      <c r="BG104" s="294"/>
      <c r="BH104" s="294"/>
      <c r="BI104" s="293">
        <f t="shared" si="42"/>
        <v>0</v>
      </c>
      <c r="BJ104" s="300"/>
      <c r="BK104" s="301">
        <f t="shared" si="27"/>
        <v>0</v>
      </c>
      <c r="BL104" s="312">
        <f t="shared" si="28"/>
        <v>0</v>
      </c>
      <c r="BM104" s="313">
        <f t="shared" si="29"/>
        <v>0</v>
      </c>
      <c r="BN104" s="314"/>
      <c r="BP104" s="305"/>
      <c r="BQ104" s="305"/>
      <c r="BR104" s="305"/>
      <c r="BS104" s="305"/>
      <c r="BT104" s="305"/>
      <c r="BU104" s="305"/>
      <c r="BV104" s="305"/>
      <c r="BW104" s="300">
        <f t="shared" si="37"/>
        <v>0</v>
      </c>
      <c r="BX104" s="300"/>
      <c r="BY104" s="305"/>
      <c r="BZ104" s="305"/>
      <c r="CA104" s="305"/>
      <c r="CB104" s="305"/>
      <c r="CC104" s="305"/>
      <c r="CD104" s="305"/>
      <c r="CE104" s="305"/>
      <c r="CF104" s="300">
        <f t="shared" si="38"/>
        <v>0</v>
      </c>
      <c r="CG104" s="300"/>
      <c r="CH104" s="305"/>
      <c r="CI104" s="305"/>
      <c r="CJ104" s="305"/>
      <c r="CK104" s="305"/>
      <c r="CL104" s="305"/>
      <c r="CM104" s="305"/>
      <c r="CN104" s="305"/>
      <c r="CO104" s="300">
        <f t="shared" si="39"/>
        <v>0</v>
      </c>
      <c r="CQ104" s="307">
        <f t="shared" si="30"/>
        <v>0</v>
      </c>
      <c r="CR104" s="307">
        <f t="shared" si="31"/>
        <v>0</v>
      </c>
      <c r="CS104" s="307">
        <f t="shared" si="32"/>
        <v>0</v>
      </c>
      <c r="CT104" s="307">
        <f t="shared" si="33"/>
        <v>0</v>
      </c>
      <c r="CU104" s="307">
        <f t="shared" si="34"/>
        <v>0</v>
      </c>
      <c r="CV104" s="307">
        <f t="shared" si="35"/>
        <v>0</v>
      </c>
      <c r="CW104" s="307">
        <f t="shared" si="36"/>
        <v>0</v>
      </c>
      <c r="CX104" s="307">
        <f t="shared" si="40"/>
        <v>0</v>
      </c>
      <c r="CY104" s="307">
        <f t="shared" si="41"/>
        <v>0</v>
      </c>
    </row>
    <row r="105" spans="1:103" s="230" customFormat="1" ht="21" customHeight="1">
      <c r="A105" s="308"/>
      <c r="B105" s="309"/>
      <c r="C105" s="287" t="str">
        <f>IF($A105=0,"",(VLOOKUP(A105,[3]MAT!$B$5:$D$4756,3,FALSE)))</f>
        <v/>
      </c>
      <c r="D105" s="288" t="s">
        <v>597</v>
      </c>
      <c r="E105" s="290"/>
      <c r="F105" s="310"/>
      <c r="G105" s="311"/>
      <c r="H105" s="293"/>
      <c r="I105" s="221"/>
      <c r="J105" s="294"/>
      <c r="K105" s="294"/>
      <c r="L105" s="295"/>
      <c r="M105" s="293"/>
      <c r="N105" s="310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94"/>
      <c r="AB105" s="294"/>
      <c r="AC105" s="294"/>
      <c r="AD105" s="294"/>
      <c r="AE105" s="293"/>
      <c r="AF105" s="221"/>
      <c r="AG105" s="294"/>
      <c r="AH105" s="294"/>
      <c r="AI105" s="295"/>
      <c r="AJ105" s="293"/>
      <c r="AK105" s="295"/>
      <c r="AL105" s="295"/>
      <c r="AM105" s="295"/>
      <c r="AN105" s="295"/>
      <c r="AO105" s="295"/>
      <c r="AP105" s="295"/>
      <c r="AQ105" s="295"/>
      <c r="AR105" s="295"/>
      <c r="AS105" s="295"/>
      <c r="AT105" s="295"/>
      <c r="AU105" s="293"/>
      <c r="AV105" s="311"/>
      <c r="AW105" s="296"/>
      <c r="AX105" s="296"/>
      <c r="AY105" s="296"/>
      <c r="AZ105" s="296"/>
      <c r="BA105" s="296"/>
      <c r="BB105" s="296"/>
      <c r="BC105" s="296"/>
      <c r="BD105" s="293">
        <f t="shared" si="26"/>
        <v>0</v>
      </c>
      <c r="BE105" s="221"/>
      <c r="BF105" s="294"/>
      <c r="BG105" s="294"/>
      <c r="BH105" s="294"/>
      <c r="BI105" s="293">
        <f t="shared" si="42"/>
        <v>0</v>
      </c>
      <c r="BJ105" s="300"/>
      <c r="BK105" s="301">
        <f t="shared" si="27"/>
        <v>0</v>
      </c>
      <c r="BL105" s="312">
        <f t="shared" si="28"/>
        <v>0</v>
      </c>
      <c r="BM105" s="313">
        <f t="shared" si="29"/>
        <v>0</v>
      </c>
      <c r="BN105" s="314"/>
      <c r="BP105" s="305"/>
      <c r="BQ105" s="305"/>
      <c r="BR105" s="305"/>
      <c r="BS105" s="305"/>
      <c r="BT105" s="305"/>
      <c r="BU105" s="305"/>
      <c r="BV105" s="305"/>
      <c r="BW105" s="300">
        <f t="shared" si="37"/>
        <v>0</v>
      </c>
      <c r="BX105" s="300"/>
      <c r="BY105" s="305"/>
      <c r="BZ105" s="305"/>
      <c r="CA105" s="305"/>
      <c r="CB105" s="305"/>
      <c r="CC105" s="305"/>
      <c r="CD105" s="305"/>
      <c r="CE105" s="305"/>
      <c r="CF105" s="300">
        <f t="shared" si="38"/>
        <v>0</v>
      </c>
      <c r="CG105" s="300"/>
      <c r="CH105" s="305"/>
      <c r="CI105" s="305"/>
      <c r="CJ105" s="305"/>
      <c r="CK105" s="305"/>
      <c r="CL105" s="305"/>
      <c r="CM105" s="305"/>
      <c r="CN105" s="305"/>
      <c r="CO105" s="300">
        <f t="shared" si="39"/>
        <v>0</v>
      </c>
      <c r="CQ105" s="307">
        <f t="shared" si="30"/>
        <v>0</v>
      </c>
      <c r="CR105" s="307">
        <f t="shared" si="31"/>
        <v>0</v>
      </c>
      <c r="CS105" s="307">
        <f t="shared" si="32"/>
        <v>0</v>
      </c>
      <c r="CT105" s="307">
        <f t="shared" si="33"/>
        <v>0</v>
      </c>
      <c r="CU105" s="307">
        <f t="shared" si="34"/>
        <v>0</v>
      </c>
      <c r="CV105" s="307">
        <f t="shared" si="35"/>
        <v>0</v>
      </c>
      <c r="CW105" s="307">
        <f t="shared" si="36"/>
        <v>0</v>
      </c>
      <c r="CX105" s="307">
        <f t="shared" si="40"/>
        <v>0</v>
      </c>
      <c r="CY105" s="307">
        <f t="shared" si="41"/>
        <v>0</v>
      </c>
    </row>
    <row r="106" spans="1:103" s="230" customFormat="1" ht="21" customHeight="1">
      <c r="A106" s="308"/>
      <c r="B106" s="309"/>
      <c r="C106" s="287" t="str">
        <f>IF($A106=0,"",(VLOOKUP(A106,[3]MAT!$B$5:$D$4756,3,FALSE)))</f>
        <v/>
      </c>
      <c r="D106" s="288" t="s">
        <v>597</v>
      </c>
      <c r="E106" s="290"/>
      <c r="F106" s="310"/>
      <c r="G106" s="311"/>
      <c r="H106" s="293"/>
      <c r="I106" s="221"/>
      <c r="J106" s="294"/>
      <c r="K106" s="294"/>
      <c r="L106" s="295"/>
      <c r="M106" s="293"/>
      <c r="N106" s="310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94"/>
      <c r="AB106" s="294"/>
      <c r="AC106" s="294"/>
      <c r="AD106" s="294"/>
      <c r="AE106" s="293"/>
      <c r="AF106" s="221"/>
      <c r="AG106" s="294"/>
      <c r="AH106" s="294"/>
      <c r="AI106" s="295"/>
      <c r="AJ106" s="293"/>
      <c r="AK106" s="295"/>
      <c r="AL106" s="295"/>
      <c r="AM106" s="295"/>
      <c r="AN106" s="295"/>
      <c r="AO106" s="295"/>
      <c r="AP106" s="295"/>
      <c r="AQ106" s="295"/>
      <c r="AR106" s="295"/>
      <c r="AS106" s="295"/>
      <c r="AT106" s="295"/>
      <c r="AU106" s="293"/>
      <c r="AV106" s="311"/>
      <c r="AW106" s="296"/>
      <c r="AX106" s="296"/>
      <c r="AY106" s="296"/>
      <c r="AZ106" s="296"/>
      <c r="BA106" s="296"/>
      <c r="BB106" s="296"/>
      <c r="BC106" s="296"/>
      <c r="BD106" s="293">
        <f t="shared" si="26"/>
        <v>0</v>
      </c>
      <c r="BE106" s="221"/>
      <c r="BF106" s="294"/>
      <c r="BG106" s="294"/>
      <c r="BH106" s="294"/>
      <c r="BI106" s="293">
        <f t="shared" si="42"/>
        <v>0</v>
      </c>
      <c r="BJ106" s="300"/>
      <c r="BK106" s="301">
        <f t="shared" si="27"/>
        <v>0</v>
      </c>
      <c r="BL106" s="312">
        <f t="shared" si="28"/>
        <v>0</v>
      </c>
      <c r="BM106" s="313">
        <f t="shared" si="29"/>
        <v>0</v>
      </c>
      <c r="BN106" s="314"/>
      <c r="BP106" s="305"/>
      <c r="BQ106" s="305"/>
      <c r="BR106" s="305"/>
      <c r="BS106" s="305"/>
      <c r="BT106" s="305"/>
      <c r="BU106" s="305"/>
      <c r="BV106" s="305"/>
      <c r="BW106" s="300">
        <f t="shared" si="37"/>
        <v>0</v>
      </c>
      <c r="BX106" s="300"/>
      <c r="BY106" s="305"/>
      <c r="BZ106" s="305"/>
      <c r="CA106" s="305"/>
      <c r="CB106" s="305"/>
      <c r="CC106" s="305"/>
      <c r="CD106" s="305"/>
      <c r="CE106" s="305"/>
      <c r="CF106" s="300">
        <f t="shared" si="38"/>
        <v>0</v>
      </c>
      <c r="CG106" s="300"/>
      <c r="CH106" s="305"/>
      <c r="CI106" s="305"/>
      <c r="CJ106" s="305"/>
      <c r="CK106" s="305"/>
      <c r="CL106" s="305"/>
      <c r="CM106" s="305"/>
      <c r="CN106" s="305"/>
      <c r="CO106" s="300">
        <f t="shared" si="39"/>
        <v>0</v>
      </c>
      <c r="CQ106" s="307">
        <f t="shared" si="30"/>
        <v>0</v>
      </c>
      <c r="CR106" s="307">
        <f t="shared" si="31"/>
        <v>0</v>
      </c>
      <c r="CS106" s="307">
        <f t="shared" si="32"/>
        <v>0</v>
      </c>
      <c r="CT106" s="307">
        <f t="shared" si="33"/>
        <v>0</v>
      </c>
      <c r="CU106" s="307">
        <f t="shared" si="34"/>
        <v>0</v>
      </c>
      <c r="CV106" s="307">
        <f t="shared" si="35"/>
        <v>0</v>
      </c>
      <c r="CW106" s="307">
        <f t="shared" si="36"/>
        <v>0</v>
      </c>
      <c r="CX106" s="307">
        <f t="shared" si="40"/>
        <v>0</v>
      </c>
      <c r="CY106" s="307">
        <f t="shared" si="41"/>
        <v>0</v>
      </c>
    </row>
    <row r="107" spans="1:103" s="230" customFormat="1" ht="21" customHeight="1">
      <c r="A107" s="308"/>
      <c r="B107" s="309"/>
      <c r="C107" s="287" t="str">
        <f>IF($A107=0,"",(VLOOKUP(A107,[3]MAT!$B$5:$D$4756,3,FALSE)))</f>
        <v/>
      </c>
      <c r="D107" s="288" t="s">
        <v>597</v>
      </c>
      <c r="E107" s="290"/>
      <c r="F107" s="310"/>
      <c r="G107" s="311"/>
      <c r="H107" s="293"/>
      <c r="I107" s="221"/>
      <c r="J107" s="294"/>
      <c r="K107" s="294"/>
      <c r="L107" s="295"/>
      <c r="M107" s="293"/>
      <c r="N107" s="310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  <c r="AA107" s="294"/>
      <c r="AB107" s="294"/>
      <c r="AC107" s="294"/>
      <c r="AD107" s="294"/>
      <c r="AE107" s="293"/>
      <c r="AF107" s="221"/>
      <c r="AG107" s="294"/>
      <c r="AH107" s="294"/>
      <c r="AI107" s="295"/>
      <c r="AJ107" s="293"/>
      <c r="AK107" s="295"/>
      <c r="AL107" s="295"/>
      <c r="AM107" s="295"/>
      <c r="AN107" s="295"/>
      <c r="AO107" s="295"/>
      <c r="AP107" s="295"/>
      <c r="AQ107" s="295"/>
      <c r="AR107" s="295"/>
      <c r="AS107" s="295"/>
      <c r="AT107" s="295"/>
      <c r="AU107" s="293"/>
      <c r="AV107" s="311"/>
      <c r="AW107" s="296"/>
      <c r="AX107" s="296"/>
      <c r="AY107" s="296"/>
      <c r="AZ107" s="296"/>
      <c r="BA107" s="296"/>
      <c r="BB107" s="296"/>
      <c r="BC107" s="296"/>
      <c r="BD107" s="293">
        <f t="shared" si="26"/>
        <v>0</v>
      </c>
      <c r="BE107" s="221"/>
      <c r="BF107" s="294"/>
      <c r="BG107" s="294"/>
      <c r="BH107" s="294"/>
      <c r="BI107" s="293">
        <f t="shared" si="42"/>
        <v>0</v>
      </c>
      <c r="BJ107" s="300"/>
      <c r="BK107" s="301">
        <f t="shared" si="27"/>
        <v>0</v>
      </c>
      <c r="BL107" s="312">
        <f t="shared" si="28"/>
        <v>0</v>
      </c>
      <c r="BM107" s="313">
        <f t="shared" si="29"/>
        <v>0</v>
      </c>
      <c r="BN107" s="314"/>
      <c r="BP107" s="305"/>
      <c r="BQ107" s="305"/>
      <c r="BR107" s="305"/>
      <c r="BS107" s="305"/>
      <c r="BT107" s="305"/>
      <c r="BU107" s="305"/>
      <c r="BV107" s="305"/>
      <c r="BW107" s="300">
        <f t="shared" si="37"/>
        <v>0</v>
      </c>
      <c r="BX107" s="300"/>
      <c r="BY107" s="305"/>
      <c r="BZ107" s="305"/>
      <c r="CA107" s="305"/>
      <c r="CB107" s="305"/>
      <c r="CC107" s="305"/>
      <c r="CD107" s="305"/>
      <c r="CE107" s="305"/>
      <c r="CF107" s="300">
        <f t="shared" si="38"/>
        <v>0</v>
      </c>
      <c r="CG107" s="300"/>
      <c r="CH107" s="305"/>
      <c r="CI107" s="305"/>
      <c r="CJ107" s="305"/>
      <c r="CK107" s="305"/>
      <c r="CL107" s="305"/>
      <c r="CM107" s="305"/>
      <c r="CN107" s="305"/>
      <c r="CO107" s="300">
        <f t="shared" si="39"/>
        <v>0</v>
      </c>
      <c r="CQ107" s="307">
        <f t="shared" si="30"/>
        <v>0</v>
      </c>
      <c r="CR107" s="307">
        <f t="shared" si="31"/>
        <v>0</v>
      </c>
      <c r="CS107" s="307">
        <f t="shared" si="32"/>
        <v>0</v>
      </c>
      <c r="CT107" s="307">
        <f t="shared" si="33"/>
        <v>0</v>
      </c>
      <c r="CU107" s="307">
        <f t="shared" si="34"/>
        <v>0</v>
      </c>
      <c r="CV107" s="307">
        <f t="shared" si="35"/>
        <v>0</v>
      </c>
      <c r="CW107" s="307">
        <f t="shared" si="36"/>
        <v>0</v>
      </c>
      <c r="CX107" s="307">
        <f t="shared" si="40"/>
        <v>0</v>
      </c>
      <c r="CY107" s="307">
        <f t="shared" si="41"/>
        <v>0</v>
      </c>
    </row>
    <row r="108" spans="1:103" s="230" customFormat="1" ht="21" customHeight="1">
      <c r="A108" s="308"/>
      <c r="B108" s="309"/>
      <c r="C108" s="287" t="str">
        <f>IF($A108=0,"",(VLOOKUP(A108,[3]MAT!$B$5:$D$4756,3,FALSE)))</f>
        <v/>
      </c>
      <c r="D108" s="288" t="s">
        <v>597</v>
      </c>
      <c r="E108" s="290"/>
      <c r="F108" s="310"/>
      <c r="G108" s="311"/>
      <c r="H108" s="293"/>
      <c r="I108" s="221"/>
      <c r="J108" s="294"/>
      <c r="K108" s="294"/>
      <c r="L108" s="295"/>
      <c r="M108" s="293"/>
      <c r="N108" s="310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  <c r="AA108" s="294"/>
      <c r="AB108" s="294"/>
      <c r="AC108" s="294"/>
      <c r="AD108" s="294"/>
      <c r="AE108" s="293"/>
      <c r="AF108" s="221"/>
      <c r="AG108" s="294"/>
      <c r="AH108" s="294"/>
      <c r="AI108" s="295"/>
      <c r="AJ108" s="293"/>
      <c r="AK108" s="295"/>
      <c r="AL108" s="295"/>
      <c r="AM108" s="295"/>
      <c r="AN108" s="295"/>
      <c r="AO108" s="295"/>
      <c r="AP108" s="295"/>
      <c r="AQ108" s="295"/>
      <c r="AR108" s="295"/>
      <c r="AS108" s="295"/>
      <c r="AT108" s="295"/>
      <c r="AU108" s="293"/>
      <c r="AV108" s="311"/>
      <c r="AW108" s="296"/>
      <c r="AX108" s="296"/>
      <c r="AY108" s="296"/>
      <c r="AZ108" s="296"/>
      <c r="BA108" s="296"/>
      <c r="BB108" s="296"/>
      <c r="BC108" s="296"/>
      <c r="BD108" s="293">
        <f t="shared" si="26"/>
        <v>0</v>
      </c>
      <c r="BE108" s="221"/>
      <c r="BF108" s="294"/>
      <c r="BG108" s="294"/>
      <c r="BH108" s="294"/>
      <c r="BI108" s="293">
        <f t="shared" si="42"/>
        <v>0</v>
      </c>
      <c r="BJ108" s="300"/>
      <c r="BK108" s="301">
        <f t="shared" si="27"/>
        <v>0</v>
      </c>
      <c r="BL108" s="312">
        <f t="shared" si="28"/>
        <v>0</v>
      </c>
      <c r="BM108" s="313">
        <f t="shared" si="29"/>
        <v>0</v>
      </c>
      <c r="BN108" s="314"/>
      <c r="BP108" s="305"/>
      <c r="BQ108" s="305"/>
      <c r="BR108" s="305"/>
      <c r="BS108" s="305"/>
      <c r="BT108" s="305"/>
      <c r="BU108" s="305"/>
      <c r="BV108" s="305"/>
      <c r="BW108" s="300">
        <f t="shared" si="37"/>
        <v>0</v>
      </c>
      <c r="BX108" s="300"/>
      <c r="BY108" s="305"/>
      <c r="BZ108" s="305"/>
      <c r="CA108" s="305"/>
      <c r="CB108" s="305"/>
      <c r="CC108" s="305"/>
      <c r="CD108" s="305"/>
      <c r="CE108" s="305"/>
      <c r="CF108" s="300">
        <f t="shared" si="38"/>
        <v>0</v>
      </c>
      <c r="CG108" s="300"/>
      <c r="CH108" s="305"/>
      <c r="CI108" s="305"/>
      <c r="CJ108" s="305"/>
      <c r="CK108" s="305"/>
      <c r="CL108" s="305"/>
      <c r="CM108" s="305"/>
      <c r="CN108" s="305"/>
      <c r="CO108" s="300">
        <f t="shared" si="39"/>
        <v>0</v>
      </c>
      <c r="CQ108" s="307">
        <f t="shared" si="30"/>
        <v>0</v>
      </c>
      <c r="CR108" s="307">
        <f t="shared" si="31"/>
        <v>0</v>
      </c>
      <c r="CS108" s="307">
        <f t="shared" si="32"/>
        <v>0</v>
      </c>
      <c r="CT108" s="307">
        <f t="shared" si="33"/>
        <v>0</v>
      </c>
      <c r="CU108" s="307">
        <f t="shared" si="34"/>
        <v>0</v>
      </c>
      <c r="CV108" s="307">
        <f t="shared" si="35"/>
        <v>0</v>
      </c>
      <c r="CW108" s="307">
        <f t="shared" si="36"/>
        <v>0</v>
      </c>
      <c r="CX108" s="307">
        <f t="shared" si="40"/>
        <v>0</v>
      </c>
      <c r="CY108" s="307">
        <f t="shared" si="41"/>
        <v>0</v>
      </c>
    </row>
    <row r="109" spans="1:103" s="230" customFormat="1" ht="21" customHeight="1">
      <c r="A109" s="308"/>
      <c r="B109" s="309"/>
      <c r="C109" s="287" t="str">
        <f>IF($A109=0,"",(VLOOKUP(A109,[3]MAT!$B$5:$D$4756,3,FALSE)))</f>
        <v/>
      </c>
      <c r="D109" s="288" t="s">
        <v>597</v>
      </c>
      <c r="E109" s="290"/>
      <c r="F109" s="310"/>
      <c r="G109" s="311"/>
      <c r="H109" s="293"/>
      <c r="I109" s="221"/>
      <c r="J109" s="294"/>
      <c r="K109" s="294"/>
      <c r="L109" s="295"/>
      <c r="M109" s="293"/>
      <c r="N109" s="310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  <c r="AA109" s="294"/>
      <c r="AB109" s="294"/>
      <c r="AC109" s="294"/>
      <c r="AD109" s="294"/>
      <c r="AE109" s="293"/>
      <c r="AF109" s="221"/>
      <c r="AG109" s="294"/>
      <c r="AH109" s="294"/>
      <c r="AI109" s="295"/>
      <c r="AJ109" s="293"/>
      <c r="AK109" s="295"/>
      <c r="AL109" s="295"/>
      <c r="AM109" s="295"/>
      <c r="AN109" s="295"/>
      <c r="AO109" s="295"/>
      <c r="AP109" s="295"/>
      <c r="AQ109" s="295"/>
      <c r="AR109" s="295"/>
      <c r="AS109" s="295"/>
      <c r="AT109" s="295"/>
      <c r="AU109" s="293"/>
      <c r="AV109" s="311"/>
      <c r="AW109" s="296"/>
      <c r="AX109" s="296"/>
      <c r="AY109" s="296"/>
      <c r="AZ109" s="296"/>
      <c r="BA109" s="296"/>
      <c r="BB109" s="296"/>
      <c r="BC109" s="296"/>
      <c r="BD109" s="293">
        <f t="shared" ref="BD109:BD140" si="43">SUM(AV109:BC109)</f>
        <v>0</v>
      </c>
      <c r="BE109" s="221"/>
      <c r="BF109" s="294"/>
      <c r="BG109" s="294"/>
      <c r="BH109" s="294"/>
      <c r="BI109" s="293">
        <f t="shared" si="42"/>
        <v>0</v>
      </c>
      <c r="BJ109" s="300"/>
      <c r="BK109" s="301">
        <f t="shared" si="27"/>
        <v>0</v>
      </c>
      <c r="BL109" s="312">
        <f t="shared" si="28"/>
        <v>0</v>
      </c>
      <c r="BM109" s="313">
        <f t="shared" si="29"/>
        <v>0</v>
      </c>
      <c r="BN109" s="314"/>
      <c r="BP109" s="305"/>
      <c r="BQ109" s="305"/>
      <c r="BR109" s="305"/>
      <c r="BS109" s="305"/>
      <c r="BT109" s="305"/>
      <c r="BU109" s="305"/>
      <c r="BV109" s="305"/>
      <c r="BW109" s="300">
        <f t="shared" si="37"/>
        <v>0</v>
      </c>
      <c r="BX109" s="300"/>
      <c r="BY109" s="305"/>
      <c r="BZ109" s="305"/>
      <c r="CA109" s="305"/>
      <c r="CB109" s="305"/>
      <c r="CC109" s="305"/>
      <c r="CD109" s="305"/>
      <c r="CE109" s="305"/>
      <c r="CF109" s="300">
        <f t="shared" si="38"/>
        <v>0</v>
      </c>
      <c r="CG109" s="300"/>
      <c r="CH109" s="305"/>
      <c r="CI109" s="305"/>
      <c r="CJ109" s="305"/>
      <c r="CK109" s="305"/>
      <c r="CL109" s="305"/>
      <c r="CM109" s="305"/>
      <c r="CN109" s="305"/>
      <c r="CO109" s="300">
        <f t="shared" si="39"/>
        <v>0</v>
      </c>
      <c r="CQ109" s="307">
        <f t="shared" si="30"/>
        <v>0</v>
      </c>
      <c r="CR109" s="307">
        <f t="shared" si="31"/>
        <v>0</v>
      </c>
      <c r="CS109" s="307">
        <f t="shared" si="32"/>
        <v>0</v>
      </c>
      <c r="CT109" s="307">
        <f t="shared" si="33"/>
        <v>0</v>
      </c>
      <c r="CU109" s="307">
        <f t="shared" si="34"/>
        <v>0</v>
      </c>
      <c r="CV109" s="307">
        <f t="shared" si="35"/>
        <v>0</v>
      </c>
      <c r="CW109" s="307">
        <f t="shared" si="36"/>
        <v>0</v>
      </c>
      <c r="CX109" s="307">
        <f t="shared" si="40"/>
        <v>0</v>
      </c>
      <c r="CY109" s="307">
        <f t="shared" si="41"/>
        <v>0</v>
      </c>
    </row>
    <row r="110" spans="1:103" s="230" customFormat="1" ht="21" customHeight="1">
      <c r="A110" s="308"/>
      <c r="B110" s="309"/>
      <c r="C110" s="287" t="str">
        <f>IF($A110=0,"",(VLOOKUP(A110,[3]MAT!$B$5:$D$4756,3,FALSE)))</f>
        <v/>
      </c>
      <c r="D110" s="288" t="s">
        <v>597</v>
      </c>
      <c r="E110" s="290"/>
      <c r="F110" s="310"/>
      <c r="G110" s="311"/>
      <c r="H110" s="293"/>
      <c r="I110" s="221"/>
      <c r="J110" s="294"/>
      <c r="K110" s="294"/>
      <c r="L110" s="295"/>
      <c r="M110" s="293"/>
      <c r="N110" s="310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  <c r="AA110" s="294"/>
      <c r="AB110" s="294"/>
      <c r="AC110" s="294"/>
      <c r="AD110" s="294"/>
      <c r="AE110" s="293"/>
      <c r="AF110" s="221"/>
      <c r="AG110" s="294"/>
      <c r="AH110" s="294"/>
      <c r="AI110" s="295"/>
      <c r="AJ110" s="293"/>
      <c r="AK110" s="295"/>
      <c r="AL110" s="295"/>
      <c r="AM110" s="295"/>
      <c r="AN110" s="295"/>
      <c r="AO110" s="295"/>
      <c r="AP110" s="295"/>
      <c r="AQ110" s="295"/>
      <c r="AR110" s="295"/>
      <c r="AS110" s="295"/>
      <c r="AT110" s="295"/>
      <c r="AU110" s="293"/>
      <c r="AV110" s="311"/>
      <c r="AW110" s="296"/>
      <c r="AX110" s="296"/>
      <c r="AY110" s="296"/>
      <c r="AZ110" s="296"/>
      <c r="BA110" s="296"/>
      <c r="BB110" s="296"/>
      <c r="BC110" s="296"/>
      <c r="BD110" s="293">
        <f t="shared" si="43"/>
        <v>0</v>
      </c>
      <c r="BE110" s="221"/>
      <c r="BF110" s="294"/>
      <c r="BG110" s="294"/>
      <c r="BH110" s="294"/>
      <c r="BI110" s="293">
        <f t="shared" si="42"/>
        <v>0</v>
      </c>
      <c r="BJ110" s="300"/>
      <c r="BK110" s="301">
        <f t="shared" ref="BK110:BK141" si="44">H110+M110+AE110+AJ110+AU110+BD110+BI110</f>
        <v>0</v>
      </c>
      <c r="BL110" s="312">
        <f t="shared" ref="BL110:BL141" si="45">IF(E110-BK110&lt;0, BK110-E110, )</f>
        <v>0</v>
      </c>
      <c r="BM110" s="313">
        <f t="shared" ref="BM110:BM141" si="46">IF(E110-BK110&lt;0, ,E110-BK110)</f>
        <v>0</v>
      </c>
      <c r="BN110" s="314"/>
      <c r="BP110" s="305"/>
      <c r="BQ110" s="305"/>
      <c r="BR110" s="305"/>
      <c r="BS110" s="305"/>
      <c r="BT110" s="305"/>
      <c r="BU110" s="305"/>
      <c r="BV110" s="305"/>
      <c r="BW110" s="300">
        <f t="shared" si="37"/>
        <v>0</v>
      </c>
      <c r="BX110" s="300"/>
      <c r="BY110" s="305"/>
      <c r="BZ110" s="305"/>
      <c r="CA110" s="305"/>
      <c r="CB110" s="305"/>
      <c r="CC110" s="305"/>
      <c r="CD110" s="305"/>
      <c r="CE110" s="305"/>
      <c r="CF110" s="300">
        <f t="shared" si="38"/>
        <v>0</v>
      </c>
      <c r="CG110" s="300"/>
      <c r="CH110" s="305"/>
      <c r="CI110" s="305"/>
      <c r="CJ110" s="305"/>
      <c r="CK110" s="305"/>
      <c r="CL110" s="305"/>
      <c r="CM110" s="305"/>
      <c r="CN110" s="305"/>
      <c r="CO110" s="300">
        <f t="shared" si="39"/>
        <v>0</v>
      </c>
      <c r="CQ110" s="307">
        <f t="shared" ref="CQ110:CQ141" si="47">+H110-(BP110+BY110+CH110)</f>
        <v>0</v>
      </c>
      <c r="CR110" s="307">
        <f t="shared" ref="CR110:CR141" si="48">+M110-(BQ110+BZ110+CI110)</f>
        <v>0</v>
      </c>
      <c r="CS110" s="307">
        <f t="shared" ref="CS110:CS141" si="49">+AE110-(BR110+CA110+CJ110)</f>
        <v>0</v>
      </c>
      <c r="CT110" s="307">
        <f t="shared" ref="CT110:CT141" si="50">+AJ110-(BS110+CB110+CK110)</f>
        <v>0</v>
      </c>
      <c r="CU110" s="307">
        <f t="shared" ref="CU110:CU141" si="51">+AU110-(BT110+CC110+CL110)</f>
        <v>0</v>
      </c>
      <c r="CV110" s="307">
        <f t="shared" si="35"/>
        <v>0</v>
      </c>
      <c r="CW110" s="307">
        <f t="shared" si="36"/>
        <v>0</v>
      </c>
      <c r="CX110" s="307">
        <f t="shared" si="40"/>
        <v>0</v>
      </c>
      <c r="CY110" s="307">
        <f t="shared" si="41"/>
        <v>0</v>
      </c>
    </row>
    <row r="111" spans="1:103" s="230" customFormat="1" ht="21" customHeight="1">
      <c r="A111" s="308"/>
      <c r="B111" s="309"/>
      <c r="C111" s="287" t="str">
        <f>IF($A111=0,"",(VLOOKUP(A111,[3]MAT!$B$5:$D$4756,3,FALSE)))</f>
        <v/>
      </c>
      <c r="D111" s="288" t="s">
        <v>597</v>
      </c>
      <c r="E111" s="290"/>
      <c r="F111" s="310"/>
      <c r="G111" s="311"/>
      <c r="H111" s="293"/>
      <c r="I111" s="221"/>
      <c r="J111" s="294"/>
      <c r="K111" s="294"/>
      <c r="L111" s="295"/>
      <c r="M111" s="293"/>
      <c r="N111" s="310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  <c r="AA111" s="294"/>
      <c r="AB111" s="294"/>
      <c r="AC111" s="294"/>
      <c r="AD111" s="294"/>
      <c r="AE111" s="293"/>
      <c r="AF111" s="221"/>
      <c r="AG111" s="294"/>
      <c r="AH111" s="294"/>
      <c r="AI111" s="295"/>
      <c r="AJ111" s="293"/>
      <c r="AK111" s="295"/>
      <c r="AL111" s="295"/>
      <c r="AM111" s="295"/>
      <c r="AN111" s="295"/>
      <c r="AO111" s="295"/>
      <c r="AP111" s="295"/>
      <c r="AQ111" s="295"/>
      <c r="AR111" s="295"/>
      <c r="AS111" s="295"/>
      <c r="AT111" s="295"/>
      <c r="AU111" s="293"/>
      <c r="AV111" s="311"/>
      <c r="AW111" s="296"/>
      <c r="AX111" s="296"/>
      <c r="AY111" s="296"/>
      <c r="AZ111" s="296"/>
      <c r="BA111" s="296"/>
      <c r="BB111" s="296"/>
      <c r="BC111" s="296"/>
      <c r="BD111" s="293">
        <f t="shared" si="43"/>
        <v>0</v>
      </c>
      <c r="BE111" s="221"/>
      <c r="BF111" s="294"/>
      <c r="BG111" s="294"/>
      <c r="BH111" s="294"/>
      <c r="BI111" s="293">
        <f t="shared" si="42"/>
        <v>0</v>
      </c>
      <c r="BJ111" s="300"/>
      <c r="BK111" s="301">
        <f t="shared" si="44"/>
        <v>0</v>
      </c>
      <c r="BL111" s="312">
        <f t="shared" si="45"/>
        <v>0</v>
      </c>
      <c r="BM111" s="313">
        <f t="shared" si="46"/>
        <v>0</v>
      </c>
      <c r="BN111" s="314"/>
      <c r="BP111" s="305"/>
      <c r="BQ111" s="305"/>
      <c r="BR111" s="305"/>
      <c r="BS111" s="305"/>
      <c r="BT111" s="305"/>
      <c r="BU111" s="305"/>
      <c r="BV111" s="305"/>
      <c r="BW111" s="300">
        <f t="shared" si="37"/>
        <v>0</v>
      </c>
      <c r="BX111" s="300"/>
      <c r="BY111" s="305"/>
      <c r="BZ111" s="305"/>
      <c r="CA111" s="305"/>
      <c r="CB111" s="305"/>
      <c r="CC111" s="305"/>
      <c r="CD111" s="305"/>
      <c r="CE111" s="305"/>
      <c r="CF111" s="300">
        <f t="shared" si="38"/>
        <v>0</v>
      </c>
      <c r="CG111" s="300"/>
      <c r="CH111" s="305"/>
      <c r="CI111" s="305"/>
      <c r="CJ111" s="305"/>
      <c r="CK111" s="305"/>
      <c r="CL111" s="305"/>
      <c r="CM111" s="305"/>
      <c r="CN111" s="305"/>
      <c r="CO111" s="300">
        <f t="shared" si="39"/>
        <v>0</v>
      </c>
      <c r="CQ111" s="307">
        <f t="shared" si="47"/>
        <v>0</v>
      </c>
      <c r="CR111" s="307">
        <f t="shared" si="48"/>
        <v>0</v>
      </c>
      <c r="CS111" s="307">
        <f t="shared" si="49"/>
        <v>0</v>
      </c>
      <c r="CT111" s="307">
        <f t="shared" si="50"/>
        <v>0</v>
      </c>
      <c r="CU111" s="307">
        <f t="shared" si="51"/>
        <v>0</v>
      </c>
      <c r="CV111" s="307">
        <f t="shared" si="35"/>
        <v>0</v>
      </c>
      <c r="CW111" s="307">
        <f t="shared" si="36"/>
        <v>0</v>
      </c>
      <c r="CX111" s="307">
        <f t="shared" si="40"/>
        <v>0</v>
      </c>
      <c r="CY111" s="307">
        <f t="shared" si="41"/>
        <v>0</v>
      </c>
    </row>
    <row r="112" spans="1:103" s="230" customFormat="1" ht="21" customHeight="1">
      <c r="A112" s="308"/>
      <c r="B112" s="309"/>
      <c r="C112" s="287" t="str">
        <f>IF($A112=0,"",(VLOOKUP(A112,[3]MAT!$B$5:$D$4756,3,FALSE)))</f>
        <v/>
      </c>
      <c r="D112" s="288" t="s">
        <v>597</v>
      </c>
      <c r="E112" s="290"/>
      <c r="F112" s="310"/>
      <c r="G112" s="311"/>
      <c r="H112" s="293"/>
      <c r="I112" s="221"/>
      <c r="J112" s="294"/>
      <c r="K112" s="294"/>
      <c r="L112" s="295"/>
      <c r="M112" s="293"/>
      <c r="N112" s="310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  <c r="AA112" s="294"/>
      <c r="AB112" s="294"/>
      <c r="AC112" s="294"/>
      <c r="AD112" s="294"/>
      <c r="AE112" s="293"/>
      <c r="AF112" s="221"/>
      <c r="AG112" s="294"/>
      <c r="AH112" s="294"/>
      <c r="AI112" s="295"/>
      <c r="AJ112" s="293"/>
      <c r="AK112" s="295"/>
      <c r="AL112" s="295"/>
      <c r="AM112" s="295"/>
      <c r="AN112" s="295"/>
      <c r="AO112" s="295"/>
      <c r="AP112" s="295"/>
      <c r="AQ112" s="295"/>
      <c r="AR112" s="295"/>
      <c r="AS112" s="295"/>
      <c r="AT112" s="295"/>
      <c r="AU112" s="293"/>
      <c r="AV112" s="311"/>
      <c r="AW112" s="296"/>
      <c r="AX112" s="296"/>
      <c r="AY112" s="296"/>
      <c r="AZ112" s="296"/>
      <c r="BA112" s="296"/>
      <c r="BB112" s="296"/>
      <c r="BC112" s="296"/>
      <c r="BD112" s="293">
        <f t="shared" si="43"/>
        <v>0</v>
      </c>
      <c r="BE112" s="221"/>
      <c r="BF112" s="294"/>
      <c r="BG112" s="294"/>
      <c r="BH112" s="294"/>
      <c r="BI112" s="293">
        <f t="shared" si="42"/>
        <v>0</v>
      </c>
      <c r="BJ112" s="300"/>
      <c r="BK112" s="301">
        <f t="shared" si="44"/>
        <v>0</v>
      </c>
      <c r="BL112" s="312">
        <f t="shared" si="45"/>
        <v>0</v>
      </c>
      <c r="BM112" s="313">
        <f t="shared" si="46"/>
        <v>0</v>
      </c>
      <c r="BN112" s="314"/>
      <c r="BP112" s="305"/>
      <c r="BQ112" s="305"/>
      <c r="BR112" s="305"/>
      <c r="BS112" s="305"/>
      <c r="BT112" s="305"/>
      <c r="BU112" s="305"/>
      <c r="BV112" s="305"/>
      <c r="BW112" s="300">
        <f t="shared" si="37"/>
        <v>0</v>
      </c>
      <c r="BX112" s="300"/>
      <c r="BY112" s="305"/>
      <c r="BZ112" s="305"/>
      <c r="CA112" s="305"/>
      <c r="CB112" s="305"/>
      <c r="CC112" s="305"/>
      <c r="CD112" s="305"/>
      <c r="CE112" s="305"/>
      <c r="CF112" s="300">
        <f t="shared" si="38"/>
        <v>0</v>
      </c>
      <c r="CG112" s="300"/>
      <c r="CH112" s="305"/>
      <c r="CI112" s="305"/>
      <c r="CJ112" s="305"/>
      <c r="CK112" s="305"/>
      <c r="CL112" s="305"/>
      <c r="CM112" s="305"/>
      <c r="CN112" s="305"/>
      <c r="CO112" s="300">
        <f t="shared" si="39"/>
        <v>0</v>
      </c>
      <c r="CQ112" s="307">
        <f t="shared" si="47"/>
        <v>0</v>
      </c>
      <c r="CR112" s="307">
        <f t="shared" si="48"/>
        <v>0</v>
      </c>
      <c r="CS112" s="307">
        <f t="shared" si="49"/>
        <v>0</v>
      </c>
      <c r="CT112" s="307">
        <f t="shared" si="50"/>
        <v>0</v>
      </c>
      <c r="CU112" s="307">
        <f t="shared" si="51"/>
        <v>0</v>
      </c>
      <c r="CV112" s="307">
        <f t="shared" si="35"/>
        <v>0</v>
      </c>
      <c r="CW112" s="307">
        <f t="shared" si="36"/>
        <v>0</v>
      </c>
      <c r="CX112" s="307">
        <f t="shared" si="40"/>
        <v>0</v>
      </c>
      <c r="CY112" s="307">
        <f t="shared" si="41"/>
        <v>0</v>
      </c>
    </row>
    <row r="113" spans="1:103" s="230" customFormat="1" ht="21" customHeight="1">
      <c r="A113" s="308"/>
      <c r="B113" s="309"/>
      <c r="C113" s="287" t="str">
        <f>IF($A113=0,"",(VLOOKUP(A113,[3]MAT!$B$5:$D$4756,3,FALSE)))</f>
        <v/>
      </c>
      <c r="D113" s="288" t="s">
        <v>597</v>
      </c>
      <c r="E113" s="290"/>
      <c r="F113" s="310"/>
      <c r="G113" s="311"/>
      <c r="H113" s="293"/>
      <c r="I113" s="221"/>
      <c r="J113" s="294"/>
      <c r="K113" s="294"/>
      <c r="L113" s="295"/>
      <c r="M113" s="293"/>
      <c r="N113" s="310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  <c r="AA113" s="294"/>
      <c r="AB113" s="294"/>
      <c r="AC113" s="294"/>
      <c r="AD113" s="294"/>
      <c r="AE113" s="293"/>
      <c r="AF113" s="221"/>
      <c r="AG113" s="294"/>
      <c r="AH113" s="294"/>
      <c r="AI113" s="295"/>
      <c r="AJ113" s="293"/>
      <c r="AK113" s="295"/>
      <c r="AL113" s="295"/>
      <c r="AM113" s="295"/>
      <c r="AN113" s="295"/>
      <c r="AO113" s="295"/>
      <c r="AP113" s="295"/>
      <c r="AQ113" s="295"/>
      <c r="AR113" s="295"/>
      <c r="AS113" s="295"/>
      <c r="AT113" s="295"/>
      <c r="AU113" s="293"/>
      <c r="AV113" s="311"/>
      <c r="AW113" s="296"/>
      <c r="AX113" s="296"/>
      <c r="AY113" s="296"/>
      <c r="AZ113" s="296"/>
      <c r="BA113" s="296"/>
      <c r="BB113" s="296"/>
      <c r="BC113" s="296"/>
      <c r="BD113" s="293">
        <f t="shared" si="43"/>
        <v>0</v>
      </c>
      <c r="BE113" s="221"/>
      <c r="BF113" s="294"/>
      <c r="BG113" s="294"/>
      <c r="BH113" s="294"/>
      <c r="BI113" s="293">
        <f t="shared" si="42"/>
        <v>0</v>
      </c>
      <c r="BJ113" s="300"/>
      <c r="BK113" s="301">
        <f t="shared" si="44"/>
        <v>0</v>
      </c>
      <c r="BL113" s="312">
        <f t="shared" si="45"/>
        <v>0</v>
      </c>
      <c r="BM113" s="313">
        <f t="shared" si="46"/>
        <v>0</v>
      </c>
      <c r="BN113" s="314"/>
      <c r="BP113" s="305"/>
      <c r="BQ113" s="305"/>
      <c r="BR113" s="305"/>
      <c r="BS113" s="305"/>
      <c r="BT113" s="305"/>
      <c r="BU113" s="305"/>
      <c r="BV113" s="305"/>
      <c r="BW113" s="300">
        <f t="shared" si="37"/>
        <v>0</v>
      </c>
      <c r="BX113" s="300"/>
      <c r="BY113" s="305"/>
      <c r="BZ113" s="305"/>
      <c r="CA113" s="305"/>
      <c r="CB113" s="305"/>
      <c r="CC113" s="305"/>
      <c r="CD113" s="305"/>
      <c r="CE113" s="305"/>
      <c r="CF113" s="300">
        <f t="shared" si="38"/>
        <v>0</v>
      </c>
      <c r="CG113" s="300"/>
      <c r="CH113" s="305"/>
      <c r="CI113" s="305"/>
      <c r="CJ113" s="305"/>
      <c r="CK113" s="305"/>
      <c r="CL113" s="305"/>
      <c r="CM113" s="305"/>
      <c r="CN113" s="305"/>
      <c r="CO113" s="300">
        <f t="shared" si="39"/>
        <v>0</v>
      </c>
      <c r="CQ113" s="307">
        <f t="shared" si="47"/>
        <v>0</v>
      </c>
      <c r="CR113" s="307">
        <f t="shared" si="48"/>
        <v>0</v>
      </c>
      <c r="CS113" s="307">
        <f t="shared" si="49"/>
        <v>0</v>
      </c>
      <c r="CT113" s="307">
        <f t="shared" si="50"/>
        <v>0</v>
      </c>
      <c r="CU113" s="307">
        <f t="shared" si="51"/>
        <v>0</v>
      </c>
      <c r="CV113" s="307">
        <f t="shared" si="35"/>
        <v>0</v>
      </c>
      <c r="CW113" s="307">
        <f t="shared" si="36"/>
        <v>0</v>
      </c>
      <c r="CX113" s="307">
        <f t="shared" si="40"/>
        <v>0</v>
      </c>
      <c r="CY113" s="307">
        <f t="shared" si="41"/>
        <v>0</v>
      </c>
    </row>
    <row r="114" spans="1:103" s="230" customFormat="1" ht="21" customHeight="1">
      <c r="A114" s="308"/>
      <c r="B114" s="309"/>
      <c r="C114" s="287" t="str">
        <f>IF($A114=0,"",(VLOOKUP(A114,[3]MAT!$B$5:$D$4756,3,FALSE)))</f>
        <v/>
      </c>
      <c r="D114" s="288" t="s">
        <v>597</v>
      </c>
      <c r="E114" s="290"/>
      <c r="F114" s="310"/>
      <c r="G114" s="311"/>
      <c r="H114" s="293"/>
      <c r="I114" s="221"/>
      <c r="J114" s="294"/>
      <c r="K114" s="294"/>
      <c r="L114" s="295"/>
      <c r="M114" s="293"/>
      <c r="N114" s="310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  <c r="AA114" s="294"/>
      <c r="AB114" s="294"/>
      <c r="AC114" s="294"/>
      <c r="AD114" s="294"/>
      <c r="AE114" s="293"/>
      <c r="AF114" s="221"/>
      <c r="AG114" s="294"/>
      <c r="AH114" s="294"/>
      <c r="AI114" s="295"/>
      <c r="AJ114" s="293"/>
      <c r="AK114" s="295"/>
      <c r="AL114" s="295"/>
      <c r="AM114" s="295"/>
      <c r="AN114" s="295"/>
      <c r="AO114" s="295"/>
      <c r="AP114" s="295"/>
      <c r="AQ114" s="295"/>
      <c r="AR114" s="295"/>
      <c r="AS114" s="295"/>
      <c r="AT114" s="295"/>
      <c r="AU114" s="293"/>
      <c r="AV114" s="311"/>
      <c r="AW114" s="296"/>
      <c r="AX114" s="296"/>
      <c r="AY114" s="296"/>
      <c r="AZ114" s="296"/>
      <c r="BA114" s="296"/>
      <c r="BB114" s="296"/>
      <c r="BC114" s="296"/>
      <c r="BD114" s="293">
        <f t="shared" si="43"/>
        <v>0</v>
      </c>
      <c r="BE114" s="221"/>
      <c r="BF114" s="294"/>
      <c r="BG114" s="294"/>
      <c r="BH114" s="294"/>
      <c r="BI114" s="293">
        <f t="shared" si="42"/>
        <v>0</v>
      </c>
      <c r="BJ114" s="300"/>
      <c r="BK114" s="301">
        <f t="shared" si="44"/>
        <v>0</v>
      </c>
      <c r="BL114" s="312">
        <f t="shared" si="45"/>
        <v>0</v>
      </c>
      <c r="BM114" s="313">
        <f t="shared" si="46"/>
        <v>0</v>
      </c>
      <c r="BN114" s="314"/>
      <c r="BP114" s="305"/>
      <c r="BQ114" s="305"/>
      <c r="BR114" s="305"/>
      <c r="BS114" s="305"/>
      <c r="BT114" s="305"/>
      <c r="BU114" s="305"/>
      <c r="BV114" s="305"/>
      <c r="BW114" s="300">
        <f t="shared" si="37"/>
        <v>0</v>
      </c>
      <c r="BX114" s="300"/>
      <c r="BY114" s="305"/>
      <c r="BZ114" s="305"/>
      <c r="CA114" s="305"/>
      <c r="CB114" s="305"/>
      <c r="CC114" s="305"/>
      <c r="CD114" s="305"/>
      <c r="CE114" s="305"/>
      <c r="CF114" s="300">
        <f t="shared" si="38"/>
        <v>0</v>
      </c>
      <c r="CG114" s="300"/>
      <c r="CH114" s="305"/>
      <c r="CI114" s="305"/>
      <c r="CJ114" s="305"/>
      <c r="CK114" s="305"/>
      <c r="CL114" s="305"/>
      <c r="CM114" s="305"/>
      <c r="CN114" s="305"/>
      <c r="CO114" s="300">
        <f t="shared" si="39"/>
        <v>0</v>
      </c>
      <c r="CQ114" s="307">
        <f t="shared" si="47"/>
        <v>0</v>
      </c>
      <c r="CR114" s="307">
        <f t="shared" si="48"/>
        <v>0</v>
      </c>
      <c r="CS114" s="307">
        <f t="shared" si="49"/>
        <v>0</v>
      </c>
      <c r="CT114" s="307">
        <f t="shared" si="50"/>
        <v>0</v>
      </c>
      <c r="CU114" s="307">
        <f t="shared" si="51"/>
        <v>0</v>
      </c>
      <c r="CV114" s="307">
        <f t="shared" si="35"/>
        <v>0</v>
      </c>
      <c r="CW114" s="307">
        <f t="shared" si="36"/>
        <v>0</v>
      </c>
      <c r="CX114" s="307">
        <f t="shared" si="40"/>
        <v>0</v>
      </c>
      <c r="CY114" s="307">
        <f t="shared" si="41"/>
        <v>0</v>
      </c>
    </row>
    <row r="115" spans="1:103" s="230" customFormat="1" ht="21" customHeight="1">
      <c r="A115" s="308"/>
      <c r="B115" s="309"/>
      <c r="C115" s="287" t="str">
        <f>IF($A115=0,"",(VLOOKUP(A115,[3]MAT!$B$5:$D$4756,3,FALSE)))</f>
        <v/>
      </c>
      <c r="D115" s="288" t="s">
        <v>597</v>
      </c>
      <c r="E115" s="290"/>
      <c r="F115" s="310"/>
      <c r="G115" s="311"/>
      <c r="H115" s="293"/>
      <c r="I115" s="221"/>
      <c r="J115" s="294"/>
      <c r="K115" s="294"/>
      <c r="L115" s="295"/>
      <c r="M115" s="293"/>
      <c r="N115" s="310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  <c r="AA115" s="294"/>
      <c r="AB115" s="294"/>
      <c r="AC115" s="294"/>
      <c r="AD115" s="294"/>
      <c r="AE115" s="293"/>
      <c r="AF115" s="221"/>
      <c r="AG115" s="294"/>
      <c r="AH115" s="294"/>
      <c r="AI115" s="295"/>
      <c r="AJ115" s="293"/>
      <c r="AK115" s="295"/>
      <c r="AL115" s="295"/>
      <c r="AM115" s="295"/>
      <c r="AN115" s="295"/>
      <c r="AO115" s="295"/>
      <c r="AP115" s="295"/>
      <c r="AQ115" s="295"/>
      <c r="AR115" s="295"/>
      <c r="AS115" s="295"/>
      <c r="AT115" s="295"/>
      <c r="AU115" s="293"/>
      <c r="AV115" s="311"/>
      <c r="AW115" s="296"/>
      <c r="AX115" s="296"/>
      <c r="AY115" s="296"/>
      <c r="AZ115" s="296"/>
      <c r="BA115" s="296"/>
      <c r="BB115" s="296"/>
      <c r="BC115" s="296"/>
      <c r="BD115" s="293">
        <f t="shared" si="43"/>
        <v>0</v>
      </c>
      <c r="BE115" s="221"/>
      <c r="BF115" s="294"/>
      <c r="BG115" s="294"/>
      <c r="BH115" s="294"/>
      <c r="BI115" s="293">
        <f t="shared" si="42"/>
        <v>0</v>
      </c>
      <c r="BJ115" s="300"/>
      <c r="BK115" s="301">
        <f t="shared" si="44"/>
        <v>0</v>
      </c>
      <c r="BL115" s="312">
        <f t="shared" si="45"/>
        <v>0</v>
      </c>
      <c r="BM115" s="313">
        <f t="shared" si="46"/>
        <v>0</v>
      </c>
      <c r="BN115" s="314"/>
      <c r="BP115" s="305"/>
      <c r="BQ115" s="305"/>
      <c r="BR115" s="305"/>
      <c r="BS115" s="305"/>
      <c r="BT115" s="305"/>
      <c r="BU115" s="305"/>
      <c r="BV115" s="305"/>
      <c r="BW115" s="300">
        <f t="shared" si="37"/>
        <v>0</v>
      </c>
      <c r="BX115" s="300"/>
      <c r="BY115" s="305"/>
      <c r="BZ115" s="305"/>
      <c r="CA115" s="305"/>
      <c r="CB115" s="305"/>
      <c r="CC115" s="305"/>
      <c r="CD115" s="305"/>
      <c r="CE115" s="305"/>
      <c r="CF115" s="300">
        <f t="shared" si="38"/>
        <v>0</v>
      </c>
      <c r="CG115" s="300"/>
      <c r="CH115" s="305"/>
      <c r="CI115" s="305"/>
      <c r="CJ115" s="305"/>
      <c r="CK115" s="305"/>
      <c r="CL115" s="305"/>
      <c r="CM115" s="305"/>
      <c r="CN115" s="305"/>
      <c r="CO115" s="300">
        <f t="shared" si="39"/>
        <v>0</v>
      </c>
      <c r="CQ115" s="307">
        <f t="shared" si="47"/>
        <v>0</v>
      </c>
      <c r="CR115" s="307">
        <f t="shared" si="48"/>
        <v>0</v>
      </c>
      <c r="CS115" s="307">
        <f t="shared" si="49"/>
        <v>0</v>
      </c>
      <c r="CT115" s="307">
        <f t="shared" si="50"/>
        <v>0</v>
      </c>
      <c r="CU115" s="307">
        <f t="shared" si="51"/>
        <v>0</v>
      </c>
      <c r="CV115" s="307">
        <f t="shared" si="35"/>
        <v>0</v>
      </c>
      <c r="CW115" s="307">
        <f t="shared" si="36"/>
        <v>0</v>
      </c>
      <c r="CX115" s="307">
        <f t="shared" si="40"/>
        <v>0</v>
      </c>
      <c r="CY115" s="307">
        <f t="shared" si="41"/>
        <v>0</v>
      </c>
    </row>
    <row r="116" spans="1:103" s="230" customFormat="1" ht="21" customHeight="1">
      <c r="A116" s="308"/>
      <c r="B116" s="309"/>
      <c r="C116" s="287" t="str">
        <f>IF($A116=0,"",(VLOOKUP(A116,[3]MAT!$B$5:$D$4756,3,FALSE)))</f>
        <v/>
      </c>
      <c r="D116" s="288" t="s">
        <v>597</v>
      </c>
      <c r="E116" s="290"/>
      <c r="F116" s="310"/>
      <c r="G116" s="311"/>
      <c r="H116" s="293"/>
      <c r="I116" s="221"/>
      <c r="J116" s="294"/>
      <c r="K116" s="294"/>
      <c r="L116" s="295"/>
      <c r="M116" s="293"/>
      <c r="N116" s="310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94"/>
      <c r="AB116" s="294"/>
      <c r="AC116" s="294"/>
      <c r="AD116" s="294"/>
      <c r="AE116" s="293"/>
      <c r="AF116" s="221"/>
      <c r="AG116" s="294"/>
      <c r="AH116" s="294"/>
      <c r="AI116" s="295"/>
      <c r="AJ116" s="293"/>
      <c r="AK116" s="295"/>
      <c r="AL116" s="295"/>
      <c r="AM116" s="295"/>
      <c r="AN116" s="295"/>
      <c r="AO116" s="295"/>
      <c r="AP116" s="295"/>
      <c r="AQ116" s="295"/>
      <c r="AR116" s="295"/>
      <c r="AS116" s="295"/>
      <c r="AT116" s="295"/>
      <c r="AU116" s="293"/>
      <c r="AV116" s="311"/>
      <c r="AW116" s="296"/>
      <c r="AX116" s="296"/>
      <c r="AY116" s="296"/>
      <c r="AZ116" s="296"/>
      <c r="BA116" s="296"/>
      <c r="BB116" s="296"/>
      <c r="BC116" s="296"/>
      <c r="BD116" s="293">
        <f t="shared" si="43"/>
        <v>0</v>
      </c>
      <c r="BE116" s="221"/>
      <c r="BF116" s="294"/>
      <c r="BG116" s="294"/>
      <c r="BH116" s="294"/>
      <c r="BI116" s="293">
        <f t="shared" si="42"/>
        <v>0</v>
      </c>
      <c r="BJ116" s="300"/>
      <c r="BK116" s="301">
        <f t="shared" si="44"/>
        <v>0</v>
      </c>
      <c r="BL116" s="312">
        <f t="shared" si="45"/>
        <v>0</v>
      </c>
      <c r="BM116" s="313">
        <f t="shared" si="46"/>
        <v>0</v>
      </c>
      <c r="BN116" s="314"/>
      <c r="BP116" s="305"/>
      <c r="BQ116" s="305"/>
      <c r="BR116" s="305"/>
      <c r="BS116" s="305"/>
      <c r="BT116" s="305"/>
      <c r="BU116" s="305"/>
      <c r="BV116" s="305"/>
      <c r="BW116" s="300">
        <f t="shared" si="37"/>
        <v>0</v>
      </c>
      <c r="BX116" s="300"/>
      <c r="BY116" s="305"/>
      <c r="BZ116" s="305"/>
      <c r="CA116" s="305"/>
      <c r="CB116" s="305"/>
      <c r="CC116" s="305"/>
      <c r="CD116" s="305"/>
      <c r="CE116" s="305"/>
      <c r="CF116" s="300">
        <f t="shared" si="38"/>
        <v>0</v>
      </c>
      <c r="CG116" s="300"/>
      <c r="CH116" s="305"/>
      <c r="CI116" s="305"/>
      <c r="CJ116" s="305"/>
      <c r="CK116" s="305"/>
      <c r="CL116" s="305"/>
      <c r="CM116" s="305"/>
      <c r="CN116" s="305"/>
      <c r="CO116" s="300">
        <f t="shared" si="39"/>
        <v>0</v>
      </c>
      <c r="CQ116" s="307">
        <f t="shared" si="47"/>
        <v>0</v>
      </c>
      <c r="CR116" s="307">
        <f t="shared" si="48"/>
        <v>0</v>
      </c>
      <c r="CS116" s="307">
        <f t="shared" si="49"/>
        <v>0</v>
      </c>
      <c r="CT116" s="307">
        <f t="shared" si="50"/>
        <v>0</v>
      </c>
      <c r="CU116" s="307">
        <f t="shared" si="51"/>
        <v>0</v>
      </c>
      <c r="CV116" s="307">
        <f t="shared" si="35"/>
        <v>0</v>
      </c>
      <c r="CW116" s="307">
        <f t="shared" si="36"/>
        <v>0</v>
      </c>
      <c r="CX116" s="307">
        <f t="shared" si="40"/>
        <v>0</v>
      </c>
      <c r="CY116" s="307">
        <f t="shared" si="41"/>
        <v>0</v>
      </c>
    </row>
    <row r="117" spans="1:103" s="230" customFormat="1" ht="21" customHeight="1">
      <c r="A117" s="308"/>
      <c r="B117" s="309"/>
      <c r="C117" s="287" t="str">
        <f>IF($A117=0,"",(VLOOKUP(A117,[3]MAT!$B$5:$D$4756,3,FALSE)))</f>
        <v/>
      </c>
      <c r="D117" s="288" t="s">
        <v>597</v>
      </c>
      <c r="E117" s="290"/>
      <c r="F117" s="310"/>
      <c r="G117" s="311"/>
      <c r="H117" s="293"/>
      <c r="I117" s="221"/>
      <c r="J117" s="294"/>
      <c r="K117" s="294"/>
      <c r="L117" s="295"/>
      <c r="M117" s="293"/>
      <c r="N117" s="310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  <c r="AA117" s="294"/>
      <c r="AB117" s="294"/>
      <c r="AC117" s="294"/>
      <c r="AD117" s="294"/>
      <c r="AE117" s="293"/>
      <c r="AF117" s="221"/>
      <c r="AG117" s="294"/>
      <c r="AH117" s="294"/>
      <c r="AI117" s="295"/>
      <c r="AJ117" s="293"/>
      <c r="AK117" s="295"/>
      <c r="AL117" s="295"/>
      <c r="AM117" s="295"/>
      <c r="AN117" s="295"/>
      <c r="AO117" s="295"/>
      <c r="AP117" s="295"/>
      <c r="AQ117" s="295"/>
      <c r="AR117" s="295"/>
      <c r="AS117" s="295"/>
      <c r="AT117" s="295"/>
      <c r="AU117" s="293"/>
      <c r="AV117" s="311"/>
      <c r="AW117" s="296"/>
      <c r="AX117" s="296"/>
      <c r="AY117" s="296"/>
      <c r="AZ117" s="296"/>
      <c r="BA117" s="296"/>
      <c r="BB117" s="296"/>
      <c r="BC117" s="296"/>
      <c r="BD117" s="293">
        <f t="shared" si="43"/>
        <v>0</v>
      </c>
      <c r="BE117" s="221"/>
      <c r="BF117" s="294"/>
      <c r="BG117" s="294"/>
      <c r="BH117" s="294"/>
      <c r="BI117" s="293">
        <f t="shared" si="42"/>
        <v>0</v>
      </c>
      <c r="BJ117" s="300"/>
      <c r="BK117" s="301">
        <f t="shared" si="44"/>
        <v>0</v>
      </c>
      <c r="BL117" s="312">
        <f t="shared" si="45"/>
        <v>0</v>
      </c>
      <c r="BM117" s="313">
        <f t="shared" si="46"/>
        <v>0</v>
      </c>
      <c r="BN117" s="314"/>
      <c r="BP117" s="305"/>
      <c r="BQ117" s="305"/>
      <c r="BR117" s="305"/>
      <c r="BS117" s="305"/>
      <c r="BT117" s="305"/>
      <c r="BU117" s="305"/>
      <c r="BV117" s="305"/>
      <c r="BW117" s="300">
        <f t="shared" si="37"/>
        <v>0</v>
      </c>
      <c r="BX117" s="300"/>
      <c r="BY117" s="305"/>
      <c r="BZ117" s="305"/>
      <c r="CA117" s="305"/>
      <c r="CB117" s="305"/>
      <c r="CC117" s="305"/>
      <c r="CD117" s="305"/>
      <c r="CE117" s="305"/>
      <c r="CF117" s="300">
        <f t="shared" si="38"/>
        <v>0</v>
      </c>
      <c r="CG117" s="300"/>
      <c r="CH117" s="305"/>
      <c r="CI117" s="305"/>
      <c r="CJ117" s="305"/>
      <c r="CK117" s="305"/>
      <c r="CL117" s="305"/>
      <c r="CM117" s="305"/>
      <c r="CN117" s="305"/>
      <c r="CO117" s="300">
        <f t="shared" si="39"/>
        <v>0</v>
      </c>
      <c r="CQ117" s="307">
        <f t="shared" si="47"/>
        <v>0</v>
      </c>
      <c r="CR117" s="307">
        <f t="shared" si="48"/>
        <v>0</v>
      </c>
      <c r="CS117" s="307">
        <f t="shared" si="49"/>
        <v>0</v>
      </c>
      <c r="CT117" s="307">
        <f t="shared" si="50"/>
        <v>0</v>
      </c>
      <c r="CU117" s="307">
        <f t="shared" si="51"/>
        <v>0</v>
      </c>
      <c r="CV117" s="307">
        <f t="shared" si="35"/>
        <v>0</v>
      </c>
      <c r="CW117" s="307">
        <f t="shared" si="36"/>
        <v>0</v>
      </c>
      <c r="CX117" s="307">
        <f t="shared" si="40"/>
        <v>0</v>
      </c>
      <c r="CY117" s="307">
        <f t="shared" si="41"/>
        <v>0</v>
      </c>
    </row>
    <row r="118" spans="1:103" s="230" customFormat="1" ht="21" customHeight="1">
      <c r="A118" s="308"/>
      <c r="B118" s="309"/>
      <c r="C118" s="287" t="str">
        <f>IF($A118=0,"",(VLOOKUP(A118,[3]MAT!$B$5:$D$4756,3,FALSE)))</f>
        <v/>
      </c>
      <c r="D118" s="288" t="s">
        <v>597</v>
      </c>
      <c r="E118" s="290"/>
      <c r="F118" s="310"/>
      <c r="G118" s="311"/>
      <c r="H118" s="293"/>
      <c r="I118" s="221"/>
      <c r="J118" s="294"/>
      <c r="K118" s="294"/>
      <c r="L118" s="295"/>
      <c r="M118" s="293"/>
      <c r="N118" s="310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  <c r="AA118" s="294"/>
      <c r="AB118" s="294"/>
      <c r="AC118" s="294"/>
      <c r="AD118" s="294"/>
      <c r="AE118" s="293"/>
      <c r="AF118" s="221"/>
      <c r="AG118" s="294"/>
      <c r="AH118" s="294"/>
      <c r="AI118" s="295"/>
      <c r="AJ118" s="293"/>
      <c r="AK118" s="295"/>
      <c r="AL118" s="295"/>
      <c r="AM118" s="295"/>
      <c r="AN118" s="295"/>
      <c r="AO118" s="295"/>
      <c r="AP118" s="295"/>
      <c r="AQ118" s="295"/>
      <c r="AR118" s="295"/>
      <c r="AS118" s="295"/>
      <c r="AT118" s="295"/>
      <c r="AU118" s="293"/>
      <c r="AV118" s="311"/>
      <c r="AW118" s="296"/>
      <c r="AX118" s="296"/>
      <c r="AY118" s="296"/>
      <c r="AZ118" s="296"/>
      <c r="BA118" s="296"/>
      <c r="BB118" s="296"/>
      <c r="BC118" s="296"/>
      <c r="BD118" s="293">
        <f t="shared" si="43"/>
        <v>0</v>
      </c>
      <c r="BE118" s="221"/>
      <c r="BF118" s="294"/>
      <c r="BG118" s="294"/>
      <c r="BH118" s="294"/>
      <c r="BI118" s="293">
        <f t="shared" si="42"/>
        <v>0</v>
      </c>
      <c r="BJ118" s="300"/>
      <c r="BK118" s="301">
        <f t="shared" si="44"/>
        <v>0</v>
      </c>
      <c r="BL118" s="312">
        <f t="shared" si="45"/>
        <v>0</v>
      </c>
      <c r="BM118" s="313">
        <f t="shared" si="46"/>
        <v>0</v>
      </c>
      <c r="BN118" s="314"/>
      <c r="BP118" s="305"/>
      <c r="BQ118" s="305"/>
      <c r="BR118" s="305"/>
      <c r="BS118" s="305"/>
      <c r="BT118" s="305"/>
      <c r="BU118" s="305"/>
      <c r="BV118" s="305"/>
      <c r="BW118" s="300">
        <f t="shared" si="37"/>
        <v>0</v>
      </c>
      <c r="BX118" s="300"/>
      <c r="BY118" s="305"/>
      <c r="BZ118" s="305"/>
      <c r="CA118" s="305"/>
      <c r="CB118" s="305"/>
      <c r="CC118" s="305"/>
      <c r="CD118" s="305"/>
      <c r="CE118" s="305"/>
      <c r="CF118" s="300">
        <f t="shared" si="38"/>
        <v>0</v>
      </c>
      <c r="CG118" s="300"/>
      <c r="CH118" s="305"/>
      <c r="CI118" s="305"/>
      <c r="CJ118" s="305"/>
      <c r="CK118" s="305"/>
      <c r="CL118" s="305"/>
      <c r="CM118" s="305"/>
      <c r="CN118" s="305"/>
      <c r="CO118" s="300">
        <f t="shared" si="39"/>
        <v>0</v>
      </c>
      <c r="CQ118" s="307">
        <f t="shared" si="47"/>
        <v>0</v>
      </c>
      <c r="CR118" s="307">
        <f t="shared" si="48"/>
        <v>0</v>
      </c>
      <c r="CS118" s="307">
        <f t="shared" si="49"/>
        <v>0</v>
      </c>
      <c r="CT118" s="307">
        <f t="shared" si="50"/>
        <v>0</v>
      </c>
      <c r="CU118" s="307">
        <f t="shared" si="51"/>
        <v>0</v>
      </c>
      <c r="CV118" s="307">
        <f t="shared" si="35"/>
        <v>0</v>
      </c>
      <c r="CW118" s="307">
        <f t="shared" si="36"/>
        <v>0</v>
      </c>
      <c r="CX118" s="307">
        <f t="shared" si="40"/>
        <v>0</v>
      </c>
      <c r="CY118" s="307">
        <f t="shared" si="41"/>
        <v>0</v>
      </c>
    </row>
    <row r="119" spans="1:103" s="230" customFormat="1" ht="21" customHeight="1">
      <c r="A119" s="308"/>
      <c r="B119" s="309"/>
      <c r="C119" s="287" t="str">
        <f>IF($A119=0,"",(VLOOKUP(A119,[3]MAT!$B$5:$D$4756,3,FALSE)))</f>
        <v/>
      </c>
      <c r="D119" s="288" t="s">
        <v>597</v>
      </c>
      <c r="E119" s="290"/>
      <c r="F119" s="310"/>
      <c r="G119" s="311"/>
      <c r="H119" s="293"/>
      <c r="I119" s="221"/>
      <c r="J119" s="294"/>
      <c r="K119" s="294"/>
      <c r="L119" s="295"/>
      <c r="M119" s="293"/>
      <c r="N119" s="310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  <c r="AA119" s="294"/>
      <c r="AB119" s="294"/>
      <c r="AC119" s="294"/>
      <c r="AD119" s="294"/>
      <c r="AE119" s="293"/>
      <c r="AF119" s="221"/>
      <c r="AG119" s="294"/>
      <c r="AH119" s="294"/>
      <c r="AI119" s="295"/>
      <c r="AJ119" s="293"/>
      <c r="AK119" s="295"/>
      <c r="AL119" s="295"/>
      <c r="AM119" s="295"/>
      <c r="AN119" s="295"/>
      <c r="AO119" s="295"/>
      <c r="AP119" s="295"/>
      <c r="AQ119" s="295"/>
      <c r="AR119" s="295"/>
      <c r="AS119" s="295"/>
      <c r="AT119" s="295"/>
      <c r="AU119" s="293"/>
      <c r="AV119" s="311"/>
      <c r="AW119" s="296"/>
      <c r="AX119" s="296"/>
      <c r="AY119" s="296"/>
      <c r="AZ119" s="296"/>
      <c r="BA119" s="296"/>
      <c r="BB119" s="296"/>
      <c r="BC119" s="296"/>
      <c r="BD119" s="293">
        <f t="shared" si="43"/>
        <v>0</v>
      </c>
      <c r="BE119" s="221"/>
      <c r="BF119" s="294"/>
      <c r="BG119" s="294"/>
      <c r="BH119" s="294"/>
      <c r="BI119" s="293">
        <f t="shared" si="42"/>
        <v>0</v>
      </c>
      <c r="BJ119" s="300"/>
      <c r="BK119" s="301">
        <f t="shared" si="44"/>
        <v>0</v>
      </c>
      <c r="BL119" s="312">
        <f t="shared" si="45"/>
        <v>0</v>
      </c>
      <c r="BM119" s="313">
        <f t="shared" si="46"/>
        <v>0</v>
      </c>
      <c r="BN119" s="314"/>
      <c r="BP119" s="305"/>
      <c r="BQ119" s="305"/>
      <c r="BR119" s="305"/>
      <c r="BS119" s="305"/>
      <c r="BT119" s="305"/>
      <c r="BU119" s="305"/>
      <c r="BV119" s="305"/>
      <c r="BW119" s="300">
        <f t="shared" si="37"/>
        <v>0</v>
      </c>
      <c r="BX119" s="300"/>
      <c r="BY119" s="305"/>
      <c r="BZ119" s="305"/>
      <c r="CA119" s="305"/>
      <c r="CB119" s="305"/>
      <c r="CC119" s="305"/>
      <c r="CD119" s="305"/>
      <c r="CE119" s="305"/>
      <c r="CF119" s="300">
        <f t="shared" si="38"/>
        <v>0</v>
      </c>
      <c r="CG119" s="300"/>
      <c r="CH119" s="305"/>
      <c r="CI119" s="305"/>
      <c r="CJ119" s="305"/>
      <c r="CK119" s="305"/>
      <c r="CL119" s="305"/>
      <c r="CM119" s="305"/>
      <c r="CN119" s="305"/>
      <c r="CO119" s="300">
        <f t="shared" si="39"/>
        <v>0</v>
      </c>
      <c r="CQ119" s="307">
        <f t="shared" si="47"/>
        <v>0</v>
      </c>
      <c r="CR119" s="307">
        <f t="shared" si="48"/>
        <v>0</v>
      </c>
      <c r="CS119" s="307">
        <f t="shared" si="49"/>
        <v>0</v>
      </c>
      <c r="CT119" s="307">
        <f t="shared" si="50"/>
        <v>0</v>
      </c>
      <c r="CU119" s="307">
        <f t="shared" si="51"/>
        <v>0</v>
      </c>
      <c r="CV119" s="307">
        <f t="shared" si="35"/>
        <v>0</v>
      </c>
      <c r="CW119" s="307">
        <f t="shared" si="36"/>
        <v>0</v>
      </c>
      <c r="CX119" s="307">
        <f t="shared" si="40"/>
        <v>0</v>
      </c>
      <c r="CY119" s="307">
        <f t="shared" si="41"/>
        <v>0</v>
      </c>
    </row>
    <row r="120" spans="1:103" s="230" customFormat="1" ht="21" customHeight="1">
      <c r="A120" s="308"/>
      <c r="B120" s="309"/>
      <c r="C120" s="287" t="str">
        <f>IF($A120=0,"",(VLOOKUP(A120,[3]MAT!$B$5:$D$4756,3,FALSE)))</f>
        <v/>
      </c>
      <c r="D120" s="288" t="s">
        <v>597</v>
      </c>
      <c r="E120" s="290"/>
      <c r="F120" s="310"/>
      <c r="G120" s="311"/>
      <c r="H120" s="293"/>
      <c r="I120" s="221"/>
      <c r="J120" s="294"/>
      <c r="K120" s="294"/>
      <c r="L120" s="295"/>
      <c r="M120" s="293"/>
      <c r="N120" s="310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94"/>
      <c r="AB120" s="294"/>
      <c r="AC120" s="294"/>
      <c r="AD120" s="294"/>
      <c r="AE120" s="293"/>
      <c r="AF120" s="221"/>
      <c r="AG120" s="294"/>
      <c r="AH120" s="294"/>
      <c r="AI120" s="295"/>
      <c r="AJ120" s="293"/>
      <c r="AK120" s="295"/>
      <c r="AL120" s="295"/>
      <c r="AM120" s="295"/>
      <c r="AN120" s="295"/>
      <c r="AO120" s="295"/>
      <c r="AP120" s="295"/>
      <c r="AQ120" s="295"/>
      <c r="AR120" s="295"/>
      <c r="AS120" s="295"/>
      <c r="AT120" s="295"/>
      <c r="AU120" s="293"/>
      <c r="AV120" s="311"/>
      <c r="AW120" s="296"/>
      <c r="AX120" s="296"/>
      <c r="AY120" s="296"/>
      <c r="AZ120" s="296"/>
      <c r="BA120" s="296"/>
      <c r="BB120" s="296"/>
      <c r="BC120" s="296"/>
      <c r="BD120" s="293">
        <f t="shared" si="43"/>
        <v>0</v>
      </c>
      <c r="BE120" s="221"/>
      <c r="BF120" s="294"/>
      <c r="BG120" s="294"/>
      <c r="BH120" s="294"/>
      <c r="BI120" s="293">
        <f t="shared" si="42"/>
        <v>0</v>
      </c>
      <c r="BJ120" s="300"/>
      <c r="BK120" s="301">
        <f t="shared" si="44"/>
        <v>0</v>
      </c>
      <c r="BL120" s="312">
        <f t="shared" si="45"/>
        <v>0</v>
      </c>
      <c r="BM120" s="313">
        <f t="shared" si="46"/>
        <v>0</v>
      </c>
      <c r="BN120" s="314"/>
      <c r="BP120" s="305"/>
      <c r="BQ120" s="305"/>
      <c r="BR120" s="305"/>
      <c r="BS120" s="305"/>
      <c r="BT120" s="305"/>
      <c r="BU120" s="305"/>
      <c r="BV120" s="305"/>
      <c r="BW120" s="300">
        <f t="shared" si="37"/>
        <v>0</v>
      </c>
      <c r="BX120" s="300"/>
      <c r="BY120" s="305"/>
      <c r="BZ120" s="305"/>
      <c r="CA120" s="305"/>
      <c r="CB120" s="305"/>
      <c r="CC120" s="305"/>
      <c r="CD120" s="305"/>
      <c r="CE120" s="305"/>
      <c r="CF120" s="300">
        <f t="shared" si="38"/>
        <v>0</v>
      </c>
      <c r="CG120" s="300"/>
      <c r="CH120" s="305"/>
      <c r="CI120" s="305"/>
      <c r="CJ120" s="305"/>
      <c r="CK120" s="305"/>
      <c r="CL120" s="305"/>
      <c r="CM120" s="305"/>
      <c r="CN120" s="305"/>
      <c r="CO120" s="300">
        <f t="shared" si="39"/>
        <v>0</v>
      </c>
      <c r="CQ120" s="307">
        <f t="shared" si="47"/>
        <v>0</v>
      </c>
      <c r="CR120" s="307">
        <f t="shared" si="48"/>
        <v>0</v>
      </c>
      <c r="CS120" s="307">
        <f t="shared" si="49"/>
        <v>0</v>
      </c>
      <c r="CT120" s="307">
        <f t="shared" si="50"/>
        <v>0</v>
      </c>
      <c r="CU120" s="307">
        <f t="shared" si="51"/>
        <v>0</v>
      </c>
      <c r="CV120" s="307">
        <f t="shared" si="35"/>
        <v>0</v>
      </c>
      <c r="CW120" s="307">
        <f t="shared" si="36"/>
        <v>0</v>
      </c>
      <c r="CX120" s="307">
        <f t="shared" si="40"/>
        <v>0</v>
      </c>
      <c r="CY120" s="307">
        <f t="shared" si="41"/>
        <v>0</v>
      </c>
    </row>
    <row r="121" spans="1:103" s="230" customFormat="1" ht="21" customHeight="1">
      <c r="A121" s="308"/>
      <c r="B121" s="309"/>
      <c r="C121" s="287" t="str">
        <f>IF($A121=0,"",(VLOOKUP(A121,[3]MAT!$B$5:$D$4756,3,FALSE)))</f>
        <v/>
      </c>
      <c r="D121" s="288" t="s">
        <v>597</v>
      </c>
      <c r="E121" s="290"/>
      <c r="F121" s="310"/>
      <c r="G121" s="311"/>
      <c r="H121" s="293"/>
      <c r="I121" s="221"/>
      <c r="J121" s="294"/>
      <c r="K121" s="294"/>
      <c r="L121" s="295"/>
      <c r="M121" s="293"/>
      <c r="N121" s="310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  <c r="AA121" s="294"/>
      <c r="AB121" s="294"/>
      <c r="AC121" s="294"/>
      <c r="AD121" s="294"/>
      <c r="AE121" s="293"/>
      <c r="AF121" s="221"/>
      <c r="AG121" s="294"/>
      <c r="AH121" s="294"/>
      <c r="AI121" s="295"/>
      <c r="AJ121" s="293"/>
      <c r="AK121" s="295"/>
      <c r="AL121" s="295"/>
      <c r="AM121" s="295"/>
      <c r="AN121" s="295"/>
      <c r="AO121" s="295"/>
      <c r="AP121" s="295"/>
      <c r="AQ121" s="295"/>
      <c r="AR121" s="295"/>
      <c r="AS121" s="295"/>
      <c r="AT121" s="295"/>
      <c r="AU121" s="293"/>
      <c r="AV121" s="311"/>
      <c r="AW121" s="296"/>
      <c r="AX121" s="296"/>
      <c r="AY121" s="296"/>
      <c r="AZ121" s="296"/>
      <c r="BA121" s="296"/>
      <c r="BB121" s="296"/>
      <c r="BC121" s="296"/>
      <c r="BD121" s="293">
        <f t="shared" si="43"/>
        <v>0</v>
      </c>
      <c r="BE121" s="221"/>
      <c r="BF121" s="294"/>
      <c r="BG121" s="294"/>
      <c r="BH121" s="294"/>
      <c r="BI121" s="293">
        <f t="shared" si="42"/>
        <v>0</v>
      </c>
      <c r="BJ121" s="300"/>
      <c r="BK121" s="301">
        <f t="shared" si="44"/>
        <v>0</v>
      </c>
      <c r="BL121" s="312">
        <f t="shared" si="45"/>
        <v>0</v>
      </c>
      <c r="BM121" s="313">
        <f t="shared" si="46"/>
        <v>0</v>
      </c>
      <c r="BN121" s="314"/>
      <c r="BP121" s="305"/>
      <c r="BQ121" s="305"/>
      <c r="BR121" s="305"/>
      <c r="BS121" s="305"/>
      <c r="BT121" s="305"/>
      <c r="BU121" s="305"/>
      <c r="BV121" s="305"/>
      <c r="BW121" s="300">
        <f t="shared" si="37"/>
        <v>0</v>
      </c>
      <c r="BX121" s="300"/>
      <c r="BY121" s="305"/>
      <c r="BZ121" s="305"/>
      <c r="CA121" s="305"/>
      <c r="CB121" s="305"/>
      <c r="CC121" s="305"/>
      <c r="CD121" s="305"/>
      <c r="CE121" s="305"/>
      <c r="CF121" s="300">
        <f t="shared" si="38"/>
        <v>0</v>
      </c>
      <c r="CG121" s="300"/>
      <c r="CH121" s="305"/>
      <c r="CI121" s="305"/>
      <c r="CJ121" s="305"/>
      <c r="CK121" s="305"/>
      <c r="CL121" s="305"/>
      <c r="CM121" s="305"/>
      <c r="CN121" s="305"/>
      <c r="CO121" s="300">
        <f t="shared" si="39"/>
        <v>0</v>
      </c>
      <c r="CQ121" s="307">
        <f t="shared" si="47"/>
        <v>0</v>
      </c>
      <c r="CR121" s="307">
        <f t="shared" si="48"/>
        <v>0</v>
      </c>
      <c r="CS121" s="307">
        <f t="shared" si="49"/>
        <v>0</v>
      </c>
      <c r="CT121" s="307">
        <f t="shared" si="50"/>
        <v>0</v>
      </c>
      <c r="CU121" s="307">
        <f t="shared" si="51"/>
        <v>0</v>
      </c>
      <c r="CV121" s="307">
        <f t="shared" si="35"/>
        <v>0</v>
      </c>
      <c r="CW121" s="307">
        <f t="shared" si="36"/>
        <v>0</v>
      </c>
      <c r="CX121" s="307">
        <f t="shared" si="40"/>
        <v>0</v>
      </c>
      <c r="CY121" s="307">
        <f t="shared" si="41"/>
        <v>0</v>
      </c>
    </row>
    <row r="122" spans="1:103" s="230" customFormat="1" ht="21" customHeight="1">
      <c r="A122" s="308"/>
      <c r="B122" s="309"/>
      <c r="C122" s="287" t="str">
        <f>IF($A122=0,"",(VLOOKUP(A122,[3]MAT!$B$5:$D$4756,3,FALSE)))</f>
        <v/>
      </c>
      <c r="D122" s="288" t="s">
        <v>597</v>
      </c>
      <c r="E122" s="290"/>
      <c r="F122" s="310"/>
      <c r="G122" s="311"/>
      <c r="H122" s="293"/>
      <c r="I122" s="221"/>
      <c r="J122" s="294"/>
      <c r="K122" s="294"/>
      <c r="L122" s="295"/>
      <c r="M122" s="293"/>
      <c r="N122" s="310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  <c r="AA122" s="294"/>
      <c r="AB122" s="294"/>
      <c r="AC122" s="294"/>
      <c r="AD122" s="294"/>
      <c r="AE122" s="293"/>
      <c r="AF122" s="221"/>
      <c r="AG122" s="294"/>
      <c r="AH122" s="294"/>
      <c r="AI122" s="295"/>
      <c r="AJ122" s="293"/>
      <c r="AK122" s="295"/>
      <c r="AL122" s="295"/>
      <c r="AM122" s="295"/>
      <c r="AN122" s="295"/>
      <c r="AO122" s="295"/>
      <c r="AP122" s="295"/>
      <c r="AQ122" s="295"/>
      <c r="AR122" s="295"/>
      <c r="AS122" s="295"/>
      <c r="AT122" s="295"/>
      <c r="AU122" s="293"/>
      <c r="AV122" s="311"/>
      <c r="AW122" s="296"/>
      <c r="AX122" s="296"/>
      <c r="AY122" s="296"/>
      <c r="AZ122" s="296"/>
      <c r="BA122" s="296"/>
      <c r="BB122" s="296"/>
      <c r="BC122" s="296"/>
      <c r="BD122" s="293">
        <f t="shared" si="43"/>
        <v>0</v>
      </c>
      <c r="BE122" s="221"/>
      <c r="BF122" s="294"/>
      <c r="BG122" s="294"/>
      <c r="BH122" s="294"/>
      <c r="BI122" s="293">
        <f t="shared" si="42"/>
        <v>0</v>
      </c>
      <c r="BJ122" s="300"/>
      <c r="BK122" s="301">
        <f t="shared" si="44"/>
        <v>0</v>
      </c>
      <c r="BL122" s="312">
        <f t="shared" si="45"/>
        <v>0</v>
      </c>
      <c r="BM122" s="313">
        <f t="shared" si="46"/>
        <v>0</v>
      </c>
      <c r="BN122" s="314"/>
      <c r="BP122" s="305"/>
      <c r="BQ122" s="305"/>
      <c r="BR122" s="305"/>
      <c r="BS122" s="305"/>
      <c r="BT122" s="305"/>
      <c r="BU122" s="305"/>
      <c r="BV122" s="305"/>
      <c r="BW122" s="300">
        <f t="shared" si="37"/>
        <v>0</v>
      </c>
      <c r="BX122" s="300"/>
      <c r="BY122" s="305"/>
      <c r="BZ122" s="305"/>
      <c r="CA122" s="305"/>
      <c r="CB122" s="305"/>
      <c r="CC122" s="305"/>
      <c r="CD122" s="305"/>
      <c r="CE122" s="305"/>
      <c r="CF122" s="300">
        <f t="shared" si="38"/>
        <v>0</v>
      </c>
      <c r="CG122" s="300"/>
      <c r="CH122" s="305"/>
      <c r="CI122" s="305"/>
      <c r="CJ122" s="305"/>
      <c r="CK122" s="305"/>
      <c r="CL122" s="305"/>
      <c r="CM122" s="305"/>
      <c r="CN122" s="305"/>
      <c r="CO122" s="300">
        <f t="shared" si="39"/>
        <v>0</v>
      </c>
      <c r="CQ122" s="307">
        <f t="shared" si="47"/>
        <v>0</v>
      </c>
      <c r="CR122" s="307">
        <f t="shared" si="48"/>
        <v>0</v>
      </c>
      <c r="CS122" s="307">
        <f t="shared" si="49"/>
        <v>0</v>
      </c>
      <c r="CT122" s="307">
        <f t="shared" si="50"/>
        <v>0</v>
      </c>
      <c r="CU122" s="307">
        <f t="shared" si="51"/>
        <v>0</v>
      </c>
      <c r="CV122" s="307">
        <f t="shared" si="35"/>
        <v>0</v>
      </c>
      <c r="CW122" s="307">
        <f t="shared" si="36"/>
        <v>0</v>
      </c>
      <c r="CX122" s="307">
        <f t="shared" si="40"/>
        <v>0</v>
      </c>
      <c r="CY122" s="307">
        <f t="shared" si="41"/>
        <v>0</v>
      </c>
    </row>
    <row r="123" spans="1:103" s="230" customFormat="1" ht="21" customHeight="1">
      <c r="A123" s="308"/>
      <c r="B123" s="309"/>
      <c r="C123" s="287" t="str">
        <f>IF($A123=0,"",(VLOOKUP(A123,[3]MAT!$B$5:$D$4756,3,FALSE)))</f>
        <v/>
      </c>
      <c r="D123" s="288" t="s">
        <v>597</v>
      </c>
      <c r="E123" s="290"/>
      <c r="F123" s="310"/>
      <c r="G123" s="311"/>
      <c r="H123" s="293"/>
      <c r="I123" s="221"/>
      <c r="J123" s="294"/>
      <c r="K123" s="294"/>
      <c r="L123" s="295"/>
      <c r="M123" s="293"/>
      <c r="N123" s="310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  <c r="AC123" s="294"/>
      <c r="AD123" s="294"/>
      <c r="AE123" s="293"/>
      <c r="AF123" s="221"/>
      <c r="AG123" s="294"/>
      <c r="AH123" s="294"/>
      <c r="AI123" s="295"/>
      <c r="AJ123" s="293"/>
      <c r="AK123" s="295"/>
      <c r="AL123" s="295"/>
      <c r="AM123" s="295"/>
      <c r="AN123" s="295"/>
      <c r="AO123" s="295"/>
      <c r="AP123" s="295"/>
      <c r="AQ123" s="295"/>
      <c r="AR123" s="295"/>
      <c r="AS123" s="295"/>
      <c r="AT123" s="295"/>
      <c r="AU123" s="293"/>
      <c r="AV123" s="311"/>
      <c r="AW123" s="296"/>
      <c r="AX123" s="296"/>
      <c r="AY123" s="296"/>
      <c r="AZ123" s="296"/>
      <c r="BA123" s="296"/>
      <c r="BB123" s="296"/>
      <c r="BC123" s="296"/>
      <c r="BD123" s="293">
        <f t="shared" si="43"/>
        <v>0</v>
      </c>
      <c r="BE123" s="221"/>
      <c r="BF123" s="294"/>
      <c r="BG123" s="294"/>
      <c r="BH123" s="294"/>
      <c r="BI123" s="293">
        <f t="shared" si="42"/>
        <v>0</v>
      </c>
      <c r="BJ123" s="300"/>
      <c r="BK123" s="301">
        <f t="shared" si="44"/>
        <v>0</v>
      </c>
      <c r="BL123" s="312">
        <f t="shared" si="45"/>
        <v>0</v>
      </c>
      <c r="BM123" s="313">
        <f t="shared" si="46"/>
        <v>0</v>
      </c>
      <c r="BN123" s="314"/>
      <c r="BP123" s="305"/>
      <c r="BQ123" s="305"/>
      <c r="BR123" s="305"/>
      <c r="BS123" s="305"/>
      <c r="BT123" s="305"/>
      <c r="BU123" s="305"/>
      <c r="BV123" s="305"/>
      <c r="BW123" s="300">
        <f t="shared" si="37"/>
        <v>0</v>
      </c>
      <c r="BX123" s="300"/>
      <c r="BY123" s="305"/>
      <c r="BZ123" s="305"/>
      <c r="CA123" s="305"/>
      <c r="CB123" s="305"/>
      <c r="CC123" s="305"/>
      <c r="CD123" s="305"/>
      <c r="CE123" s="305"/>
      <c r="CF123" s="300">
        <f t="shared" si="38"/>
        <v>0</v>
      </c>
      <c r="CG123" s="300"/>
      <c r="CH123" s="305"/>
      <c r="CI123" s="305"/>
      <c r="CJ123" s="305"/>
      <c r="CK123" s="305"/>
      <c r="CL123" s="305"/>
      <c r="CM123" s="305"/>
      <c r="CN123" s="305"/>
      <c r="CO123" s="300">
        <f t="shared" si="39"/>
        <v>0</v>
      </c>
      <c r="CQ123" s="307">
        <f t="shared" si="47"/>
        <v>0</v>
      </c>
      <c r="CR123" s="307">
        <f t="shared" si="48"/>
        <v>0</v>
      </c>
      <c r="CS123" s="307">
        <f t="shared" si="49"/>
        <v>0</v>
      </c>
      <c r="CT123" s="307">
        <f t="shared" si="50"/>
        <v>0</v>
      </c>
      <c r="CU123" s="307">
        <f t="shared" si="51"/>
        <v>0</v>
      </c>
      <c r="CV123" s="307">
        <f t="shared" si="35"/>
        <v>0</v>
      </c>
      <c r="CW123" s="307">
        <f t="shared" si="36"/>
        <v>0</v>
      </c>
      <c r="CX123" s="307">
        <f t="shared" si="40"/>
        <v>0</v>
      </c>
      <c r="CY123" s="307">
        <f t="shared" si="41"/>
        <v>0</v>
      </c>
    </row>
    <row r="124" spans="1:103" s="230" customFormat="1" ht="21" customHeight="1">
      <c r="A124" s="308"/>
      <c r="B124" s="309"/>
      <c r="C124" s="287" t="str">
        <f>IF($A124=0,"",(VLOOKUP(A124,[3]MAT!$B$5:$D$4756,3,FALSE)))</f>
        <v/>
      </c>
      <c r="D124" s="288" t="s">
        <v>597</v>
      </c>
      <c r="E124" s="290"/>
      <c r="F124" s="310"/>
      <c r="G124" s="311"/>
      <c r="H124" s="293"/>
      <c r="I124" s="221"/>
      <c r="J124" s="294"/>
      <c r="K124" s="294"/>
      <c r="L124" s="295"/>
      <c r="M124" s="293"/>
      <c r="N124" s="310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94"/>
      <c r="AB124" s="294"/>
      <c r="AC124" s="294"/>
      <c r="AD124" s="294"/>
      <c r="AE124" s="293"/>
      <c r="AF124" s="221"/>
      <c r="AG124" s="294"/>
      <c r="AH124" s="294"/>
      <c r="AI124" s="295"/>
      <c r="AJ124" s="293"/>
      <c r="AK124" s="295"/>
      <c r="AL124" s="295"/>
      <c r="AM124" s="295"/>
      <c r="AN124" s="295"/>
      <c r="AO124" s="295"/>
      <c r="AP124" s="295"/>
      <c r="AQ124" s="295"/>
      <c r="AR124" s="295"/>
      <c r="AS124" s="295"/>
      <c r="AT124" s="295"/>
      <c r="AU124" s="293"/>
      <c r="AV124" s="311"/>
      <c r="AW124" s="296"/>
      <c r="AX124" s="296"/>
      <c r="AY124" s="296"/>
      <c r="AZ124" s="296"/>
      <c r="BA124" s="296"/>
      <c r="BB124" s="296"/>
      <c r="BC124" s="296"/>
      <c r="BD124" s="293">
        <f t="shared" si="43"/>
        <v>0</v>
      </c>
      <c r="BE124" s="221"/>
      <c r="BF124" s="294"/>
      <c r="BG124" s="294"/>
      <c r="BH124" s="294"/>
      <c r="BI124" s="293">
        <f t="shared" si="42"/>
        <v>0</v>
      </c>
      <c r="BJ124" s="300"/>
      <c r="BK124" s="301">
        <f t="shared" si="44"/>
        <v>0</v>
      </c>
      <c r="BL124" s="312">
        <f t="shared" si="45"/>
        <v>0</v>
      </c>
      <c r="BM124" s="313">
        <f t="shared" si="46"/>
        <v>0</v>
      </c>
      <c r="BN124" s="314"/>
      <c r="BP124" s="305"/>
      <c r="BQ124" s="305"/>
      <c r="BR124" s="305"/>
      <c r="BS124" s="305"/>
      <c r="BT124" s="305"/>
      <c r="BU124" s="305"/>
      <c r="BV124" s="305"/>
      <c r="BW124" s="300">
        <f t="shared" si="37"/>
        <v>0</v>
      </c>
      <c r="BX124" s="300"/>
      <c r="BY124" s="305"/>
      <c r="BZ124" s="305"/>
      <c r="CA124" s="305"/>
      <c r="CB124" s="305"/>
      <c r="CC124" s="305"/>
      <c r="CD124" s="305"/>
      <c r="CE124" s="305"/>
      <c r="CF124" s="300">
        <f t="shared" si="38"/>
        <v>0</v>
      </c>
      <c r="CG124" s="300"/>
      <c r="CH124" s="305"/>
      <c r="CI124" s="305"/>
      <c r="CJ124" s="305"/>
      <c r="CK124" s="305"/>
      <c r="CL124" s="305"/>
      <c r="CM124" s="305"/>
      <c r="CN124" s="305"/>
      <c r="CO124" s="300">
        <f t="shared" si="39"/>
        <v>0</v>
      </c>
      <c r="CQ124" s="307">
        <f t="shared" si="47"/>
        <v>0</v>
      </c>
      <c r="CR124" s="307">
        <f t="shared" si="48"/>
        <v>0</v>
      </c>
      <c r="CS124" s="307">
        <f t="shared" si="49"/>
        <v>0</v>
      </c>
      <c r="CT124" s="307">
        <f t="shared" si="50"/>
        <v>0</v>
      </c>
      <c r="CU124" s="307">
        <f t="shared" si="51"/>
        <v>0</v>
      </c>
      <c r="CV124" s="307">
        <f t="shared" si="35"/>
        <v>0</v>
      </c>
      <c r="CW124" s="307">
        <f t="shared" si="36"/>
        <v>0</v>
      </c>
      <c r="CX124" s="307">
        <f t="shared" si="40"/>
        <v>0</v>
      </c>
      <c r="CY124" s="307">
        <f t="shared" si="41"/>
        <v>0</v>
      </c>
    </row>
    <row r="125" spans="1:103" s="230" customFormat="1" ht="21" customHeight="1">
      <c r="A125" s="308"/>
      <c r="B125" s="309"/>
      <c r="C125" s="287" t="str">
        <f>IF($A125=0,"",(VLOOKUP(A125,[3]MAT!$B$5:$D$4756,3,FALSE)))</f>
        <v/>
      </c>
      <c r="D125" s="288" t="s">
        <v>597</v>
      </c>
      <c r="E125" s="290"/>
      <c r="F125" s="310"/>
      <c r="G125" s="311"/>
      <c r="H125" s="293"/>
      <c r="I125" s="221"/>
      <c r="J125" s="294"/>
      <c r="K125" s="294"/>
      <c r="L125" s="295"/>
      <c r="M125" s="293"/>
      <c r="N125" s="310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294"/>
      <c r="AC125" s="294"/>
      <c r="AD125" s="294"/>
      <c r="AE125" s="293"/>
      <c r="AF125" s="221"/>
      <c r="AG125" s="294"/>
      <c r="AH125" s="294"/>
      <c r="AI125" s="295"/>
      <c r="AJ125" s="293"/>
      <c r="AK125" s="295"/>
      <c r="AL125" s="295"/>
      <c r="AM125" s="295"/>
      <c r="AN125" s="295"/>
      <c r="AO125" s="295"/>
      <c r="AP125" s="295"/>
      <c r="AQ125" s="295"/>
      <c r="AR125" s="295"/>
      <c r="AS125" s="295"/>
      <c r="AT125" s="295"/>
      <c r="AU125" s="293"/>
      <c r="AV125" s="311"/>
      <c r="AW125" s="296"/>
      <c r="AX125" s="296"/>
      <c r="AY125" s="296"/>
      <c r="AZ125" s="296"/>
      <c r="BA125" s="296"/>
      <c r="BB125" s="296"/>
      <c r="BC125" s="296"/>
      <c r="BD125" s="293">
        <f t="shared" si="43"/>
        <v>0</v>
      </c>
      <c r="BE125" s="221"/>
      <c r="BF125" s="294"/>
      <c r="BG125" s="294"/>
      <c r="BH125" s="294"/>
      <c r="BI125" s="293">
        <f t="shared" si="42"/>
        <v>0</v>
      </c>
      <c r="BJ125" s="300"/>
      <c r="BK125" s="301">
        <f t="shared" si="44"/>
        <v>0</v>
      </c>
      <c r="BL125" s="312">
        <f t="shared" si="45"/>
        <v>0</v>
      </c>
      <c r="BM125" s="313">
        <f t="shared" si="46"/>
        <v>0</v>
      </c>
      <c r="BN125" s="314"/>
      <c r="BP125" s="305"/>
      <c r="BQ125" s="305"/>
      <c r="BR125" s="305"/>
      <c r="BS125" s="305"/>
      <c r="BT125" s="305"/>
      <c r="BU125" s="305"/>
      <c r="BV125" s="305"/>
      <c r="BW125" s="300">
        <f t="shared" si="37"/>
        <v>0</v>
      </c>
      <c r="BX125" s="300"/>
      <c r="BY125" s="305"/>
      <c r="BZ125" s="305"/>
      <c r="CA125" s="305"/>
      <c r="CB125" s="305"/>
      <c r="CC125" s="305"/>
      <c r="CD125" s="305"/>
      <c r="CE125" s="305"/>
      <c r="CF125" s="300">
        <f t="shared" si="38"/>
        <v>0</v>
      </c>
      <c r="CG125" s="300"/>
      <c r="CH125" s="305"/>
      <c r="CI125" s="305"/>
      <c r="CJ125" s="305"/>
      <c r="CK125" s="305"/>
      <c r="CL125" s="305"/>
      <c r="CM125" s="305"/>
      <c r="CN125" s="305"/>
      <c r="CO125" s="300">
        <f t="shared" si="39"/>
        <v>0</v>
      </c>
      <c r="CQ125" s="307">
        <f t="shared" si="47"/>
        <v>0</v>
      </c>
      <c r="CR125" s="307">
        <f t="shared" si="48"/>
        <v>0</v>
      </c>
      <c r="CS125" s="307">
        <f t="shared" si="49"/>
        <v>0</v>
      </c>
      <c r="CT125" s="307">
        <f t="shared" si="50"/>
        <v>0</v>
      </c>
      <c r="CU125" s="307">
        <f t="shared" si="51"/>
        <v>0</v>
      </c>
      <c r="CV125" s="307">
        <f t="shared" si="35"/>
        <v>0</v>
      </c>
      <c r="CW125" s="307">
        <f t="shared" si="36"/>
        <v>0</v>
      </c>
      <c r="CX125" s="307">
        <f t="shared" si="40"/>
        <v>0</v>
      </c>
      <c r="CY125" s="307">
        <f t="shared" si="41"/>
        <v>0</v>
      </c>
    </row>
    <row r="126" spans="1:103" s="230" customFormat="1" ht="21" customHeight="1">
      <c r="A126" s="308"/>
      <c r="B126" s="309"/>
      <c r="C126" s="287" t="str">
        <f>IF($A126=0,"",(VLOOKUP(A126,[3]MAT!$B$5:$D$4756,3,FALSE)))</f>
        <v/>
      </c>
      <c r="D126" s="288" t="s">
        <v>597</v>
      </c>
      <c r="E126" s="290"/>
      <c r="F126" s="310"/>
      <c r="G126" s="311"/>
      <c r="H126" s="293"/>
      <c r="I126" s="221"/>
      <c r="J126" s="294"/>
      <c r="K126" s="294"/>
      <c r="L126" s="295"/>
      <c r="M126" s="293"/>
      <c r="N126" s="310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4"/>
      <c r="AB126" s="294"/>
      <c r="AC126" s="294"/>
      <c r="AD126" s="294"/>
      <c r="AE126" s="293"/>
      <c r="AF126" s="221"/>
      <c r="AG126" s="294"/>
      <c r="AH126" s="294"/>
      <c r="AI126" s="295"/>
      <c r="AJ126" s="293"/>
      <c r="AK126" s="295"/>
      <c r="AL126" s="295"/>
      <c r="AM126" s="295"/>
      <c r="AN126" s="295"/>
      <c r="AO126" s="295"/>
      <c r="AP126" s="295"/>
      <c r="AQ126" s="295"/>
      <c r="AR126" s="295"/>
      <c r="AS126" s="295"/>
      <c r="AT126" s="295"/>
      <c r="AU126" s="293"/>
      <c r="AV126" s="311"/>
      <c r="AW126" s="296"/>
      <c r="AX126" s="296"/>
      <c r="AY126" s="296"/>
      <c r="AZ126" s="296"/>
      <c r="BA126" s="296"/>
      <c r="BB126" s="296"/>
      <c r="BC126" s="296"/>
      <c r="BD126" s="293">
        <f t="shared" si="43"/>
        <v>0</v>
      </c>
      <c r="BE126" s="221"/>
      <c r="BF126" s="294"/>
      <c r="BG126" s="294"/>
      <c r="BH126" s="294"/>
      <c r="BI126" s="293">
        <f t="shared" si="42"/>
        <v>0</v>
      </c>
      <c r="BJ126" s="300"/>
      <c r="BK126" s="301">
        <f t="shared" si="44"/>
        <v>0</v>
      </c>
      <c r="BL126" s="312">
        <f t="shared" si="45"/>
        <v>0</v>
      </c>
      <c r="BM126" s="313">
        <f t="shared" si="46"/>
        <v>0</v>
      </c>
      <c r="BN126" s="314"/>
      <c r="BP126" s="305"/>
      <c r="BQ126" s="305"/>
      <c r="BR126" s="305"/>
      <c r="BS126" s="305"/>
      <c r="BT126" s="305"/>
      <c r="BU126" s="305"/>
      <c r="BV126" s="305"/>
      <c r="BW126" s="300">
        <f t="shared" si="37"/>
        <v>0</v>
      </c>
      <c r="BX126" s="300"/>
      <c r="BY126" s="305"/>
      <c r="BZ126" s="305"/>
      <c r="CA126" s="305"/>
      <c r="CB126" s="305"/>
      <c r="CC126" s="305"/>
      <c r="CD126" s="305"/>
      <c r="CE126" s="305"/>
      <c r="CF126" s="300">
        <f t="shared" si="38"/>
        <v>0</v>
      </c>
      <c r="CG126" s="300"/>
      <c r="CH126" s="305"/>
      <c r="CI126" s="305"/>
      <c r="CJ126" s="305"/>
      <c r="CK126" s="305"/>
      <c r="CL126" s="305"/>
      <c r="CM126" s="305"/>
      <c r="CN126" s="305"/>
      <c r="CO126" s="300">
        <f t="shared" si="39"/>
        <v>0</v>
      </c>
      <c r="CQ126" s="307">
        <f t="shared" si="47"/>
        <v>0</v>
      </c>
      <c r="CR126" s="307">
        <f t="shared" si="48"/>
        <v>0</v>
      </c>
      <c r="CS126" s="307">
        <f t="shared" si="49"/>
        <v>0</v>
      </c>
      <c r="CT126" s="307">
        <f t="shared" si="50"/>
        <v>0</v>
      </c>
      <c r="CU126" s="307">
        <f t="shared" si="51"/>
        <v>0</v>
      </c>
      <c r="CV126" s="307">
        <f t="shared" si="35"/>
        <v>0</v>
      </c>
      <c r="CW126" s="307">
        <f t="shared" si="36"/>
        <v>0</v>
      </c>
      <c r="CX126" s="307">
        <f t="shared" si="40"/>
        <v>0</v>
      </c>
      <c r="CY126" s="307">
        <f t="shared" si="41"/>
        <v>0</v>
      </c>
    </row>
    <row r="127" spans="1:103" s="230" customFormat="1" ht="21" customHeight="1">
      <c r="A127" s="308"/>
      <c r="B127" s="309"/>
      <c r="C127" s="287" t="str">
        <f>IF($A127=0,"",(VLOOKUP(A127,[3]MAT!$B$5:$D$4756,3,FALSE)))</f>
        <v/>
      </c>
      <c r="D127" s="288" t="s">
        <v>597</v>
      </c>
      <c r="E127" s="290"/>
      <c r="F127" s="310"/>
      <c r="G127" s="311"/>
      <c r="H127" s="293"/>
      <c r="I127" s="221"/>
      <c r="J127" s="294"/>
      <c r="K127" s="294"/>
      <c r="L127" s="295"/>
      <c r="M127" s="293"/>
      <c r="N127" s="310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  <c r="AA127" s="294"/>
      <c r="AB127" s="294"/>
      <c r="AC127" s="294"/>
      <c r="AD127" s="294"/>
      <c r="AE127" s="293"/>
      <c r="AF127" s="221"/>
      <c r="AG127" s="294"/>
      <c r="AH127" s="294"/>
      <c r="AI127" s="295"/>
      <c r="AJ127" s="293"/>
      <c r="AK127" s="295"/>
      <c r="AL127" s="295"/>
      <c r="AM127" s="295"/>
      <c r="AN127" s="295"/>
      <c r="AO127" s="295"/>
      <c r="AP127" s="295"/>
      <c r="AQ127" s="295"/>
      <c r="AR127" s="295"/>
      <c r="AS127" s="295"/>
      <c r="AT127" s="295"/>
      <c r="AU127" s="293"/>
      <c r="AV127" s="311"/>
      <c r="AW127" s="296"/>
      <c r="AX127" s="296"/>
      <c r="AY127" s="296"/>
      <c r="AZ127" s="296"/>
      <c r="BA127" s="296"/>
      <c r="BB127" s="296"/>
      <c r="BC127" s="296"/>
      <c r="BD127" s="293">
        <f t="shared" si="43"/>
        <v>0</v>
      </c>
      <c r="BE127" s="221"/>
      <c r="BF127" s="294"/>
      <c r="BG127" s="294"/>
      <c r="BH127" s="294"/>
      <c r="BI127" s="293">
        <f t="shared" si="42"/>
        <v>0</v>
      </c>
      <c r="BJ127" s="300"/>
      <c r="BK127" s="301">
        <f t="shared" si="44"/>
        <v>0</v>
      </c>
      <c r="BL127" s="312">
        <f t="shared" si="45"/>
        <v>0</v>
      </c>
      <c r="BM127" s="313">
        <f t="shared" si="46"/>
        <v>0</v>
      </c>
      <c r="BN127" s="314"/>
      <c r="BP127" s="305"/>
      <c r="BQ127" s="305"/>
      <c r="BR127" s="305"/>
      <c r="BS127" s="305"/>
      <c r="BT127" s="305"/>
      <c r="BU127" s="305"/>
      <c r="BV127" s="305"/>
      <c r="BW127" s="300">
        <f t="shared" si="37"/>
        <v>0</v>
      </c>
      <c r="BX127" s="300"/>
      <c r="BY127" s="305"/>
      <c r="BZ127" s="305"/>
      <c r="CA127" s="305"/>
      <c r="CB127" s="305"/>
      <c r="CC127" s="305"/>
      <c r="CD127" s="305"/>
      <c r="CE127" s="305"/>
      <c r="CF127" s="300">
        <f t="shared" si="38"/>
        <v>0</v>
      </c>
      <c r="CG127" s="300"/>
      <c r="CH127" s="305"/>
      <c r="CI127" s="305"/>
      <c r="CJ127" s="305"/>
      <c r="CK127" s="305"/>
      <c r="CL127" s="305"/>
      <c r="CM127" s="305"/>
      <c r="CN127" s="305"/>
      <c r="CO127" s="300">
        <f t="shared" si="39"/>
        <v>0</v>
      </c>
      <c r="CQ127" s="307">
        <f t="shared" si="47"/>
        <v>0</v>
      </c>
      <c r="CR127" s="307">
        <f t="shared" si="48"/>
        <v>0</v>
      </c>
      <c r="CS127" s="307">
        <f t="shared" si="49"/>
        <v>0</v>
      </c>
      <c r="CT127" s="307">
        <f t="shared" si="50"/>
        <v>0</v>
      </c>
      <c r="CU127" s="307">
        <f t="shared" si="51"/>
        <v>0</v>
      </c>
      <c r="CV127" s="307">
        <f t="shared" si="35"/>
        <v>0</v>
      </c>
      <c r="CW127" s="307">
        <f t="shared" si="36"/>
        <v>0</v>
      </c>
      <c r="CX127" s="307">
        <f t="shared" si="40"/>
        <v>0</v>
      </c>
      <c r="CY127" s="307">
        <f t="shared" si="41"/>
        <v>0</v>
      </c>
    </row>
    <row r="128" spans="1:103" s="230" customFormat="1" ht="21" customHeight="1">
      <c r="A128" s="308"/>
      <c r="B128" s="309"/>
      <c r="C128" s="287" t="str">
        <f>IF($A128=0,"",(VLOOKUP(A128,[3]MAT!$B$5:$D$4756,3,FALSE)))</f>
        <v/>
      </c>
      <c r="D128" s="288" t="s">
        <v>597</v>
      </c>
      <c r="E128" s="290"/>
      <c r="F128" s="310"/>
      <c r="G128" s="311"/>
      <c r="H128" s="293"/>
      <c r="I128" s="221"/>
      <c r="J128" s="294"/>
      <c r="K128" s="294"/>
      <c r="L128" s="295"/>
      <c r="M128" s="293"/>
      <c r="N128" s="310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  <c r="AA128" s="294"/>
      <c r="AB128" s="294"/>
      <c r="AC128" s="294"/>
      <c r="AD128" s="294"/>
      <c r="AE128" s="293"/>
      <c r="AF128" s="221"/>
      <c r="AG128" s="294"/>
      <c r="AH128" s="294"/>
      <c r="AI128" s="295"/>
      <c r="AJ128" s="293"/>
      <c r="AK128" s="295"/>
      <c r="AL128" s="295"/>
      <c r="AM128" s="295"/>
      <c r="AN128" s="295"/>
      <c r="AO128" s="295"/>
      <c r="AP128" s="295"/>
      <c r="AQ128" s="295"/>
      <c r="AR128" s="295"/>
      <c r="AS128" s="295"/>
      <c r="AT128" s="295"/>
      <c r="AU128" s="293"/>
      <c r="AV128" s="311"/>
      <c r="AW128" s="296"/>
      <c r="AX128" s="296"/>
      <c r="AY128" s="296"/>
      <c r="AZ128" s="296"/>
      <c r="BA128" s="296"/>
      <c r="BB128" s="296"/>
      <c r="BC128" s="296"/>
      <c r="BD128" s="293">
        <f t="shared" si="43"/>
        <v>0</v>
      </c>
      <c r="BE128" s="221"/>
      <c r="BF128" s="294"/>
      <c r="BG128" s="294"/>
      <c r="BH128" s="294"/>
      <c r="BI128" s="293">
        <f t="shared" si="42"/>
        <v>0</v>
      </c>
      <c r="BJ128" s="300"/>
      <c r="BK128" s="301">
        <f t="shared" si="44"/>
        <v>0</v>
      </c>
      <c r="BL128" s="312">
        <f t="shared" si="45"/>
        <v>0</v>
      </c>
      <c r="BM128" s="313">
        <f t="shared" si="46"/>
        <v>0</v>
      </c>
      <c r="BN128" s="314"/>
      <c r="BP128" s="305"/>
      <c r="BQ128" s="305"/>
      <c r="BR128" s="305"/>
      <c r="BS128" s="305"/>
      <c r="BT128" s="305"/>
      <c r="BU128" s="305"/>
      <c r="BV128" s="305"/>
      <c r="BW128" s="300">
        <f t="shared" si="37"/>
        <v>0</v>
      </c>
      <c r="BX128" s="300"/>
      <c r="BY128" s="305"/>
      <c r="BZ128" s="305"/>
      <c r="CA128" s="305"/>
      <c r="CB128" s="305"/>
      <c r="CC128" s="305"/>
      <c r="CD128" s="305"/>
      <c r="CE128" s="305"/>
      <c r="CF128" s="300">
        <f t="shared" si="38"/>
        <v>0</v>
      </c>
      <c r="CG128" s="300"/>
      <c r="CH128" s="305"/>
      <c r="CI128" s="305"/>
      <c r="CJ128" s="305"/>
      <c r="CK128" s="305"/>
      <c r="CL128" s="305"/>
      <c r="CM128" s="305"/>
      <c r="CN128" s="305"/>
      <c r="CO128" s="300">
        <f t="shared" si="39"/>
        <v>0</v>
      </c>
      <c r="CQ128" s="307">
        <f t="shared" si="47"/>
        <v>0</v>
      </c>
      <c r="CR128" s="307">
        <f t="shared" si="48"/>
        <v>0</v>
      </c>
      <c r="CS128" s="307">
        <f t="shared" si="49"/>
        <v>0</v>
      </c>
      <c r="CT128" s="307">
        <f t="shared" si="50"/>
        <v>0</v>
      </c>
      <c r="CU128" s="307">
        <f t="shared" si="51"/>
        <v>0</v>
      </c>
      <c r="CV128" s="307">
        <f t="shared" si="35"/>
        <v>0</v>
      </c>
      <c r="CW128" s="307">
        <f t="shared" si="36"/>
        <v>0</v>
      </c>
      <c r="CX128" s="307">
        <f t="shared" si="40"/>
        <v>0</v>
      </c>
      <c r="CY128" s="307">
        <f t="shared" si="41"/>
        <v>0</v>
      </c>
    </row>
    <row r="129" spans="1:103" s="230" customFormat="1" ht="21" customHeight="1">
      <c r="A129" s="308"/>
      <c r="B129" s="309"/>
      <c r="C129" s="287" t="str">
        <f>IF($A129=0,"",(VLOOKUP(A129,[3]MAT!$B$5:$D$4756,3,FALSE)))</f>
        <v/>
      </c>
      <c r="D129" s="288" t="s">
        <v>597</v>
      </c>
      <c r="E129" s="290"/>
      <c r="F129" s="310"/>
      <c r="G129" s="311"/>
      <c r="H129" s="293"/>
      <c r="I129" s="221"/>
      <c r="J129" s="294"/>
      <c r="K129" s="294"/>
      <c r="L129" s="295"/>
      <c r="M129" s="293"/>
      <c r="N129" s="310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94"/>
      <c r="AB129" s="294"/>
      <c r="AC129" s="294"/>
      <c r="AD129" s="294"/>
      <c r="AE129" s="293"/>
      <c r="AF129" s="221"/>
      <c r="AG129" s="294"/>
      <c r="AH129" s="294"/>
      <c r="AI129" s="295"/>
      <c r="AJ129" s="293"/>
      <c r="AK129" s="295"/>
      <c r="AL129" s="295"/>
      <c r="AM129" s="295"/>
      <c r="AN129" s="295"/>
      <c r="AO129" s="295"/>
      <c r="AP129" s="295"/>
      <c r="AQ129" s="295"/>
      <c r="AR129" s="295"/>
      <c r="AS129" s="295"/>
      <c r="AT129" s="295"/>
      <c r="AU129" s="293"/>
      <c r="AV129" s="311"/>
      <c r="AW129" s="296"/>
      <c r="AX129" s="296"/>
      <c r="AY129" s="296"/>
      <c r="AZ129" s="296"/>
      <c r="BA129" s="296"/>
      <c r="BB129" s="296"/>
      <c r="BC129" s="296"/>
      <c r="BD129" s="293">
        <f t="shared" si="43"/>
        <v>0</v>
      </c>
      <c r="BE129" s="221"/>
      <c r="BF129" s="294"/>
      <c r="BG129" s="294"/>
      <c r="BH129" s="294"/>
      <c r="BI129" s="293">
        <f t="shared" si="42"/>
        <v>0</v>
      </c>
      <c r="BJ129" s="300"/>
      <c r="BK129" s="301">
        <f t="shared" si="44"/>
        <v>0</v>
      </c>
      <c r="BL129" s="312">
        <f t="shared" si="45"/>
        <v>0</v>
      </c>
      <c r="BM129" s="313">
        <f t="shared" si="46"/>
        <v>0</v>
      </c>
      <c r="BN129" s="314"/>
      <c r="BP129" s="305"/>
      <c r="BQ129" s="305"/>
      <c r="BR129" s="305"/>
      <c r="BS129" s="305"/>
      <c r="BT129" s="305"/>
      <c r="BU129" s="305"/>
      <c r="BV129" s="305"/>
      <c r="BW129" s="300">
        <f t="shared" si="37"/>
        <v>0</v>
      </c>
      <c r="BX129" s="300"/>
      <c r="BY129" s="305"/>
      <c r="BZ129" s="305"/>
      <c r="CA129" s="305"/>
      <c r="CB129" s="305"/>
      <c r="CC129" s="305"/>
      <c r="CD129" s="305"/>
      <c r="CE129" s="305"/>
      <c r="CF129" s="300">
        <f t="shared" si="38"/>
        <v>0</v>
      </c>
      <c r="CG129" s="300"/>
      <c r="CH129" s="305"/>
      <c r="CI129" s="305"/>
      <c r="CJ129" s="305"/>
      <c r="CK129" s="305"/>
      <c r="CL129" s="305"/>
      <c r="CM129" s="305"/>
      <c r="CN129" s="305"/>
      <c r="CO129" s="300">
        <f t="shared" si="39"/>
        <v>0</v>
      </c>
      <c r="CQ129" s="307">
        <f t="shared" si="47"/>
        <v>0</v>
      </c>
      <c r="CR129" s="307">
        <f t="shared" si="48"/>
        <v>0</v>
      </c>
      <c r="CS129" s="307">
        <f t="shared" si="49"/>
        <v>0</v>
      </c>
      <c r="CT129" s="307">
        <f t="shared" si="50"/>
        <v>0</v>
      </c>
      <c r="CU129" s="307">
        <f t="shared" si="51"/>
        <v>0</v>
      </c>
      <c r="CV129" s="307">
        <f t="shared" si="35"/>
        <v>0</v>
      </c>
      <c r="CW129" s="307">
        <f t="shared" si="36"/>
        <v>0</v>
      </c>
      <c r="CX129" s="307">
        <f t="shared" si="40"/>
        <v>0</v>
      </c>
      <c r="CY129" s="307">
        <f t="shared" si="41"/>
        <v>0</v>
      </c>
    </row>
    <row r="130" spans="1:103" s="230" customFormat="1" ht="21" customHeight="1">
      <c r="A130" s="308"/>
      <c r="B130" s="309"/>
      <c r="C130" s="287" t="str">
        <f>IF($A130=0,"",(VLOOKUP(A130,[3]MAT!$B$5:$D$4756,3,FALSE)))</f>
        <v/>
      </c>
      <c r="D130" s="288" t="s">
        <v>597</v>
      </c>
      <c r="E130" s="290"/>
      <c r="F130" s="310"/>
      <c r="G130" s="311"/>
      <c r="H130" s="293"/>
      <c r="I130" s="221"/>
      <c r="J130" s="294"/>
      <c r="K130" s="294"/>
      <c r="L130" s="295"/>
      <c r="M130" s="293"/>
      <c r="N130" s="310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  <c r="AA130" s="294"/>
      <c r="AB130" s="294"/>
      <c r="AC130" s="294"/>
      <c r="AD130" s="294"/>
      <c r="AE130" s="293"/>
      <c r="AF130" s="221"/>
      <c r="AG130" s="294"/>
      <c r="AH130" s="294"/>
      <c r="AI130" s="295"/>
      <c r="AJ130" s="293"/>
      <c r="AK130" s="295"/>
      <c r="AL130" s="295"/>
      <c r="AM130" s="295"/>
      <c r="AN130" s="295"/>
      <c r="AO130" s="295"/>
      <c r="AP130" s="295"/>
      <c r="AQ130" s="295"/>
      <c r="AR130" s="295"/>
      <c r="AS130" s="295"/>
      <c r="AT130" s="295"/>
      <c r="AU130" s="293"/>
      <c r="AV130" s="311"/>
      <c r="AW130" s="296"/>
      <c r="AX130" s="296"/>
      <c r="AY130" s="296"/>
      <c r="AZ130" s="296"/>
      <c r="BA130" s="296"/>
      <c r="BB130" s="296"/>
      <c r="BC130" s="296"/>
      <c r="BD130" s="293">
        <f t="shared" si="43"/>
        <v>0</v>
      </c>
      <c r="BE130" s="221"/>
      <c r="BF130" s="294"/>
      <c r="BG130" s="294"/>
      <c r="BH130" s="294"/>
      <c r="BI130" s="293">
        <f t="shared" si="42"/>
        <v>0</v>
      </c>
      <c r="BJ130" s="300"/>
      <c r="BK130" s="301">
        <f t="shared" si="44"/>
        <v>0</v>
      </c>
      <c r="BL130" s="312">
        <f t="shared" si="45"/>
        <v>0</v>
      </c>
      <c r="BM130" s="313">
        <f t="shared" si="46"/>
        <v>0</v>
      </c>
      <c r="BN130" s="314"/>
      <c r="BP130" s="305"/>
      <c r="BQ130" s="305"/>
      <c r="BR130" s="305"/>
      <c r="BS130" s="305"/>
      <c r="BT130" s="305"/>
      <c r="BU130" s="305"/>
      <c r="BV130" s="305"/>
      <c r="BW130" s="300">
        <f t="shared" si="37"/>
        <v>0</v>
      </c>
      <c r="BX130" s="300"/>
      <c r="BY130" s="305"/>
      <c r="BZ130" s="305"/>
      <c r="CA130" s="305"/>
      <c r="CB130" s="305"/>
      <c r="CC130" s="305"/>
      <c r="CD130" s="305"/>
      <c r="CE130" s="305"/>
      <c r="CF130" s="300">
        <f t="shared" si="38"/>
        <v>0</v>
      </c>
      <c r="CG130" s="300"/>
      <c r="CH130" s="305"/>
      <c r="CI130" s="305"/>
      <c r="CJ130" s="305"/>
      <c r="CK130" s="305"/>
      <c r="CL130" s="305"/>
      <c r="CM130" s="305"/>
      <c r="CN130" s="305"/>
      <c r="CO130" s="300">
        <f t="shared" si="39"/>
        <v>0</v>
      </c>
      <c r="CQ130" s="307">
        <f t="shared" si="47"/>
        <v>0</v>
      </c>
      <c r="CR130" s="307">
        <f t="shared" si="48"/>
        <v>0</v>
      </c>
      <c r="CS130" s="307">
        <f t="shared" si="49"/>
        <v>0</v>
      </c>
      <c r="CT130" s="307">
        <f t="shared" si="50"/>
        <v>0</v>
      </c>
      <c r="CU130" s="307">
        <f t="shared" si="51"/>
        <v>0</v>
      </c>
      <c r="CV130" s="307">
        <f t="shared" si="35"/>
        <v>0</v>
      </c>
      <c r="CW130" s="307">
        <f t="shared" si="36"/>
        <v>0</v>
      </c>
      <c r="CX130" s="307">
        <f t="shared" si="40"/>
        <v>0</v>
      </c>
      <c r="CY130" s="307">
        <f t="shared" si="41"/>
        <v>0</v>
      </c>
    </row>
    <row r="131" spans="1:103" s="230" customFormat="1" ht="21" customHeight="1">
      <c r="A131" s="308"/>
      <c r="B131" s="309"/>
      <c r="C131" s="287" t="str">
        <f>IF($A131=0,"",(VLOOKUP(A131,[3]MAT!$B$5:$D$4756,3,FALSE)))</f>
        <v/>
      </c>
      <c r="D131" s="288" t="s">
        <v>597</v>
      </c>
      <c r="E131" s="290"/>
      <c r="F131" s="310"/>
      <c r="G131" s="311"/>
      <c r="H131" s="293"/>
      <c r="I131" s="221"/>
      <c r="J131" s="294"/>
      <c r="K131" s="294"/>
      <c r="L131" s="295"/>
      <c r="M131" s="293"/>
      <c r="N131" s="310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  <c r="AA131" s="294"/>
      <c r="AB131" s="294"/>
      <c r="AC131" s="294"/>
      <c r="AD131" s="294"/>
      <c r="AE131" s="293"/>
      <c r="AF131" s="221"/>
      <c r="AG131" s="294"/>
      <c r="AH131" s="294"/>
      <c r="AI131" s="295"/>
      <c r="AJ131" s="293"/>
      <c r="AK131" s="295"/>
      <c r="AL131" s="295"/>
      <c r="AM131" s="295"/>
      <c r="AN131" s="295"/>
      <c r="AO131" s="295"/>
      <c r="AP131" s="295"/>
      <c r="AQ131" s="295"/>
      <c r="AR131" s="295"/>
      <c r="AS131" s="295"/>
      <c r="AT131" s="295"/>
      <c r="AU131" s="293"/>
      <c r="AV131" s="311"/>
      <c r="AW131" s="296"/>
      <c r="AX131" s="296"/>
      <c r="AY131" s="296"/>
      <c r="AZ131" s="296"/>
      <c r="BA131" s="296"/>
      <c r="BB131" s="296"/>
      <c r="BC131" s="296"/>
      <c r="BD131" s="293">
        <f t="shared" si="43"/>
        <v>0</v>
      </c>
      <c r="BE131" s="221"/>
      <c r="BF131" s="294"/>
      <c r="BG131" s="294"/>
      <c r="BH131" s="294"/>
      <c r="BI131" s="293">
        <f t="shared" si="42"/>
        <v>0</v>
      </c>
      <c r="BJ131" s="300"/>
      <c r="BK131" s="301">
        <f t="shared" si="44"/>
        <v>0</v>
      </c>
      <c r="BL131" s="312">
        <f t="shared" si="45"/>
        <v>0</v>
      </c>
      <c r="BM131" s="313">
        <f t="shared" si="46"/>
        <v>0</v>
      </c>
      <c r="BN131" s="314"/>
      <c r="BP131" s="305"/>
      <c r="BQ131" s="305"/>
      <c r="BR131" s="305"/>
      <c r="BS131" s="305"/>
      <c r="BT131" s="305"/>
      <c r="BU131" s="305"/>
      <c r="BV131" s="305"/>
      <c r="BW131" s="300">
        <f t="shared" si="37"/>
        <v>0</v>
      </c>
      <c r="BX131" s="300"/>
      <c r="BY131" s="305"/>
      <c r="BZ131" s="305"/>
      <c r="CA131" s="305"/>
      <c r="CB131" s="305"/>
      <c r="CC131" s="305"/>
      <c r="CD131" s="305"/>
      <c r="CE131" s="305"/>
      <c r="CF131" s="300">
        <f t="shared" si="38"/>
        <v>0</v>
      </c>
      <c r="CG131" s="300"/>
      <c r="CH131" s="305"/>
      <c r="CI131" s="305"/>
      <c r="CJ131" s="305"/>
      <c r="CK131" s="305"/>
      <c r="CL131" s="305"/>
      <c r="CM131" s="305"/>
      <c r="CN131" s="305"/>
      <c r="CO131" s="300">
        <f t="shared" si="39"/>
        <v>0</v>
      </c>
      <c r="CQ131" s="307">
        <f t="shared" si="47"/>
        <v>0</v>
      </c>
      <c r="CR131" s="307">
        <f t="shared" si="48"/>
        <v>0</v>
      </c>
      <c r="CS131" s="307">
        <f t="shared" si="49"/>
        <v>0</v>
      </c>
      <c r="CT131" s="307">
        <f t="shared" si="50"/>
        <v>0</v>
      </c>
      <c r="CU131" s="307">
        <f t="shared" si="51"/>
        <v>0</v>
      </c>
      <c r="CV131" s="307">
        <f t="shared" si="35"/>
        <v>0</v>
      </c>
      <c r="CW131" s="307">
        <f t="shared" si="36"/>
        <v>0</v>
      </c>
      <c r="CX131" s="307">
        <f t="shared" si="40"/>
        <v>0</v>
      </c>
      <c r="CY131" s="307">
        <f t="shared" si="41"/>
        <v>0</v>
      </c>
    </row>
    <row r="132" spans="1:103" s="230" customFormat="1" ht="21" customHeight="1">
      <c r="A132" s="308"/>
      <c r="B132" s="309"/>
      <c r="C132" s="287" t="str">
        <f>IF($A132=0,"",(VLOOKUP(A132,[3]MAT!$B$5:$D$4756,3,FALSE)))</f>
        <v/>
      </c>
      <c r="D132" s="288" t="s">
        <v>597</v>
      </c>
      <c r="E132" s="290"/>
      <c r="F132" s="310"/>
      <c r="G132" s="311"/>
      <c r="H132" s="293"/>
      <c r="I132" s="221"/>
      <c r="J132" s="294"/>
      <c r="K132" s="294"/>
      <c r="L132" s="295"/>
      <c r="M132" s="293"/>
      <c r="N132" s="310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  <c r="AA132" s="294"/>
      <c r="AB132" s="294"/>
      <c r="AC132" s="294"/>
      <c r="AD132" s="294"/>
      <c r="AE132" s="293"/>
      <c r="AF132" s="221"/>
      <c r="AG132" s="294"/>
      <c r="AH132" s="294"/>
      <c r="AI132" s="295"/>
      <c r="AJ132" s="293"/>
      <c r="AK132" s="295"/>
      <c r="AL132" s="295"/>
      <c r="AM132" s="295"/>
      <c r="AN132" s="295"/>
      <c r="AO132" s="295"/>
      <c r="AP132" s="295"/>
      <c r="AQ132" s="295"/>
      <c r="AR132" s="295"/>
      <c r="AS132" s="295"/>
      <c r="AT132" s="295"/>
      <c r="AU132" s="293"/>
      <c r="AV132" s="311"/>
      <c r="AW132" s="296"/>
      <c r="AX132" s="296"/>
      <c r="AY132" s="296"/>
      <c r="AZ132" s="296"/>
      <c r="BA132" s="296"/>
      <c r="BB132" s="296"/>
      <c r="BC132" s="296"/>
      <c r="BD132" s="293">
        <f t="shared" si="43"/>
        <v>0</v>
      </c>
      <c r="BE132" s="221"/>
      <c r="BF132" s="294"/>
      <c r="BG132" s="294"/>
      <c r="BH132" s="294"/>
      <c r="BI132" s="293">
        <f t="shared" si="42"/>
        <v>0</v>
      </c>
      <c r="BJ132" s="300"/>
      <c r="BK132" s="301">
        <f t="shared" si="44"/>
        <v>0</v>
      </c>
      <c r="BL132" s="312">
        <f t="shared" si="45"/>
        <v>0</v>
      </c>
      <c r="BM132" s="313">
        <f t="shared" si="46"/>
        <v>0</v>
      </c>
      <c r="BN132" s="314"/>
      <c r="BP132" s="305"/>
      <c r="BQ132" s="305"/>
      <c r="BR132" s="305"/>
      <c r="BS132" s="305"/>
      <c r="BT132" s="305"/>
      <c r="BU132" s="305"/>
      <c r="BV132" s="305"/>
      <c r="BW132" s="300">
        <f t="shared" si="37"/>
        <v>0</v>
      </c>
      <c r="BX132" s="300"/>
      <c r="BY132" s="305"/>
      <c r="BZ132" s="305"/>
      <c r="CA132" s="305"/>
      <c r="CB132" s="305"/>
      <c r="CC132" s="305"/>
      <c r="CD132" s="305"/>
      <c r="CE132" s="305"/>
      <c r="CF132" s="300">
        <f t="shared" si="38"/>
        <v>0</v>
      </c>
      <c r="CG132" s="300"/>
      <c r="CH132" s="305"/>
      <c r="CI132" s="305"/>
      <c r="CJ132" s="305"/>
      <c r="CK132" s="305"/>
      <c r="CL132" s="305"/>
      <c r="CM132" s="305"/>
      <c r="CN132" s="305"/>
      <c r="CO132" s="300">
        <f t="shared" si="39"/>
        <v>0</v>
      </c>
      <c r="CQ132" s="307">
        <f t="shared" si="47"/>
        <v>0</v>
      </c>
      <c r="CR132" s="307">
        <f t="shared" si="48"/>
        <v>0</v>
      </c>
      <c r="CS132" s="307">
        <f t="shared" si="49"/>
        <v>0</v>
      </c>
      <c r="CT132" s="307">
        <f t="shared" si="50"/>
        <v>0</v>
      </c>
      <c r="CU132" s="307">
        <f t="shared" si="51"/>
        <v>0</v>
      </c>
      <c r="CV132" s="307">
        <f t="shared" si="35"/>
        <v>0</v>
      </c>
      <c r="CW132" s="307">
        <f t="shared" si="36"/>
        <v>0</v>
      </c>
      <c r="CX132" s="307">
        <f t="shared" si="40"/>
        <v>0</v>
      </c>
      <c r="CY132" s="307">
        <f t="shared" si="41"/>
        <v>0</v>
      </c>
    </row>
    <row r="133" spans="1:103" s="230" customFormat="1" ht="21" customHeight="1">
      <c r="A133" s="308"/>
      <c r="B133" s="309"/>
      <c r="C133" s="287" t="str">
        <f>IF($A133=0,"",(VLOOKUP(A133,[3]MAT!$B$5:$D$4756,3,FALSE)))</f>
        <v/>
      </c>
      <c r="D133" s="288" t="s">
        <v>597</v>
      </c>
      <c r="E133" s="290"/>
      <c r="F133" s="310"/>
      <c r="G133" s="311"/>
      <c r="H133" s="293"/>
      <c r="I133" s="221"/>
      <c r="J133" s="294"/>
      <c r="K133" s="294"/>
      <c r="L133" s="295"/>
      <c r="M133" s="293"/>
      <c r="N133" s="310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  <c r="AA133" s="294"/>
      <c r="AB133" s="294"/>
      <c r="AC133" s="294"/>
      <c r="AD133" s="294"/>
      <c r="AE133" s="293"/>
      <c r="AF133" s="221"/>
      <c r="AG133" s="294"/>
      <c r="AH133" s="294"/>
      <c r="AI133" s="295"/>
      <c r="AJ133" s="293"/>
      <c r="AK133" s="295"/>
      <c r="AL133" s="295"/>
      <c r="AM133" s="295"/>
      <c r="AN133" s="295"/>
      <c r="AO133" s="295"/>
      <c r="AP133" s="295"/>
      <c r="AQ133" s="295"/>
      <c r="AR133" s="295"/>
      <c r="AS133" s="295"/>
      <c r="AT133" s="295"/>
      <c r="AU133" s="293"/>
      <c r="AV133" s="311"/>
      <c r="AW133" s="296"/>
      <c r="AX133" s="296"/>
      <c r="AY133" s="296"/>
      <c r="AZ133" s="296"/>
      <c r="BA133" s="296"/>
      <c r="BB133" s="296"/>
      <c r="BC133" s="296"/>
      <c r="BD133" s="293">
        <f t="shared" si="43"/>
        <v>0</v>
      </c>
      <c r="BE133" s="221"/>
      <c r="BF133" s="294"/>
      <c r="BG133" s="294"/>
      <c r="BH133" s="294"/>
      <c r="BI133" s="293">
        <f t="shared" si="42"/>
        <v>0</v>
      </c>
      <c r="BJ133" s="300"/>
      <c r="BK133" s="301">
        <f t="shared" si="44"/>
        <v>0</v>
      </c>
      <c r="BL133" s="312">
        <f t="shared" si="45"/>
        <v>0</v>
      </c>
      <c r="BM133" s="313">
        <f t="shared" si="46"/>
        <v>0</v>
      </c>
      <c r="BN133" s="314"/>
      <c r="BP133" s="305"/>
      <c r="BQ133" s="305"/>
      <c r="BR133" s="305"/>
      <c r="BS133" s="305"/>
      <c r="BT133" s="305"/>
      <c r="BU133" s="305"/>
      <c r="BV133" s="305"/>
      <c r="BW133" s="300">
        <f t="shared" si="37"/>
        <v>0</v>
      </c>
      <c r="BX133" s="300"/>
      <c r="BY133" s="305"/>
      <c r="BZ133" s="305"/>
      <c r="CA133" s="305"/>
      <c r="CB133" s="305"/>
      <c r="CC133" s="305"/>
      <c r="CD133" s="305"/>
      <c r="CE133" s="305"/>
      <c r="CF133" s="300">
        <f t="shared" si="38"/>
        <v>0</v>
      </c>
      <c r="CG133" s="300"/>
      <c r="CH133" s="305"/>
      <c r="CI133" s="305"/>
      <c r="CJ133" s="305"/>
      <c r="CK133" s="305"/>
      <c r="CL133" s="305"/>
      <c r="CM133" s="305"/>
      <c r="CN133" s="305"/>
      <c r="CO133" s="300">
        <f t="shared" si="39"/>
        <v>0</v>
      </c>
      <c r="CQ133" s="307">
        <f t="shared" si="47"/>
        <v>0</v>
      </c>
      <c r="CR133" s="307">
        <f t="shared" si="48"/>
        <v>0</v>
      </c>
      <c r="CS133" s="307">
        <f t="shared" si="49"/>
        <v>0</v>
      </c>
      <c r="CT133" s="307">
        <f t="shared" si="50"/>
        <v>0</v>
      </c>
      <c r="CU133" s="307">
        <f t="shared" si="51"/>
        <v>0</v>
      </c>
      <c r="CV133" s="307">
        <f t="shared" si="35"/>
        <v>0</v>
      </c>
      <c r="CW133" s="307">
        <f t="shared" si="36"/>
        <v>0</v>
      </c>
      <c r="CX133" s="307">
        <f t="shared" si="40"/>
        <v>0</v>
      </c>
      <c r="CY133" s="307">
        <f t="shared" si="41"/>
        <v>0</v>
      </c>
    </row>
    <row r="134" spans="1:103" s="230" customFormat="1" ht="21" customHeight="1">
      <c r="A134" s="308"/>
      <c r="B134" s="309"/>
      <c r="C134" s="287" t="str">
        <f>IF($A134=0,"",(VLOOKUP(A134,[3]MAT!$B$5:$D$4756,3,FALSE)))</f>
        <v/>
      </c>
      <c r="D134" s="288" t="s">
        <v>597</v>
      </c>
      <c r="E134" s="290"/>
      <c r="F134" s="310"/>
      <c r="G134" s="311"/>
      <c r="H134" s="293"/>
      <c r="I134" s="221"/>
      <c r="J134" s="294"/>
      <c r="K134" s="294"/>
      <c r="L134" s="295"/>
      <c r="M134" s="293"/>
      <c r="N134" s="310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  <c r="AA134" s="294"/>
      <c r="AB134" s="294"/>
      <c r="AC134" s="294"/>
      <c r="AD134" s="294"/>
      <c r="AE134" s="293"/>
      <c r="AF134" s="221"/>
      <c r="AG134" s="294"/>
      <c r="AH134" s="294"/>
      <c r="AI134" s="295"/>
      <c r="AJ134" s="293"/>
      <c r="AK134" s="295"/>
      <c r="AL134" s="295"/>
      <c r="AM134" s="295"/>
      <c r="AN134" s="295"/>
      <c r="AO134" s="295"/>
      <c r="AP134" s="295"/>
      <c r="AQ134" s="295"/>
      <c r="AR134" s="295"/>
      <c r="AS134" s="295"/>
      <c r="AT134" s="295"/>
      <c r="AU134" s="293"/>
      <c r="AV134" s="311"/>
      <c r="AW134" s="296"/>
      <c r="AX134" s="296"/>
      <c r="AY134" s="296"/>
      <c r="AZ134" s="296"/>
      <c r="BA134" s="296"/>
      <c r="BB134" s="296"/>
      <c r="BC134" s="296"/>
      <c r="BD134" s="293">
        <f t="shared" si="43"/>
        <v>0</v>
      </c>
      <c r="BE134" s="221"/>
      <c r="BF134" s="294"/>
      <c r="BG134" s="294"/>
      <c r="BH134" s="294"/>
      <c r="BI134" s="293">
        <f t="shared" si="42"/>
        <v>0</v>
      </c>
      <c r="BJ134" s="300"/>
      <c r="BK134" s="301">
        <f t="shared" si="44"/>
        <v>0</v>
      </c>
      <c r="BL134" s="312">
        <f t="shared" si="45"/>
        <v>0</v>
      </c>
      <c r="BM134" s="313">
        <f t="shared" si="46"/>
        <v>0</v>
      </c>
      <c r="BN134" s="314"/>
      <c r="BP134" s="305"/>
      <c r="BQ134" s="305"/>
      <c r="BR134" s="305"/>
      <c r="BS134" s="305"/>
      <c r="BT134" s="305"/>
      <c r="BU134" s="305"/>
      <c r="BV134" s="305"/>
      <c r="BW134" s="300">
        <f t="shared" si="37"/>
        <v>0</v>
      </c>
      <c r="BX134" s="300"/>
      <c r="BY134" s="305"/>
      <c r="BZ134" s="305"/>
      <c r="CA134" s="305"/>
      <c r="CB134" s="305"/>
      <c r="CC134" s="305"/>
      <c r="CD134" s="305"/>
      <c r="CE134" s="305"/>
      <c r="CF134" s="300">
        <f t="shared" si="38"/>
        <v>0</v>
      </c>
      <c r="CG134" s="300"/>
      <c r="CH134" s="305"/>
      <c r="CI134" s="305"/>
      <c r="CJ134" s="305"/>
      <c r="CK134" s="305"/>
      <c r="CL134" s="305"/>
      <c r="CM134" s="305"/>
      <c r="CN134" s="305"/>
      <c r="CO134" s="300">
        <f t="shared" si="39"/>
        <v>0</v>
      </c>
      <c r="CQ134" s="307">
        <f t="shared" si="47"/>
        <v>0</v>
      </c>
      <c r="CR134" s="307">
        <f t="shared" si="48"/>
        <v>0</v>
      </c>
      <c r="CS134" s="307">
        <f t="shared" si="49"/>
        <v>0</v>
      </c>
      <c r="CT134" s="307">
        <f t="shared" si="50"/>
        <v>0</v>
      </c>
      <c r="CU134" s="307">
        <f t="shared" si="51"/>
        <v>0</v>
      </c>
      <c r="CV134" s="307">
        <f t="shared" si="35"/>
        <v>0</v>
      </c>
      <c r="CW134" s="307">
        <f t="shared" si="36"/>
        <v>0</v>
      </c>
      <c r="CX134" s="307">
        <f t="shared" si="40"/>
        <v>0</v>
      </c>
      <c r="CY134" s="307">
        <f t="shared" si="41"/>
        <v>0</v>
      </c>
    </row>
    <row r="135" spans="1:103" s="230" customFormat="1" ht="21" customHeight="1">
      <c r="A135" s="308"/>
      <c r="B135" s="309"/>
      <c r="C135" s="287" t="str">
        <f>IF($A135=0,"",(VLOOKUP(A135,[3]MAT!$B$5:$D$4756,3,FALSE)))</f>
        <v/>
      </c>
      <c r="D135" s="288" t="s">
        <v>597</v>
      </c>
      <c r="E135" s="290"/>
      <c r="F135" s="310"/>
      <c r="G135" s="311"/>
      <c r="H135" s="293"/>
      <c r="I135" s="221"/>
      <c r="J135" s="294"/>
      <c r="K135" s="294"/>
      <c r="L135" s="295"/>
      <c r="M135" s="293"/>
      <c r="N135" s="310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  <c r="AA135" s="294"/>
      <c r="AB135" s="294"/>
      <c r="AC135" s="294"/>
      <c r="AD135" s="294"/>
      <c r="AE135" s="293"/>
      <c r="AF135" s="221"/>
      <c r="AG135" s="294"/>
      <c r="AH135" s="294"/>
      <c r="AI135" s="295"/>
      <c r="AJ135" s="293"/>
      <c r="AK135" s="295"/>
      <c r="AL135" s="295"/>
      <c r="AM135" s="295"/>
      <c r="AN135" s="295"/>
      <c r="AO135" s="295"/>
      <c r="AP135" s="295"/>
      <c r="AQ135" s="295"/>
      <c r="AR135" s="295"/>
      <c r="AS135" s="295"/>
      <c r="AT135" s="295"/>
      <c r="AU135" s="293"/>
      <c r="AV135" s="311"/>
      <c r="AW135" s="296"/>
      <c r="AX135" s="296"/>
      <c r="AY135" s="296"/>
      <c r="AZ135" s="296"/>
      <c r="BA135" s="296"/>
      <c r="BB135" s="296"/>
      <c r="BC135" s="296"/>
      <c r="BD135" s="293">
        <f t="shared" si="43"/>
        <v>0</v>
      </c>
      <c r="BE135" s="221"/>
      <c r="BF135" s="294"/>
      <c r="BG135" s="294"/>
      <c r="BH135" s="294"/>
      <c r="BI135" s="293">
        <f t="shared" si="42"/>
        <v>0</v>
      </c>
      <c r="BJ135" s="300"/>
      <c r="BK135" s="301">
        <f t="shared" si="44"/>
        <v>0</v>
      </c>
      <c r="BL135" s="312">
        <f t="shared" si="45"/>
        <v>0</v>
      </c>
      <c r="BM135" s="313">
        <f t="shared" si="46"/>
        <v>0</v>
      </c>
      <c r="BN135" s="314"/>
      <c r="BP135" s="305"/>
      <c r="BQ135" s="305"/>
      <c r="BR135" s="305"/>
      <c r="BS135" s="305"/>
      <c r="BT135" s="305"/>
      <c r="BU135" s="305"/>
      <c r="BV135" s="305"/>
      <c r="BW135" s="300">
        <f t="shared" si="37"/>
        <v>0</v>
      </c>
      <c r="BX135" s="300"/>
      <c r="BY135" s="305"/>
      <c r="BZ135" s="305"/>
      <c r="CA135" s="305"/>
      <c r="CB135" s="305"/>
      <c r="CC135" s="305"/>
      <c r="CD135" s="305"/>
      <c r="CE135" s="305"/>
      <c r="CF135" s="300">
        <f t="shared" si="38"/>
        <v>0</v>
      </c>
      <c r="CG135" s="300"/>
      <c r="CH135" s="305"/>
      <c r="CI135" s="305"/>
      <c r="CJ135" s="305"/>
      <c r="CK135" s="305"/>
      <c r="CL135" s="305"/>
      <c r="CM135" s="305"/>
      <c r="CN135" s="305"/>
      <c r="CO135" s="300">
        <f t="shared" si="39"/>
        <v>0</v>
      </c>
      <c r="CQ135" s="307">
        <f t="shared" si="47"/>
        <v>0</v>
      </c>
      <c r="CR135" s="307">
        <f t="shared" si="48"/>
        <v>0</v>
      </c>
      <c r="CS135" s="307">
        <f t="shared" si="49"/>
        <v>0</v>
      </c>
      <c r="CT135" s="307">
        <f t="shared" si="50"/>
        <v>0</v>
      </c>
      <c r="CU135" s="307">
        <f t="shared" si="51"/>
        <v>0</v>
      </c>
      <c r="CV135" s="307">
        <f t="shared" si="35"/>
        <v>0</v>
      </c>
      <c r="CW135" s="307">
        <f t="shared" si="36"/>
        <v>0</v>
      </c>
      <c r="CX135" s="307">
        <f t="shared" si="40"/>
        <v>0</v>
      </c>
      <c r="CY135" s="307">
        <f t="shared" si="41"/>
        <v>0</v>
      </c>
    </row>
    <row r="136" spans="1:103" s="230" customFormat="1" ht="21" customHeight="1">
      <c r="A136" s="308"/>
      <c r="B136" s="309"/>
      <c r="C136" s="287" t="str">
        <f>IF($A136=0,"",(VLOOKUP(A136,[3]MAT!$B$5:$D$4756,3,FALSE)))</f>
        <v/>
      </c>
      <c r="D136" s="288" t="s">
        <v>597</v>
      </c>
      <c r="E136" s="290"/>
      <c r="F136" s="310"/>
      <c r="G136" s="311"/>
      <c r="H136" s="293"/>
      <c r="I136" s="221"/>
      <c r="J136" s="294"/>
      <c r="K136" s="294"/>
      <c r="L136" s="295"/>
      <c r="M136" s="293"/>
      <c r="N136" s="310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94"/>
      <c r="AB136" s="294"/>
      <c r="AC136" s="294"/>
      <c r="AD136" s="294"/>
      <c r="AE136" s="293"/>
      <c r="AF136" s="221"/>
      <c r="AG136" s="294"/>
      <c r="AH136" s="294"/>
      <c r="AI136" s="295"/>
      <c r="AJ136" s="293"/>
      <c r="AK136" s="295"/>
      <c r="AL136" s="295"/>
      <c r="AM136" s="295"/>
      <c r="AN136" s="295"/>
      <c r="AO136" s="295"/>
      <c r="AP136" s="295"/>
      <c r="AQ136" s="295"/>
      <c r="AR136" s="295"/>
      <c r="AS136" s="295"/>
      <c r="AT136" s="295"/>
      <c r="AU136" s="293"/>
      <c r="AV136" s="311"/>
      <c r="AW136" s="296"/>
      <c r="AX136" s="296"/>
      <c r="AY136" s="296"/>
      <c r="AZ136" s="296"/>
      <c r="BA136" s="296"/>
      <c r="BB136" s="296"/>
      <c r="BC136" s="296"/>
      <c r="BD136" s="293">
        <f t="shared" si="43"/>
        <v>0</v>
      </c>
      <c r="BE136" s="221"/>
      <c r="BF136" s="294"/>
      <c r="BG136" s="294"/>
      <c r="BH136" s="294"/>
      <c r="BI136" s="293">
        <f t="shared" si="42"/>
        <v>0</v>
      </c>
      <c r="BJ136" s="300"/>
      <c r="BK136" s="301">
        <f t="shared" si="44"/>
        <v>0</v>
      </c>
      <c r="BL136" s="312">
        <f t="shared" si="45"/>
        <v>0</v>
      </c>
      <c r="BM136" s="313">
        <f t="shared" si="46"/>
        <v>0</v>
      </c>
      <c r="BN136" s="314"/>
      <c r="BP136" s="305"/>
      <c r="BQ136" s="305"/>
      <c r="BR136" s="305"/>
      <c r="BS136" s="305"/>
      <c r="BT136" s="305"/>
      <c r="BU136" s="305"/>
      <c r="BV136" s="305"/>
      <c r="BW136" s="300">
        <f t="shared" si="37"/>
        <v>0</v>
      </c>
      <c r="BX136" s="300"/>
      <c r="BY136" s="305"/>
      <c r="BZ136" s="305"/>
      <c r="CA136" s="305"/>
      <c r="CB136" s="305"/>
      <c r="CC136" s="305"/>
      <c r="CD136" s="305"/>
      <c r="CE136" s="305"/>
      <c r="CF136" s="300">
        <f t="shared" si="38"/>
        <v>0</v>
      </c>
      <c r="CG136" s="300"/>
      <c r="CH136" s="305"/>
      <c r="CI136" s="305"/>
      <c r="CJ136" s="305"/>
      <c r="CK136" s="305"/>
      <c r="CL136" s="305"/>
      <c r="CM136" s="305"/>
      <c r="CN136" s="305"/>
      <c r="CO136" s="300">
        <f t="shared" si="39"/>
        <v>0</v>
      </c>
      <c r="CQ136" s="307">
        <f t="shared" si="47"/>
        <v>0</v>
      </c>
      <c r="CR136" s="307">
        <f t="shared" si="48"/>
        <v>0</v>
      </c>
      <c r="CS136" s="307">
        <f t="shared" si="49"/>
        <v>0</v>
      </c>
      <c r="CT136" s="307">
        <f t="shared" si="50"/>
        <v>0</v>
      </c>
      <c r="CU136" s="307">
        <f t="shared" si="51"/>
        <v>0</v>
      </c>
      <c r="CV136" s="307">
        <f t="shared" si="35"/>
        <v>0</v>
      </c>
      <c r="CW136" s="307">
        <f t="shared" si="36"/>
        <v>0</v>
      </c>
      <c r="CX136" s="307">
        <f t="shared" si="40"/>
        <v>0</v>
      </c>
      <c r="CY136" s="307">
        <f t="shared" si="41"/>
        <v>0</v>
      </c>
    </row>
    <row r="137" spans="1:103" s="230" customFormat="1" ht="21" customHeight="1">
      <c r="A137" s="308"/>
      <c r="B137" s="309"/>
      <c r="C137" s="287" t="str">
        <f>IF($A137=0,"",(VLOOKUP(A137,[3]MAT!$B$5:$D$4756,3,FALSE)))</f>
        <v/>
      </c>
      <c r="D137" s="288" t="s">
        <v>597</v>
      </c>
      <c r="E137" s="290"/>
      <c r="F137" s="310"/>
      <c r="G137" s="311"/>
      <c r="H137" s="293"/>
      <c r="I137" s="221"/>
      <c r="J137" s="294"/>
      <c r="K137" s="294"/>
      <c r="L137" s="295"/>
      <c r="M137" s="293"/>
      <c r="N137" s="310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  <c r="AA137" s="294"/>
      <c r="AB137" s="294"/>
      <c r="AC137" s="294"/>
      <c r="AD137" s="294"/>
      <c r="AE137" s="293"/>
      <c r="AF137" s="221"/>
      <c r="AG137" s="294"/>
      <c r="AH137" s="294"/>
      <c r="AI137" s="295"/>
      <c r="AJ137" s="293"/>
      <c r="AK137" s="295"/>
      <c r="AL137" s="295"/>
      <c r="AM137" s="295"/>
      <c r="AN137" s="295"/>
      <c r="AO137" s="295"/>
      <c r="AP137" s="295"/>
      <c r="AQ137" s="295"/>
      <c r="AR137" s="295"/>
      <c r="AS137" s="295"/>
      <c r="AT137" s="295"/>
      <c r="AU137" s="293"/>
      <c r="AV137" s="311"/>
      <c r="AW137" s="296"/>
      <c r="AX137" s="296"/>
      <c r="AY137" s="296"/>
      <c r="AZ137" s="296"/>
      <c r="BA137" s="296"/>
      <c r="BB137" s="296"/>
      <c r="BC137" s="296"/>
      <c r="BD137" s="293">
        <f t="shared" si="43"/>
        <v>0</v>
      </c>
      <c r="BE137" s="221"/>
      <c r="BF137" s="294"/>
      <c r="BG137" s="294"/>
      <c r="BH137" s="294"/>
      <c r="BI137" s="293">
        <f t="shared" si="42"/>
        <v>0</v>
      </c>
      <c r="BJ137" s="300"/>
      <c r="BK137" s="301">
        <f t="shared" si="44"/>
        <v>0</v>
      </c>
      <c r="BL137" s="312">
        <f t="shared" si="45"/>
        <v>0</v>
      </c>
      <c r="BM137" s="313">
        <f t="shared" si="46"/>
        <v>0</v>
      </c>
      <c r="BN137" s="314"/>
      <c r="BP137" s="305"/>
      <c r="BQ137" s="305"/>
      <c r="BR137" s="305"/>
      <c r="BS137" s="305"/>
      <c r="BT137" s="305"/>
      <c r="BU137" s="305"/>
      <c r="BV137" s="305"/>
      <c r="BW137" s="300">
        <f t="shared" si="37"/>
        <v>0</v>
      </c>
      <c r="BX137" s="300"/>
      <c r="BY137" s="305"/>
      <c r="BZ137" s="305"/>
      <c r="CA137" s="305"/>
      <c r="CB137" s="305"/>
      <c r="CC137" s="305"/>
      <c r="CD137" s="305"/>
      <c r="CE137" s="305"/>
      <c r="CF137" s="300">
        <f t="shared" si="38"/>
        <v>0</v>
      </c>
      <c r="CG137" s="300"/>
      <c r="CH137" s="305"/>
      <c r="CI137" s="305"/>
      <c r="CJ137" s="305"/>
      <c r="CK137" s="305"/>
      <c r="CL137" s="305"/>
      <c r="CM137" s="305"/>
      <c r="CN137" s="305"/>
      <c r="CO137" s="300">
        <f t="shared" si="39"/>
        <v>0</v>
      </c>
      <c r="CQ137" s="307">
        <f t="shared" si="47"/>
        <v>0</v>
      </c>
      <c r="CR137" s="307">
        <f t="shared" si="48"/>
        <v>0</v>
      </c>
      <c r="CS137" s="307">
        <f t="shared" si="49"/>
        <v>0</v>
      </c>
      <c r="CT137" s="307">
        <f t="shared" si="50"/>
        <v>0</v>
      </c>
      <c r="CU137" s="307">
        <f t="shared" si="51"/>
        <v>0</v>
      </c>
      <c r="CV137" s="307">
        <f t="shared" si="35"/>
        <v>0</v>
      </c>
      <c r="CW137" s="307">
        <f t="shared" si="36"/>
        <v>0</v>
      </c>
      <c r="CX137" s="307">
        <f t="shared" si="40"/>
        <v>0</v>
      </c>
      <c r="CY137" s="307">
        <f t="shared" si="41"/>
        <v>0</v>
      </c>
    </row>
    <row r="138" spans="1:103" s="230" customFormat="1" ht="21" customHeight="1">
      <c r="A138" s="308"/>
      <c r="B138" s="309"/>
      <c r="C138" s="287" t="str">
        <f>IF($A138=0,"",(VLOOKUP(A138,[3]MAT!$B$5:$D$4756,3,FALSE)))</f>
        <v/>
      </c>
      <c r="D138" s="288" t="s">
        <v>597</v>
      </c>
      <c r="E138" s="290"/>
      <c r="F138" s="310"/>
      <c r="G138" s="311"/>
      <c r="H138" s="293"/>
      <c r="I138" s="221"/>
      <c r="J138" s="294"/>
      <c r="K138" s="294"/>
      <c r="L138" s="295"/>
      <c r="M138" s="293"/>
      <c r="N138" s="310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3"/>
      <c r="AF138" s="221"/>
      <c r="AG138" s="294"/>
      <c r="AH138" s="294"/>
      <c r="AI138" s="295"/>
      <c r="AJ138" s="293"/>
      <c r="AK138" s="295"/>
      <c r="AL138" s="295"/>
      <c r="AM138" s="295"/>
      <c r="AN138" s="295"/>
      <c r="AO138" s="295"/>
      <c r="AP138" s="295"/>
      <c r="AQ138" s="295"/>
      <c r="AR138" s="295"/>
      <c r="AS138" s="295"/>
      <c r="AT138" s="295"/>
      <c r="AU138" s="293"/>
      <c r="AV138" s="311"/>
      <c r="AW138" s="296"/>
      <c r="AX138" s="296"/>
      <c r="AY138" s="296"/>
      <c r="AZ138" s="296"/>
      <c r="BA138" s="296"/>
      <c r="BB138" s="296"/>
      <c r="BC138" s="296"/>
      <c r="BD138" s="293">
        <f t="shared" si="43"/>
        <v>0</v>
      </c>
      <c r="BE138" s="221"/>
      <c r="BF138" s="294"/>
      <c r="BG138" s="294"/>
      <c r="BH138" s="294"/>
      <c r="BI138" s="293">
        <f t="shared" si="42"/>
        <v>0</v>
      </c>
      <c r="BJ138" s="300"/>
      <c r="BK138" s="301">
        <f t="shared" si="44"/>
        <v>0</v>
      </c>
      <c r="BL138" s="312">
        <f t="shared" si="45"/>
        <v>0</v>
      </c>
      <c r="BM138" s="313">
        <f t="shared" si="46"/>
        <v>0</v>
      </c>
      <c r="BN138" s="314"/>
      <c r="BP138" s="305"/>
      <c r="BQ138" s="305"/>
      <c r="BR138" s="305"/>
      <c r="BS138" s="305"/>
      <c r="BT138" s="305"/>
      <c r="BU138" s="305"/>
      <c r="BV138" s="305"/>
      <c r="BW138" s="300">
        <f t="shared" si="37"/>
        <v>0</v>
      </c>
      <c r="BX138" s="300"/>
      <c r="BY138" s="305"/>
      <c r="BZ138" s="305"/>
      <c r="CA138" s="305"/>
      <c r="CB138" s="305"/>
      <c r="CC138" s="305"/>
      <c r="CD138" s="305"/>
      <c r="CE138" s="305"/>
      <c r="CF138" s="300">
        <f t="shared" si="38"/>
        <v>0</v>
      </c>
      <c r="CG138" s="300"/>
      <c r="CH138" s="305"/>
      <c r="CI138" s="305"/>
      <c r="CJ138" s="305"/>
      <c r="CK138" s="305"/>
      <c r="CL138" s="305"/>
      <c r="CM138" s="305"/>
      <c r="CN138" s="305"/>
      <c r="CO138" s="300">
        <f t="shared" si="39"/>
        <v>0</v>
      </c>
      <c r="CQ138" s="307">
        <f t="shared" si="47"/>
        <v>0</v>
      </c>
      <c r="CR138" s="307">
        <f t="shared" si="48"/>
        <v>0</v>
      </c>
      <c r="CS138" s="307">
        <f t="shared" si="49"/>
        <v>0</v>
      </c>
      <c r="CT138" s="307">
        <f t="shared" si="50"/>
        <v>0</v>
      </c>
      <c r="CU138" s="307">
        <f t="shared" si="51"/>
        <v>0</v>
      </c>
      <c r="CV138" s="307">
        <f t="shared" si="35"/>
        <v>0</v>
      </c>
      <c r="CW138" s="307">
        <f t="shared" si="36"/>
        <v>0</v>
      </c>
      <c r="CX138" s="307">
        <f t="shared" si="40"/>
        <v>0</v>
      </c>
      <c r="CY138" s="307">
        <f t="shared" si="41"/>
        <v>0</v>
      </c>
    </row>
    <row r="139" spans="1:103" s="230" customFormat="1" ht="21" customHeight="1">
      <c r="A139" s="308"/>
      <c r="B139" s="309"/>
      <c r="C139" s="287" t="str">
        <f>IF($A139=0,"",(VLOOKUP(A139,[3]MAT!$B$5:$D$4756,3,FALSE)))</f>
        <v/>
      </c>
      <c r="D139" s="288" t="s">
        <v>597</v>
      </c>
      <c r="E139" s="290"/>
      <c r="F139" s="310"/>
      <c r="G139" s="311"/>
      <c r="H139" s="293"/>
      <c r="I139" s="221"/>
      <c r="J139" s="294"/>
      <c r="K139" s="294"/>
      <c r="L139" s="295"/>
      <c r="M139" s="293"/>
      <c r="N139" s="310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  <c r="AA139" s="294"/>
      <c r="AB139" s="294"/>
      <c r="AC139" s="294"/>
      <c r="AD139" s="294"/>
      <c r="AE139" s="293"/>
      <c r="AF139" s="221"/>
      <c r="AG139" s="294"/>
      <c r="AH139" s="294"/>
      <c r="AI139" s="295"/>
      <c r="AJ139" s="293"/>
      <c r="AK139" s="295"/>
      <c r="AL139" s="295"/>
      <c r="AM139" s="295"/>
      <c r="AN139" s="295"/>
      <c r="AO139" s="295"/>
      <c r="AP139" s="295"/>
      <c r="AQ139" s="295"/>
      <c r="AR139" s="295"/>
      <c r="AS139" s="295"/>
      <c r="AT139" s="295"/>
      <c r="AU139" s="293"/>
      <c r="AV139" s="311"/>
      <c r="AW139" s="296"/>
      <c r="AX139" s="296"/>
      <c r="AY139" s="296"/>
      <c r="AZ139" s="296"/>
      <c r="BA139" s="296"/>
      <c r="BB139" s="296"/>
      <c r="BC139" s="296"/>
      <c r="BD139" s="293">
        <f t="shared" si="43"/>
        <v>0</v>
      </c>
      <c r="BE139" s="221"/>
      <c r="BF139" s="294"/>
      <c r="BG139" s="294"/>
      <c r="BH139" s="294"/>
      <c r="BI139" s="293">
        <f t="shared" si="42"/>
        <v>0</v>
      </c>
      <c r="BJ139" s="300"/>
      <c r="BK139" s="301">
        <f t="shared" si="44"/>
        <v>0</v>
      </c>
      <c r="BL139" s="312">
        <f t="shared" si="45"/>
        <v>0</v>
      </c>
      <c r="BM139" s="313">
        <f t="shared" si="46"/>
        <v>0</v>
      </c>
      <c r="BN139" s="314"/>
      <c r="BP139" s="305"/>
      <c r="BQ139" s="305"/>
      <c r="BR139" s="305"/>
      <c r="BS139" s="305"/>
      <c r="BT139" s="305"/>
      <c r="BU139" s="305"/>
      <c r="BV139" s="305"/>
      <c r="BW139" s="300">
        <f t="shared" si="37"/>
        <v>0</v>
      </c>
      <c r="BX139" s="300"/>
      <c r="BY139" s="305"/>
      <c r="BZ139" s="305"/>
      <c r="CA139" s="305"/>
      <c r="CB139" s="305"/>
      <c r="CC139" s="305"/>
      <c r="CD139" s="305"/>
      <c r="CE139" s="305"/>
      <c r="CF139" s="300">
        <f t="shared" si="38"/>
        <v>0</v>
      </c>
      <c r="CG139" s="300"/>
      <c r="CH139" s="305"/>
      <c r="CI139" s="305"/>
      <c r="CJ139" s="305"/>
      <c r="CK139" s="305"/>
      <c r="CL139" s="305"/>
      <c r="CM139" s="305"/>
      <c r="CN139" s="305"/>
      <c r="CO139" s="300">
        <f t="shared" si="39"/>
        <v>0</v>
      </c>
      <c r="CQ139" s="307">
        <f t="shared" si="47"/>
        <v>0</v>
      </c>
      <c r="CR139" s="307">
        <f t="shared" si="48"/>
        <v>0</v>
      </c>
      <c r="CS139" s="307">
        <f t="shared" si="49"/>
        <v>0</v>
      </c>
      <c r="CT139" s="307">
        <f t="shared" si="50"/>
        <v>0</v>
      </c>
      <c r="CU139" s="307">
        <f t="shared" si="51"/>
        <v>0</v>
      </c>
      <c r="CV139" s="307">
        <f t="shared" si="35"/>
        <v>0</v>
      </c>
      <c r="CW139" s="307">
        <f t="shared" si="36"/>
        <v>0</v>
      </c>
      <c r="CX139" s="307">
        <f t="shared" si="40"/>
        <v>0</v>
      </c>
      <c r="CY139" s="307">
        <f t="shared" si="41"/>
        <v>0</v>
      </c>
    </row>
    <row r="140" spans="1:103" s="230" customFormat="1" ht="21" customHeight="1">
      <c r="A140" s="308"/>
      <c r="B140" s="309"/>
      <c r="C140" s="287" t="str">
        <f>IF($A140=0,"",(VLOOKUP(A140,[3]MAT!$B$5:$D$4756,3,FALSE)))</f>
        <v/>
      </c>
      <c r="D140" s="288" t="s">
        <v>597</v>
      </c>
      <c r="E140" s="290"/>
      <c r="F140" s="310"/>
      <c r="G140" s="311"/>
      <c r="H140" s="293"/>
      <c r="I140" s="221"/>
      <c r="J140" s="294"/>
      <c r="K140" s="294"/>
      <c r="L140" s="295"/>
      <c r="M140" s="293"/>
      <c r="N140" s="310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  <c r="AA140" s="294"/>
      <c r="AB140" s="294"/>
      <c r="AC140" s="294"/>
      <c r="AD140" s="294"/>
      <c r="AE140" s="293"/>
      <c r="AF140" s="221"/>
      <c r="AG140" s="294"/>
      <c r="AH140" s="294"/>
      <c r="AI140" s="295"/>
      <c r="AJ140" s="293"/>
      <c r="AK140" s="295"/>
      <c r="AL140" s="295"/>
      <c r="AM140" s="295"/>
      <c r="AN140" s="295"/>
      <c r="AO140" s="295"/>
      <c r="AP140" s="295"/>
      <c r="AQ140" s="295"/>
      <c r="AR140" s="295"/>
      <c r="AS140" s="295"/>
      <c r="AT140" s="295"/>
      <c r="AU140" s="293"/>
      <c r="AV140" s="311"/>
      <c r="AW140" s="296"/>
      <c r="AX140" s="296"/>
      <c r="AY140" s="296"/>
      <c r="AZ140" s="296"/>
      <c r="BA140" s="296"/>
      <c r="BB140" s="296"/>
      <c r="BC140" s="296"/>
      <c r="BD140" s="293">
        <f t="shared" si="43"/>
        <v>0</v>
      </c>
      <c r="BE140" s="221"/>
      <c r="BF140" s="294"/>
      <c r="BG140" s="294"/>
      <c r="BH140" s="294"/>
      <c r="BI140" s="293">
        <f t="shared" si="42"/>
        <v>0</v>
      </c>
      <c r="BJ140" s="300"/>
      <c r="BK140" s="301">
        <f t="shared" si="44"/>
        <v>0</v>
      </c>
      <c r="BL140" s="312">
        <f t="shared" si="45"/>
        <v>0</v>
      </c>
      <c r="BM140" s="313">
        <f t="shared" si="46"/>
        <v>0</v>
      </c>
      <c r="BN140" s="314"/>
      <c r="BP140" s="305"/>
      <c r="BQ140" s="305"/>
      <c r="BR140" s="305"/>
      <c r="BS140" s="305"/>
      <c r="BT140" s="305"/>
      <c r="BU140" s="305"/>
      <c r="BV140" s="305"/>
      <c r="BW140" s="300">
        <f t="shared" si="37"/>
        <v>0</v>
      </c>
      <c r="BX140" s="300"/>
      <c r="BY140" s="305"/>
      <c r="BZ140" s="305"/>
      <c r="CA140" s="305"/>
      <c r="CB140" s="305"/>
      <c r="CC140" s="305"/>
      <c r="CD140" s="305"/>
      <c r="CE140" s="305"/>
      <c r="CF140" s="300">
        <f t="shared" si="38"/>
        <v>0</v>
      </c>
      <c r="CG140" s="300"/>
      <c r="CH140" s="305"/>
      <c r="CI140" s="305"/>
      <c r="CJ140" s="305"/>
      <c r="CK140" s="305"/>
      <c r="CL140" s="305"/>
      <c r="CM140" s="305"/>
      <c r="CN140" s="305"/>
      <c r="CO140" s="300">
        <f t="shared" si="39"/>
        <v>0</v>
      </c>
      <c r="CQ140" s="307">
        <f t="shared" si="47"/>
        <v>0</v>
      </c>
      <c r="CR140" s="307">
        <f t="shared" si="48"/>
        <v>0</v>
      </c>
      <c r="CS140" s="307">
        <f t="shared" si="49"/>
        <v>0</v>
      </c>
      <c r="CT140" s="307">
        <f t="shared" si="50"/>
        <v>0</v>
      </c>
      <c r="CU140" s="307">
        <f t="shared" si="51"/>
        <v>0</v>
      </c>
      <c r="CV140" s="307">
        <f t="shared" si="35"/>
        <v>0</v>
      </c>
      <c r="CW140" s="307">
        <f t="shared" si="36"/>
        <v>0</v>
      </c>
      <c r="CX140" s="307">
        <f t="shared" si="40"/>
        <v>0</v>
      </c>
      <c r="CY140" s="307">
        <f t="shared" si="41"/>
        <v>0</v>
      </c>
    </row>
    <row r="141" spans="1:103" s="230" customFormat="1" ht="21" customHeight="1">
      <c r="A141" s="308"/>
      <c r="B141" s="309"/>
      <c r="C141" s="287" t="str">
        <f>IF($A141=0,"",(VLOOKUP(A141,[3]MAT!$B$5:$D$4756,3,FALSE)))</f>
        <v/>
      </c>
      <c r="D141" s="288" t="s">
        <v>597</v>
      </c>
      <c r="E141" s="290"/>
      <c r="F141" s="310"/>
      <c r="G141" s="311"/>
      <c r="H141" s="293"/>
      <c r="I141" s="221"/>
      <c r="J141" s="294"/>
      <c r="K141" s="294"/>
      <c r="L141" s="295"/>
      <c r="M141" s="293"/>
      <c r="N141" s="310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  <c r="AA141" s="294"/>
      <c r="AB141" s="294"/>
      <c r="AC141" s="294"/>
      <c r="AD141" s="294"/>
      <c r="AE141" s="293"/>
      <c r="AF141" s="221"/>
      <c r="AG141" s="294"/>
      <c r="AH141" s="294"/>
      <c r="AI141" s="295"/>
      <c r="AJ141" s="293"/>
      <c r="AK141" s="295"/>
      <c r="AL141" s="295"/>
      <c r="AM141" s="295"/>
      <c r="AN141" s="295"/>
      <c r="AO141" s="295"/>
      <c r="AP141" s="295"/>
      <c r="AQ141" s="295"/>
      <c r="AR141" s="295"/>
      <c r="AS141" s="295"/>
      <c r="AT141" s="295"/>
      <c r="AU141" s="293"/>
      <c r="AV141" s="311"/>
      <c r="AW141" s="296"/>
      <c r="AX141" s="296"/>
      <c r="AY141" s="296"/>
      <c r="AZ141" s="296"/>
      <c r="BA141" s="296"/>
      <c r="BB141" s="296"/>
      <c r="BC141" s="296"/>
      <c r="BD141" s="293">
        <f t="shared" ref="BD141:BD170" si="52">SUM(AV141:BC141)</f>
        <v>0</v>
      </c>
      <c r="BE141" s="221"/>
      <c r="BF141" s="294"/>
      <c r="BG141" s="294"/>
      <c r="BH141" s="294"/>
      <c r="BI141" s="293">
        <f t="shared" si="42"/>
        <v>0</v>
      </c>
      <c r="BJ141" s="300"/>
      <c r="BK141" s="301">
        <f t="shared" si="44"/>
        <v>0</v>
      </c>
      <c r="BL141" s="312">
        <f t="shared" si="45"/>
        <v>0</v>
      </c>
      <c r="BM141" s="313">
        <f t="shared" si="46"/>
        <v>0</v>
      </c>
      <c r="BN141" s="314"/>
      <c r="BP141" s="305"/>
      <c r="BQ141" s="305"/>
      <c r="BR141" s="305"/>
      <c r="BS141" s="305"/>
      <c r="BT141" s="305"/>
      <c r="BU141" s="305"/>
      <c r="BV141" s="305"/>
      <c r="BW141" s="300">
        <f t="shared" si="37"/>
        <v>0</v>
      </c>
      <c r="BX141" s="300"/>
      <c r="BY141" s="305"/>
      <c r="BZ141" s="305"/>
      <c r="CA141" s="305"/>
      <c r="CB141" s="305"/>
      <c r="CC141" s="305"/>
      <c r="CD141" s="305"/>
      <c r="CE141" s="305"/>
      <c r="CF141" s="300">
        <f t="shared" si="38"/>
        <v>0</v>
      </c>
      <c r="CG141" s="300"/>
      <c r="CH141" s="305"/>
      <c r="CI141" s="305"/>
      <c r="CJ141" s="305"/>
      <c r="CK141" s="305"/>
      <c r="CL141" s="305"/>
      <c r="CM141" s="305"/>
      <c r="CN141" s="305"/>
      <c r="CO141" s="300">
        <f t="shared" si="39"/>
        <v>0</v>
      </c>
      <c r="CQ141" s="307">
        <f t="shared" si="47"/>
        <v>0</v>
      </c>
      <c r="CR141" s="307">
        <f t="shared" si="48"/>
        <v>0</v>
      </c>
      <c r="CS141" s="307">
        <f t="shared" si="49"/>
        <v>0</v>
      </c>
      <c r="CT141" s="307">
        <f t="shared" si="50"/>
        <v>0</v>
      </c>
      <c r="CU141" s="307">
        <f t="shared" si="51"/>
        <v>0</v>
      </c>
      <c r="CV141" s="307">
        <f t="shared" si="35"/>
        <v>0</v>
      </c>
      <c r="CW141" s="307">
        <f t="shared" si="36"/>
        <v>0</v>
      </c>
      <c r="CX141" s="307">
        <f t="shared" si="40"/>
        <v>0</v>
      </c>
      <c r="CY141" s="307">
        <f t="shared" si="41"/>
        <v>0</v>
      </c>
    </row>
    <row r="142" spans="1:103" s="230" customFormat="1" ht="21" customHeight="1">
      <c r="A142" s="308"/>
      <c r="B142" s="309"/>
      <c r="C142" s="287" t="str">
        <f>IF($A142=0,"",(VLOOKUP(A142,[3]MAT!$B$5:$D$4756,3,FALSE)))</f>
        <v/>
      </c>
      <c r="D142" s="288" t="s">
        <v>597</v>
      </c>
      <c r="E142" s="290"/>
      <c r="F142" s="310"/>
      <c r="G142" s="311"/>
      <c r="H142" s="293"/>
      <c r="I142" s="221"/>
      <c r="J142" s="294"/>
      <c r="K142" s="294"/>
      <c r="L142" s="295"/>
      <c r="M142" s="293"/>
      <c r="N142" s="310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94"/>
      <c r="AB142" s="294"/>
      <c r="AC142" s="294"/>
      <c r="AD142" s="294"/>
      <c r="AE142" s="293"/>
      <c r="AF142" s="221"/>
      <c r="AG142" s="294"/>
      <c r="AH142" s="294"/>
      <c r="AI142" s="295"/>
      <c r="AJ142" s="293"/>
      <c r="AK142" s="295"/>
      <c r="AL142" s="295"/>
      <c r="AM142" s="295"/>
      <c r="AN142" s="295"/>
      <c r="AO142" s="295"/>
      <c r="AP142" s="295"/>
      <c r="AQ142" s="295"/>
      <c r="AR142" s="295"/>
      <c r="AS142" s="295"/>
      <c r="AT142" s="295"/>
      <c r="AU142" s="293"/>
      <c r="AV142" s="311"/>
      <c r="AW142" s="296"/>
      <c r="AX142" s="296"/>
      <c r="AY142" s="296"/>
      <c r="AZ142" s="296"/>
      <c r="BA142" s="296"/>
      <c r="BB142" s="296"/>
      <c r="BC142" s="296"/>
      <c r="BD142" s="293">
        <f t="shared" si="52"/>
        <v>0</v>
      </c>
      <c r="BE142" s="221"/>
      <c r="BF142" s="294"/>
      <c r="BG142" s="294"/>
      <c r="BH142" s="294"/>
      <c r="BI142" s="293">
        <f t="shared" si="42"/>
        <v>0</v>
      </c>
      <c r="BJ142" s="300"/>
      <c r="BK142" s="301">
        <f t="shared" ref="BK142:BK170" si="53">H142+M142+AE142+AJ142+AU142+BD142+BI142</f>
        <v>0</v>
      </c>
      <c r="BL142" s="312">
        <f t="shared" ref="BL142:BL170" si="54">IF(E142-BK142&lt;0, BK142-E142, )</f>
        <v>0</v>
      </c>
      <c r="BM142" s="313">
        <f t="shared" ref="BM142:BM170" si="55">IF(E142-BK142&lt;0, ,E142-BK142)</f>
        <v>0</v>
      </c>
      <c r="BN142" s="314"/>
      <c r="BP142" s="305"/>
      <c r="BQ142" s="305"/>
      <c r="BR142" s="305"/>
      <c r="BS142" s="305"/>
      <c r="BT142" s="305"/>
      <c r="BU142" s="305"/>
      <c r="BV142" s="305"/>
      <c r="BW142" s="300">
        <f t="shared" si="37"/>
        <v>0</v>
      </c>
      <c r="BX142" s="300"/>
      <c r="BY142" s="305"/>
      <c r="BZ142" s="305"/>
      <c r="CA142" s="305"/>
      <c r="CB142" s="305"/>
      <c r="CC142" s="305"/>
      <c r="CD142" s="305"/>
      <c r="CE142" s="305"/>
      <c r="CF142" s="300">
        <f t="shared" si="38"/>
        <v>0</v>
      </c>
      <c r="CG142" s="300"/>
      <c r="CH142" s="305"/>
      <c r="CI142" s="305"/>
      <c r="CJ142" s="305"/>
      <c r="CK142" s="305"/>
      <c r="CL142" s="305"/>
      <c r="CM142" s="305"/>
      <c r="CN142" s="305"/>
      <c r="CO142" s="300">
        <f t="shared" si="39"/>
        <v>0</v>
      </c>
      <c r="CQ142" s="307">
        <f t="shared" ref="CQ142:CQ170" si="56">+H142-(BP142+BY142+CH142)</f>
        <v>0</v>
      </c>
      <c r="CR142" s="307">
        <f t="shared" ref="CR142:CR170" si="57">+M142-(BQ142+BZ142+CI142)</f>
        <v>0</v>
      </c>
      <c r="CS142" s="307">
        <f t="shared" ref="CS142:CS170" si="58">+AE142-(BR142+CA142+CJ142)</f>
        <v>0</v>
      </c>
      <c r="CT142" s="307">
        <f t="shared" ref="CT142:CT170" si="59">+AJ142-(BS142+CB142+CK142)</f>
        <v>0</v>
      </c>
      <c r="CU142" s="307">
        <f t="shared" ref="CU142:CU170" si="60">+AU142-(BT142+CC142+CL142)</f>
        <v>0</v>
      </c>
      <c r="CV142" s="307">
        <f t="shared" si="35"/>
        <v>0</v>
      </c>
      <c r="CW142" s="307">
        <f t="shared" si="36"/>
        <v>0</v>
      </c>
      <c r="CX142" s="307">
        <f t="shared" si="40"/>
        <v>0</v>
      </c>
      <c r="CY142" s="307">
        <f t="shared" si="41"/>
        <v>0</v>
      </c>
    </row>
    <row r="143" spans="1:103" s="230" customFormat="1" ht="21" customHeight="1">
      <c r="A143" s="308"/>
      <c r="B143" s="309"/>
      <c r="C143" s="287" t="str">
        <f>IF($A143=0,"",(VLOOKUP(A143,[3]MAT!$B$5:$D$4756,3,FALSE)))</f>
        <v/>
      </c>
      <c r="D143" s="288" t="s">
        <v>597</v>
      </c>
      <c r="E143" s="290"/>
      <c r="F143" s="310"/>
      <c r="G143" s="311"/>
      <c r="H143" s="293"/>
      <c r="I143" s="221"/>
      <c r="J143" s="294"/>
      <c r="K143" s="294"/>
      <c r="L143" s="295"/>
      <c r="M143" s="293"/>
      <c r="N143" s="310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94"/>
      <c r="AB143" s="294"/>
      <c r="AC143" s="294"/>
      <c r="AD143" s="294"/>
      <c r="AE143" s="293"/>
      <c r="AF143" s="221"/>
      <c r="AG143" s="294"/>
      <c r="AH143" s="294"/>
      <c r="AI143" s="295"/>
      <c r="AJ143" s="293"/>
      <c r="AK143" s="295"/>
      <c r="AL143" s="295"/>
      <c r="AM143" s="295"/>
      <c r="AN143" s="295"/>
      <c r="AO143" s="295"/>
      <c r="AP143" s="295"/>
      <c r="AQ143" s="295"/>
      <c r="AR143" s="295"/>
      <c r="AS143" s="295"/>
      <c r="AT143" s="295"/>
      <c r="AU143" s="293"/>
      <c r="AV143" s="311"/>
      <c r="AW143" s="296"/>
      <c r="AX143" s="296"/>
      <c r="AY143" s="296"/>
      <c r="AZ143" s="296"/>
      <c r="BA143" s="296"/>
      <c r="BB143" s="296"/>
      <c r="BC143" s="296"/>
      <c r="BD143" s="293">
        <f t="shared" si="52"/>
        <v>0</v>
      </c>
      <c r="BE143" s="221"/>
      <c r="BF143" s="294"/>
      <c r="BG143" s="294"/>
      <c r="BH143" s="294"/>
      <c r="BI143" s="293">
        <f t="shared" si="42"/>
        <v>0</v>
      </c>
      <c r="BJ143" s="300"/>
      <c r="BK143" s="301">
        <f t="shared" si="53"/>
        <v>0</v>
      </c>
      <c r="BL143" s="312">
        <f t="shared" si="54"/>
        <v>0</v>
      </c>
      <c r="BM143" s="313">
        <f t="shared" si="55"/>
        <v>0</v>
      </c>
      <c r="BN143" s="314"/>
      <c r="BP143" s="305"/>
      <c r="BQ143" s="305"/>
      <c r="BR143" s="305"/>
      <c r="BS143" s="305"/>
      <c r="BT143" s="305"/>
      <c r="BU143" s="305"/>
      <c r="BV143" s="305"/>
      <c r="BW143" s="300">
        <f t="shared" si="37"/>
        <v>0</v>
      </c>
      <c r="BX143" s="300"/>
      <c r="BY143" s="305"/>
      <c r="BZ143" s="305"/>
      <c r="CA143" s="305"/>
      <c r="CB143" s="305"/>
      <c r="CC143" s="305"/>
      <c r="CD143" s="305"/>
      <c r="CE143" s="305"/>
      <c r="CF143" s="300">
        <f t="shared" si="38"/>
        <v>0</v>
      </c>
      <c r="CG143" s="300"/>
      <c r="CH143" s="305"/>
      <c r="CI143" s="305"/>
      <c r="CJ143" s="305"/>
      <c r="CK143" s="305"/>
      <c r="CL143" s="305"/>
      <c r="CM143" s="305"/>
      <c r="CN143" s="305"/>
      <c r="CO143" s="300">
        <f t="shared" si="39"/>
        <v>0</v>
      </c>
      <c r="CQ143" s="307">
        <f t="shared" si="56"/>
        <v>0</v>
      </c>
      <c r="CR143" s="307">
        <f t="shared" si="57"/>
        <v>0</v>
      </c>
      <c r="CS143" s="307">
        <f t="shared" si="58"/>
        <v>0</v>
      </c>
      <c r="CT143" s="307">
        <f t="shared" si="59"/>
        <v>0</v>
      </c>
      <c r="CU143" s="307">
        <f t="shared" si="60"/>
        <v>0</v>
      </c>
      <c r="CV143" s="307">
        <f t="shared" ref="CV143:CV170" si="61">+BD143-(BU143+CD143+CM143)</f>
        <v>0</v>
      </c>
      <c r="CW143" s="307">
        <f t="shared" ref="CW143:CW170" si="62">+BI143-(BV143+CE143+CN143)</f>
        <v>0</v>
      </c>
      <c r="CX143" s="307">
        <f t="shared" si="40"/>
        <v>0</v>
      </c>
      <c r="CY143" s="307">
        <f t="shared" si="41"/>
        <v>0</v>
      </c>
    </row>
    <row r="144" spans="1:103" s="230" customFormat="1" ht="21" customHeight="1">
      <c r="A144" s="308"/>
      <c r="B144" s="309"/>
      <c r="C144" s="287" t="str">
        <f>IF($A144=0,"",(VLOOKUP(A144,[3]MAT!$B$5:$D$4756,3,FALSE)))</f>
        <v/>
      </c>
      <c r="D144" s="288" t="s">
        <v>597</v>
      </c>
      <c r="E144" s="290"/>
      <c r="F144" s="310"/>
      <c r="G144" s="311"/>
      <c r="H144" s="293"/>
      <c r="I144" s="221"/>
      <c r="J144" s="294"/>
      <c r="K144" s="294"/>
      <c r="L144" s="295"/>
      <c r="M144" s="293"/>
      <c r="N144" s="310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  <c r="AA144" s="294"/>
      <c r="AB144" s="294"/>
      <c r="AC144" s="294"/>
      <c r="AD144" s="294"/>
      <c r="AE144" s="293"/>
      <c r="AF144" s="221"/>
      <c r="AG144" s="294"/>
      <c r="AH144" s="294"/>
      <c r="AI144" s="295"/>
      <c r="AJ144" s="293"/>
      <c r="AK144" s="295"/>
      <c r="AL144" s="295"/>
      <c r="AM144" s="295"/>
      <c r="AN144" s="295"/>
      <c r="AO144" s="295"/>
      <c r="AP144" s="295"/>
      <c r="AQ144" s="295"/>
      <c r="AR144" s="295"/>
      <c r="AS144" s="295"/>
      <c r="AT144" s="295"/>
      <c r="AU144" s="293"/>
      <c r="AV144" s="311"/>
      <c r="AW144" s="296"/>
      <c r="AX144" s="296"/>
      <c r="AY144" s="296"/>
      <c r="AZ144" s="296"/>
      <c r="BA144" s="296"/>
      <c r="BB144" s="296"/>
      <c r="BC144" s="296"/>
      <c r="BD144" s="293">
        <f t="shared" si="52"/>
        <v>0</v>
      </c>
      <c r="BE144" s="221"/>
      <c r="BF144" s="294"/>
      <c r="BG144" s="294"/>
      <c r="BH144" s="294"/>
      <c r="BI144" s="293">
        <f t="shared" si="42"/>
        <v>0</v>
      </c>
      <c r="BJ144" s="300"/>
      <c r="BK144" s="301">
        <f t="shared" si="53"/>
        <v>0</v>
      </c>
      <c r="BL144" s="312">
        <f t="shared" si="54"/>
        <v>0</v>
      </c>
      <c r="BM144" s="313">
        <f t="shared" si="55"/>
        <v>0</v>
      </c>
      <c r="BN144" s="314"/>
      <c r="BP144" s="305"/>
      <c r="BQ144" s="305"/>
      <c r="BR144" s="305"/>
      <c r="BS144" s="305"/>
      <c r="BT144" s="305"/>
      <c r="BU144" s="305"/>
      <c r="BV144" s="305"/>
      <c r="BW144" s="300">
        <f t="shared" ref="BW144:BW191" si="63">SUM(BP144:BV144)</f>
        <v>0</v>
      </c>
      <c r="BX144" s="300"/>
      <c r="BY144" s="305"/>
      <c r="BZ144" s="305"/>
      <c r="CA144" s="305"/>
      <c r="CB144" s="305"/>
      <c r="CC144" s="305"/>
      <c r="CD144" s="305"/>
      <c r="CE144" s="305"/>
      <c r="CF144" s="300">
        <f t="shared" ref="CF144:CF191" si="64">SUM(BY144:CE144)</f>
        <v>0</v>
      </c>
      <c r="CG144" s="300"/>
      <c r="CH144" s="305"/>
      <c r="CI144" s="305"/>
      <c r="CJ144" s="305"/>
      <c r="CK144" s="305"/>
      <c r="CL144" s="305"/>
      <c r="CM144" s="305"/>
      <c r="CN144" s="305"/>
      <c r="CO144" s="300">
        <f t="shared" ref="CO144:CO191" si="65">SUM(CH144:CN144)</f>
        <v>0</v>
      </c>
      <c r="CQ144" s="307">
        <f t="shared" si="56"/>
        <v>0</v>
      </c>
      <c r="CR144" s="307">
        <f t="shared" si="57"/>
        <v>0</v>
      </c>
      <c r="CS144" s="307">
        <f t="shared" si="58"/>
        <v>0</v>
      </c>
      <c r="CT144" s="307">
        <f t="shared" si="59"/>
        <v>0</v>
      </c>
      <c r="CU144" s="307">
        <f t="shared" si="60"/>
        <v>0</v>
      </c>
      <c r="CV144" s="307">
        <f t="shared" si="61"/>
        <v>0</v>
      </c>
      <c r="CW144" s="307">
        <f t="shared" si="62"/>
        <v>0</v>
      </c>
      <c r="CX144" s="307">
        <f t="shared" ref="CX144:CX191" si="66">BW144+CF144+CO144</f>
        <v>0</v>
      </c>
      <c r="CY144" s="307">
        <f t="shared" ref="CY144:CY170" si="67">SUM(CQ144:CW144)</f>
        <v>0</v>
      </c>
    </row>
    <row r="145" spans="1:103" s="230" customFormat="1" ht="21" customHeight="1">
      <c r="A145" s="308"/>
      <c r="B145" s="309"/>
      <c r="C145" s="287" t="str">
        <f>IF($A145=0,"",(VLOOKUP(A145,[3]MAT!$B$5:$D$4756,3,FALSE)))</f>
        <v/>
      </c>
      <c r="D145" s="288" t="s">
        <v>597</v>
      </c>
      <c r="E145" s="290"/>
      <c r="F145" s="310"/>
      <c r="G145" s="311"/>
      <c r="H145" s="293"/>
      <c r="I145" s="221"/>
      <c r="J145" s="294"/>
      <c r="K145" s="294"/>
      <c r="L145" s="295"/>
      <c r="M145" s="293"/>
      <c r="N145" s="310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  <c r="AA145" s="294"/>
      <c r="AB145" s="294"/>
      <c r="AC145" s="294"/>
      <c r="AD145" s="294"/>
      <c r="AE145" s="293"/>
      <c r="AF145" s="221"/>
      <c r="AG145" s="294"/>
      <c r="AH145" s="294"/>
      <c r="AI145" s="295"/>
      <c r="AJ145" s="293"/>
      <c r="AK145" s="295"/>
      <c r="AL145" s="295"/>
      <c r="AM145" s="295"/>
      <c r="AN145" s="295"/>
      <c r="AO145" s="295"/>
      <c r="AP145" s="295"/>
      <c r="AQ145" s="295"/>
      <c r="AR145" s="295"/>
      <c r="AS145" s="295"/>
      <c r="AT145" s="295"/>
      <c r="AU145" s="293"/>
      <c r="AV145" s="311"/>
      <c r="AW145" s="296"/>
      <c r="AX145" s="296"/>
      <c r="AY145" s="296"/>
      <c r="AZ145" s="296"/>
      <c r="BA145" s="296"/>
      <c r="BB145" s="296"/>
      <c r="BC145" s="296"/>
      <c r="BD145" s="293">
        <f t="shared" si="52"/>
        <v>0</v>
      </c>
      <c r="BE145" s="221"/>
      <c r="BF145" s="294"/>
      <c r="BG145" s="294"/>
      <c r="BH145" s="294"/>
      <c r="BI145" s="293">
        <f t="shared" si="42"/>
        <v>0</v>
      </c>
      <c r="BJ145" s="300"/>
      <c r="BK145" s="301">
        <f t="shared" si="53"/>
        <v>0</v>
      </c>
      <c r="BL145" s="312">
        <f t="shared" si="54"/>
        <v>0</v>
      </c>
      <c r="BM145" s="313">
        <f t="shared" si="55"/>
        <v>0</v>
      </c>
      <c r="BN145" s="314"/>
      <c r="BP145" s="305"/>
      <c r="BQ145" s="305"/>
      <c r="BR145" s="305"/>
      <c r="BS145" s="305"/>
      <c r="BT145" s="305"/>
      <c r="BU145" s="305"/>
      <c r="BV145" s="305"/>
      <c r="BW145" s="300">
        <f t="shared" si="63"/>
        <v>0</v>
      </c>
      <c r="BX145" s="300"/>
      <c r="BY145" s="305"/>
      <c r="BZ145" s="305"/>
      <c r="CA145" s="305"/>
      <c r="CB145" s="305"/>
      <c r="CC145" s="305"/>
      <c r="CD145" s="305"/>
      <c r="CE145" s="305"/>
      <c r="CF145" s="300">
        <f t="shared" si="64"/>
        <v>0</v>
      </c>
      <c r="CG145" s="300"/>
      <c r="CH145" s="305"/>
      <c r="CI145" s="305"/>
      <c r="CJ145" s="305"/>
      <c r="CK145" s="305"/>
      <c r="CL145" s="305"/>
      <c r="CM145" s="305"/>
      <c r="CN145" s="305"/>
      <c r="CO145" s="300">
        <f t="shared" si="65"/>
        <v>0</v>
      </c>
      <c r="CQ145" s="307">
        <f t="shared" si="56"/>
        <v>0</v>
      </c>
      <c r="CR145" s="307">
        <f t="shared" si="57"/>
        <v>0</v>
      </c>
      <c r="CS145" s="307">
        <f t="shared" si="58"/>
        <v>0</v>
      </c>
      <c r="CT145" s="307">
        <f t="shared" si="59"/>
        <v>0</v>
      </c>
      <c r="CU145" s="307">
        <f t="shared" si="60"/>
        <v>0</v>
      </c>
      <c r="CV145" s="307">
        <f t="shared" si="61"/>
        <v>0</v>
      </c>
      <c r="CW145" s="307">
        <f t="shared" si="62"/>
        <v>0</v>
      </c>
      <c r="CX145" s="307">
        <f t="shared" si="66"/>
        <v>0</v>
      </c>
      <c r="CY145" s="307">
        <f t="shared" si="67"/>
        <v>0</v>
      </c>
    </row>
    <row r="146" spans="1:103" s="230" customFormat="1" ht="21" customHeight="1">
      <c r="A146" s="308"/>
      <c r="B146" s="309"/>
      <c r="C146" s="287" t="str">
        <f>IF($A146=0,"",(VLOOKUP(A146,[3]MAT!$B$5:$D$4756,3,FALSE)))</f>
        <v/>
      </c>
      <c r="D146" s="288" t="s">
        <v>597</v>
      </c>
      <c r="E146" s="290"/>
      <c r="F146" s="310"/>
      <c r="G146" s="311"/>
      <c r="H146" s="293"/>
      <c r="I146" s="221"/>
      <c r="J146" s="294"/>
      <c r="K146" s="294"/>
      <c r="L146" s="295"/>
      <c r="M146" s="293"/>
      <c r="N146" s="310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  <c r="AA146" s="294"/>
      <c r="AB146" s="294"/>
      <c r="AC146" s="294"/>
      <c r="AD146" s="294"/>
      <c r="AE146" s="293"/>
      <c r="AF146" s="221"/>
      <c r="AG146" s="294"/>
      <c r="AH146" s="294"/>
      <c r="AI146" s="295"/>
      <c r="AJ146" s="293"/>
      <c r="AK146" s="295"/>
      <c r="AL146" s="295"/>
      <c r="AM146" s="295"/>
      <c r="AN146" s="295"/>
      <c r="AO146" s="295"/>
      <c r="AP146" s="295"/>
      <c r="AQ146" s="295"/>
      <c r="AR146" s="295"/>
      <c r="AS146" s="295"/>
      <c r="AT146" s="295"/>
      <c r="AU146" s="293"/>
      <c r="AV146" s="311"/>
      <c r="AW146" s="296"/>
      <c r="AX146" s="296"/>
      <c r="AY146" s="296"/>
      <c r="AZ146" s="296"/>
      <c r="BA146" s="296"/>
      <c r="BB146" s="296"/>
      <c r="BC146" s="296"/>
      <c r="BD146" s="293">
        <f t="shared" si="52"/>
        <v>0</v>
      </c>
      <c r="BE146" s="221"/>
      <c r="BF146" s="294"/>
      <c r="BG146" s="294"/>
      <c r="BH146" s="294"/>
      <c r="BI146" s="293">
        <f t="shared" si="42"/>
        <v>0</v>
      </c>
      <c r="BJ146" s="300"/>
      <c r="BK146" s="301">
        <f t="shared" si="53"/>
        <v>0</v>
      </c>
      <c r="BL146" s="312">
        <f t="shared" si="54"/>
        <v>0</v>
      </c>
      <c r="BM146" s="313">
        <f t="shared" si="55"/>
        <v>0</v>
      </c>
      <c r="BN146" s="314"/>
      <c r="BP146" s="305"/>
      <c r="BQ146" s="305"/>
      <c r="BR146" s="305"/>
      <c r="BS146" s="305"/>
      <c r="BT146" s="305"/>
      <c r="BU146" s="305"/>
      <c r="BV146" s="305"/>
      <c r="BW146" s="300">
        <f t="shared" si="63"/>
        <v>0</v>
      </c>
      <c r="BX146" s="300"/>
      <c r="BY146" s="305"/>
      <c r="BZ146" s="305"/>
      <c r="CA146" s="305"/>
      <c r="CB146" s="305"/>
      <c r="CC146" s="305"/>
      <c r="CD146" s="305"/>
      <c r="CE146" s="305"/>
      <c r="CF146" s="300">
        <f t="shared" si="64"/>
        <v>0</v>
      </c>
      <c r="CG146" s="300"/>
      <c r="CH146" s="305"/>
      <c r="CI146" s="305"/>
      <c r="CJ146" s="305"/>
      <c r="CK146" s="305"/>
      <c r="CL146" s="305"/>
      <c r="CM146" s="305"/>
      <c r="CN146" s="305"/>
      <c r="CO146" s="300">
        <f t="shared" si="65"/>
        <v>0</v>
      </c>
      <c r="CQ146" s="307">
        <f t="shared" si="56"/>
        <v>0</v>
      </c>
      <c r="CR146" s="307">
        <f t="shared" si="57"/>
        <v>0</v>
      </c>
      <c r="CS146" s="307">
        <f t="shared" si="58"/>
        <v>0</v>
      </c>
      <c r="CT146" s="307">
        <f t="shared" si="59"/>
        <v>0</v>
      </c>
      <c r="CU146" s="307">
        <f t="shared" si="60"/>
        <v>0</v>
      </c>
      <c r="CV146" s="307">
        <f t="shared" si="61"/>
        <v>0</v>
      </c>
      <c r="CW146" s="307">
        <f t="shared" si="62"/>
        <v>0</v>
      </c>
      <c r="CX146" s="307">
        <f t="shared" si="66"/>
        <v>0</v>
      </c>
      <c r="CY146" s="307">
        <f t="shared" si="67"/>
        <v>0</v>
      </c>
    </row>
    <row r="147" spans="1:103" s="230" customFormat="1" ht="21" customHeight="1">
      <c r="A147" s="308"/>
      <c r="B147" s="309"/>
      <c r="C147" s="287" t="str">
        <f>IF($A147=0,"",(VLOOKUP(A147,[3]MAT!$B$5:$D$4756,3,FALSE)))</f>
        <v/>
      </c>
      <c r="D147" s="288" t="s">
        <v>597</v>
      </c>
      <c r="E147" s="290"/>
      <c r="F147" s="310"/>
      <c r="G147" s="311"/>
      <c r="H147" s="293"/>
      <c r="I147" s="221"/>
      <c r="J147" s="294"/>
      <c r="K147" s="294"/>
      <c r="L147" s="295"/>
      <c r="M147" s="293"/>
      <c r="N147" s="310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  <c r="AA147" s="294"/>
      <c r="AB147" s="294"/>
      <c r="AC147" s="294"/>
      <c r="AD147" s="294"/>
      <c r="AE147" s="293"/>
      <c r="AF147" s="221"/>
      <c r="AG147" s="294"/>
      <c r="AH147" s="294"/>
      <c r="AI147" s="295"/>
      <c r="AJ147" s="293"/>
      <c r="AK147" s="295"/>
      <c r="AL147" s="295"/>
      <c r="AM147" s="295"/>
      <c r="AN147" s="295"/>
      <c r="AO147" s="295"/>
      <c r="AP147" s="295"/>
      <c r="AQ147" s="295"/>
      <c r="AR147" s="295"/>
      <c r="AS147" s="295"/>
      <c r="AT147" s="295"/>
      <c r="AU147" s="293"/>
      <c r="AV147" s="311"/>
      <c r="AW147" s="296"/>
      <c r="AX147" s="296"/>
      <c r="AY147" s="296"/>
      <c r="AZ147" s="296"/>
      <c r="BA147" s="296"/>
      <c r="BB147" s="296"/>
      <c r="BC147" s="296"/>
      <c r="BD147" s="293">
        <f t="shared" si="52"/>
        <v>0</v>
      </c>
      <c r="BE147" s="221"/>
      <c r="BF147" s="294"/>
      <c r="BG147" s="294"/>
      <c r="BH147" s="294"/>
      <c r="BI147" s="293">
        <f t="shared" si="42"/>
        <v>0</v>
      </c>
      <c r="BJ147" s="300"/>
      <c r="BK147" s="301">
        <f t="shared" si="53"/>
        <v>0</v>
      </c>
      <c r="BL147" s="312">
        <f t="shared" si="54"/>
        <v>0</v>
      </c>
      <c r="BM147" s="313">
        <f t="shared" si="55"/>
        <v>0</v>
      </c>
      <c r="BN147" s="314"/>
      <c r="BP147" s="305"/>
      <c r="BQ147" s="305"/>
      <c r="BR147" s="305"/>
      <c r="BS147" s="305"/>
      <c r="BT147" s="305"/>
      <c r="BU147" s="305"/>
      <c r="BV147" s="305"/>
      <c r="BW147" s="300">
        <f t="shared" si="63"/>
        <v>0</v>
      </c>
      <c r="BX147" s="300"/>
      <c r="BY147" s="305"/>
      <c r="BZ147" s="305"/>
      <c r="CA147" s="305"/>
      <c r="CB147" s="305"/>
      <c r="CC147" s="305"/>
      <c r="CD147" s="305"/>
      <c r="CE147" s="305"/>
      <c r="CF147" s="300">
        <f t="shared" si="64"/>
        <v>0</v>
      </c>
      <c r="CG147" s="300"/>
      <c r="CH147" s="305"/>
      <c r="CI147" s="305"/>
      <c r="CJ147" s="305"/>
      <c r="CK147" s="305"/>
      <c r="CL147" s="305"/>
      <c r="CM147" s="305"/>
      <c r="CN147" s="305"/>
      <c r="CO147" s="300">
        <f t="shared" si="65"/>
        <v>0</v>
      </c>
      <c r="CQ147" s="307">
        <f t="shared" si="56"/>
        <v>0</v>
      </c>
      <c r="CR147" s="307">
        <f t="shared" si="57"/>
        <v>0</v>
      </c>
      <c r="CS147" s="307">
        <f t="shared" si="58"/>
        <v>0</v>
      </c>
      <c r="CT147" s="307">
        <f t="shared" si="59"/>
        <v>0</v>
      </c>
      <c r="CU147" s="307">
        <f t="shared" si="60"/>
        <v>0</v>
      </c>
      <c r="CV147" s="307">
        <f t="shared" si="61"/>
        <v>0</v>
      </c>
      <c r="CW147" s="307">
        <f t="shared" si="62"/>
        <v>0</v>
      </c>
      <c r="CX147" s="307">
        <f t="shared" si="66"/>
        <v>0</v>
      </c>
      <c r="CY147" s="307">
        <f t="shared" si="67"/>
        <v>0</v>
      </c>
    </row>
    <row r="148" spans="1:103" s="230" customFormat="1" ht="21" customHeight="1">
      <c r="A148" s="308"/>
      <c r="B148" s="309"/>
      <c r="C148" s="287" t="str">
        <f>IF($A148=0,"",(VLOOKUP(A148,[3]MAT!$B$5:$D$4756,3,FALSE)))</f>
        <v/>
      </c>
      <c r="D148" s="288" t="s">
        <v>597</v>
      </c>
      <c r="E148" s="290"/>
      <c r="F148" s="310"/>
      <c r="G148" s="311"/>
      <c r="H148" s="293"/>
      <c r="I148" s="221"/>
      <c r="J148" s="294"/>
      <c r="K148" s="294"/>
      <c r="L148" s="295"/>
      <c r="M148" s="293"/>
      <c r="N148" s="310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94"/>
      <c r="AB148" s="294"/>
      <c r="AC148" s="294"/>
      <c r="AD148" s="294"/>
      <c r="AE148" s="293"/>
      <c r="AF148" s="221"/>
      <c r="AG148" s="294"/>
      <c r="AH148" s="294"/>
      <c r="AI148" s="295"/>
      <c r="AJ148" s="293"/>
      <c r="AK148" s="295"/>
      <c r="AL148" s="295"/>
      <c r="AM148" s="295"/>
      <c r="AN148" s="295"/>
      <c r="AO148" s="295"/>
      <c r="AP148" s="295"/>
      <c r="AQ148" s="295"/>
      <c r="AR148" s="295"/>
      <c r="AS148" s="295"/>
      <c r="AT148" s="295"/>
      <c r="AU148" s="293"/>
      <c r="AV148" s="311"/>
      <c r="AW148" s="296"/>
      <c r="AX148" s="296"/>
      <c r="AY148" s="296"/>
      <c r="AZ148" s="296"/>
      <c r="BA148" s="296"/>
      <c r="BB148" s="296"/>
      <c r="BC148" s="296"/>
      <c r="BD148" s="293">
        <f t="shared" si="52"/>
        <v>0</v>
      </c>
      <c r="BE148" s="221"/>
      <c r="BF148" s="294"/>
      <c r="BG148" s="294"/>
      <c r="BH148" s="294"/>
      <c r="BI148" s="293">
        <f t="shared" si="42"/>
        <v>0</v>
      </c>
      <c r="BJ148" s="300"/>
      <c r="BK148" s="301">
        <f t="shared" si="53"/>
        <v>0</v>
      </c>
      <c r="BL148" s="312">
        <f t="shared" si="54"/>
        <v>0</v>
      </c>
      <c r="BM148" s="313">
        <f t="shared" si="55"/>
        <v>0</v>
      </c>
      <c r="BN148" s="314"/>
      <c r="BP148" s="305"/>
      <c r="BQ148" s="305"/>
      <c r="BR148" s="305"/>
      <c r="BS148" s="305"/>
      <c r="BT148" s="305"/>
      <c r="BU148" s="305"/>
      <c r="BV148" s="305"/>
      <c r="BW148" s="300">
        <f t="shared" si="63"/>
        <v>0</v>
      </c>
      <c r="BX148" s="300"/>
      <c r="BY148" s="305"/>
      <c r="BZ148" s="305"/>
      <c r="CA148" s="305"/>
      <c r="CB148" s="305"/>
      <c r="CC148" s="305"/>
      <c r="CD148" s="305"/>
      <c r="CE148" s="305"/>
      <c r="CF148" s="300">
        <f t="shared" si="64"/>
        <v>0</v>
      </c>
      <c r="CG148" s="300"/>
      <c r="CH148" s="305"/>
      <c r="CI148" s="305"/>
      <c r="CJ148" s="305"/>
      <c r="CK148" s="305"/>
      <c r="CL148" s="305"/>
      <c r="CM148" s="305"/>
      <c r="CN148" s="305"/>
      <c r="CO148" s="300">
        <f t="shared" si="65"/>
        <v>0</v>
      </c>
      <c r="CQ148" s="307">
        <f t="shared" si="56"/>
        <v>0</v>
      </c>
      <c r="CR148" s="307">
        <f t="shared" si="57"/>
        <v>0</v>
      </c>
      <c r="CS148" s="307">
        <f t="shared" si="58"/>
        <v>0</v>
      </c>
      <c r="CT148" s="307">
        <f t="shared" si="59"/>
        <v>0</v>
      </c>
      <c r="CU148" s="307">
        <f t="shared" si="60"/>
        <v>0</v>
      </c>
      <c r="CV148" s="307">
        <f t="shared" si="61"/>
        <v>0</v>
      </c>
      <c r="CW148" s="307">
        <f t="shared" si="62"/>
        <v>0</v>
      </c>
      <c r="CX148" s="307">
        <f t="shared" si="66"/>
        <v>0</v>
      </c>
      <c r="CY148" s="307">
        <f t="shared" si="67"/>
        <v>0</v>
      </c>
    </row>
    <row r="149" spans="1:103" s="230" customFormat="1" ht="21" customHeight="1">
      <c r="A149" s="308"/>
      <c r="B149" s="309"/>
      <c r="C149" s="287" t="str">
        <f>IF($A149=0,"",(VLOOKUP(A149,[3]MAT!$B$5:$D$4756,3,FALSE)))</f>
        <v/>
      </c>
      <c r="D149" s="288" t="s">
        <v>597</v>
      </c>
      <c r="E149" s="290"/>
      <c r="F149" s="310"/>
      <c r="G149" s="311"/>
      <c r="H149" s="293"/>
      <c r="I149" s="221"/>
      <c r="J149" s="294"/>
      <c r="K149" s="294"/>
      <c r="L149" s="295"/>
      <c r="M149" s="293"/>
      <c r="N149" s="310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94"/>
      <c r="AB149" s="294"/>
      <c r="AC149" s="294"/>
      <c r="AD149" s="294"/>
      <c r="AE149" s="293"/>
      <c r="AF149" s="221"/>
      <c r="AG149" s="294"/>
      <c r="AH149" s="294"/>
      <c r="AI149" s="295"/>
      <c r="AJ149" s="293"/>
      <c r="AK149" s="295"/>
      <c r="AL149" s="295"/>
      <c r="AM149" s="295"/>
      <c r="AN149" s="295"/>
      <c r="AO149" s="295"/>
      <c r="AP149" s="295"/>
      <c r="AQ149" s="295"/>
      <c r="AR149" s="295"/>
      <c r="AS149" s="295"/>
      <c r="AT149" s="295"/>
      <c r="AU149" s="293"/>
      <c r="AV149" s="311"/>
      <c r="AW149" s="296"/>
      <c r="AX149" s="296"/>
      <c r="AY149" s="296"/>
      <c r="AZ149" s="296"/>
      <c r="BA149" s="296"/>
      <c r="BB149" s="296"/>
      <c r="BC149" s="296"/>
      <c r="BD149" s="293">
        <f t="shared" si="52"/>
        <v>0</v>
      </c>
      <c r="BE149" s="221"/>
      <c r="BF149" s="294"/>
      <c r="BG149" s="294"/>
      <c r="BH149" s="294"/>
      <c r="BI149" s="293">
        <f t="shared" si="42"/>
        <v>0</v>
      </c>
      <c r="BJ149" s="300"/>
      <c r="BK149" s="301">
        <f t="shared" si="53"/>
        <v>0</v>
      </c>
      <c r="BL149" s="312">
        <f t="shared" si="54"/>
        <v>0</v>
      </c>
      <c r="BM149" s="313">
        <f t="shared" si="55"/>
        <v>0</v>
      </c>
      <c r="BN149" s="314"/>
      <c r="BP149" s="305"/>
      <c r="BQ149" s="305"/>
      <c r="BR149" s="305"/>
      <c r="BS149" s="305"/>
      <c r="BT149" s="305"/>
      <c r="BU149" s="305"/>
      <c r="BV149" s="305"/>
      <c r="BW149" s="300">
        <f t="shared" si="63"/>
        <v>0</v>
      </c>
      <c r="BX149" s="300"/>
      <c r="BY149" s="305"/>
      <c r="BZ149" s="305"/>
      <c r="CA149" s="305"/>
      <c r="CB149" s="305"/>
      <c r="CC149" s="305"/>
      <c r="CD149" s="305"/>
      <c r="CE149" s="305"/>
      <c r="CF149" s="300">
        <f t="shared" si="64"/>
        <v>0</v>
      </c>
      <c r="CG149" s="300"/>
      <c r="CH149" s="305"/>
      <c r="CI149" s="305"/>
      <c r="CJ149" s="305"/>
      <c r="CK149" s="305"/>
      <c r="CL149" s="305"/>
      <c r="CM149" s="305"/>
      <c r="CN149" s="305"/>
      <c r="CO149" s="300">
        <f t="shared" si="65"/>
        <v>0</v>
      </c>
      <c r="CQ149" s="307">
        <f t="shared" si="56"/>
        <v>0</v>
      </c>
      <c r="CR149" s="307">
        <f t="shared" si="57"/>
        <v>0</v>
      </c>
      <c r="CS149" s="307">
        <f t="shared" si="58"/>
        <v>0</v>
      </c>
      <c r="CT149" s="307">
        <f t="shared" si="59"/>
        <v>0</v>
      </c>
      <c r="CU149" s="307">
        <f t="shared" si="60"/>
        <v>0</v>
      </c>
      <c r="CV149" s="307">
        <f t="shared" si="61"/>
        <v>0</v>
      </c>
      <c r="CW149" s="307">
        <f t="shared" si="62"/>
        <v>0</v>
      </c>
      <c r="CX149" s="307">
        <f t="shared" si="66"/>
        <v>0</v>
      </c>
      <c r="CY149" s="307">
        <f t="shared" si="67"/>
        <v>0</v>
      </c>
    </row>
    <row r="150" spans="1:103" s="230" customFormat="1" ht="21" customHeight="1">
      <c r="A150" s="308"/>
      <c r="B150" s="309"/>
      <c r="C150" s="287" t="str">
        <f>IF($A150=0,"",(VLOOKUP(A150,[3]MAT!$B$5:$D$4756,3,FALSE)))</f>
        <v/>
      </c>
      <c r="D150" s="288" t="s">
        <v>597</v>
      </c>
      <c r="E150" s="290"/>
      <c r="F150" s="310"/>
      <c r="G150" s="311"/>
      <c r="H150" s="293"/>
      <c r="I150" s="221"/>
      <c r="J150" s="294"/>
      <c r="K150" s="294"/>
      <c r="L150" s="295"/>
      <c r="M150" s="293"/>
      <c r="N150" s="310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  <c r="AA150" s="294"/>
      <c r="AB150" s="294"/>
      <c r="AC150" s="294"/>
      <c r="AD150" s="294"/>
      <c r="AE150" s="293"/>
      <c r="AF150" s="221"/>
      <c r="AG150" s="294"/>
      <c r="AH150" s="294"/>
      <c r="AI150" s="295"/>
      <c r="AJ150" s="293"/>
      <c r="AK150" s="295"/>
      <c r="AL150" s="295"/>
      <c r="AM150" s="295"/>
      <c r="AN150" s="295"/>
      <c r="AO150" s="295"/>
      <c r="AP150" s="295"/>
      <c r="AQ150" s="295"/>
      <c r="AR150" s="295"/>
      <c r="AS150" s="295"/>
      <c r="AT150" s="295"/>
      <c r="AU150" s="293"/>
      <c r="AV150" s="311"/>
      <c r="AW150" s="296"/>
      <c r="AX150" s="296"/>
      <c r="AY150" s="296"/>
      <c r="AZ150" s="296"/>
      <c r="BA150" s="296"/>
      <c r="BB150" s="296"/>
      <c r="BC150" s="296"/>
      <c r="BD150" s="293">
        <f t="shared" si="52"/>
        <v>0</v>
      </c>
      <c r="BE150" s="221"/>
      <c r="BF150" s="294"/>
      <c r="BG150" s="294"/>
      <c r="BH150" s="294"/>
      <c r="BI150" s="293">
        <f t="shared" si="42"/>
        <v>0</v>
      </c>
      <c r="BJ150" s="300"/>
      <c r="BK150" s="301">
        <f t="shared" si="53"/>
        <v>0</v>
      </c>
      <c r="BL150" s="312">
        <f t="shared" si="54"/>
        <v>0</v>
      </c>
      <c r="BM150" s="313">
        <f t="shared" si="55"/>
        <v>0</v>
      </c>
      <c r="BN150" s="314"/>
      <c r="BP150" s="305"/>
      <c r="BQ150" s="305"/>
      <c r="BR150" s="305"/>
      <c r="BS150" s="305"/>
      <c r="BT150" s="305"/>
      <c r="BU150" s="305"/>
      <c r="BV150" s="305"/>
      <c r="BW150" s="300">
        <f t="shared" si="63"/>
        <v>0</v>
      </c>
      <c r="BX150" s="300"/>
      <c r="BY150" s="305"/>
      <c r="BZ150" s="305"/>
      <c r="CA150" s="305"/>
      <c r="CB150" s="305"/>
      <c r="CC150" s="305"/>
      <c r="CD150" s="305"/>
      <c r="CE150" s="305"/>
      <c r="CF150" s="300">
        <f t="shared" si="64"/>
        <v>0</v>
      </c>
      <c r="CG150" s="300"/>
      <c r="CH150" s="305"/>
      <c r="CI150" s="305"/>
      <c r="CJ150" s="305"/>
      <c r="CK150" s="305"/>
      <c r="CL150" s="305"/>
      <c r="CM150" s="305"/>
      <c r="CN150" s="305"/>
      <c r="CO150" s="300">
        <f t="shared" si="65"/>
        <v>0</v>
      </c>
      <c r="CQ150" s="307">
        <f t="shared" si="56"/>
        <v>0</v>
      </c>
      <c r="CR150" s="307">
        <f t="shared" si="57"/>
        <v>0</v>
      </c>
      <c r="CS150" s="307">
        <f t="shared" si="58"/>
        <v>0</v>
      </c>
      <c r="CT150" s="307">
        <f t="shared" si="59"/>
        <v>0</v>
      </c>
      <c r="CU150" s="307">
        <f t="shared" si="60"/>
        <v>0</v>
      </c>
      <c r="CV150" s="307">
        <f t="shared" si="61"/>
        <v>0</v>
      </c>
      <c r="CW150" s="307">
        <f t="shared" si="62"/>
        <v>0</v>
      </c>
      <c r="CX150" s="307">
        <f t="shared" si="66"/>
        <v>0</v>
      </c>
      <c r="CY150" s="307">
        <f t="shared" si="67"/>
        <v>0</v>
      </c>
    </row>
    <row r="151" spans="1:103" s="230" customFormat="1" ht="21" customHeight="1">
      <c r="A151" s="308"/>
      <c r="B151" s="309"/>
      <c r="C151" s="287" t="str">
        <f>IF($A151=0,"",(VLOOKUP(A151,[3]MAT!$B$5:$D$4756,3,FALSE)))</f>
        <v/>
      </c>
      <c r="D151" s="288" t="s">
        <v>597</v>
      </c>
      <c r="E151" s="290"/>
      <c r="F151" s="310"/>
      <c r="G151" s="311"/>
      <c r="H151" s="293"/>
      <c r="I151" s="221"/>
      <c r="J151" s="294"/>
      <c r="K151" s="294"/>
      <c r="L151" s="295"/>
      <c r="M151" s="293"/>
      <c r="N151" s="310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  <c r="AA151" s="294"/>
      <c r="AB151" s="294"/>
      <c r="AC151" s="294"/>
      <c r="AD151" s="294"/>
      <c r="AE151" s="293"/>
      <c r="AF151" s="221"/>
      <c r="AG151" s="294"/>
      <c r="AH151" s="294"/>
      <c r="AI151" s="295"/>
      <c r="AJ151" s="293"/>
      <c r="AK151" s="295"/>
      <c r="AL151" s="295"/>
      <c r="AM151" s="295"/>
      <c r="AN151" s="295"/>
      <c r="AO151" s="295"/>
      <c r="AP151" s="295"/>
      <c r="AQ151" s="295"/>
      <c r="AR151" s="295"/>
      <c r="AS151" s="295"/>
      <c r="AT151" s="295"/>
      <c r="AU151" s="293"/>
      <c r="AV151" s="311"/>
      <c r="AW151" s="296"/>
      <c r="AX151" s="296"/>
      <c r="AY151" s="296"/>
      <c r="AZ151" s="296"/>
      <c r="BA151" s="296"/>
      <c r="BB151" s="296"/>
      <c r="BC151" s="296"/>
      <c r="BD151" s="293">
        <f t="shared" si="52"/>
        <v>0</v>
      </c>
      <c r="BE151" s="221"/>
      <c r="BF151" s="294"/>
      <c r="BG151" s="294"/>
      <c r="BH151" s="294"/>
      <c r="BI151" s="293">
        <f t="shared" si="42"/>
        <v>0</v>
      </c>
      <c r="BJ151" s="300"/>
      <c r="BK151" s="301">
        <f t="shared" si="53"/>
        <v>0</v>
      </c>
      <c r="BL151" s="312">
        <f t="shared" si="54"/>
        <v>0</v>
      </c>
      <c r="BM151" s="313">
        <f t="shared" si="55"/>
        <v>0</v>
      </c>
      <c r="BN151" s="314"/>
      <c r="BP151" s="305"/>
      <c r="BQ151" s="305"/>
      <c r="BR151" s="305"/>
      <c r="BS151" s="305"/>
      <c r="BT151" s="305"/>
      <c r="BU151" s="305"/>
      <c r="BV151" s="305"/>
      <c r="BW151" s="300">
        <f t="shared" si="63"/>
        <v>0</v>
      </c>
      <c r="BX151" s="300"/>
      <c r="BY151" s="305"/>
      <c r="BZ151" s="305"/>
      <c r="CA151" s="305"/>
      <c r="CB151" s="305"/>
      <c r="CC151" s="305"/>
      <c r="CD151" s="305"/>
      <c r="CE151" s="305"/>
      <c r="CF151" s="300">
        <f t="shared" si="64"/>
        <v>0</v>
      </c>
      <c r="CG151" s="300"/>
      <c r="CH151" s="305"/>
      <c r="CI151" s="305"/>
      <c r="CJ151" s="305"/>
      <c r="CK151" s="305"/>
      <c r="CL151" s="305"/>
      <c r="CM151" s="305"/>
      <c r="CN151" s="305"/>
      <c r="CO151" s="300">
        <f t="shared" si="65"/>
        <v>0</v>
      </c>
      <c r="CQ151" s="307">
        <f t="shared" si="56"/>
        <v>0</v>
      </c>
      <c r="CR151" s="307">
        <f t="shared" si="57"/>
        <v>0</v>
      </c>
      <c r="CS151" s="307">
        <f t="shared" si="58"/>
        <v>0</v>
      </c>
      <c r="CT151" s="307">
        <f t="shared" si="59"/>
        <v>0</v>
      </c>
      <c r="CU151" s="307">
        <f t="shared" si="60"/>
        <v>0</v>
      </c>
      <c r="CV151" s="307">
        <f t="shared" si="61"/>
        <v>0</v>
      </c>
      <c r="CW151" s="307">
        <f t="shared" si="62"/>
        <v>0</v>
      </c>
      <c r="CX151" s="307">
        <f t="shared" si="66"/>
        <v>0</v>
      </c>
      <c r="CY151" s="307">
        <f t="shared" si="67"/>
        <v>0</v>
      </c>
    </row>
    <row r="152" spans="1:103" s="230" customFormat="1" ht="21" customHeight="1">
      <c r="A152" s="308"/>
      <c r="B152" s="309"/>
      <c r="C152" s="287" t="str">
        <f>IF($A152=0,"",(VLOOKUP(A152,[3]MAT!$B$5:$D$4756,3,FALSE)))</f>
        <v/>
      </c>
      <c r="D152" s="288" t="s">
        <v>597</v>
      </c>
      <c r="E152" s="290"/>
      <c r="F152" s="310"/>
      <c r="G152" s="311"/>
      <c r="H152" s="293"/>
      <c r="I152" s="221"/>
      <c r="J152" s="294"/>
      <c r="K152" s="294"/>
      <c r="L152" s="295"/>
      <c r="M152" s="293"/>
      <c r="N152" s="310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  <c r="AA152" s="294"/>
      <c r="AB152" s="294"/>
      <c r="AC152" s="294"/>
      <c r="AD152" s="294"/>
      <c r="AE152" s="293"/>
      <c r="AF152" s="221"/>
      <c r="AG152" s="294"/>
      <c r="AH152" s="294"/>
      <c r="AI152" s="295"/>
      <c r="AJ152" s="293"/>
      <c r="AK152" s="295"/>
      <c r="AL152" s="295"/>
      <c r="AM152" s="295"/>
      <c r="AN152" s="295"/>
      <c r="AO152" s="295"/>
      <c r="AP152" s="295"/>
      <c r="AQ152" s="295"/>
      <c r="AR152" s="295"/>
      <c r="AS152" s="295"/>
      <c r="AT152" s="295"/>
      <c r="AU152" s="293"/>
      <c r="AV152" s="311"/>
      <c r="AW152" s="296"/>
      <c r="AX152" s="296"/>
      <c r="AY152" s="296"/>
      <c r="AZ152" s="296"/>
      <c r="BA152" s="296"/>
      <c r="BB152" s="296"/>
      <c r="BC152" s="296"/>
      <c r="BD152" s="293">
        <f t="shared" si="52"/>
        <v>0</v>
      </c>
      <c r="BE152" s="221"/>
      <c r="BF152" s="294"/>
      <c r="BG152" s="294"/>
      <c r="BH152" s="294"/>
      <c r="BI152" s="293">
        <f t="shared" si="42"/>
        <v>0</v>
      </c>
      <c r="BJ152" s="300"/>
      <c r="BK152" s="301">
        <f t="shared" si="53"/>
        <v>0</v>
      </c>
      <c r="BL152" s="312">
        <f t="shared" si="54"/>
        <v>0</v>
      </c>
      <c r="BM152" s="313">
        <f t="shared" si="55"/>
        <v>0</v>
      </c>
      <c r="BN152" s="314"/>
      <c r="BP152" s="305"/>
      <c r="BQ152" s="305"/>
      <c r="BR152" s="305"/>
      <c r="BS152" s="305"/>
      <c r="BT152" s="305"/>
      <c r="BU152" s="305"/>
      <c r="BV152" s="305"/>
      <c r="BW152" s="300">
        <f t="shared" si="63"/>
        <v>0</v>
      </c>
      <c r="BX152" s="300"/>
      <c r="BY152" s="305"/>
      <c r="BZ152" s="305"/>
      <c r="CA152" s="305"/>
      <c r="CB152" s="305"/>
      <c r="CC152" s="305"/>
      <c r="CD152" s="305"/>
      <c r="CE152" s="305"/>
      <c r="CF152" s="300">
        <f t="shared" si="64"/>
        <v>0</v>
      </c>
      <c r="CG152" s="300"/>
      <c r="CH152" s="305"/>
      <c r="CI152" s="305"/>
      <c r="CJ152" s="305"/>
      <c r="CK152" s="305"/>
      <c r="CL152" s="305"/>
      <c r="CM152" s="305"/>
      <c r="CN152" s="305"/>
      <c r="CO152" s="300">
        <f t="shared" si="65"/>
        <v>0</v>
      </c>
      <c r="CQ152" s="307">
        <f t="shared" si="56"/>
        <v>0</v>
      </c>
      <c r="CR152" s="307">
        <f t="shared" si="57"/>
        <v>0</v>
      </c>
      <c r="CS152" s="307">
        <f t="shared" si="58"/>
        <v>0</v>
      </c>
      <c r="CT152" s="307">
        <f t="shared" si="59"/>
        <v>0</v>
      </c>
      <c r="CU152" s="307">
        <f t="shared" si="60"/>
        <v>0</v>
      </c>
      <c r="CV152" s="307">
        <f t="shared" si="61"/>
        <v>0</v>
      </c>
      <c r="CW152" s="307">
        <f t="shared" si="62"/>
        <v>0</v>
      </c>
      <c r="CX152" s="307">
        <f t="shared" si="66"/>
        <v>0</v>
      </c>
      <c r="CY152" s="307">
        <f t="shared" si="67"/>
        <v>0</v>
      </c>
    </row>
    <row r="153" spans="1:103" s="230" customFormat="1" ht="21" customHeight="1">
      <c r="A153" s="308"/>
      <c r="B153" s="309"/>
      <c r="C153" s="287" t="str">
        <f>IF($A153=0,"",(VLOOKUP(A153,[3]MAT!$B$5:$D$4756,3,FALSE)))</f>
        <v/>
      </c>
      <c r="D153" s="288" t="s">
        <v>597</v>
      </c>
      <c r="E153" s="290"/>
      <c r="F153" s="310"/>
      <c r="G153" s="311"/>
      <c r="H153" s="293"/>
      <c r="I153" s="221"/>
      <c r="J153" s="294"/>
      <c r="K153" s="294"/>
      <c r="L153" s="295"/>
      <c r="M153" s="293"/>
      <c r="N153" s="310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  <c r="AA153" s="294"/>
      <c r="AB153" s="294"/>
      <c r="AC153" s="294"/>
      <c r="AD153" s="294"/>
      <c r="AE153" s="293"/>
      <c r="AF153" s="221"/>
      <c r="AG153" s="294"/>
      <c r="AH153" s="294"/>
      <c r="AI153" s="295"/>
      <c r="AJ153" s="293"/>
      <c r="AK153" s="295"/>
      <c r="AL153" s="295"/>
      <c r="AM153" s="295"/>
      <c r="AN153" s="295"/>
      <c r="AO153" s="295"/>
      <c r="AP153" s="295"/>
      <c r="AQ153" s="295"/>
      <c r="AR153" s="295"/>
      <c r="AS153" s="295"/>
      <c r="AT153" s="295"/>
      <c r="AU153" s="293"/>
      <c r="AV153" s="311"/>
      <c r="AW153" s="296"/>
      <c r="AX153" s="296"/>
      <c r="AY153" s="296"/>
      <c r="AZ153" s="296"/>
      <c r="BA153" s="296"/>
      <c r="BB153" s="296"/>
      <c r="BC153" s="296"/>
      <c r="BD153" s="293">
        <f t="shared" si="52"/>
        <v>0</v>
      </c>
      <c r="BE153" s="221"/>
      <c r="BF153" s="294"/>
      <c r="BG153" s="294"/>
      <c r="BH153" s="294"/>
      <c r="BI153" s="293">
        <f t="shared" si="42"/>
        <v>0</v>
      </c>
      <c r="BJ153" s="300"/>
      <c r="BK153" s="301">
        <f t="shared" si="53"/>
        <v>0</v>
      </c>
      <c r="BL153" s="312">
        <f t="shared" si="54"/>
        <v>0</v>
      </c>
      <c r="BM153" s="313">
        <f t="shared" si="55"/>
        <v>0</v>
      </c>
      <c r="BN153" s="314"/>
      <c r="BP153" s="305"/>
      <c r="BQ153" s="305"/>
      <c r="BR153" s="305"/>
      <c r="BS153" s="305"/>
      <c r="BT153" s="305"/>
      <c r="BU153" s="305"/>
      <c r="BV153" s="305"/>
      <c r="BW153" s="300">
        <f t="shared" si="63"/>
        <v>0</v>
      </c>
      <c r="BX153" s="300"/>
      <c r="BY153" s="305"/>
      <c r="BZ153" s="305"/>
      <c r="CA153" s="305"/>
      <c r="CB153" s="305"/>
      <c r="CC153" s="305"/>
      <c r="CD153" s="305"/>
      <c r="CE153" s="305"/>
      <c r="CF153" s="300">
        <f t="shared" si="64"/>
        <v>0</v>
      </c>
      <c r="CG153" s="300"/>
      <c r="CH153" s="305"/>
      <c r="CI153" s="305"/>
      <c r="CJ153" s="305"/>
      <c r="CK153" s="305"/>
      <c r="CL153" s="305"/>
      <c r="CM153" s="305"/>
      <c r="CN153" s="305"/>
      <c r="CO153" s="300">
        <f t="shared" si="65"/>
        <v>0</v>
      </c>
      <c r="CQ153" s="307">
        <f t="shared" si="56"/>
        <v>0</v>
      </c>
      <c r="CR153" s="307">
        <f t="shared" si="57"/>
        <v>0</v>
      </c>
      <c r="CS153" s="307">
        <f t="shared" si="58"/>
        <v>0</v>
      </c>
      <c r="CT153" s="307">
        <f t="shared" si="59"/>
        <v>0</v>
      </c>
      <c r="CU153" s="307">
        <f t="shared" si="60"/>
        <v>0</v>
      </c>
      <c r="CV153" s="307">
        <f t="shared" si="61"/>
        <v>0</v>
      </c>
      <c r="CW153" s="307">
        <f t="shared" si="62"/>
        <v>0</v>
      </c>
      <c r="CX153" s="307">
        <f t="shared" si="66"/>
        <v>0</v>
      </c>
      <c r="CY153" s="307">
        <f t="shared" si="67"/>
        <v>0</v>
      </c>
    </row>
    <row r="154" spans="1:103" s="230" customFormat="1" ht="21" customHeight="1">
      <c r="A154" s="308"/>
      <c r="B154" s="309"/>
      <c r="C154" s="287" t="str">
        <f>IF($A154=0,"",(VLOOKUP(A154,[3]MAT!$B$5:$D$4756,3,FALSE)))</f>
        <v/>
      </c>
      <c r="D154" s="288" t="s">
        <v>597</v>
      </c>
      <c r="E154" s="290"/>
      <c r="F154" s="310"/>
      <c r="G154" s="311"/>
      <c r="H154" s="293"/>
      <c r="I154" s="221"/>
      <c r="J154" s="294"/>
      <c r="K154" s="294"/>
      <c r="L154" s="295"/>
      <c r="M154" s="293"/>
      <c r="N154" s="310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3"/>
      <c r="AF154" s="221"/>
      <c r="AG154" s="294"/>
      <c r="AH154" s="294"/>
      <c r="AI154" s="295"/>
      <c r="AJ154" s="293"/>
      <c r="AK154" s="295"/>
      <c r="AL154" s="295"/>
      <c r="AM154" s="295"/>
      <c r="AN154" s="295"/>
      <c r="AO154" s="295"/>
      <c r="AP154" s="295"/>
      <c r="AQ154" s="295"/>
      <c r="AR154" s="295"/>
      <c r="AS154" s="295"/>
      <c r="AT154" s="295"/>
      <c r="AU154" s="293"/>
      <c r="AV154" s="311"/>
      <c r="AW154" s="296"/>
      <c r="AX154" s="296"/>
      <c r="AY154" s="296"/>
      <c r="AZ154" s="296"/>
      <c r="BA154" s="296"/>
      <c r="BB154" s="296"/>
      <c r="BC154" s="296"/>
      <c r="BD154" s="293">
        <f t="shared" si="52"/>
        <v>0</v>
      </c>
      <c r="BE154" s="221"/>
      <c r="BF154" s="294"/>
      <c r="BG154" s="294"/>
      <c r="BH154" s="294"/>
      <c r="BI154" s="293">
        <f t="shared" si="42"/>
        <v>0</v>
      </c>
      <c r="BJ154" s="300"/>
      <c r="BK154" s="301">
        <f t="shared" si="53"/>
        <v>0</v>
      </c>
      <c r="BL154" s="312">
        <f t="shared" si="54"/>
        <v>0</v>
      </c>
      <c r="BM154" s="313">
        <f t="shared" si="55"/>
        <v>0</v>
      </c>
      <c r="BN154" s="314"/>
      <c r="BP154" s="305"/>
      <c r="BQ154" s="305"/>
      <c r="BR154" s="305"/>
      <c r="BS154" s="305"/>
      <c r="BT154" s="305"/>
      <c r="BU154" s="305"/>
      <c r="BV154" s="305"/>
      <c r="BW154" s="300">
        <f t="shared" si="63"/>
        <v>0</v>
      </c>
      <c r="BX154" s="300"/>
      <c r="BY154" s="305"/>
      <c r="BZ154" s="305"/>
      <c r="CA154" s="305"/>
      <c r="CB154" s="305"/>
      <c r="CC154" s="305"/>
      <c r="CD154" s="305"/>
      <c r="CE154" s="305"/>
      <c r="CF154" s="300">
        <f t="shared" si="64"/>
        <v>0</v>
      </c>
      <c r="CG154" s="300"/>
      <c r="CH154" s="305"/>
      <c r="CI154" s="305"/>
      <c r="CJ154" s="305"/>
      <c r="CK154" s="305"/>
      <c r="CL154" s="305"/>
      <c r="CM154" s="305"/>
      <c r="CN154" s="305"/>
      <c r="CO154" s="300">
        <f t="shared" si="65"/>
        <v>0</v>
      </c>
      <c r="CQ154" s="307">
        <f t="shared" si="56"/>
        <v>0</v>
      </c>
      <c r="CR154" s="307">
        <f t="shared" si="57"/>
        <v>0</v>
      </c>
      <c r="CS154" s="307">
        <f t="shared" si="58"/>
        <v>0</v>
      </c>
      <c r="CT154" s="307">
        <f t="shared" si="59"/>
        <v>0</v>
      </c>
      <c r="CU154" s="307">
        <f t="shared" si="60"/>
        <v>0</v>
      </c>
      <c r="CV154" s="307">
        <f t="shared" si="61"/>
        <v>0</v>
      </c>
      <c r="CW154" s="307">
        <f t="shared" si="62"/>
        <v>0</v>
      </c>
      <c r="CX154" s="307">
        <f t="shared" si="66"/>
        <v>0</v>
      </c>
      <c r="CY154" s="307">
        <f t="shared" si="67"/>
        <v>0</v>
      </c>
    </row>
    <row r="155" spans="1:103" s="230" customFormat="1" ht="21" customHeight="1">
      <c r="A155" s="308"/>
      <c r="B155" s="309"/>
      <c r="C155" s="287" t="str">
        <f>IF($A155=0,"",(VLOOKUP(A155,[3]MAT!$B$5:$D$4756,3,FALSE)))</f>
        <v/>
      </c>
      <c r="D155" s="288" t="s">
        <v>597</v>
      </c>
      <c r="E155" s="290"/>
      <c r="F155" s="310"/>
      <c r="G155" s="311"/>
      <c r="H155" s="293"/>
      <c r="I155" s="221"/>
      <c r="J155" s="294"/>
      <c r="K155" s="294"/>
      <c r="L155" s="295"/>
      <c r="M155" s="293"/>
      <c r="N155" s="310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94"/>
      <c r="AB155" s="294"/>
      <c r="AC155" s="294"/>
      <c r="AD155" s="294"/>
      <c r="AE155" s="293"/>
      <c r="AF155" s="221"/>
      <c r="AG155" s="294"/>
      <c r="AH155" s="294"/>
      <c r="AI155" s="295"/>
      <c r="AJ155" s="293"/>
      <c r="AK155" s="295"/>
      <c r="AL155" s="295"/>
      <c r="AM155" s="295"/>
      <c r="AN155" s="295"/>
      <c r="AO155" s="295"/>
      <c r="AP155" s="295"/>
      <c r="AQ155" s="295"/>
      <c r="AR155" s="295"/>
      <c r="AS155" s="295"/>
      <c r="AT155" s="295"/>
      <c r="AU155" s="293"/>
      <c r="AV155" s="311"/>
      <c r="AW155" s="296"/>
      <c r="AX155" s="296"/>
      <c r="AY155" s="296"/>
      <c r="AZ155" s="296"/>
      <c r="BA155" s="296"/>
      <c r="BB155" s="296"/>
      <c r="BC155" s="296"/>
      <c r="BD155" s="293">
        <f t="shared" si="52"/>
        <v>0</v>
      </c>
      <c r="BE155" s="221"/>
      <c r="BF155" s="294"/>
      <c r="BG155" s="294"/>
      <c r="BH155" s="294"/>
      <c r="BI155" s="293">
        <f t="shared" si="42"/>
        <v>0</v>
      </c>
      <c r="BJ155" s="300"/>
      <c r="BK155" s="301">
        <f t="shared" si="53"/>
        <v>0</v>
      </c>
      <c r="BL155" s="312">
        <f t="shared" si="54"/>
        <v>0</v>
      </c>
      <c r="BM155" s="313">
        <f t="shared" si="55"/>
        <v>0</v>
      </c>
      <c r="BN155" s="314"/>
      <c r="BP155" s="305"/>
      <c r="BQ155" s="305"/>
      <c r="BR155" s="305"/>
      <c r="BS155" s="305"/>
      <c r="BT155" s="305"/>
      <c r="BU155" s="305"/>
      <c r="BV155" s="305"/>
      <c r="BW155" s="300">
        <f t="shared" si="63"/>
        <v>0</v>
      </c>
      <c r="BX155" s="300"/>
      <c r="BY155" s="305"/>
      <c r="BZ155" s="305"/>
      <c r="CA155" s="305"/>
      <c r="CB155" s="305"/>
      <c r="CC155" s="305"/>
      <c r="CD155" s="305"/>
      <c r="CE155" s="305"/>
      <c r="CF155" s="300">
        <f t="shared" si="64"/>
        <v>0</v>
      </c>
      <c r="CG155" s="300"/>
      <c r="CH155" s="305"/>
      <c r="CI155" s="305"/>
      <c r="CJ155" s="305"/>
      <c r="CK155" s="305"/>
      <c r="CL155" s="305"/>
      <c r="CM155" s="305"/>
      <c r="CN155" s="305"/>
      <c r="CO155" s="300">
        <f t="shared" si="65"/>
        <v>0</v>
      </c>
      <c r="CQ155" s="307">
        <f t="shared" si="56"/>
        <v>0</v>
      </c>
      <c r="CR155" s="307">
        <f t="shared" si="57"/>
        <v>0</v>
      </c>
      <c r="CS155" s="307">
        <f t="shared" si="58"/>
        <v>0</v>
      </c>
      <c r="CT155" s="307">
        <f t="shared" si="59"/>
        <v>0</v>
      </c>
      <c r="CU155" s="307">
        <f t="shared" si="60"/>
        <v>0</v>
      </c>
      <c r="CV155" s="307">
        <f t="shared" si="61"/>
        <v>0</v>
      </c>
      <c r="CW155" s="307">
        <f t="shared" si="62"/>
        <v>0</v>
      </c>
      <c r="CX155" s="307">
        <f t="shared" si="66"/>
        <v>0</v>
      </c>
      <c r="CY155" s="307">
        <f t="shared" si="67"/>
        <v>0</v>
      </c>
    </row>
    <row r="156" spans="1:103" s="230" customFormat="1" ht="21" customHeight="1">
      <c r="A156" s="308"/>
      <c r="B156" s="309"/>
      <c r="C156" s="287" t="str">
        <f>IF($A156=0,"",(VLOOKUP(A156,[3]MAT!$B$5:$D$4756,3,FALSE)))</f>
        <v/>
      </c>
      <c r="D156" s="288" t="s">
        <v>597</v>
      </c>
      <c r="E156" s="290"/>
      <c r="F156" s="310"/>
      <c r="G156" s="311"/>
      <c r="H156" s="293"/>
      <c r="I156" s="221"/>
      <c r="J156" s="294"/>
      <c r="K156" s="294"/>
      <c r="L156" s="295"/>
      <c r="M156" s="293"/>
      <c r="N156" s="310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  <c r="AA156" s="294"/>
      <c r="AB156" s="294"/>
      <c r="AC156" s="294"/>
      <c r="AD156" s="294"/>
      <c r="AE156" s="293"/>
      <c r="AF156" s="221"/>
      <c r="AG156" s="294"/>
      <c r="AH156" s="294"/>
      <c r="AI156" s="295"/>
      <c r="AJ156" s="293"/>
      <c r="AK156" s="295"/>
      <c r="AL156" s="295"/>
      <c r="AM156" s="295"/>
      <c r="AN156" s="295"/>
      <c r="AO156" s="295"/>
      <c r="AP156" s="295"/>
      <c r="AQ156" s="295"/>
      <c r="AR156" s="295"/>
      <c r="AS156" s="295"/>
      <c r="AT156" s="295"/>
      <c r="AU156" s="293"/>
      <c r="AV156" s="311"/>
      <c r="AW156" s="296"/>
      <c r="AX156" s="296"/>
      <c r="AY156" s="296"/>
      <c r="AZ156" s="296"/>
      <c r="BA156" s="296"/>
      <c r="BB156" s="296"/>
      <c r="BC156" s="296"/>
      <c r="BD156" s="293">
        <f t="shared" si="52"/>
        <v>0</v>
      </c>
      <c r="BE156" s="221"/>
      <c r="BF156" s="294"/>
      <c r="BG156" s="294"/>
      <c r="BH156" s="294"/>
      <c r="BI156" s="293">
        <f t="shared" si="42"/>
        <v>0</v>
      </c>
      <c r="BJ156" s="300"/>
      <c r="BK156" s="301">
        <f t="shared" si="53"/>
        <v>0</v>
      </c>
      <c r="BL156" s="312">
        <f t="shared" si="54"/>
        <v>0</v>
      </c>
      <c r="BM156" s="313">
        <f t="shared" si="55"/>
        <v>0</v>
      </c>
      <c r="BN156" s="314"/>
      <c r="BP156" s="305"/>
      <c r="BQ156" s="305"/>
      <c r="BR156" s="305"/>
      <c r="BS156" s="305"/>
      <c r="BT156" s="305"/>
      <c r="BU156" s="305"/>
      <c r="BV156" s="305"/>
      <c r="BW156" s="300">
        <f t="shared" si="63"/>
        <v>0</v>
      </c>
      <c r="BX156" s="300"/>
      <c r="BY156" s="305"/>
      <c r="BZ156" s="305"/>
      <c r="CA156" s="305"/>
      <c r="CB156" s="305"/>
      <c r="CC156" s="305"/>
      <c r="CD156" s="305"/>
      <c r="CE156" s="305"/>
      <c r="CF156" s="300">
        <f t="shared" si="64"/>
        <v>0</v>
      </c>
      <c r="CG156" s="300"/>
      <c r="CH156" s="305"/>
      <c r="CI156" s="305"/>
      <c r="CJ156" s="305"/>
      <c r="CK156" s="305"/>
      <c r="CL156" s="305"/>
      <c r="CM156" s="305"/>
      <c r="CN156" s="305"/>
      <c r="CO156" s="300">
        <f t="shared" si="65"/>
        <v>0</v>
      </c>
      <c r="CQ156" s="307">
        <f t="shared" si="56"/>
        <v>0</v>
      </c>
      <c r="CR156" s="307">
        <f t="shared" si="57"/>
        <v>0</v>
      </c>
      <c r="CS156" s="307">
        <f t="shared" si="58"/>
        <v>0</v>
      </c>
      <c r="CT156" s="307">
        <f t="shared" si="59"/>
        <v>0</v>
      </c>
      <c r="CU156" s="307">
        <f t="shared" si="60"/>
        <v>0</v>
      </c>
      <c r="CV156" s="307">
        <f t="shared" si="61"/>
        <v>0</v>
      </c>
      <c r="CW156" s="307">
        <f t="shared" si="62"/>
        <v>0</v>
      </c>
      <c r="CX156" s="307">
        <f t="shared" si="66"/>
        <v>0</v>
      </c>
      <c r="CY156" s="307">
        <f t="shared" si="67"/>
        <v>0</v>
      </c>
    </row>
    <row r="157" spans="1:103" s="230" customFormat="1" ht="21" customHeight="1">
      <c r="A157" s="308"/>
      <c r="B157" s="309"/>
      <c r="C157" s="287" t="str">
        <f>IF($A157=0,"",(VLOOKUP(A157,[3]MAT!$B$5:$D$4756,3,FALSE)))</f>
        <v/>
      </c>
      <c r="D157" s="288" t="s">
        <v>597</v>
      </c>
      <c r="E157" s="290"/>
      <c r="F157" s="310"/>
      <c r="G157" s="311"/>
      <c r="H157" s="293"/>
      <c r="I157" s="221"/>
      <c r="J157" s="294"/>
      <c r="K157" s="294"/>
      <c r="L157" s="295"/>
      <c r="M157" s="293"/>
      <c r="N157" s="310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  <c r="AA157" s="294"/>
      <c r="AB157" s="294"/>
      <c r="AC157" s="294"/>
      <c r="AD157" s="294"/>
      <c r="AE157" s="293"/>
      <c r="AF157" s="221"/>
      <c r="AG157" s="294"/>
      <c r="AH157" s="294"/>
      <c r="AI157" s="295"/>
      <c r="AJ157" s="293"/>
      <c r="AK157" s="295"/>
      <c r="AL157" s="295"/>
      <c r="AM157" s="295"/>
      <c r="AN157" s="295"/>
      <c r="AO157" s="295"/>
      <c r="AP157" s="295"/>
      <c r="AQ157" s="295"/>
      <c r="AR157" s="295"/>
      <c r="AS157" s="295"/>
      <c r="AT157" s="295"/>
      <c r="AU157" s="293"/>
      <c r="AV157" s="311"/>
      <c r="AW157" s="296"/>
      <c r="AX157" s="296"/>
      <c r="AY157" s="296"/>
      <c r="AZ157" s="296"/>
      <c r="BA157" s="296"/>
      <c r="BB157" s="296"/>
      <c r="BC157" s="296"/>
      <c r="BD157" s="293">
        <f t="shared" si="52"/>
        <v>0</v>
      </c>
      <c r="BE157" s="221"/>
      <c r="BF157" s="294"/>
      <c r="BG157" s="294"/>
      <c r="BH157" s="294"/>
      <c r="BI157" s="293">
        <f t="shared" si="42"/>
        <v>0</v>
      </c>
      <c r="BJ157" s="300"/>
      <c r="BK157" s="301">
        <f t="shared" si="53"/>
        <v>0</v>
      </c>
      <c r="BL157" s="312">
        <f t="shared" si="54"/>
        <v>0</v>
      </c>
      <c r="BM157" s="313">
        <f t="shared" si="55"/>
        <v>0</v>
      </c>
      <c r="BN157" s="314"/>
      <c r="BP157" s="305"/>
      <c r="BQ157" s="305"/>
      <c r="BR157" s="305"/>
      <c r="BS157" s="305"/>
      <c r="BT157" s="305"/>
      <c r="BU157" s="305"/>
      <c r="BV157" s="305"/>
      <c r="BW157" s="300">
        <f t="shared" si="63"/>
        <v>0</v>
      </c>
      <c r="BX157" s="300"/>
      <c r="BY157" s="305"/>
      <c r="BZ157" s="305"/>
      <c r="CA157" s="305"/>
      <c r="CB157" s="305"/>
      <c r="CC157" s="305"/>
      <c r="CD157" s="305"/>
      <c r="CE157" s="305"/>
      <c r="CF157" s="300">
        <f t="shared" si="64"/>
        <v>0</v>
      </c>
      <c r="CG157" s="300"/>
      <c r="CH157" s="305"/>
      <c r="CI157" s="305"/>
      <c r="CJ157" s="305"/>
      <c r="CK157" s="305"/>
      <c r="CL157" s="305"/>
      <c r="CM157" s="305"/>
      <c r="CN157" s="305"/>
      <c r="CO157" s="300">
        <f t="shared" si="65"/>
        <v>0</v>
      </c>
      <c r="CQ157" s="307">
        <f t="shared" si="56"/>
        <v>0</v>
      </c>
      <c r="CR157" s="307">
        <f t="shared" si="57"/>
        <v>0</v>
      </c>
      <c r="CS157" s="307">
        <f t="shared" si="58"/>
        <v>0</v>
      </c>
      <c r="CT157" s="307">
        <f t="shared" si="59"/>
        <v>0</v>
      </c>
      <c r="CU157" s="307">
        <f t="shared" si="60"/>
        <v>0</v>
      </c>
      <c r="CV157" s="307">
        <f t="shared" si="61"/>
        <v>0</v>
      </c>
      <c r="CW157" s="307">
        <f t="shared" si="62"/>
        <v>0</v>
      </c>
      <c r="CX157" s="307">
        <f t="shared" si="66"/>
        <v>0</v>
      </c>
      <c r="CY157" s="307">
        <f t="shared" si="67"/>
        <v>0</v>
      </c>
    </row>
    <row r="158" spans="1:103" s="230" customFormat="1" ht="21" customHeight="1">
      <c r="A158" s="308"/>
      <c r="B158" s="309"/>
      <c r="C158" s="287" t="str">
        <f>IF($A158=0,"",(VLOOKUP(A158,[3]MAT!$B$5:$D$4756,3,FALSE)))</f>
        <v/>
      </c>
      <c r="D158" s="288" t="s">
        <v>597</v>
      </c>
      <c r="E158" s="290"/>
      <c r="F158" s="310"/>
      <c r="G158" s="311"/>
      <c r="H158" s="293"/>
      <c r="I158" s="221"/>
      <c r="J158" s="294"/>
      <c r="K158" s="294"/>
      <c r="L158" s="295"/>
      <c r="M158" s="293"/>
      <c r="N158" s="310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  <c r="AA158" s="294"/>
      <c r="AB158" s="294"/>
      <c r="AC158" s="294"/>
      <c r="AD158" s="294"/>
      <c r="AE158" s="293"/>
      <c r="AF158" s="221"/>
      <c r="AG158" s="294"/>
      <c r="AH158" s="294"/>
      <c r="AI158" s="295"/>
      <c r="AJ158" s="293"/>
      <c r="AK158" s="295"/>
      <c r="AL158" s="295"/>
      <c r="AM158" s="295"/>
      <c r="AN158" s="295"/>
      <c r="AO158" s="295"/>
      <c r="AP158" s="295"/>
      <c r="AQ158" s="295"/>
      <c r="AR158" s="295"/>
      <c r="AS158" s="295"/>
      <c r="AT158" s="295"/>
      <c r="AU158" s="293"/>
      <c r="AV158" s="311"/>
      <c r="AW158" s="296"/>
      <c r="AX158" s="296"/>
      <c r="AY158" s="296"/>
      <c r="AZ158" s="296"/>
      <c r="BA158" s="296"/>
      <c r="BB158" s="296"/>
      <c r="BC158" s="296"/>
      <c r="BD158" s="293">
        <f t="shared" si="52"/>
        <v>0</v>
      </c>
      <c r="BE158" s="221"/>
      <c r="BF158" s="294"/>
      <c r="BG158" s="294"/>
      <c r="BH158" s="294"/>
      <c r="BI158" s="293">
        <f t="shared" si="42"/>
        <v>0</v>
      </c>
      <c r="BJ158" s="300"/>
      <c r="BK158" s="301">
        <f t="shared" si="53"/>
        <v>0</v>
      </c>
      <c r="BL158" s="312">
        <f t="shared" si="54"/>
        <v>0</v>
      </c>
      <c r="BM158" s="313">
        <f t="shared" si="55"/>
        <v>0</v>
      </c>
      <c r="BN158" s="314"/>
      <c r="BP158" s="305"/>
      <c r="BQ158" s="305"/>
      <c r="BR158" s="305"/>
      <c r="BS158" s="305"/>
      <c r="BT158" s="305"/>
      <c r="BU158" s="305"/>
      <c r="BV158" s="305"/>
      <c r="BW158" s="300">
        <f t="shared" si="63"/>
        <v>0</v>
      </c>
      <c r="BX158" s="300"/>
      <c r="BY158" s="305"/>
      <c r="BZ158" s="305"/>
      <c r="CA158" s="305"/>
      <c r="CB158" s="305"/>
      <c r="CC158" s="305"/>
      <c r="CD158" s="305"/>
      <c r="CE158" s="305"/>
      <c r="CF158" s="300">
        <f t="shared" si="64"/>
        <v>0</v>
      </c>
      <c r="CG158" s="300"/>
      <c r="CH158" s="305"/>
      <c r="CI158" s="305"/>
      <c r="CJ158" s="305"/>
      <c r="CK158" s="305"/>
      <c r="CL158" s="305"/>
      <c r="CM158" s="305"/>
      <c r="CN158" s="305"/>
      <c r="CO158" s="300">
        <f t="shared" si="65"/>
        <v>0</v>
      </c>
      <c r="CQ158" s="307">
        <f t="shared" si="56"/>
        <v>0</v>
      </c>
      <c r="CR158" s="307">
        <f t="shared" si="57"/>
        <v>0</v>
      </c>
      <c r="CS158" s="307">
        <f t="shared" si="58"/>
        <v>0</v>
      </c>
      <c r="CT158" s="307">
        <f t="shared" si="59"/>
        <v>0</v>
      </c>
      <c r="CU158" s="307">
        <f t="shared" si="60"/>
        <v>0</v>
      </c>
      <c r="CV158" s="307">
        <f t="shared" si="61"/>
        <v>0</v>
      </c>
      <c r="CW158" s="307">
        <f t="shared" si="62"/>
        <v>0</v>
      </c>
      <c r="CX158" s="307">
        <f t="shared" si="66"/>
        <v>0</v>
      </c>
      <c r="CY158" s="307">
        <f t="shared" si="67"/>
        <v>0</v>
      </c>
    </row>
    <row r="159" spans="1:103" s="230" customFormat="1" ht="21" customHeight="1">
      <c r="A159" s="308"/>
      <c r="B159" s="309"/>
      <c r="C159" s="287" t="str">
        <f>IF($A159=0,"",(VLOOKUP(A159,[3]MAT!$B$5:$D$4756,3,FALSE)))</f>
        <v/>
      </c>
      <c r="D159" s="288" t="s">
        <v>597</v>
      </c>
      <c r="E159" s="290"/>
      <c r="F159" s="310"/>
      <c r="G159" s="311"/>
      <c r="H159" s="293"/>
      <c r="I159" s="221"/>
      <c r="J159" s="294"/>
      <c r="K159" s="294"/>
      <c r="L159" s="295"/>
      <c r="M159" s="293"/>
      <c r="N159" s="310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  <c r="AA159" s="294"/>
      <c r="AB159" s="294"/>
      <c r="AC159" s="294"/>
      <c r="AD159" s="294"/>
      <c r="AE159" s="293"/>
      <c r="AF159" s="221"/>
      <c r="AG159" s="294"/>
      <c r="AH159" s="294"/>
      <c r="AI159" s="295"/>
      <c r="AJ159" s="293"/>
      <c r="AK159" s="295"/>
      <c r="AL159" s="295"/>
      <c r="AM159" s="295"/>
      <c r="AN159" s="295"/>
      <c r="AO159" s="295"/>
      <c r="AP159" s="295"/>
      <c r="AQ159" s="295"/>
      <c r="AR159" s="295"/>
      <c r="AS159" s="295"/>
      <c r="AT159" s="295"/>
      <c r="AU159" s="293"/>
      <c r="AV159" s="311"/>
      <c r="AW159" s="296"/>
      <c r="AX159" s="296"/>
      <c r="AY159" s="296"/>
      <c r="AZ159" s="296"/>
      <c r="BA159" s="296"/>
      <c r="BB159" s="296"/>
      <c r="BC159" s="296"/>
      <c r="BD159" s="293">
        <f t="shared" si="52"/>
        <v>0</v>
      </c>
      <c r="BE159" s="221"/>
      <c r="BF159" s="294"/>
      <c r="BG159" s="294"/>
      <c r="BH159" s="294"/>
      <c r="BI159" s="293">
        <f t="shared" si="42"/>
        <v>0</v>
      </c>
      <c r="BJ159" s="300"/>
      <c r="BK159" s="301">
        <f t="shared" si="53"/>
        <v>0</v>
      </c>
      <c r="BL159" s="312">
        <f t="shared" si="54"/>
        <v>0</v>
      </c>
      <c r="BM159" s="313">
        <f t="shared" si="55"/>
        <v>0</v>
      </c>
      <c r="BN159" s="314"/>
      <c r="BP159" s="305"/>
      <c r="BQ159" s="305"/>
      <c r="BR159" s="305"/>
      <c r="BS159" s="305"/>
      <c r="BT159" s="305"/>
      <c r="BU159" s="305"/>
      <c r="BV159" s="305"/>
      <c r="BW159" s="300">
        <f t="shared" si="63"/>
        <v>0</v>
      </c>
      <c r="BX159" s="300"/>
      <c r="BY159" s="305"/>
      <c r="BZ159" s="305"/>
      <c r="CA159" s="305"/>
      <c r="CB159" s="305"/>
      <c r="CC159" s="305"/>
      <c r="CD159" s="305"/>
      <c r="CE159" s="305"/>
      <c r="CF159" s="300">
        <f t="shared" si="64"/>
        <v>0</v>
      </c>
      <c r="CG159" s="300"/>
      <c r="CH159" s="305"/>
      <c r="CI159" s="305"/>
      <c r="CJ159" s="305"/>
      <c r="CK159" s="305"/>
      <c r="CL159" s="305"/>
      <c r="CM159" s="305"/>
      <c r="CN159" s="305"/>
      <c r="CO159" s="300">
        <f t="shared" si="65"/>
        <v>0</v>
      </c>
      <c r="CQ159" s="307">
        <f t="shared" si="56"/>
        <v>0</v>
      </c>
      <c r="CR159" s="307">
        <f t="shared" si="57"/>
        <v>0</v>
      </c>
      <c r="CS159" s="307">
        <f t="shared" si="58"/>
        <v>0</v>
      </c>
      <c r="CT159" s="307">
        <f t="shared" si="59"/>
        <v>0</v>
      </c>
      <c r="CU159" s="307">
        <f t="shared" si="60"/>
        <v>0</v>
      </c>
      <c r="CV159" s="307">
        <f t="shared" si="61"/>
        <v>0</v>
      </c>
      <c r="CW159" s="307">
        <f t="shared" si="62"/>
        <v>0</v>
      </c>
      <c r="CX159" s="307">
        <f t="shared" si="66"/>
        <v>0</v>
      </c>
      <c r="CY159" s="307">
        <f t="shared" si="67"/>
        <v>0</v>
      </c>
    </row>
    <row r="160" spans="1:103" s="230" customFormat="1" ht="21" customHeight="1">
      <c r="A160" s="308"/>
      <c r="B160" s="309"/>
      <c r="C160" s="287" t="str">
        <f>IF($A160=0,"",(VLOOKUP(A160,[3]MAT!$B$5:$D$4756,3,FALSE)))</f>
        <v/>
      </c>
      <c r="D160" s="288" t="s">
        <v>597</v>
      </c>
      <c r="E160" s="290"/>
      <c r="F160" s="310"/>
      <c r="G160" s="311"/>
      <c r="H160" s="293"/>
      <c r="I160" s="221"/>
      <c r="J160" s="294"/>
      <c r="K160" s="294"/>
      <c r="L160" s="295"/>
      <c r="M160" s="293"/>
      <c r="N160" s="310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94"/>
      <c r="AB160" s="294"/>
      <c r="AC160" s="294"/>
      <c r="AD160" s="294"/>
      <c r="AE160" s="293"/>
      <c r="AF160" s="221"/>
      <c r="AG160" s="294"/>
      <c r="AH160" s="294"/>
      <c r="AI160" s="295"/>
      <c r="AJ160" s="293"/>
      <c r="AK160" s="295"/>
      <c r="AL160" s="295"/>
      <c r="AM160" s="295"/>
      <c r="AN160" s="295"/>
      <c r="AO160" s="295"/>
      <c r="AP160" s="295"/>
      <c r="AQ160" s="295"/>
      <c r="AR160" s="295"/>
      <c r="AS160" s="295"/>
      <c r="AT160" s="295"/>
      <c r="AU160" s="293"/>
      <c r="AV160" s="311"/>
      <c r="AW160" s="296"/>
      <c r="AX160" s="296"/>
      <c r="AY160" s="296"/>
      <c r="AZ160" s="296"/>
      <c r="BA160" s="296"/>
      <c r="BB160" s="296"/>
      <c r="BC160" s="296"/>
      <c r="BD160" s="293">
        <f t="shared" si="52"/>
        <v>0</v>
      </c>
      <c r="BE160" s="221"/>
      <c r="BF160" s="294"/>
      <c r="BG160" s="294"/>
      <c r="BH160" s="294"/>
      <c r="BI160" s="293">
        <f t="shared" si="42"/>
        <v>0</v>
      </c>
      <c r="BJ160" s="300"/>
      <c r="BK160" s="301">
        <f t="shared" si="53"/>
        <v>0</v>
      </c>
      <c r="BL160" s="312">
        <f t="shared" si="54"/>
        <v>0</v>
      </c>
      <c r="BM160" s="313">
        <f t="shared" si="55"/>
        <v>0</v>
      </c>
      <c r="BN160" s="314"/>
      <c r="BP160" s="305"/>
      <c r="BQ160" s="305"/>
      <c r="BR160" s="305"/>
      <c r="BS160" s="305"/>
      <c r="BT160" s="305"/>
      <c r="BU160" s="305"/>
      <c r="BV160" s="305"/>
      <c r="BW160" s="300">
        <f t="shared" si="63"/>
        <v>0</v>
      </c>
      <c r="BX160" s="300"/>
      <c r="BY160" s="305"/>
      <c r="BZ160" s="305"/>
      <c r="CA160" s="305"/>
      <c r="CB160" s="305"/>
      <c r="CC160" s="305"/>
      <c r="CD160" s="305"/>
      <c r="CE160" s="305"/>
      <c r="CF160" s="300">
        <f t="shared" si="64"/>
        <v>0</v>
      </c>
      <c r="CG160" s="300"/>
      <c r="CH160" s="305"/>
      <c r="CI160" s="305"/>
      <c r="CJ160" s="305"/>
      <c r="CK160" s="305"/>
      <c r="CL160" s="305"/>
      <c r="CM160" s="305"/>
      <c r="CN160" s="305"/>
      <c r="CO160" s="300">
        <f t="shared" si="65"/>
        <v>0</v>
      </c>
      <c r="CQ160" s="307">
        <f t="shared" si="56"/>
        <v>0</v>
      </c>
      <c r="CR160" s="307">
        <f t="shared" si="57"/>
        <v>0</v>
      </c>
      <c r="CS160" s="307">
        <f t="shared" si="58"/>
        <v>0</v>
      </c>
      <c r="CT160" s="307">
        <f t="shared" si="59"/>
        <v>0</v>
      </c>
      <c r="CU160" s="307">
        <f t="shared" si="60"/>
        <v>0</v>
      </c>
      <c r="CV160" s="307">
        <f t="shared" si="61"/>
        <v>0</v>
      </c>
      <c r="CW160" s="307">
        <f t="shared" si="62"/>
        <v>0</v>
      </c>
      <c r="CX160" s="307">
        <f t="shared" si="66"/>
        <v>0</v>
      </c>
      <c r="CY160" s="307">
        <f t="shared" si="67"/>
        <v>0</v>
      </c>
    </row>
    <row r="161" spans="1:103" s="230" customFormat="1" ht="21" customHeight="1">
      <c r="A161" s="308"/>
      <c r="B161" s="309"/>
      <c r="C161" s="287" t="str">
        <f>IF($A161=0,"",(VLOOKUP(A161,[3]MAT!$B$5:$D$4756,3,FALSE)))</f>
        <v/>
      </c>
      <c r="D161" s="288" t="s">
        <v>597</v>
      </c>
      <c r="E161" s="290"/>
      <c r="F161" s="310"/>
      <c r="G161" s="311"/>
      <c r="H161" s="293"/>
      <c r="I161" s="221"/>
      <c r="J161" s="294"/>
      <c r="K161" s="294"/>
      <c r="L161" s="295"/>
      <c r="M161" s="293"/>
      <c r="N161" s="310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94"/>
      <c r="AB161" s="294"/>
      <c r="AC161" s="294"/>
      <c r="AD161" s="294"/>
      <c r="AE161" s="293"/>
      <c r="AF161" s="221"/>
      <c r="AG161" s="294"/>
      <c r="AH161" s="294"/>
      <c r="AI161" s="295"/>
      <c r="AJ161" s="293"/>
      <c r="AK161" s="295"/>
      <c r="AL161" s="295"/>
      <c r="AM161" s="295"/>
      <c r="AN161" s="295"/>
      <c r="AO161" s="295"/>
      <c r="AP161" s="295"/>
      <c r="AQ161" s="295"/>
      <c r="AR161" s="295"/>
      <c r="AS161" s="295"/>
      <c r="AT161" s="295"/>
      <c r="AU161" s="293"/>
      <c r="AV161" s="311"/>
      <c r="AW161" s="296"/>
      <c r="AX161" s="296"/>
      <c r="AY161" s="296"/>
      <c r="AZ161" s="296"/>
      <c r="BA161" s="296"/>
      <c r="BB161" s="296"/>
      <c r="BC161" s="296"/>
      <c r="BD161" s="293">
        <f t="shared" si="52"/>
        <v>0</v>
      </c>
      <c r="BE161" s="221"/>
      <c r="BF161" s="294"/>
      <c r="BG161" s="294"/>
      <c r="BH161" s="294"/>
      <c r="BI161" s="293">
        <f t="shared" si="42"/>
        <v>0</v>
      </c>
      <c r="BJ161" s="300"/>
      <c r="BK161" s="301">
        <f t="shared" si="53"/>
        <v>0</v>
      </c>
      <c r="BL161" s="312">
        <f t="shared" si="54"/>
        <v>0</v>
      </c>
      <c r="BM161" s="313">
        <f t="shared" si="55"/>
        <v>0</v>
      </c>
      <c r="BN161" s="314"/>
      <c r="BP161" s="305"/>
      <c r="BQ161" s="305"/>
      <c r="BR161" s="305"/>
      <c r="BS161" s="305"/>
      <c r="BT161" s="305"/>
      <c r="BU161" s="305"/>
      <c r="BV161" s="305"/>
      <c r="BW161" s="300">
        <f t="shared" si="63"/>
        <v>0</v>
      </c>
      <c r="BX161" s="300"/>
      <c r="BY161" s="305"/>
      <c r="BZ161" s="305"/>
      <c r="CA161" s="305"/>
      <c r="CB161" s="305"/>
      <c r="CC161" s="305"/>
      <c r="CD161" s="305"/>
      <c r="CE161" s="305"/>
      <c r="CF161" s="300">
        <f t="shared" si="64"/>
        <v>0</v>
      </c>
      <c r="CG161" s="300"/>
      <c r="CH161" s="305"/>
      <c r="CI161" s="305"/>
      <c r="CJ161" s="305"/>
      <c r="CK161" s="305"/>
      <c r="CL161" s="305"/>
      <c r="CM161" s="305"/>
      <c r="CN161" s="305"/>
      <c r="CO161" s="300">
        <f t="shared" si="65"/>
        <v>0</v>
      </c>
      <c r="CQ161" s="307">
        <f t="shared" si="56"/>
        <v>0</v>
      </c>
      <c r="CR161" s="307">
        <f t="shared" si="57"/>
        <v>0</v>
      </c>
      <c r="CS161" s="307">
        <f t="shared" si="58"/>
        <v>0</v>
      </c>
      <c r="CT161" s="307">
        <f t="shared" si="59"/>
        <v>0</v>
      </c>
      <c r="CU161" s="307">
        <f t="shared" si="60"/>
        <v>0</v>
      </c>
      <c r="CV161" s="307">
        <f t="shared" si="61"/>
        <v>0</v>
      </c>
      <c r="CW161" s="307">
        <f t="shared" si="62"/>
        <v>0</v>
      </c>
      <c r="CX161" s="307">
        <f t="shared" si="66"/>
        <v>0</v>
      </c>
      <c r="CY161" s="307">
        <f t="shared" si="67"/>
        <v>0</v>
      </c>
    </row>
    <row r="162" spans="1:103" s="230" customFormat="1" ht="21" customHeight="1">
      <c r="A162" s="308"/>
      <c r="B162" s="309"/>
      <c r="C162" s="287" t="str">
        <f>IF($A162=0,"",(VLOOKUP(A162,[3]MAT!$B$5:$D$4756,3,FALSE)))</f>
        <v/>
      </c>
      <c r="D162" s="288" t="s">
        <v>597</v>
      </c>
      <c r="E162" s="290"/>
      <c r="F162" s="310"/>
      <c r="G162" s="311"/>
      <c r="H162" s="293"/>
      <c r="I162" s="221"/>
      <c r="J162" s="294"/>
      <c r="K162" s="294"/>
      <c r="L162" s="295"/>
      <c r="M162" s="293"/>
      <c r="N162" s="310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3"/>
      <c r="AF162" s="221"/>
      <c r="AG162" s="294"/>
      <c r="AH162" s="294"/>
      <c r="AI162" s="295"/>
      <c r="AJ162" s="293"/>
      <c r="AK162" s="295"/>
      <c r="AL162" s="295"/>
      <c r="AM162" s="295"/>
      <c r="AN162" s="295"/>
      <c r="AO162" s="295"/>
      <c r="AP162" s="295"/>
      <c r="AQ162" s="295"/>
      <c r="AR162" s="295"/>
      <c r="AS162" s="295"/>
      <c r="AT162" s="295"/>
      <c r="AU162" s="293"/>
      <c r="AV162" s="311"/>
      <c r="AW162" s="296"/>
      <c r="AX162" s="296"/>
      <c r="AY162" s="296"/>
      <c r="AZ162" s="296"/>
      <c r="BA162" s="296"/>
      <c r="BB162" s="296"/>
      <c r="BC162" s="296"/>
      <c r="BD162" s="293">
        <f t="shared" si="52"/>
        <v>0</v>
      </c>
      <c r="BE162" s="221"/>
      <c r="BF162" s="294"/>
      <c r="BG162" s="294"/>
      <c r="BH162" s="294"/>
      <c r="BI162" s="293">
        <f t="shared" si="42"/>
        <v>0</v>
      </c>
      <c r="BJ162" s="300"/>
      <c r="BK162" s="301">
        <f t="shared" si="53"/>
        <v>0</v>
      </c>
      <c r="BL162" s="312">
        <f t="shared" si="54"/>
        <v>0</v>
      </c>
      <c r="BM162" s="313">
        <f t="shared" si="55"/>
        <v>0</v>
      </c>
      <c r="BN162" s="314"/>
      <c r="BP162" s="305"/>
      <c r="BQ162" s="305"/>
      <c r="BR162" s="305"/>
      <c r="BS162" s="305"/>
      <c r="BT162" s="305"/>
      <c r="BU162" s="305"/>
      <c r="BV162" s="305"/>
      <c r="BW162" s="300">
        <f t="shared" si="63"/>
        <v>0</v>
      </c>
      <c r="BX162" s="300"/>
      <c r="BY162" s="305"/>
      <c r="BZ162" s="305"/>
      <c r="CA162" s="305"/>
      <c r="CB162" s="305"/>
      <c r="CC162" s="305"/>
      <c r="CD162" s="305"/>
      <c r="CE162" s="305"/>
      <c r="CF162" s="300">
        <f t="shared" si="64"/>
        <v>0</v>
      </c>
      <c r="CG162" s="300"/>
      <c r="CH162" s="305"/>
      <c r="CI162" s="305"/>
      <c r="CJ162" s="305"/>
      <c r="CK162" s="305"/>
      <c r="CL162" s="305"/>
      <c r="CM162" s="305"/>
      <c r="CN162" s="305"/>
      <c r="CO162" s="300">
        <f t="shared" si="65"/>
        <v>0</v>
      </c>
      <c r="CQ162" s="307">
        <f t="shared" si="56"/>
        <v>0</v>
      </c>
      <c r="CR162" s="307">
        <f t="shared" si="57"/>
        <v>0</v>
      </c>
      <c r="CS162" s="307">
        <f t="shared" si="58"/>
        <v>0</v>
      </c>
      <c r="CT162" s="307">
        <f t="shared" si="59"/>
        <v>0</v>
      </c>
      <c r="CU162" s="307">
        <f t="shared" si="60"/>
        <v>0</v>
      </c>
      <c r="CV162" s="307">
        <f t="shared" si="61"/>
        <v>0</v>
      </c>
      <c r="CW162" s="307">
        <f t="shared" si="62"/>
        <v>0</v>
      </c>
      <c r="CX162" s="307">
        <f t="shared" si="66"/>
        <v>0</v>
      </c>
      <c r="CY162" s="307">
        <f t="shared" si="67"/>
        <v>0</v>
      </c>
    </row>
    <row r="163" spans="1:103" s="230" customFormat="1" ht="21" customHeight="1">
      <c r="A163" s="308"/>
      <c r="B163" s="309"/>
      <c r="C163" s="287" t="str">
        <f>IF($A163=0,"",(VLOOKUP(A163,[3]MAT!$B$5:$D$4756,3,FALSE)))</f>
        <v/>
      </c>
      <c r="D163" s="288" t="s">
        <v>597</v>
      </c>
      <c r="E163" s="290"/>
      <c r="F163" s="310"/>
      <c r="G163" s="311"/>
      <c r="H163" s="293"/>
      <c r="I163" s="221"/>
      <c r="J163" s="294"/>
      <c r="K163" s="294"/>
      <c r="L163" s="295"/>
      <c r="M163" s="293"/>
      <c r="N163" s="310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  <c r="AA163" s="294"/>
      <c r="AB163" s="294"/>
      <c r="AC163" s="294"/>
      <c r="AD163" s="294"/>
      <c r="AE163" s="293"/>
      <c r="AF163" s="221"/>
      <c r="AG163" s="294"/>
      <c r="AH163" s="294"/>
      <c r="AI163" s="295"/>
      <c r="AJ163" s="293"/>
      <c r="AK163" s="295"/>
      <c r="AL163" s="295"/>
      <c r="AM163" s="295"/>
      <c r="AN163" s="295"/>
      <c r="AO163" s="295"/>
      <c r="AP163" s="295"/>
      <c r="AQ163" s="295"/>
      <c r="AR163" s="295"/>
      <c r="AS163" s="295"/>
      <c r="AT163" s="295"/>
      <c r="AU163" s="293"/>
      <c r="AV163" s="311"/>
      <c r="AW163" s="296"/>
      <c r="AX163" s="296"/>
      <c r="AY163" s="296"/>
      <c r="AZ163" s="296"/>
      <c r="BA163" s="296"/>
      <c r="BB163" s="296"/>
      <c r="BC163" s="296"/>
      <c r="BD163" s="293">
        <f t="shared" si="52"/>
        <v>0</v>
      </c>
      <c r="BE163" s="221"/>
      <c r="BF163" s="294"/>
      <c r="BG163" s="294"/>
      <c r="BH163" s="294"/>
      <c r="BI163" s="293">
        <f t="shared" si="42"/>
        <v>0</v>
      </c>
      <c r="BJ163" s="300"/>
      <c r="BK163" s="301">
        <f t="shared" si="53"/>
        <v>0</v>
      </c>
      <c r="BL163" s="312">
        <f t="shared" si="54"/>
        <v>0</v>
      </c>
      <c r="BM163" s="313">
        <f t="shared" si="55"/>
        <v>0</v>
      </c>
      <c r="BN163" s="314"/>
      <c r="BP163" s="305"/>
      <c r="BQ163" s="305"/>
      <c r="BR163" s="305"/>
      <c r="BS163" s="305"/>
      <c r="BT163" s="305"/>
      <c r="BU163" s="305"/>
      <c r="BV163" s="305"/>
      <c r="BW163" s="300">
        <f t="shared" si="63"/>
        <v>0</v>
      </c>
      <c r="BX163" s="300"/>
      <c r="BY163" s="305"/>
      <c r="BZ163" s="305"/>
      <c r="CA163" s="305"/>
      <c r="CB163" s="305"/>
      <c r="CC163" s="305"/>
      <c r="CD163" s="305"/>
      <c r="CE163" s="305"/>
      <c r="CF163" s="300">
        <f t="shared" si="64"/>
        <v>0</v>
      </c>
      <c r="CG163" s="300"/>
      <c r="CH163" s="305"/>
      <c r="CI163" s="305"/>
      <c r="CJ163" s="305"/>
      <c r="CK163" s="305"/>
      <c r="CL163" s="305"/>
      <c r="CM163" s="305"/>
      <c r="CN163" s="305"/>
      <c r="CO163" s="300">
        <f t="shared" si="65"/>
        <v>0</v>
      </c>
      <c r="CQ163" s="307">
        <f t="shared" si="56"/>
        <v>0</v>
      </c>
      <c r="CR163" s="307">
        <f t="shared" si="57"/>
        <v>0</v>
      </c>
      <c r="CS163" s="307">
        <f t="shared" si="58"/>
        <v>0</v>
      </c>
      <c r="CT163" s="307">
        <f t="shared" si="59"/>
        <v>0</v>
      </c>
      <c r="CU163" s="307">
        <f t="shared" si="60"/>
        <v>0</v>
      </c>
      <c r="CV163" s="307">
        <f t="shared" si="61"/>
        <v>0</v>
      </c>
      <c r="CW163" s="307">
        <f t="shared" si="62"/>
        <v>0</v>
      </c>
      <c r="CX163" s="307">
        <f t="shared" si="66"/>
        <v>0</v>
      </c>
      <c r="CY163" s="307">
        <f t="shared" si="67"/>
        <v>0</v>
      </c>
    </row>
    <row r="164" spans="1:103" s="230" customFormat="1" ht="21" customHeight="1">
      <c r="A164" s="308"/>
      <c r="B164" s="309"/>
      <c r="C164" s="287" t="str">
        <f>IF($A164=0,"",(VLOOKUP(A164,[3]MAT!$B$5:$D$4756,3,FALSE)))</f>
        <v/>
      </c>
      <c r="D164" s="288" t="s">
        <v>597</v>
      </c>
      <c r="E164" s="290"/>
      <c r="F164" s="310"/>
      <c r="G164" s="311"/>
      <c r="H164" s="293"/>
      <c r="I164" s="221"/>
      <c r="J164" s="294"/>
      <c r="K164" s="294"/>
      <c r="L164" s="295"/>
      <c r="M164" s="293"/>
      <c r="N164" s="310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  <c r="AA164" s="294"/>
      <c r="AB164" s="294"/>
      <c r="AC164" s="294"/>
      <c r="AD164" s="294"/>
      <c r="AE164" s="293"/>
      <c r="AF164" s="221"/>
      <c r="AG164" s="294"/>
      <c r="AH164" s="294"/>
      <c r="AI164" s="295"/>
      <c r="AJ164" s="293"/>
      <c r="AK164" s="295"/>
      <c r="AL164" s="295"/>
      <c r="AM164" s="295"/>
      <c r="AN164" s="295"/>
      <c r="AO164" s="295"/>
      <c r="AP164" s="295"/>
      <c r="AQ164" s="295"/>
      <c r="AR164" s="295"/>
      <c r="AS164" s="295"/>
      <c r="AT164" s="295"/>
      <c r="AU164" s="293"/>
      <c r="AV164" s="311"/>
      <c r="AW164" s="296"/>
      <c r="AX164" s="296"/>
      <c r="AY164" s="296"/>
      <c r="AZ164" s="296"/>
      <c r="BA164" s="296"/>
      <c r="BB164" s="296"/>
      <c r="BC164" s="296"/>
      <c r="BD164" s="293">
        <f t="shared" si="52"/>
        <v>0</v>
      </c>
      <c r="BE164" s="221"/>
      <c r="BF164" s="294"/>
      <c r="BG164" s="294"/>
      <c r="BH164" s="294"/>
      <c r="BI164" s="293">
        <f t="shared" si="42"/>
        <v>0</v>
      </c>
      <c r="BJ164" s="300"/>
      <c r="BK164" s="301">
        <f t="shared" si="53"/>
        <v>0</v>
      </c>
      <c r="BL164" s="312">
        <f t="shared" si="54"/>
        <v>0</v>
      </c>
      <c r="BM164" s="313">
        <f t="shared" si="55"/>
        <v>0</v>
      </c>
      <c r="BN164" s="314"/>
      <c r="BP164" s="305"/>
      <c r="BQ164" s="305"/>
      <c r="BR164" s="305"/>
      <c r="BS164" s="305"/>
      <c r="BT164" s="305"/>
      <c r="BU164" s="305"/>
      <c r="BV164" s="305"/>
      <c r="BW164" s="300">
        <f t="shared" si="63"/>
        <v>0</v>
      </c>
      <c r="BX164" s="300"/>
      <c r="BY164" s="305"/>
      <c r="BZ164" s="305"/>
      <c r="CA164" s="305"/>
      <c r="CB164" s="305"/>
      <c r="CC164" s="305"/>
      <c r="CD164" s="305"/>
      <c r="CE164" s="305"/>
      <c r="CF164" s="300">
        <f t="shared" si="64"/>
        <v>0</v>
      </c>
      <c r="CG164" s="300"/>
      <c r="CH164" s="305"/>
      <c r="CI164" s="305"/>
      <c r="CJ164" s="305"/>
      <c r="CK164" s="305"/>
      <c r="CL164" s="305"/>
      <c r="CM164" s="305"/>
      <c r="CN164" s="305"/>
      <c r="CO164" s="300">
        <f t="shared" si="65"/>
        <v>0</v>
      </c>
      <c r="CQ164" s="307">
        <f t="shared" si="56"/>
        <v>0</v>
      </c>
      <c r="CR164" s="307">
        <f t="shared" si="57"/>
        <v>0</v>
      </c>
      <c r="CS164" s="307">
        <f t="shared" si="58"/>
        <v>0</v>
      </c>
      <c r="CT164" s="307">
        <f t="shared" si="59"/>
        <v>0</v>
      </c>
      <c r="CU164" s="307">
        <f t="shared" si="60"/>
        <v>0</v>
      </c>
      <c r="CV164" s="307">
        <f t="shared" si="61"/>
        <v>0</v>
      </c>
      <c r="CW164" s="307">
        <f t="shared" si="62"/>
        <v>0</v>
      </c>
      <c r="CX164" s="307">
        <f t="shared" si="66"/>
        <v>0</v>
      </c>
      <c r="CY164" s="307">
        <f t="shared" si="67"/>
        <v>0</v>
      </c>
    </row>
    <row r="165" spans="1:103" s="230" customFormat="1" ht="21" customHeight="1">
      <c r="A165" s="308"/>
      <c r="B165" s="309"/>
      <c r="C165" s="287" t="str">
        <f>IF($A165=0,"",(VLOOKUP(A165,[3]MAT!$B$5:$D$4756,3,FALSE)))</f>
        <v/>
      </c>
      <c r="D165" s="288" t="s">
        <v>597</v>
      </c>
      <c r="E165" s="290"/>
      <c r="F165" s="310"/>
      <c r="G165" s="311"/>
      <c r="H165" s="293"/>
      <c r="I165" s="221"/>
      <c r="J165" s="294"/>
      <c r="K165" s="294"/>
      <c r="L165" s="295"/>
      <c r="M165" s="293"/>
      <c r="N165" s="310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4"/>
      <c r="AB165" s="294"/>
      <c r="AC165" s="294"/>
      <c r="AD165" s="294"/>
      <c r="AE165" s="293"/>
      <c r="AF165" s="221"/>
      <c r="AG165" s="294"/>
      <c r="AH165" s="294"/>
      <c r="AI165" s="295"/>
      <c r="AJ165" s="293"/>
      <c r="AK165" s="295"/>
      <c r="AL165" s="295"/>
      <c r="AM165" s="295"/>
      <c r="AN165" s="295"/>
      <c r="AO165" s="295"/>
      <c r="AP165" s="295"/>
      <c r="AQ165" s="295"/>
      <c r="AR165" s="295"/>
      <c r="AS165" s="295"/>
      <c r="AT165" s="295"/>
      <c r="AU165" s="293"/>
      <c r="AV165" s="311"/>
      <c r="AW165" s="296"/>
      <c r="AX165" s="296"/>
      <c r="AY165" s="296"/>
      <c r="AZ165" s="296"/>
      <c r="BA165" s="296"/>
      <c r="BB165" s="296"/>
      <c r="BC165" s="296"/>
      <c r="BD165" s="293">
        <f t="shared" si="52"/>
        <v>0</v>
      </c>
      <c r="BE165" s="221"/>
      <c r="BF165" s="294"/>
      <c r="BG165" s="294"/>
      <c r="BH165" s="294"/>
      <c r="BI165" s="293">
        <f t="shared" si="42"/>
        <v>0</v>
      </c>
      <c r="BJ165" s="300"/>
      <c r="BK165" s="301">
        <f t="shared" si="53"/>
        <v>0</v>
      </c>
      <c r="BL165" s="312">
        <f t="shared" si="54"/>
        <v>0</v>
      </c>
      <c r="BM165" s="313">
        <f t="shared" si="55"/>
        <v>0</v>
      </c>
      <c r="BN165" s="314"/>
      <c r="BP165" s="305"/>
      <c r="BQ165" s="305"/>
      <c r="BR165" s="305"/>
      <c r="BS165" s="305"/>
      <c r="BT165" s="305"/>
      <c r="BU165" s="305"/>
      <c r="BV165" s="305"/>
      <c r="BW165" s="300">
        <f t="shared" si="63"/>
        <v>0</v>
      </c>
      <c r="BX165" s="300"/>
      <c r="BY165" s="305"/>
      <c r="BZ165" s="305"/>
      <c r="CA165" s="305"/>
      <c r="CB165" s="305"/>
      <c r="CC165" s="305"/>
      <c r="CD165" s="305"/>
      <c r="CE165" s="305"/>
      <c r="CF165" s="300">
        <f t="shared" si="64"/>
        <v>0</v>
      </c>
      <c r="CG165" s="300"/>
      <c r="CH165" s="305"/>
      <c r="CI165" s="305"/>
      <c r="CJ165" s="305"/>
      <c r="CK165" s="305"/>
      <c r="CL165" s="305"/>
      <c r="CM165" s="305"/>
      <c r="CN165" s="305"/>
      <c r="CO165" s="300">
        <f t="shared" si="65"/>
        <v>0</v>
      </c>
      <c r="CQ165" s="307">
        <f t="shared" si="56"/>
        <v>0</v>
      </c>
      <c r="CR165" s="307">
        <f t="shared" si="57"/>
        <v>0</v>
      </c>
      <c r="CS165" s="307">
        <f t="shared" si="58"/>
        <v>0</v>
      </c>
      <c r="CT165" s="307">
        <f t="shared" si="59"/>
        <v>0</v>
      </c>
      <c r="CU165" s="307">
        <f t="shared" si="60"/>
        <v>0</v>
      </c>
      <c r="CV165" s="307">
        <f t="shared" si="61"/>
        <v>0</v>
      </c>
      <c r="CW165" s="307">
        <f t="shared" si="62"/>
        <v>0</v>
      </c>
      <c r="CX165" s="307">
        <f t="shared" si="66"/>
        <v>0</v>
      </c>
      <c r="CY165" s="307">
        <f t="shared" si="67"/>
        <v>0</v>
      </c>
    </row>
    <row r="166" spans="1:103" s="230" customFormat="1" ht="21" customHeight="1">
      <c r="A166" s="308"/>
      <c r="B166" s="309"/>
      <c r="C166" s="287" t="str">
        <f>IF($A166=0,"",(VLOOKUP(A166,[3]MAT!$B$5:$D$4756,3,FALSE)))</f>
        <v/>
      </c>
      <c r="D166" s="288" t="s">
        <v>597</v>
      </c>
      <c r="E166" s="290"/>
      <c r="F166" s="310"/>
      <c r="G166" s="311"/>
      <c r="H166" s="293"/>
      <c r="I166" s="221"/>
      <c r="J166" s="294"/>
      <c r="K166" s="294"/>
      <c r="L166" s="295"/>
      <c r="M166" s="293"/>
      <c r="N166" s="310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94"/>
      <c r="AB166" s="294"/>
      <c r="AC166" s="294"/>
      <c r="AD166" s="294"/>
      <c r="AE166" s="293"/>
      <c r="AF166" s="221"/>
      <c r="AG166" s="294"/>
      <c r="AH166" s="294"/>
      <c r="AI166" s="295"/>
      <c r="AJ166" s="293"/>
      <c r="AK166" s="295"/>
      <c r="AL166" s="295"/>
      <c r="AM166" s="295"/>
      <c r="AN166" s="295"/>
      <c r="AO166" s="295"/>
      <c r="AP166" s="295"/>
      <c r="AQ166" s="295"/>
      <c r="AR166" s="295"/>
      <c r="AS166" s="295"/>
      <c r="AT166" s="295"/>
      <c r="AU166" s="293"/>
      <c r="AV166" s="311"/>
      <c r="AW166" s="296"/>
      <c r="AX166" s="296"/>
      <c r="AY166" s="296"/>
      <c r="AZ166" s="296"/>
      <c r="BA166" s="296"/>
      <c r="BB166" s="296"/>
      <c r="BC166" s="296"/>
      <c r="BD166" s="293">
        <f t="shared" si="52"/>
        <v>0</v>
      </c>
      <c r="BE166" s="221"/>
      <c r="BF166" s="294"/>
      <c r="BG166" s="294"/>
      <c r="BH166" s="294"/>
      <c r="BI166" s="293">
        <f t="shared" si="42"/>
        <v>0</v>
      </c>
      <c r="BJ166" s="300"/>
      <c r="BK166" s="301">
        <f t="shared" si="53"/>
        <v>0</v>
      </c>
      <c r="BL166" s="312">
        <f t="shared" si="54"/>
        <v>0</v>
      </c>
      <c r="BM166" s="313">
        <f t="shared" si="55"/>
        <v>0</v>
      </c>
      <c r="BN166" s="314"/>
      <c r="BP166" s="305"/>
      <c r="BQ166" s="305"/>
      <c r="BR166" s="305"/>
      <c r="BS166" s="305"/>
      <c r="BT166" s="305"/>
      <c r="BU166" s="305"/>
      <c r="BV166" s="305"/>
      <c r="BW166" s="300">
        <f t="shared" si="63"/>
        <v>0</v>
      </c>
      <c r="BX166" s="300"/>
      <c r="BY166" s="305"/>
      <c r="BZ166" s="305"/>
      <c r="CA166" s="305"/>
      <c r="CB166" s="305"/>
      <c r="CC166" s="305"/>
      <c r="CD166" s="305"/>
      <c r="CE166" s="305"/>
      <c r="CF166" s="300">
        <f t="shared" si="64"/>
        <v>0</v>
      </c>
      <c r="CG166" s="300"/>
      <c r="CH166" s="305"/>
      <c r="CI166" s="305"/>
      <c r="CJ166" s="305"/>
      <c r="CK166" s="305"/>
      <c r="CL166" s="305"/>
      <c r="CM166" s="305"/>
      <c r="CN166" s="305"/>
      <c r="CO166" s="300">
        <f t="shared" si="65"/>
        <v>0</v>
      </c>
      <c r="CQ166" s="307">
        <f t="shared" si="56"/>
        <v>0</v>
      </c>
      <c r="CR166" s="307">
        <f t="shared" si="57"/>
        <v>0</v>
      </c>
      <c r="CS166" s="307">
        <f t="shared" si="58"/>
        <v>0</v>
      </c>
      <c r="CT166" s="307">
        <f t="shared" si="59"/>
        <v>0</v>
      </c>
      <c r="CU166" s="307">
        <f t="shared" si="60"/>
        <v>0</v>
      </c>
      <c r="CV166" s="307">
        <f t="shared" si="61"/>
        <v>0</v>
      </c>
      <c r="CW166" s="307">
        <f t="shared" si="62"/>
        <v>0</v>
      </c>
      <c r="CX166" s="307">
        <f t="shared" si="66"/>
        <v>0</v>
      </c>
      <c r="CY166" s="307">
        <f t="shared" si="67"/>
        <v>0</v>
      </c>
    </row>
    <row r="167" spans="1:103" s="230" customFormat="1" ht="21" customHeight="1">
      <c r="A167" s="308"/>
      <c r="B167" s="309"/>
      <c r="C167" s="287" t="str">
        <f>IF($A167=0,"",(VLOOKUP(A167,[3]MAT!$B$5:$D$4756,3,FALSE)))</f>
        <v/>
      </c>
      <c r="D167" s="288" t="s">
        <v>597</v>
      </c>
      <c r="E167" s="290"/>
      <c r="F167" s="310"/>
      <c r="G167" s="311"/>
      <c r="H167" s="293"/>
      <c r="I167" s="221"/>
      <c r="J167" s="294"/>
      <c r="K167" s="294"/>
      <c r="L167" s="295"/>
      <c r="M167" s="293"/>
      <c r="N167" s="310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  <c r="AA167" s="294"/>
      <c r="AB167" s="294"/>
      <c r="AC167" s="294"/>
      <c r="AD167" s="294"/>
      <c r="AE167" s="293"/>
      <c r="AF167" s="221"/>
      <c r="AG167" s="294"/>
      <c r="AH167" s="294"/>
      <c r="AI167" s="295"/>
      <c r="AJ167" s="293"/>
      <c r="AK167" s="295"/>
      <c r="AL167" s="295"/>
      <c r="AM167" s="295"/>
      <c r="AN167" s="295"/>
      <c r="AO167" s="295"/>
      <c r="AP167" s="295"/>
      <c r="AQ167" s="295"/>
      <c r="AR167" s="295"/>
      <c r="AS167" s="295"/>
      <c r="AT167" s="295"/>
      <c r="AU167" s="293"/>
      <c r="AV167" s="311"/>
      <c r="AW167" s="296"/>
      <c r="AX167" s="296"/>
      <c r="AY167" s="296"/>
      <c r="AZ167" s="296"/>
      <c r="BA167" s="296"/>
      <c r="BB167" s="296"/>
      <c r="BC167" s="296"/>
      <c r="BD167" s="293">
        <f t="shared" si="52"/>
        <v>0</v>
      </c>
      <c r="BE167" s="221"/>
      <c r="BF167" s="294"/>
      <c r="BG167" s="294"/>
      <c r="BH167" s="294"/>
      <c r="BI167" s="293">
        <f t="shared" si="42"/>
        <v>0</v>
      </c>
      <c r="BJ167" s="300"/>
      <c r="BK167" s="301">
        <f t="shared" si="53"/>
        <v>0</v>
      </c>
      <c r="BL167" s="312">
        <f t="shared" si="54"/>
        <v>0</v>
      </c>
      <c r="BM167" s="313">
        <f t="shared" si="55"/>
        <v>0</v>
      </c>
      <c r="BN167" s="314"/>
      <c r="BP167" s="305"/>
      <c r="BQ167" s="305"/>
      <c r="BR167" s="305"/>
      <c r="BS167" s="305"/>
      <c r="BT167" s="305"/>
      <c r="BU167" s="305"/>
      <c r="BV167" s="305"/>
      <c r="BW167" s="300">
        <f t="shared" si="63"/>
        <v>0</v>
      </c>
      <c r="BX167" s="300"/>
      <c r="BY167" s="305"/>
      <c r="BZ167" s="305"/>
      <c r="CA167" s="305"/>
      <c r="CB167" s="305"/>
      <c r="CC167" s="305"/>
      <c r="CD167" s="305"/>
      <c r="CE167" s="305"/>
      <c r="CF167" s="300">
        <f t="shared" si="64"/>
        <v>0</v>
      </c>
      <c r="CG167" s="300"/>
      <c r="CH167" s="305"/>
      <c r="CI167" s="305"/>
      <c r="CJ167" s="305"/>
      <c r="CK167" s="305"/>
      <c r="CL167" s="305"/>
      <c r="CM167" s="305"/>
      <c r="CN167" s="305"/>
      <c r="CO167" s="300">
        <f t="shared" si="65"/>
        <v>0</v>
      </c>
      <c r="CQ167" s="307">
        <f t="shared" si="56"/>
        <v>0</v>
      </c>
      <c r="CR167" s="307">
        <f t="shared" si="57"/>
        <v>0</v>
      </c>
      <c r="CS167" s="307">
        <f t="shared" si="58"/>
        <v>0</v>
      </c>
      <c r="CT167" s="307">
        <f t="shared" si="59"/>
        <v>0</v>
      </c>
      <c r="CU167" s="307">
        <f t="shared" si="60"/>
        <v>0</v>
      </c>
      <c r="CV167" s="307">
        <f t="shared" si="61"/>
        <v>0</v>
      </c>
      <c r="CW167" s="307">
        <f t="shared" si="62"/>
        <v>0</v>
      </c>
      <c r="CX167" s="307">
        <f t="shared" si="66"/>
        <v>0</v>
      </c>
      <c r="CY167" s="307">
        <f t="shared" si="67"/>
        <v>0</v>
      </c>
    </row>
    <row r="168" spans="1:103" s="230" customFormat="1" ht="21" customHeight="1">
      <c r="A168" s="308"/>
      <c r="B168" s="309"/>
      <c r="C168" s="287" t="str">
        <f>IF($A168=0,"",(VLOOKUP(A168,[3]MAT!$B$5:$D$4756,3,FALSE)))</f>
        <v/>
      </c>
      <c r="D168" s="288" t="s">
        <v>597</v>
      </c>
      <c r="E168" s="290"/>
      <c r="F168" s="310"/>
      <c r="G168" s="311"/>
      <c r="H168" s="293"/>
      <c r="I168" s="221"/>
      <c r="J168" s="294"/>
      <c r="K168" s="294"/>
      <c r="L168" s="295"/>
      <c r="M168" s="293"/>
      <c r="N168" s="310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  <c r="AA168" s="294"/>
      <c r="AB168" s="294"/>
      <c r="AC168" s="294"/>
      <c r="AD168" s="294"/>
      <c r="AE168" s="293"/>
      <c r="AF168" s="221"/>
      <c r="AG168" s="294"/>
      <c r="AH168" s="294"/>
      <c r="AI168" s="295"/>
      <c r="AJ168" s="293"/>
      <c r="AK168" s="295"/>
      <c r="AL168" s="295"/>
      <c r="AM168" s="295"/>
      <c r="AN168" s="295"/>
      <c r="AO168" s="295"/>
      <c r="AP168" s="295"/>
      <c r="AQ168" s="295"/>
      <c r="AR168" s="295"/>
      <c r="AS168" s="295"/>
      <c r="AT168" s="295"/>
      <c r="AU168" s="293"/>
      <c r="AV168" s="311"/>
      <c r="AW168" s="296"/>
      <c r="AX168" s="296"/>
      <c r="AY168" s="296"/>
      <c r="AZ168" s="296"/>
      <c r="BA168" s="296"/>
      <c r="BB168" s="296"/>
      <c r="BC168" s="296"/>
      <c r="BD168" s="293">
        <f t="shared" si="52"/>
        <v>0</v>
      </c>
      <c r="BE168" s="221"/>
      <c r="BF168" s="294"/>
      <c r="BG168" s="294"/>
      <c r="BH168" s="294"/>
      <c r="BI168" s="293">
        <f t="shared" si="42"/>
        <v>0</v>
      </c>
      <c r="BJ168" s="300"/>
      <c r="BK168" s="301">
        <f t="shared" si="53"/>
        <v>0</v>
      </c>
      <c r="BL168" s="312">
        <f t="shared" si="54"/>
        <v>0</v>
      </c>
      <c r="BM168" s="313">
        <f t="shared" si="55"/>
        <v>0</v>
      </c>
      <c r="BN168" s="314"/>
      <c r="BP168" s="305"/>
      <c r="BQ168" s="305"/>
      <c r="BR168" s="305"/>
      <c r="BS168" s="305"/>
      <c r="BT168" s="305"/>
      <c r="BU168" s="305"/>
      <c r="BV168" s="305"/>
      <c r="BW168" s="300">
        <f t="shared" si="63"/>
        <v>0</v>
      </c>
      <c r="BX168" s="300"/>
      <c r="BY168" s="305"/>
      <c r="BZ168" s="305"/>
      <c r="CA168" s="305"/>
      <c r="CB168" s="305"/>
      <c r="CC168" s="305"/>
      <c r="CD168" s="305"/>
      <c r="CE168" s="305"/>
      <c r="CF168" s="300">
        <f t="shared" si="64"/>
        <v>0</v>
      </c>
      <c r="CG168" s="300"/>
      <c r="CH168" s="305"/>
      <c r="CI168" s="305"/>
      <c r="CJ168" s="305"/>
      <c r="CK168" s="305"/>
      <c r="CL168" s="305"/>
      <c r="CM168" s="305"/>
      <c r="CN168" s="305"/>
      <c r="CO168" s="300">
        <f t="shared" si="65"/>
        <v>0</v>
      </c>
      <c r="CQ168" s="307">
        <f t="shared" si="56"/>
        <v>0</v>
      </c>
      <c r="CR168" s="307">
        <f t="shared" si="57"/>
        <v>0</v>
      </c>
      <c r="CS168" s="307">
        <f t="shared" si="58"/>
        <v>0</v>
      </c>
      <c r="CT168" s="307">
        <f t="shared" si="59"/>
        <v>0</v>
      </c>
      <c r="CU168" s="307">
        <f t="shared" si="60"/>
        <v>0</v>
      </c>
      <c r="CV168" s="307">
        <f t="shared" si="61"/>
        <v>0</v>
      </c>
      <c r="CW168" s="307">
        <f t="shared" si="62"/>
        <v>0</v>
      </c>
      <c r="CX168" s="307">
        <f t="shared" si="66"/>
        <v>0</v>
      </c>
      <c r="CY168" s="307">
        <f t="shared" si="67"/>
        <v>0</v>
      </c>
    </row>
    <row r="169" spans="1:103" s="230" customFormat="1" ht="21" customHeight="1">
      <c r="A169" s="308"/>
      <c r="B169" s="309"/>
      <c r="C169" s="287" t="str">
        <f>IF($A169=0,"",(VLOOKUP(A169,[3]MAT!$B$5:$D$4756,3,FALSE)))</f>
        <v/>
      </c>
      <c r="D169" s="288" t="s">
        <v>597</v>
      </c>
      <c r="E169" s="290"/>
      <c r="F169" s="310"/>
      <c r="G169" s="311"/>
      <c r="H169" s="293"/>
      <c r="I169" s="221"/>
      <c r="J169" s="294"/>
      <c r="K169" s="294"/>
      <c r="L169" s="295"/>
      <c r="M169" s="293"/>
      <c r="N169" s="310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  <c r="AA169" s="294"/>
      <c r="AB169" s="294"/>
      <c r="AC169" s="294"/>
      <c r="AD169" s="294"/>
      <c r="AE169" s="293"/>
      <c r="AF169" s="221"/>
      <c r="AG169" s="294"/>
      <c r="AH169" s="294"/>
      <c r="AI169" s="295"/>
      <c r="AJ169" s="293"/>
      <c r="AK169" s="295"/>
      <c r="AL169" s="295"/>
      <c r="AM169" s="295"/>
      <c r="AN169" s="295"/>
      <c r="AO169" s="295"/>
      <c r="AP169" s="295"/>
      <c r="AQ169" s="295"/>
      <c r="AR169" s="295"/>
      <c r="AS169" s="295"/>
      <c r="AT169" s="295"/>
      <c r="AU169" s="293"/>
      <c r="AV169" s="311"/>
      <c r="AW169" s="296"/>
      <c r="AX169" s="296"/>
      <c r="AY169" s="296"/>
      <c r="AZ169" s="296"/>
      <c r="BA169" s="296"/>
      <c r="BB169" s="296"/>
      <c r="BC169" s="296"/>
      <c r="BD169" s="293">
        <f t="shared" si="52"/>
        <v>0</v>
      </c>
      <c r="BE169" s="221"/>
      <c r="BF169" s="294"/>
      <c r="BG169" s="294"/>
      <c r="BH169" s="294"/>
      <c r="BI169" s="293">
        <f t="shared" si="42"/>
        <v>0</v>
      </c>
      <c r="BJ169" s="300"/>
      <c r="BK169" s="301">
        <f t="shared" si="53"/>
        <v>0</v>
      </c>
      <c r="BL169" s="312">
        <f t="shared" si="54"/>
        <v>0</v>
      </c>
      <c r="BM169" s="313">
        <f t="shared" si="55"/>
        <v>0</v>
      </c>
      <c r="BN169" s="314"/>
      <c r="BP169" s="305"/>
      <c r="BQ169" s="305"/>
      <c r="BR169" s="305"/>
      <c r="BS169" s="305"/>
      <c r="BT169" s="305"/>
      <c r="BU169" s="305"/>
      <c r="BV169" s="305"/>
      <c r="BW169" s="300">
        <f t="shared" si="63"/>
        <v>0</v>
      </c>
      <c r="BX169" s="300"/>
      <c r="BY169" s="305"/>
      <c r="BZ169" s="305"/>
      <c r="CA169" s="305"/>
      <c r="CB169" s="305"/>
      <c r="CC169" s="305"/>
      <c r="CD169" s="305"/>
      <c r="CE169" s="305"/>
      <c r="CF169" s="300">
        <f t="shared" si="64"/>
        <v>0</v>
      </c>
      <c r="CG169" s="300"/>
      <c r="CH169" s="305"/>
      <c r="CI169" s="305"/>
      <c r="CJ169" s="305"/>
      <c r="CK169" s="305"/>
      <c r="CL169" s="305"/>
      <c r="CM169" s="305"/>
      <c r="CN169" s="305"/>
      <c r="CO169" s="300">
        <f t="shared" si="65"/>
        <v>0</v>
      </c>
      <c r="CQ169" s="307">
        <f t="shared" si="56"/>
        <v>0</v>
      </c>
      <c r="CR169" s="307">
        <f t="shared" si="57"/>
        <v>0</v>
      </c>
      <c r="CS169" s="307">
        <f t="shared" si="58"/>
        <v>0</v>
      </c>
      <c r="CT169" s="307">
        <f t="shared" si="59"/>
        <v>0</v>
      </c>
      <c r="CU169" s="307">
        <f t="shared" si="60"/>
        <v>0</v>
      </c>
      <c r="CV169" s="307">
        <f t="shared" si="61"/>
        <v>0</v>
      </c>
      <c r="CW169" s="307">
        <f t="shared" si="62"/>
        <v>0</v>
      </c>
      <c r="CX169" s="307">
        <f t="shared" si="66"/>
        <v>0</v>
      </c>
      <c r="CY169" s="307">
        <f t="shared" si="67"/>
        <v>0</v>
      </c>
    </row>
    <row r="170" spans="1:103" s="230" customFormat="1" ht="21" customHeight="1">
      <c r="A170" s="315"/>
      <c r="B170" s="316"/>
      <c r="C170" s="287" t="str">
        <f>IF($A170=0,"",(VLOOKUP(A170,[3]MAT!$B$5:$D$4756,3,FALSE)))</f>
        <v/>
      </c>
      <c r="D170" s="317" t="s">
        <v>597</v>
      </c>
      <c r="E170" s="290"/>
      <c r="F170" s="318"/>
      <c r="G170" s="319"/>
      <c r="H170" s="293"/>
      <c r="I170" s="320"/>
      <c r="J170" s="321"/>
      <c r="K170" s="321"/>
      <c r="L170" s="322"/>
      <c r="M170" s="293"/>
      <c r="N170" s="318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293"/>
      <c r="AF170" s="320"/>
      <c r="AG170" s="321"/>
      <c r="AH170" s="321"/>
      <c r="AI170" s="322"/>
      <c r="AJ170" s="293"/>
      <c r="AK170" s="322"/>
      <c r="AL170" s="322"/>
      <c r="AM170" s="322"/>
      <c r="AN170" s="322"/>
      <c r="AO170" s="322"/>
      <c r="AP170" s="322"/>
      <c r="AQ170" s="322"/>
      <c r="AR170" s="322"/>
      <c r="AS170" s="322"/>
      <c r="AT170" s="322"/>
      <c r="AU170" s="293"/>
      <c r="AV170" s="319"/>
      <c r="AW170" s="319"/>
      <c r="AX170" s="319"/>
      <c r="AY170" s="319"/>
      <c r="AZ170" s="319"/>
      <c r="BA170" s="319"/>
      <c r="BB170" s="319"/>
      <c r="BC170" s="319"/>
      <c r="BD170" s="293">
        <f t="shared" si="52"/>
        <v>0</v>
      </c>
      <c r="BE170" s="320"/>
      <c r="BF170" s="321"/>
      <c r="BG170" s="321"/>
      <c r="BH170" s="321"/>
      <c r="BI170" s="293">
        <f t="shared" si="42"/>
        <v>0</v>
      </c>
      <c r="BJ170" s="300"/>
      <c r="BK170" s="323">
        <f t="shared" si="53"/>
        <v>0</v>
      </c>
      <c r="BL170" s="312">
        <f t="shared" si="54"/>
        <v>0</v>
      </c>
      <c r="BM170" s="313">
        <f t="shared" si="55"/>
        <v>0</v>
      </c>
      <c r="BN170" s="314"/>
      <c r="BP170" s="305"/>
      <c r="BQ170" s="305"/>
      <c r="BR170" s="305"/>
      <c r="BS170" s="305"/>
      <c r="BT170" s="305"/>
      <c r="BU170" s="305"/>
      <c r="BV170" s="305"/>
      <c r="BW170" s="300">
        <f t="shared" si="63"/>
        <v>0</v>
      </c>
      <c r="BX170" s="300"/>
      <c r="BY170" s="305"/>
      <c r="BZ170" s="305"/>
      <c r="CA170" s="305"/>
      <c r="CB170" s="305"/>
      <c r="CC170" s="305"/>
      <c r="CD170" s="305"/>
      <c r="CE170" s="305"/>
      <c r="CF170" s="300">
        <f t="shared" si="64"/>
        <v>0</v>
      </c>
      <c r="CG170" s="300"/>
      <c r="CH170" s="305"/>
      <c r="CI170" s="305"/>
      <c r="CJ170" s="305"/>
      <c r="CK170" s="305"/>
      <c r="CL170" s="305"/>
      <c r="CM170" s="305"/>
      <c r="CN170" s="305"/>
      <c r="CO170" s="300">
        <f t="shared" si="65"/>
        <v>0</v>
      </c>
      <c r="CQ170" s="307">
        <f t="shared" si="56"/>
        <v>0</v>
      </c>
      <c r="CR170" s="307">
        <f t="shared" si="57"/>
        <v>0</v>
      </c>
      <c r="CS170" s="307">
        <f t="shared" si="58"/>
        <v>0</v>
      </c>
      <c r="CT170" s="307">
        <f t="shared" si="59"/>
        <v>0</v>
      </c>
      <c r="CU170" s="307">
        <f t="shared" si="60"/>
        <v>0</v>
      </c>
      <c r="CV170" s="307">
        <f t="shared" si="61"/>
        <v>0</v>
      </c>
      <c r="CW170" s="307">
        <f t="shared" si="62"/>
        <v>0</v>
      </c>
      <c r="CX170" s="307">
        <f t="shared" si="66"/>
        <v>0</v>
      </c>
      <c r="CY170" s="307">
        <f t="shared" si="67"/>
        <v>0</v>
      </c>
    </row>
    <row r="171" spans="1:103" s="230" customFormat="1" ht="23.25" customHeight="1">
      <c r="A171" s="324" t="s">
        <v>10</v>
      </c>
      <c r="B171" s="324"/>
      <c r="C171" s="325"/>
      <c r="D171" s="326"/>
      <c r="E171" s="290"/>
      <c r="F171" s="327"/>
      <c r="G171" s="327"/>
      <c r="H171" s="328"/>
      <c r="I171" s="327"/>
      <c r="J171" s="327"/>
      <c r="K171" s="327"/>
      <c r="L171" s="327"/>
      <c r="M171" s="328"/>
      <c r="N171" s="327"/>
      <c r="O171" s="327"/>
      <c r="P171" s="327"/>
      <c r="Q171" s="327"/>
      <c r="R171" s="327"/>
      <c r="S171" s="327"/>
      <c r="T171" s="327"/>
      <c r="U171" s="327"/>
      <c r="V171" s="327"/>
      <c r="W171" s="327"/>
      <c r="X171" s="327"/>
      <c r="Y171" s="327"/>
      <c r="Z171" s="327"/>
      <c r="AA171" s="327"/>
      <c r="AB171" s="327"/>
      <c r="AC171" s="327"/>
      <c r="AD171" s="327"/>
      <c r="AE171" s="328"/>
      <c r="AF171" s="327"/>
      <c r="AG171" s="327"/>
      <c r="AH171" s="327"/>
      <c r="AI171" s="327"/>
      <c r="AJ171" s="328"/>
      <c r="AK171" s="327"/>
      <c r="AL171" s="327"/>
      <c r="AM171" s="327"/>
      <c r="AN171" s="327"/>
      <c r="AO171" s="327"/>
      <c r="AP171" s="327"/>
      <c r="AQ171" s="327"/>
      <c r="AR171" s="327"/>
      <c r="AS171" s="327"/>
      <c r="AT171" s="327"/>
      <c r="AU171" s="328"/>
      <c r="AV171" s="327"/>
      <c r="AW171" s="327"/>
      <c r="AX171" s="327"/>
      <c r="AY171" s="327"/>
      <c r="AZ171" s="327"/>
      <c r="BA171" s="327"/>
      <c r="BB171" s="327"/>
      <c r="BC171" s="327"/>
      <c r="BD171" s="328"/>
      <c r="BE171" s="327"/>
      <c r="BF171" s="327"/>
      <c r="BG171" s="327"/>
      <c r="BH171" s="327"/>
      <c r="BI171" s="328"/>
      <c r="BJ171" s="329"/>
      <c r="BK171" s="329"/>
      <c r="BL171" s="330"/>
      <c r="BM171" s="330"/>
      <c r="BN171" s="331"/>
      <c r="BP171" s="332"/>
      <c r="BQ171" s="332"/>
      <c r="BR171" s="332"/>
      <c r="BS171" s="332"/>
      <c r="BT171" s="332"/>
      <c r="BU171" s="332"/>
      <c r="BV171" s="332"/>
      <c r="BW171" s="329"/>
      <c r="BX171" s="329"/>
      <c r="BY171" s="332"/>
      <c r="BZ171" s="332"/>
      <c r="CA171" s="332"/>
      <c r="CB171" s="332"/>
      <c r="CC171" s="332"/>
      <c r="CD171" s="332"/>
      <c r="CE171" s="332"/>
      <c r="CF171" s="329"/>
      <c r="CG171" s="329"/>
      <c r="CH171" s="332"/>
      <c r="CI171" s="332"/>
      <c r="CJ171" s="332"/>
      <c r="CK171" s="332"/>
      <c r="CL171" s="332"/>
      <c r="CM171" s="332"/>
      <c r="CN171" s="332"/>
      <c r="CO171" s="329"/>
      <c r="CQ171" s="333"/>
      <c r="CR171" s="333"/>
      <c r="CS171" s="333"/>
      <c r="CT171" s="333"/>
      <c r="CU171" s="333"/>
      <c r="CV171" s="333"/>
      <c r="CW171" s="333"/>
      <c r="CX171" s="333"/>
      <c r="CY171" s="333"/>
    </row>
    <row r="172" spans="1:103" s="230" customFormat="1" ht="21" customHeight="1">
      <c r="A172" s="308"/>
      <c r="B172" s="309"/>
      <c r="C172" s="287" t="str">
        <f>IF($A172=0,"",(VLOOKUP(A172,[3]MAT!$B$5:$D$4756,3,FALSE)))</f>
        <v/>
      </c>
      <c r="D172" s="334" t="str">
        <f>IF($A172=0,"",(VLOOKUP(A172,[4]Hoja1!$A$2:$D$10000,4,FALSE)))</f>
        <v/>
      </c>
      <c r="E172" s="290"/>
      <c r="F172" s="310"/>
      <c r="G172" s="311"/>
      <c r="H172" s="293"/>
      <c r="I172" s="221"/>
      <c r="J172" s="294"/>
      <c r="K172" s="294"/>
      <c r="L172" s="295"/>
      <c r="M172" s="293"/>
      <c r="N172" s="310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  <c r="AA172" s="294"/>
      <c r="AB172" s="294"/>
      <c r="AC172" s="294"/>
      <c r="AD172" s="294"/>
      <c r="AE172" s="293"/>
      <c r="AF172" s="221"/>
      <c r="AG172" s="294"/>
      <c r="AH172" s="294"/>
      <c r="AI172" s="295"/>
      <c r="AJ172" s="293"/>
      <c r="AK172" s="295"/>
      <c r="AL172" s="295"/>
      <c r="AM172" s="295"/>
      <c r="AN172" s="295"/>
      <c r="AO172" s="295"/>
      <c r="AP172" s="295"/>
      <c r="AQ172" s="295"/>
      <c r="AR172" s="295"/>
      <c r="AS172" s="295"/>
      <c r="AT172" s="295"/>
      <c r="AU172" s="293"/>
      <c r="AV172" s="311"/>
      <c r="AW172" s="311"/>
      <c r="AX172" s="311"/>
      <c r="AY172" s="311"/>
      <c r="AZ172" s="311"/>
      <c r="BA172" s="311"/>
      <c r="BB172" s="311"/>
      <c r="BC172" s="311"/>
      <c r="BD172" s="293">
        <f t="shared" ref="BD172:BD191" si="68">SUM(AV172:BC172)</f>
        <v>0</v>
      </c>
      <c r="BE172" s="221"/>
      <c r="BF172" s="294"/>
      <c r="BG172" s="294"/>
      <c r="BH172" s="294"/>
      <c r="BI172" s="293">
        <f>SUM(BE172:BH172)</f>
        <v>0</v>
      </c>
      <c r="BJ172" s="300"/>
      <c r="BK172" s="335">
        <f t="shared" ref="BK172:BK191" si="69">H172+M172+AE172+AJ172+AU172+BD172+BI172</f>
        <v>0</v>
      </c>
      <c r="BL172" s="312">
        <f t="shared" ref="BL172:BL191" si="70">IF(E172-BK172&lt;0, BK172-E172, )</f>
        <v>0</v>
      </c>
      <c r="BM172" s="313">
        <f t="shared" ref="BM172:BM191" si="71">IF(E172-BK172&lt;0, ,E172-BK172)</f>
        <v>0</v>
      </c>
      <c r="BN172" s="336"/>
      <c r="BP172" s="337"/>
      <c r="BQ172" s="337"/>
      <c r="BR172" s="337"/>
      <c r="BS172" s="337"/>
      <c r="BT172" s="337"/>
      <c r="BU172" s="337"/>
      <c r="BV172" s="337"/>
      <c r="BW172" s="300">
        <f t="shared" si="63"/>
        <v>0</v>
      </c>
      <c r="BX172" s="300"/>
      <c r="BY172" s="337"/>
      <c r="BZ172" s="337"/>
      <c r="CA172" s="337"/>
      <c r="CB172" s="337"/>
      <c r="CC172" s="337"/>
      <c r="CD172" s="337"/>
      <c r="CE172" s="337"/>
      <c r="CF172" s="300">
        <f t="shared" si="64"/>
        <v>0</v>
      </c>
      <c r="CG172" s="300"/>
      <c r="CH172" s="337"/>
      <c r="CI172" s="337"/>
      <c r="CJ172" s="337"/>
      <c r="CK172" s="337"/>
      <c r="CL172" s="337"/>
      <c r="CM172" s="337"/>
      <c r="CN172" s="337"/>
      <c r="CO172" s="300">
        <f t="shared" si="65"/>
        <v>0</v>
      </c>
      <c r="CQ172" s="307">
        <f t="shared" ref="CQ172:CQ191" si="72">+H172-(BP172+BY172+CH172)</f>
        <v>0</v>
      </c>
      <c r="CR172" s="307">
        <f t="shared" ref="CR172:CR191" si="73">+M172-(BQ172+BZ172+CI172)</f>
        <v>0</v>
      </c>
      <c r="CS172" s="307">
        <f t="shared" ref="CS172:CS191" si="74">+AE172-(BR172+CA172+CJ172)</f>
        <v>0</v>
      </c>
      <c r="CT172" s="307">
        <f t="shared" ref="CT172:CT191" si="75">+AJ172-(BS172+CB172+CK172)</f>
        <v>0</v>
      </c>
      <c r="CU172" s="307">
        <f t="shared" ref="CU172:CU191" si="76">+AU172-(BT172+CC172+CL172)</f>
        <v>0</v>
      </c>
      <c r="CV172" s="307">
        <f t="shared" ref="CV172:CV191" si="77">+BD172-(BU172+CD172+CM172)</f>
        <v>0</v>
      </c>
      <c r="CW172" s="307">
        <f t="shared" ref="CW172:CW191" si="78">+BI172-(BV172+CE172+CN172)</f>
        <v>0</v>
      </c>
      <c r="CX172" s="307">
        <f t="shared" si="66"/>
        <v>0</v>
      </c>
      <c r="CY172" s="307">
        <f t="shared" ref="CY172:CY191" si="79">SUM(CQ172:CW172)</f>
        <v>0</v>
      </c>
    </row>
    <row r="173" spans="1:103" s="230" customFormat="1" ht="21" customHeight="1">
      <c r="A173" s="308"/>
      <c r="B173" s="309"/>
      <c r="C173" s="287" t="str">
        <f>IF($A173=0,"",(VLOOKUP(A173,[3]MAT!$B$5:$D$4756,3,FALSE)))</f>
        <v/>
      </c>
      <c r="D173" s="288" t="str">
        <f>IF($A173=0,"",(VLOOKUP(A173,[4]Hoja1!$A$2:$D$10000,4,FALSE)))</f>
        <v/>
      </c>
      <c r="E173" s="290"/>
      <c r="F173" s="310"/>
      <c r="G173" s="311"/>
      <c r="H173" s="293"/>
      <c r="I173" s="221"/>
      <c r="J173" s="294"/>
      <c r="K173" s="294"/>
      <c r="L173" s="295"/>
      <c r="M173" s="293"/>
      <c r="N173" s="221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  <c r="AA173" s="294"/>
      <c r="AB173" s="294"/>
      <c r="AC173" s="294"/>
      <c r="AD173" s="294"/>
      <c r="AE173" s="293"/>
      <c r="AF173" s="221"/>
      <c r="AG173" s="294"/>
      <c r="AH173" s="294"/>
      <c r="AI173" s="295"/>
      <c r="AJ173" s="293"/>
      <c r="AK173" s="295"/>
      <c r="AL173" s="295"/>
      <c r="AM173" s="295"/>
      <c r="AN173" s="295"/>
      <c r="AO173" s="295"/>
      <c r="AP173" s="295"/>
      <c r="AQ173" s="295"/>
      <c r="AR173" s="295"/>
      <c r="AS173" s="295"/>
      <c r="AT173" s="295"/>
      <c r="AU173" s="293"/>
      <c r="AV173" s="311"/>
      <c r="AW173" s="311"/>
      <c r="AX173" s="311"/>
      <c r="AY173" s="311"/>
      <c r="AZ173" s="311"/>
      <c r="BA173" s="311"/>
      <c r="BB173" s="311"/>
      <c r="BC173" s="311"/>
      <c r="BD173" s="293">
        <f t="shared" si="68"/>
        <v>0</v>
      </c>
      <c r="BE173" s="221"/>
      <c r="BF173" s="294"/>
      <c r="BG173" s="294"/>
      <c r="BH173" s="294"/>
      <c r="BI173" s="293">
        <f>SUM(BE173:BH173)</f>
        <v>0</v>
      </c>
      <c r="BJ173" s="300"/>
      <c r="BK173" s="301">
        <f t="shared" si="69"/>
        <v>0</v>
      </c>
      <c r="BL173" s="312">
        <f t="shared" si="70"/>
        <v>0</v>
      </c>
      <c r="BM173" s="313">
        <f t="shared" si="71"/>
        <v>0</v>
      </c>
      <c r="BN173" s="336"/>
      <c r="BP173" s="305"/>
      <c r="BQ173" s="305"/>
      <c r="BR173" s="305"/>
      <c r="BS173" s="305"/>
      <c r="BT173" s="305"/>
      <c r="BU173" s="305"/>
      <c r="BV173" s="305"/>
      <c r="BW173" s="300">
        <f t="shared" si="63"/>
        <v>0</v>
      </c>
      <c r="BX173" s="300"/>
      <c r="BY173" s="305"/>
      <c r="BZ173" s="305"/>
      <c r="CA173" s="305"/>
      <c r="CB173" s="305"/>
      <c r="CC173" s="305"/>
      <c r="CD173" s="305"/>
      <c r="CE173" s="305"/>
      <c r="CF173" s="300">
        <f t="shared" si="64"/>
        <v>0</v>
      </c>
      <c r="CG173" s="300"/>
      <c r="CH173" s="305"/>
      <c r="CI173" s="305"/>
      <c r="CJ173" s="305"/>
      <c r="CK173" s="305"/>
      <c r="CL173" s="305"/>
      <c r="CM173" s="305"/>
      <c r="CN173" s="305"/>
      <c r="CO173" s="300">
        <f t="shared" si="65"/>
        <v>0</v>
      </c>
      <c r="CQ173" s="307">
        <f t="shared" si="72"/>
        <v>0</v>
      </c>
      <c r="CR173" s="307">
        <f t="shared" si="73"/>
        <v>0</v>
      </c>
      <c r="CS173" s="307">
        <f t="shared" si="74"/>
        <v>0</v>
      </c>
      <c r="CT173" s="307">
        <f t="shared" si="75"/>
        <v>0</v>
      </c>
      <c r="CU173" s="307">
        <f t="shared" si="76"/>
        <v>0</v>
      </c>
      <c r="CV173" s="307">
        <f t="shared" si="77"/>
        <v>0</v>
      </c>
      <c r="CW173" s="307">
        <f t="shared" si="78"/>
        <v>0</v>
      </c>
      <c r="CX173" s="307">
        <f t="shared" si="66"/>
        <v>0</v>
      </c>
      <c r="CY173" s="307">
        <f t="shared" si="79"/>
        <v>0</v>
      </c>
    </row>
    <row r="174" spans="1:103" s="230" customFormat="1" ht="21.75" customHeight="1">
      <c r="A174" s="308"/>
      <c r="B174" s="309"/>
      <c r="C174" s="287" t="str">
        <f>IF($A174=0,"",(VLOOKUP(A174,[3]MAT!$B$5:$D$4756,3,FALSE)))</f>
        <v/>
      </c>
      <c r="D174" s="288" t="str">
        <f>IF($A174=0,"",(VLOOKUP(A174,[4]Hoja1!$A$2:$D$10000,4,FALSE)))</f>
        <v/>
      </c>
      <c r="E174" s="290"/>
      <c r="F174" s="310"/>
      <c r="G174" s="311"/>
      <c r="H174" s="293"/>
      <c r="I174" s="221"/>
      <c r="J174" s="294"/>
      <c r="K174" s="294"/>
      <c r="L174" s="295"/>
      <c r="M174" s="293"/>
      <c r="N174" s="221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  <c r="AA174" s="294"/>
      <c r="AB174" s="294"/>
      <c r="AC174" s="294"/>
      <c r="AD174" s="294"/>
      <c r="AE174" s="293"/>
      <c r="AF174" s="221"/>
      <c r="AG174" s="294"/>
      <c r="AH174" s="294"/>
      <c r="AI174" s="295"/>
      <c r="AJ174" s="293"/>
      <c r="AK174" s="295"/>
      <c r="AL174" s="295"/>
      <c r="AM174" s="295"/>
      <c r="AN174" s="295"/>
      <c r="AO174" s="295"/>
      <c r="AP174" s="295"/>
      <c r="AQ174" s="295"/>
      <c r="AR174" s="295"/>
      <c r="AS174" s="295"/>
      <c r="AT174" s="295"/>
      <c r="AU174" s="293"/>
      <c r="AV174" s="311"/>
      <c r="AW174" s="311"/>
      <c r="AX174" s="311"/>
      <c r="AY174" s="311"/>
      <c r="AZ174" s="311"/>
      <c r="BA174" s="311"/>
      <c r="BB174" s="311"/>
      <c r="BC174" s="311"/>
      <c r="BD174" s="293">
        <f t="shared" si="68"/>
        <v>0</v>
      </c>
      <c r="BE174" s="221"/>
      <c r="BF174" s="294"/>
      <c r="BG174" s="294"/>
      <c r="BH174" s="294"/>
      <c r="BI174" s="293">
        <f t="shared" ref="BI174:BI191" si="80">SUM(BE174:BH174)</f>
        <v>0</v>
      </c>
      <c r="BJ174" s="300"/>
      <c r="BK174" s="301">
        <f t="shared" si="69"/>
        <v>0</v>
      </c>
      <c r="BL174" s="312">
        <f t="shared" si="70"/>
        <v>0</v>
      </c>
      <c r="BM174" s="313">
        <f t="shared" si="71"/>
        <v>0</v>
      </c>
      <c r="BN174" s="336"/>
      <c r="BP174" s="305"/>
      <c r="BQ174" s="305"/>
      <c r="BR174" s="305"/>
      <c r="BS174" s="305"/>
      <c r="BT174" s="305"/>
      <c r="BU174" s="305"/>
      <c r="BV174" s="305"/>
      <c r="BW174" s="300">
        <f t="shared" si="63"/>
        <v>0</v>
      </c>
      <c r="BX174" s="300"/>
      <c r="BY174" s="305"/>
      <c r="BZ174" s="305"/>
      <c r="CA174" s="305"/>
      <c r="CB174" s="305"/>
      <c r="CC174" s="305"/>
      <c r="CD174" s="305"/>
      <c r="CE174" s="305"/>
      <c r="CF174" s="300">
        <f t="shared" si="64"/>
        <v>0</v>
      </c>
      <c r="CG174" s="300"/>
      <c r="CH174" s="305"/>
      <c r="CI174" s="305"/>
      <c r="CJ174" s="305"/>
      <c r="CK174" s="305"/>
      <c r="CL174" s="305"/>
      <c r="CM174" s="305"/>
      <c r="CN174" s="305"/>
      <c r="CO174" s="300">
        <f t="shared" si="65"/>
        <v>0</v>
      </c>
      <c r="CQ174" s="307">
        <f t="shared" si="72"/>
        <v>0</v>
      </c>
      <c r="CR174" s="307">
        <f t="shared" si="73"/>
        <v>0</v>
      </c>
      <c r="CS174" s="307">
        <f t="shared" si="74"/>
        <v>0</v>
      </c>
      <c r="CT174" s="307">
        <f t="shared" si="75"/>
        <v>0</v>
      </c>
      <c r="CU174" s="307">
        <f t="shared" si="76"/>
        <v>0</v>
      </c>
      <c r="CV174" s="307">
        <f t="shared" si="77"/>
        <v>0</v>
      </c>
      <c r="CW174" s="307">
        <f t="shared" si="78"/>
        <v>0</v>
      </c>
      <c r="CX174" s="307">
        <f t="shared" si="66"/>
        <v>0</v>
      </c>
      <c r="CY174" s="307">
        <f t="shared" si="79"/>
        <v>0</v>
      </c>
    </row>
    <row r="175" spans="1:103" s="230" customFormat="1" ht="21" customHeight="1">
      <c r="A175" s="308"/>
      <c r="B175" s="309"/>
      <c r="C175" s="287" t="str">
        <f>IF($A175=0,"",(VLOOKUP(A175,[3]MAT!$B$5:$D$4756,3,FALSE)))</f>
        <v/>
      </c>
      <c r="D175" s="288" t="str">
        <f>IF($A175=0,"",(VLOOKUP(A175,[4]Hoja1!$A$2:$D$10000,4,FALSE)))</f>
        <v/>
      </c>
      <c r="E175" s="290"/>
      <c r="F175" s="310"/>
      <c r="G175" s="311"/>
      <c r="H175" s="293"/>
      <c r="I175" s="221"/>
      <c r="J175" s="294"/>
      <c r="K175" s="294"/>
      <c r="L175" s="295"/>
      <c r="M175" s="293"/>
      <c r="N175" s="221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294"/>
      <c r="AB175" s="294"/>
      <c r="AC175" s="294"/>
      <c r="AD175" s="294"/>
      <c r="AE175" s="293"/>
      <c r="AF175" s="221"/>
      <c r="AG175" s="294"/>
      <c r="AH175" s="294"/>
      <c r="AI175" s="295"/>
      <c r="AJ175" s="293"/>
      <c r="AK175" s="295"/>
      <c r="AL175" s="295"/>
      <c r="AM175" s="295"/>
      <c r="AN175" s="295"/>
      <c r="AO175" s="295"/>
      <c r="AP175" s="295"/>
      <c r="AQ175" s="295"/>
      <c r="AR175" s="295"/>
      <c r="AS175" s="295"/>
      <c r="AT175" s="295"/>
      <c r="AU175" s="293"/>
      <c r="AV175" s="311"/>
      <c r="AW175" s="311"/>
      <c r="AX175" s="311"/>
      <c r="AY175" s="311"/>
      <c r="AZ175" s="311"/>
      <c r="BA175" s="311"/>
      <c r="BB175" s="311"/>
      <c r="BC175" s="311"/>
      <c r="BD175" s="293">
        <f t="shared" si="68"/>
        <v>0</v>
      </c>
      <c r="BE175" s="221"/>
      <c r="BF175" s="294"/>
      <c r="BG175" s="294"/>
      <c r="BH175" s="294"/>
      <c r="BI175" s="293">
        <f t="shared" si="80"/>
        <v>0</v>
      </c>
      <c r="BJ175" s="300"/>
      <c r="BK175" s="301">
        <f t="shared" si="69"/>
        <v>0</v>
      </c>
      <c r="BL175" s="312">
        <f t="shared" si="70"/>
        <v>0</v>
      </c>
      <c r="BM175" s="313">
        <f t="shared" si="71"/>
        <v>0</v>
      </c>
      <c r="BN175" s="336"/>
      <c r="BP175" s="305"/>
      <c r="BQ175" s="305"/>
      <c r="BR175" s="305"/>
      <c r="BS175" s="305"/>
      <c r="BT175" s="305"/>
      <c r="BU175" s="305"/>
      <c r="BV175" s="305"/>
      <c r="BW175" s="300">
        <f t="shared" si="63"/>
        <v>0</v>
      </c>
      <c r="BX175" s="300"/>
      <c r="BY175" s="305"/>
      <c r="BZ175" s="305"/>
      <c r="CA175" s="305"/>
      <c r="CB175" s="305"/>
      <c r="CC175" s="305"/>
      <c r="CD175" s="305"/>
      <c r="CE175" s="305"/>
      <c r="CF175" s="300">
        <f t="shared" si="64"/>
        <v>0</v>
      </c>
      <c r="CG175" s="300"/>
      <c r="CH175" s="305"/>
      <c r="CI175" s="305"/>
      <c r="CJ175" s="305"/>
      <c r="CK175" s="305"/>
      <c r="CL175" s="305"/>
      <c r="CM175" s="305"/>
      <c r="CN175" s="305"/>
      <c r="CO175" s="300">
        <f t="shared" si="65"/>
        <v>0</v>
      </c>
      <c r="CQ175" s="307">
        <f t="shared" si="72"/>
        <v>0</v>
      </c>
      <c r="CR175" s="307">
        <f t="shared" si="73"/>
        <v>0</v>
      </c>
      <c r="CS175" s="307">
        <f t="shared" si="74"/>
        <v>0</v>
      </c>
      <c r="CT175" s="307">
        <f t="shared" si="75"/>
        <v>0</v>
      </c>
      <c r="CU175" s="307">
        <f t="shared" si="76"/>
        <v>0</v>
      </c>
      <c r="CV175" s="307">
        <f t="shared" si="77"/>
        <v>0</v>
      </c>
      <c r="CW175" s="307">
        <f t="shared" si="78"/>
        <v>0</v>
      </c>
      <c r="CX175" s="307">
        <f t="shared" si="66"/>
        <v>0</v>
      </c>
      <c r="CY175" s="307">
        <f t="shared" si="79"/>
        <v>0</v>
      </c>
    </row>
    <row r="176" spans="1:103" s="230" customFormat="1" ht="21" customHeight="1">
      <c r="A176" s="308"/>
      <c r="B176" s="309"/>
      <c r="C176" s="287" t="str">
        <f>IF($A176=0,"",(VLOOKUP(A176,[3]MAT!$B$5:$D$4756,3,FALSE)))</f>
        <v/>
      </c>
      <c r="D176" s="288" t="str">
        <f>IF($A176=0,"",(VLOOKUP(A176,[4]Hoja1!$A$2:$D$10000,4,FALSE)))</f>
        <v/>
      </c>
      <c r="E176" s="290"/>
      <c r="F176" s="310"/>
      <c r="G176" s="311"/>
      <c r="H176" s="293"/>
      <c r="I176" s="221"/>
      <c r="J176" s="294"/>
      <c r="K176" s="294"/>
      <c r="L176" s="295"/>
      <c r="M176" s="293"/>
      <c r="N176" s="221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94"/>
      <c r="AB176" s="294"/>
      <c r="AC176" s="294"/>
      <c r="AD176" s="294"/>
      <c r="AE176" s="293"/>
      <c r="AF176" s="221"/>
      <c r="AG176" s="294"/>
      <c r="AH176" s="294"/>
      <c r="AI176" s="295"/>
      <c r="AJ176" s="293"/>
      <c r="AK176" s="295"/>
      <c r="AL176" s="295"/>
      <c r="AM176" s="295"/>
      <c r="AN176" s="295"/>
      <c r="AO176" s="295"/>
      <c r="AP176" s="295"/>
      <c r="AQ176" s="295"/>
      <c r="AR176" s="295"/>
      <c r="AS176" s="295"/>
      <c r="AT176" s="295"/>
      <c r="AU176" s="293"/>
      <c r="AV176" s="311"/>
      <c r="AW176" s="311"/>
      <c r="AX176" s="311"/>
      <c r="AY176" s="311"/>
      <c r="AZ176" s="311"/>
      <c r="BA176" s="311"/>
      <c r="BB176" s="311"/>
      <c r="BC176" s="311"/>
      <c r="BD176" s="293">
        <f t="shared" si="68"/>
        <v>0</v>
      </c>
      <c r="BE176" s="221"/>
      <c r="BF176" s="294"/>
      <c r="BG176" s="294"/>
      <c r="BH176" s="294"/>
      <c r="BI176" s="293">
        <f t="shared" si="80"/>
        <v>0</v>
      </c>
      <c r="BJ176" s="300"/>
      <c r="BK176" s="301">
        <f t="shared" si="69"/>
        <v>0</v>
      </c>
      <c r="BL176" s="312">
        <f t="shared" si="70"/>
        <v>0</v>
      </c>
      <c r="BM176" s="313">
        <f t="shared" si="71"/>
        <v>0</v>
      </c>
      <c r="BN176" s="336"/>
      <c r="BP176" s="305"/>
      <c r="BQ176" s="305"/>
      <c r="BR176" s="305"/>
      <c r="BS176" s="305"/>
      <c r="BT176" s="305"/>
      <c r="BU176" s="305"/>
      <c r="BV176" s="305"/>
      <c r="BW176" s="300">
        <f t="shared" si="63"/>
        <v>0</v>
      </c>
      <c r="BX176" s="300"/>
      <c r="BY176" s="305"/>
      <c r="BZ176" s="305"/>
      <c r="CA176" s="305"/>
      <c r="CB176" s="305"/>
      <c r="CC176" s="305"/>
      <c r="CD176" s="305"/>
      <c r="CE176" s="305"/>
      <c r="CF176" s="300">
        <f t="shared" si="64"/>
        <v>0</v>
      </c>
      <c r="CG176" s="300"/>
      <c r="CH176" s="305"/>
      <c r="CI176" s="305"/>
      <c r="CJ176" s="305"/>
      <c r="CK176" s="305"/>
      <c r="CL176" s="305"/>
      <c r="CM176" s="305"/>
      <c r="CN176" s="305"/>
      <c r="CO176" s="300">
        <f t="shared" si="65"/>
        <v>0</v>
      </c>
      <c r="CQ176" s="307">
        <f t="shared" si="72"/>
        <v>0</v>
      </c>
      <c r="CR176" s="307">
        <f t="shared" si="73"/>
        <v>0</v>
      </c>
      <c r="CS176" s="307">
        <f t="shared" si="74"/>
        <v>0</v>
      </c>
      <c r="CT176" s="307">
        <f t="shared" si="75"/>
        <v>0</v>
      </c>
      <c r="CU176" s="307">
        <f t="shared" si="76"/>
        <v>0</v>
      </c>
      <c r="CV176" s="307">
        <f t="shared" si="77"/>
        <v>0</v>
      </c>
      <c r="CW176" s="307">
        <f t="shared" si="78"/>
        <v>0</v>
      </c>
      <c r="CX176" s="307">
        <f t="shared" si="66"/>
        <v>0</v>
      </c>
      <c r="CY176" s="307">
        <f t="shared" si="79"/>
        <v>0</v>
      </c>
    </row>
    <row r="177" spans="1:103" s="230" customFormat="1" ht="21" customHeight="1">
      <c r="A177" s="308"/>
      <c r="B177" s="309"/>
      <c r="C177" s="287" t="str">
        <f>IF($A177=0,"",(VLOOKUP(A177,[3]MAT!$B$5:$D$4756,3,FALSE)))</f>
        <v/>
      </c>
      <c r="D177" s="288" t="str">
        <f>IF($A177=0,"",(VLOOKUP(A177,[4]Hoja1!$A$2:$D$10000,4,FALSE)))</f>
        <v/>
      </c>
      <c r="E177" s="290"/>
      <c r="F177" s="310"/>
      <c r="G177" s="311"/>
      <c r="H177" s="293"/>
      <c r="I177" s="221"/>
      <c r="J177" s="294"/>
      <c r="K177" s="294"/>
      <c r="L177" s="295"/>
      <c r="M177" s="293"/>
      <c r="N177" s="221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94"/>
      <c r="AB177" s="294"/>
      <c r="AC177" s="294"/>
      <c r="AD177" s="294"/>
      <c r="AE177" s="293"/>
      <c r="AF177" s="221"/>
      <c r="AG177" s="294"/>
      <c r="AH177" s="294"/>
      <c r="AI177" s="295"/>
      <c r="AJ177" s="293"/>
      <c r="AK177" s="295"/>
      <c r="AL177" s="295"/>
      <c r="AM177" s="295"/>
      <c r="AN177" s="295"/>
      <c r="AO177" s="295"/>
      <c r="AP177" s="295"/>
      <c r="AQ177" s="295"/>
      <c r="AR177" s="295"/>
      <c r="AS177" s="295"/>
      <c r="AT177" s="295"/>
      <c r="AU177" s="293"/>
      <c r="AV177" s="311"/>
      <c r="AW177" s="311"/>
      <c r="AX177" s="311"/>
      <c r="AY177" s="311"/>
      <c r="AZ177" s="311"/>
      <c r="BA177" s="311"/>
      <c r="BB177" s="311"/>
      <c r="BC177" s="311"/>
      <c r="BD177" s="293">
        <f t="shared" si="68"/>
        <v>0</v>
      </c>
      <c r="BE177" s="221"/>
      <c r="BF177" s="294"/>
      <c r="BG177" s="294"/>
      <c r="BH177" s="294"/>
      <c r="BI177" s="293">
        <f t="shared" si="80"/>
        <v>0</v>
      </c>
      <c r="BJ177" s="300"/>
      <c r="BK177" s="301">
        <f t="shared" si="69"/>
        <v>0</v>
      </c>
      <c r="BL177" s="312">
        <f t="shared" si="70"/>
        <v>0</v>
      </c>
      <c r="BM177" s="313">
        <f t="shared" si="71"/>
        <v>0</v>
      </c>
      <c r="BN177" s="336"/>
      <c r="BP177" s="305"/>
      <c r="BQ177" s="305"/>
      <c r="BR177" s="305"/>
      <c r="BS177" s="305"/>
      <c r="BT177" s="305"/>
      <c r="BU177" s="305"/>
      <c r="BV177" s="305"/>
      <c r="BW177" s="300">
        <f t="shared" si="63"/>
        <v>0</v>
      </c>
      <c r="BX177" s="300"/>
      <c r="BY177" s="305"/>
      <c r="BZ177" s="305"/>
      <c r="CA177" s="305"/>
      <c r="CB177" s="305"/>
      <c r="CC177" s="305"/>
      <c r="CD177" s="305"/>
      <c r="CE177" s="305"/>
      <c r="CF177" s="300">
        <f t="shared" si="64"/>
        <v>0</v>
      </c>
      <c r="CG177" s="300"/>
      <c r="CH177" s="305"/>
      <c r="CI177" s="305"/>
      <c r="CJ177" s="305"/>
      <c r="CK177" s="305"/>
      <c r="CL177" s="305"/>
      <c r="CM177" s="305"/>
      <c r="CN177" s="305"/>
      <c r="CO177" s="300">
        <f t="shared" si="65"/>
        <v>0</v>
      </c>
      <c r="CQ177" s="307">
        <f t="shared" si="72"/>
        <v>0</v>
      </c>
      <c r="CR177" s="307">
        <f t="shared" si="73"/>
        <v>0</v>
      </c>
      <c r="CS177" s="307">
        <f t="shared" si="74"/>
        <v>0</v>
      </c>
      <c r="CT177" s="307">
        <f t="shared" si="75"/>
        <v>0</v>
      </c>
      <c r="CU177" s="307">
        <f t="shared" si="76"/>
        <v>0</v>
      </c>
      <c r="CV177" s="307">
        <f t="shared" si="77"/>
        <v>0</v>
      </c>
      <c r="CW177" s="307">
        <f t="shared" si="78"/>
        <v>0</v>
      </c>
      <c r="CX177" s="307">
        <f t="shared" si="66"/>
        <v>0</v>
      </c>
      <c r="CY177" s="307">
        <f t="shared" si="79"/>
        <v>0</v>
      </c>
    </row>
    <row r="178" spans="1:103" s="230" customFormat="1" ht="21" customHeight="1">
      <c r="A178" s="308"/>
      <c r="B178" s="309"/>
      <c r="C178" s="287" t="str">
        <f>IF($A178=0,"",(VLOOKUP(A178,[3]MAT!$B$5:$D$4756,3,FALSE)))</f>
        <v/>
      </c>
      <c r="D178" s="288" t="str">
        <f>IF($A178=0,"",(VLOOKUP(A178,[4]Hoja1!$A$2:$D$10000,4,FALSE)))</f>
        <v/>
      </c>
      <c r="E178" s="290"/>
      <c r="F178" s="310"/>
      <c r="G178" s="311"/>
      <c r="H178" s="293"/>
      <c r="I178" s="221"/>
      <c r="J178" s="294"/>
      <c r="K178" s="294"/>
      <c r="L178" s="295"/>
      <c r="M178" s="293"/>
      <c r="N178" s="221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4"/>
      <c r="AB178" s="294"/>
      <c r="AC178" s="294"/>
      <c r="AD178" s="294"/>
      <c r="AE178" s="293"/>
      <c r="AF178" s="221"/>
      <c r="AG178" s="294"/>
      <c r="AH178" s="294"/>
      <c r="AI178" s="295"/>
      <c r="AJ178" s="293"/>
      <c r="AK178" s="295"/>
      <c r="AL178" s="295"/>
      <c r="AM178" s="295"/>
      <c r="AN178" s="295"/>
      <c r="AO178" s="295"/>
      <c r="AP178" s="295"/>
      <c r="AQ178" s="295"/>
      <c r="AR178" s="295"/>
      <c r="AS178" s="295"/>
      <c r="AT178" s="295"/>
      <c r="AU178" s="293"/>
      <c r="AV178" s="311"/>
      <c r="AW178" s="311"/>
      <c r="AX178" s="311"/>
      <c r="AY178" s="311"/>
      <c r="AZ178" s="311"/>
      <c r="BA178" s="311"/>
      <c r="BB178" s="311"/>
      <c r="BC178" s="311"/>
      <c r="BD178" s="293">
        <f t="shared" si="68"/>
        <v>0</v>
      </c>
      <c r="BE178" s="221"/>
      <c r="BF178" s="294"/>
      <c r="BG178" s="294"/>
      <c r="BH178" s="294"/>
      <c r="BI178" s="293">
        <f t="shared" si="80"/>
        <v>0</v>
      </c>
      <c r="BJ178" s="300"/>
      <c r="BK178" s="301">
        <f t="shared" si="69"/>
        <v>0</v>
      </c>
      <c r="BL178" s="312">
        <f t="shared" si="70"/>
        <v>0</v>
      </c>
      <c r="BM178" s="313">
        <f t="shared" si="71"/>
        <v>0</v>
      </c>
      <c r="BN178" s="338"/>
      <c r="BP178" s="305"/>
      <c r="BQ178" s="305"/>
      <c r="BR178" s="305"/>
      <c r="BS178" s="305"/>
      <c r="BT178" s="305"/>
      <c r="BU178" s="305"/>
      <c r="BV178" s="305"/>
      <c r="BW178" s="300">
        <f t="shared" si="63"/>
        <v>0</v>
      </c>
      <c r="BX178" s="300"/>
      <c r="BY178" s="305"/>
      <c r="BZ178" s="305"/>
      <c r="CA178" s="305"/>
      <c r="CB178" s="305"/>
      <c r="CC178" s="305"/>
      <c r="CD178" s="305"/>
      <c r="CE178" s="305"/>
      <c r="CF178" s="300">
        <f t="shared" si="64"/>
        <v>0</v>
      </c>
      <c r="CG178" s="300"/>
      <c r="CH178" s="305"/>
      <c r="CI178" s="305"/>
      <c r="CJ178" s="305"/>
      <c r="CK178" s="305"/>
      <c r="CL178" s="305"/>
      <c r="CM178" s="305"/>
      <c r="CN178" s="305"/>
      <c r="CO178" s="300">
        <f t="shared" si="65"/>
        <v>0</v>
      </c>
      <c r="CQ178" s="307">
        <f t="shared" si="72"/>
        <v>0</v>
      </c>
      <c r="CR178" s="307">
        <f t="shared" si="73"/>
        <v>0</v>
      </c>
      <c r="CS178" s="307">
        <f t="shared" si="74"/>
        <v>0</v>
      </c>
      <c r="CT178" s="307">
        <f t="shared" si="75"/>
        <v>0</v>
      </c>
      <c r="CU178" s="307">
        <f t="shared" si="76"/>
        <v>0</v>
      </c>
      <c r="CV178" s="307">
        <f t="shared" si="77"/>
        <v>0</v>
      </c>
      <c r="CW178" s="307">
        <f t="shared" si="78"/>
        <v>0</v>
      </c>
      <c r="CX178" s="307">
        <f t="shared" si="66"/>
        <v>0</v>
      </c>
      <c r="CY178" s="307">
        <f t="shared" si="79"/>
        <v>0</v>
      </c>
    </row>
    <row r="179" spans="1:103" s="230" customFormat="1" ht="21" customHeight="1">
      <c r="A179" s="308"/>
      <c r="B179" s="309"/>
      <c r="C179" s="287" t="str">
        <f>IF($A179=0,"",(VLOOKUP(A179,[3]MAT!$B$5:$D$4756,3,FALSE)))</f>
        <v/>
      </c>
      <c r="D179" s="288" t="str">
        <f>IF($A179=0,"",(VLOOKUP(A179,[4]Hoja1!$A$2:$D$10000,4,FALSE)))</f>
        <v/>
      </c>
      <c r="E179" s="290"/>
      <c r="F179" s="310"/>
      <c r="G179" s="311"/>
      <c r="H179" s="293"/>
      <c r="I179" s="221"/>
      <c r="J179" s="294"/>
      <c r="K179" s="294"/>
      <c r="L179" s="295"/>
      <c r="M179" s="293"/>
      <c r="N179" s="221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  <c r="AA179" s="294"/>
      <c r="AB179" s="294"/>
      <c r="AC179" s="294"/>
      <c r="AD179" s="294"/>
      <c r="AE179" s="293"/>
      <c r="AF179" s="221"/>
      <c r="AG179" s="294"/>
      <c r="AH179" s="294"/>
      <c r="AI179" s="295"/>
      <c r="AJ179" s="293"/>
      <c r="AK179" s="295"/>
      <c r="AL179" s="295"/>
      <c r="AM179" s="295"/>
      <c r="AN179" s="295"/>
      <c r="AO179" s="295"/>
      <c r="AP179" s="295"/>
      <c r="AQ179" s="295"/>
      <c r="AR179" s="295"/>
      <c r="AS179" s="295"/>
      <c r="AT179" s="295"/>
      <c r="AU179" s="293"/>
      <c r="AV179" s="311"/>
      <c r="AW179" s="311"/>
      <c r="AX179" s="311"/>
      <c r="AY179" s="311"/>
      <c r="AZ179" s="311"/>
      <c r="BA179" s="311"/>
      <c r="BB179" s="311"/>
      <c r="BC179" s="311"/>
      <c r="BD179" s="293">
        <f t="shared" si="68"/>
        <v>0</v>
      </c>
      <c r="BE179" s="221"/>
      <c r="BF179" s="294"/>
      <c r="BG179" s="294"/>
      <c r="BH179" s="294"/>
      <c r="BI179" s="293">
        <f t="shared" si="80"/>
        <v>0</v>
      </c>
      <c r="BJ179" s="300"/>
      <c r="BK179" s="301">
        <f t="shared" si="69"/>
        <v>0</v>
      </c>
      <c r="BL179" s="312">
        <f t="shared" si="70"/>
        <v>0</v>
      </c>
      <c r="BM179" s="313">
        <f t="shared" si="71"/>
        <v>0</v>
      </c>
      <c r="BN179" s="336"/>
      <c r="BP179" s="305"/>
      <c r="BQ179" s="305"/>
      <c r="BR179" s="305"/>
      <c r="BS179" s="305"/>
      <c r="BT179" s="305"/>
      <c r="BU179" s="305"/>
      <c r="BV179" s="305"/>
      <c r="BW179" s="300">
        <f t="shared" si="63"/>
        <v>0</v>
      </c>
      <c r="BX179" s="300"/>
      <c r="BY179" s="305"/>
      <c r="BZ179" s="305"/>
      <c r="CA179" s="305"/>
      <c r="CB179" s="305"/>
      <c r="CC179" s="305"/>
      <c r="CD179" s="305"/>
      <c r="CE179" s="305"/>
      <c r="CF179" s="300">
        <f t="shared" si="64"/>
        <v>0</v>
      </c>
      <c r="CG179" s="300"/>
      <c r="CH179" s="305"/>
      <c r="CI179" s="305"/>
      <c r="CJ179" s="305"/>
      <c r="CK179" s="305"/>
      <c r="CL179" s="305"/>
      <c r="CM179" s="305"/>
      <c r="CN179" s="305"/>
      <c r="CO179" s="300">
        <f t="shared" si="65"/>
        <v>0</v>
      </c>
      <c r="CQ179" s="307">
        <f t="shared" si="72"/>
        <v>0</v>
      </c>
      <c r="CR179" s="307">
        <f t="shared" si="73"/>
        <v>0</v>
      </c>
      <c r="CS179" s="307">
        <f t="shared" si="74"/>
        <v>0</v>
      </c>
      <c r="CT179" s="307">
        <f t="shared" si="75"/>
        <v>0</v>
      </c>
      <c r="CU179" s="307">
        <f t="shared" si="76"/>
        <v>0</v>
      </c>
      <c r="CV179" s="307">
        <f t="shared" si="77"/>
        <v>0</v>
      </c>
      <c r="CW179" s="307">
        <f t="shared" si="78"/>
        <v>0</v>
      </c>
      <c r="CX179" s="307">
        <f t="shared" si="66"/>
        <v>0</v>
      </c>
      <c r="CY179" s="307">
        <f t="shared" si="79"/>
        <v>0</v>
      </c>
    </row>
    <row r="180" spans="1:103" s="230" customFormat="1" ht="21" customHeight="1">
      <c r="A180" s="308"/>
      <c r="B180" s="309"/>
      <c r="C180" s="287" t="str">
        <f>IF($A180=0,"",(VLOOKUP(A180,[3]MAT!$B$5:$D$4756,3,FALSE)))</f>
        <v/>
      </c>
      <c r="D180" s="288" t="str">
        <f>IF($A180=0,"",(VLOOKUP(A180,[4]Hoja1!$A$2:$D$10000,4,FALSE)))</f>
        <v/>
      </c>
      <c r="E180" s="290"/>
      <c r="F180" s="310"/>
      <c r="G180" s="311"/>
      <c r="H180" s="293"/>
      <c r="I180" s="221"/>
      <c r="J180" s="294"/>
      <c r="K180" s="294"/>
      <c r="L180" s="295"/>
      <c r="M180" s="293"/>
      <c r="N180" s="221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  <c r="AA180" s="294"/>
      <c r="AB180" s="294"/>
      <c r="AC180" s="294"/>
      <c r="AD180" s="294"/>
      <c r="AE180" s="293"/>
      <c r="AF180" s="221"/>
      <c r="AG180" s="294"/>
      <c r="AH180" s="294"/>
      <c r="AI180" s="295"/>
      <c r="AJ180" s="293"/>
      <c r="AK180" s="295"/>
      <c r="AL180" s="295"/>
      <c r="AM180" s="295"/>
      <c r="AN180" s="295"/>
      <c r="AO180" s="295"/>
      <c r="AP180" s="295"/>
      <c r="AQ180" s="295"/>
      <c r="AR180" s="295"/>
      <c r="AS180" s="295"/>
      <c r="AT180" s="295"/>
      <c r="AU180" s="293"/>
      <c r="AV180" s="311"/>
      <c r="AW180" s="311"/>
      <c r="AX180" s="311"/>
      <c r="AY180" s="311"/>
      <c r="AZ180" s="311"/>
      <c r="BA180" s="311"/>
      <c r="BB180" s="311"/>
      <c r="BC180" s="311"/>
      <c r="BD180" s="293">
        <f t="shared" si="68"/>
        <v>0</v>
      </c>
      <c r="BE180" s="221"/>
      <c r="BF180" s="294"/>
      <c r="BG180" s="294"/>
      <c r="BH180" s="294"/>
      <c r="BI180" s="293">
        <f t="shared" si="80"/>
        <v>0</v>
      </c>
      <c r="BJ180" s="300"/>
      <c r="BK180" s="301">
        <f t="shared" si="69"/>
        <v>0</v>
      </c>
      <c r="BL180" s="312">
        <f t="shared" si="70"/>
        <v>0</v>
      </c>
      <c r="BM180" s="313">
        <f t="shared" si="71"/>
        <v>0</v>
      </c>
      <c r="BN180" s="336"/>
      <c r="BP180" s="305"/>
      <c r="BQ180" s="305"/>
      <c r="BR180" s="305"/>
      <c r="BS180" s="305"/>
      <c r="BT180" s="305"/>
      <c r="BU180" s="305"/>
      <c r="BV180" s="305"/>
      <c r="BW180" s="300">
        <f t="shared" si="63"/>
        <v>0</v>
      </c>
      <c r="BX180" s="300"/>
      <c r="BY180" s="305"/>
      <c r="BZ180" s="305"/>
      <c r="CA180" s="305"/>
      <c r="CB180" s="305"/>
      <c r="CC180" s="305"/>
      <c r="CD180" s="305"/>
      <c r="CE180" s="305"/>
      <c r="CF180" s="300">
        <f t="shared" si="64"/>
        <v>0</v>
      </c>
      <c r="CG180" s="300"/>
      <c r="CH180" s="305"/>
      <c r="CI180" s="305"/>
      <c r="CJ180" s="305"/>
      <c r="CK180" s="305"/>
      <c r="CL180" s="305"/>
      <c r="CM180" s="305"/>
      <c r="CN180" s="305"/>
      <c r="CO180" s="300">
        <f t="shared" si="65"/>
        <v>0</v>
      </c>
      <c r="CQ180" s="307">
        <f t="shared" si="72"/>
        <v>0</v>
      </c>
      <c r="CR180" s="307">
        <f t="shared" si="73"/>
        <v>0</v>
      </c>
      <c r="CS180" s="307">
        <f t="shared" si="74"/>
        <v>0</v>
      </c>
      <c r="CT180" s="307">
        <f t="shared" si="75"/>
        <v>0</v>
      </c>
      <c r="CU180" s="307">
        <f t="shared" si="76"/>
        <v>0</v>
      </c>
      <c r="CV180" s="307">
        <f t="shared" si="77"/>
        <v>0</v>
      </c>
      <c r="CW180" s="307">
        <f t="shared" si="78"/>
        <v>0</v>
      </c>
      <c r="CX180" s="307">
        <f t="shared" si="66"/>
        <v>0</v>
      </c>
      <c r="CY180" s="307">
        <f t="shared" si="79"/>
        <v>0</v>
      </c>
    </row>
    <row r="181" spans="1:103" s="230" customFormat="1" ht="21" customHeight="1">
      <c r="A181" s="308"/>
      <c r="B181" s="309"/>
      <c r="C181" s="287" t="str">
        <f>IF($A181=0,"",(VLOOKUP(A181,[3]MAT!$B$5:$D$4756,3,FALSE)))</f>
        <v/>
      </c>
      <c r="D181" s="288" t="str">
        <f>IF($A181=0,"",(VLOOKUP(A181,[4]Hoja1!$A$2:$D$10000,4,FALSE)))</f>
        <v/>
      </c>
      <c r="E181" s="290"/>
      <c r="F181" s="310"/>
      <c r="G181" s="311"/>
      <c r="H181" s="293"/>
      <c r="I181" s="221"/>
      <c r="J181" s="294"/>
      <c r="K181" s="294"/>
      <c r="L181" s="295"/>
      <c r="M181" s="293"/>
      <c r="N181" s="221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94"/>
      <c r="AB181" s="294"/>
      <c r="AC181" s="294"/>
      <c r="AD181" s="294"/>
      <c r="AE181" s="293"/>
      <c r="AF181" s="221"/>
      <c r="AG181" s="294"/>
      <c r="AH181" s="294"/>
      <c r="AI181" s="295"/>
      <c r="AJ181" s="293"/>
      <c r="AK181" s="295"/>
      <c r="AL181" s="295"/>
      <c r="AM181" s="295"/>
      <c r="AN181" s="295"/>
      <c r="AO181" s="295"/>
      <c r="AP181" s="295"/>
      <c r="AQ181" s="295"/>
      <c r="AR181" s="295"/>
      <c r="AS181" s="295"/>
      <c r="AT181" s="295"/>
      <c r="AU181" s="293"/>
      <c r="AV181" s="311"/>
      <c r="AW181" s="311"/>
      <c r="AX181" s="311"/>
      <c r="AY181" s="311"/>
      <c r="AZ181" s="311"/>
      <c r="BA181" s="311"/>
      <c r="BB181" s="311"/>
      <c r="BC181" s="311"/>
      <c r="BD181" s="293">
        <f t="shared" si="68"/>
        <v>0</v>
      </c>
      <c r="BE181" s="221"/>
      <c r="BF181" s="294"/>
      <c r="BG181" s="294"/>
      <c r="BH181" s="294"/>
      <c r="BI181" s="293">
        <f t="shared" si="80"/>
        <v>0</v>
      </c>
      <c r="BJ181" s="300"/>
      <c r="BK181" s="301">
        <f t="shared" si="69"/>
        <v>0</v>
      </c>
      <c r="BL181" s="312">
        <f t="shared" si="70"/>
        <v>0</v>
      </c>
      <c r="BM181" s="313">
        <f t="shared" si="71"/>
        <v>0</v>
      </c>
      <c r="BN181" s="336"/>
      <c r="BP181" s="305"/>
      <c r="BQ181" s="305"/>
      <c r="BR181" s="305"/>
      <c r="BS181" s="305"/>
      <c r="BT181" s="305"/>
      <c r="BU181" s="305"/>
      <c r="BV181" s="305"/>
      <c r="BW181" s="300">
        <f t="shared" si="63"/>
        <v>0</v>
      </c>
      <c r="BX181" s="300"/>
      <c r="BY181" s="305"/>
      <c r="BZ181" s="305"/>
      <c r="CA181" s="305"/>
      <c r="CB181" s="305"/>
      <c r="CC181" s="305"/>
      <c r="CD181" s="305"/>
      <c r="CE181" s="305"/>
      <c r="CF181" s="300">
        <f t="shared" si="64"/>
        <v>0</v>
      </c>
      <c r="CG181" s="300"/>
      <c r="CH181" s="305"/>
      <c r="CI181" s="305"/>
      <c r="CJ181" s="305"/>
      <c r="CK181" s="305"/>
      <c r="CL181" s="305"/>
      <c r="CM181" s="305"/>
      <c r="CN181" s="305"/>
      <c r="CO181" s="300">
        <f t="shared" si="65"/>
        <v>0</v>
      </c>
      <c r="CQ181" s="307">
        <f t="shared" si="72"/>
        <v>0</v>
      </c>
      <c r="CR181" s="307">
        <f t="shared" si="73"/>
        <v>0</v>
      </c>
      <c r="CS181" s="307">
        <f t="shared" si="74"/>
        <v>0</v>
      </c>
      <c r="CT181" s="307">
        <f t="shared" si="75"/>
        <v>0</v>
      </c>
      <c r="CU181" s="307">
        <f t="shared" si="76"/>
        <v>0</v>
      </c>
      <c r="CV181" s="307">
        <f t="shared" si="77"/>
        <v>0</v>
      </c>
      <c r="CW181" s="307">
        <f t="shared" si="78"/>
        <v>0</v>
      </c>
      <c r="CX181" s="307">
        <f t="shared" si="66"/>
        <v>0</v>
      </c>
      <c r="CY181" s="307">
        <f t="shared" si="79"/>
        <v>0</v>
      </c>
    </row>
    <row r="182" spans="1:103" s="230" customFormat="1" ht="21" customHeight="1">
      <c r="A182" s="308"/>
      <c r="B182" s="309"/>
      <c r="C182" s="287" t="str">
        <f>IF($A182=0,"",(VLOOKUP(A182,[3]MAT!$B$5:$D$4756,3,FALSE)))</f>
        <v/>
      </c>
      <c r="D182" s="288" t="str">
        <f>IF($A182=0,"",(VLOOKUP(A182,[4]Hoja1!$A$2:$D$10000,4,FALSE)))</f>
        <v/>
      </c>
      <c r="E182" s="290"/>
      <c r="F182" s="310"/>
      <c r="G182" s="311"/>
      <c r="H182" s="293"/>
      <c r="I182" s="221"/>
      <c r="J182" s="294"/>
      <c r="K182" s="294"/>
      <c r="L182" s="295"/>
      <c r="M182" s="293"/>
      <c r="N182" s="221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  <c r="AA182" s="294"/>
      <c r="AB182" s="294"/>
      <c r="AC182" s="294"/>
      <c r="AD182" s="294"/>
      <c r="AE182" s="293"/>
      <c r="AF182" s="221"/>
      <c r="AG182" s="294"/>
      <c r="AH182" s="294"/>
      <c r="AI182" s="295"/>
      <c r="AJ182" s="293"/>
      <c r="AK182" s="295"/>
      <c r="AL182" s="295"/>
      <c r="AM182" s="295"/>
      <c r="AN182" s="295"/>
      <c r="AO182" s="295"/>
      <c r="AP182" s="295"/>
      <c r="AQ182" s="295"/>
      <c r="AR182" s="295"/>
      <c r="AS182" s="295"/>
      <c r="AT182" s="295"/>
      <c r="AU182" s="293"/>
      <c r="AV182" s="311"/>
      <c r="AW182" s="311"/>
      <c r="AX182" s="311"/>
      <c r="AY182" s="311"/>
      <c r="AZ182" s="311"/>
      <c r="BA182" s="311"/>
      <c r="BB182" s="311"/>
      <c r="BC182" s="311"/>
      <c r="BD182" s="293">
        <f t="shared" si="68"/>
        <v>0</v>
      </c>
      <c r="BE182" s="221"/>
      <c r="BF182" s="294"/>
      <c r="BG182" s="294"/>
      <c r="BH182" s="294"/>
      <c r="BI182" s="293">
        <f t="shared" si="80"/>
        <v>0</v>
      </c>
      <c r="BJ182" s="300"/>
      <c r="BK182" s="301">
        <f t="shared" si="69"/>
        <v>0</v>
      </c>
      <c r="BL182" s="312">
        <f t="shared" si="70"/>
        <v>0</v>
      </c>
      <c r="BM182" s="313">
        <f t="shared" si="71"/>
        <v>0</v>
      </c>
      <c r="BN182" s="336"/>
      <c r="BP182" s="305"/>
      <c r="BQ182" s="305"/>
      <c r="BR182" s="305"/>
      <c r="BS182" s="305"/>
      <c r="BT182" s="305"/>
      <c r="BU182" s="305"/>
      <c r="BV182" s="305"/>
      <c r="BW182" s="300">
        <f t="shared" si="63"/>
        <v>0</v>
      </c>
      <c r="BX182" s="300"/>
      <c r="BY182" s="305"/>
      <c r="BZ182" s="305"/>
      <c r="CA182" s="305"/>
      <c r="CB182" s="305"/>
      <c r="CC182" s="305"/>
      <c r="CD182" s="305"/>
      <c r="CE182" s="305"/>
      <c r="CF182" s="300">
        <f t="shared" si="64"/>
        <v>0</v>
      </c>
      <c r="CG182" s="300"/>
      <c r="CH182" s="305"/>
      <c r="CI182" s="305"/>
      <c r="CJ182" s="305"/>
      <c r="CK182" s="305"/>
      <c r="CL182" s="305"/>
      <c r="CM182" s="305"/>
      <c r="CN182" s="305"/>
      <c r="CO182" s="300">
        <f t="shared" si="65"/>
        <v>0</v>
      </c>
      <c r="CQ182" s="307">
        <f t="shared" si="72"/>
        <v>0</v>
      </c>
      <c r="CR182" s="307">
        <f t="shared" si="73"/>
        <v>0</v>
      </c>
      <c r="CS182" s="307">
        <f t="shared" si="74"/>
        <v>0</v>
      </c>
      <c r="CT182" s="307">
        <f t="shared" si="75"/>
        <v>0</v>
      </c>
      <c r="CU182" s="307">
        <f t="shared" si="76"/>
        <v>0</v>
      </c>
      <c r="CV182" s="307">
        <f t="shared" si="77"/>
        <v>0</v>
      </c>
      <c r="CW182" s="307">
        <f t="shared" si="78"/>
        <v>0</v>
      </c>
      <c r="CX182" s="307">
        <f t="shared" si="66"/>
        <v>0</v>
      </c>
      <c r="CY182" s="307">
        <f t="shared" si="79"/>
        <v>0</v>
      </c>
    </row>
    <row r="183" spans="1:103" s="230" customFormat="1" ht="21" customHeight="1">
      <c r="A183" s="308"/>
      <c r="B183" s="309"/>
      <c r="C183" s="287" t="str">
        <f>IF($A183=0,"",(VLOOKUP(A183,[3]MAT!$B$5:$D$4756,3,FALSE)))</f>
        <v/>
      </c>
      <c r="D183" s="288" t="str">
        <f>IF($A183=0,"",(VLOOKUP(A183,[4]Hoja1!$A$2:$D$10000,4,FALSE)))</f>
        <v/>
      </c>
      <c r="E183" s="290"/>
      <c r="F183" s="310"/>
      <c r="G183" s="311"/>
      <c r="H183" s="293"/>
      <c r="I183" s="221"/>
      <c r="J183" s="294"/>
      <c r="K183" s="294"/>
      <c r="L183" s="295"/>
      <c r="M183" s="293"/>
      <c r="N183" s="221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  <c r="AA183" s="294"/>
      <c r="AB183" s="294"/>
      <c r="AC183" s="294"/>
      <c r="AD183" s="294"/>
      <c r="AE183" s="293"/>
      <c r="AF183" s="221"/>
      <c r="AG183" s="294"/>
      <c r="AH183" s="294"/>
      <c r="AI183" s="295"/>
      <c r="AJ183" s="293"/>
      <c r="AK183" s="295"/>
      <c r="AL183" s="295"/>
      <c r="AM183" s="295"/>
      <c r="AN183" s="295"/>
      <c r="AO183" s="295"/>
      <c r="AP183" s="295"/>
      <c r="AQ183" s="295"/>
      <c r="AR183" s="295"/>
      <c r="AS183" s="295"/>
      <c r="AT183" s="295"/>
      <c r="AU183" s="293"/>
      <c r="AV183" s="311"/>
      <c r="AW183" s="311"/>
      <c r="AX183" s="311"/>
      <c r="AY183" s="311"/>
      <c r="AZ183" s="311"/>
      <c r="BA183" s="311"/>
      <c r="BB183" s="311"/>
      <c r="BC183" s="311"/>
      <c r="BD183" s="293">
        <f t="shared" si="68"/>
        <v>0</v>
      </c>
      <c r="BE183" s="221"/>
      <c r="BF183" s="294"/>
      <c r="BG183" s="294"/>
      <c r="BH183" s="294"/>
      <c r="BI183" s="293">
        <f t="shared" si="80"/>
        <v>0</v>
      </c>
      <c r="BJ183" s="300"/>
      <c r="BK183" s="301">
        <f t="shared" si="69"/>
        <v>0</v>
      </c>
      <c r="BL183" s="312">
        <f t="shared" si="70"/>
        <v>0</v>
      </c>
      <c r="BM183" s="313">
        <f t="shared" si="71"/>
        <v>0</v>
      </c>
      <c r="BN183" s="336"/>
      <c r="BP183" s="305"/>
      <c r="BQ183" s="305"/>
      <c r="BR183" s="305"/>
      <c r="BS183" s="305"/>
      <c r="BT183" s="305"/>
      <c r="BU183" s="305"/>
      <c r="BV183" s="305"/>
      <c r="BW183" s="300">
        <f t="shared" si="63"/>
        <v>0</v>
      </c>
      <c r="BX183" s="300"/>
      <c r="BY183" s="305"/>
      <c r="BZ183" s="305"/>
      <c r="CA183" s="305"/>
      <c r="CB183" s="305"/>
      <c r="CC183" s="305"/>
      <c r="CD183" s="305"/>
      <c r="CE183" s="305"/>
      <c r="CF183" s="300">
        <f t="shared" si="64"/>
        <v>0</v>
      </c>
      <c r="CG183" s="300"/>
      <c r="CH183" s="305"/>
      <c r="CI183" s="305"/>
      <c r="CJ183" s="305"/>
      <c r="CK183" s="305"/>
      <c r="CL183" s="305"/>
      <c r="CM183" s="305"/>
      <c r="CN183" s="305"/>
      <c r="CO183" s="300">
        <f t="shared" si="65"/>
        <v>0</v>
      </c>
      <c r="CQ183" s="307">
        <f t="shared" si="72"/>
        <v>0</v>
      </c>
      <c r="CR183" s="307">
        <f t="shared" si="73"/>
        <v>0</v>
      </c>
      <c r="CS183" s="307">
        <f t="shared" si="74"/>
        <v>0</v>
      </c>
      <c r="CT183" s="307">
        <f t="shared" si="75"/>
        <v>0</v>
      </c>
      <c r="CU183" s="307">
        <f t="shared" si="76"/>
        <v>0</v>
      </c>
      <c r="CV183" s="307">
        <f t="shared" si="77"/>
        <v>0</v>
      </c>
      <c r="CW183" s="307">
        <f t="shared" si="78"/>
        <v>0</v>
      </c>
      <c r="CX183" s="307">
        <f t="shared" si="66"/>
        <v>0</v>
      </c>
      <c r="CY183" s="307">
        <f t="shared" si="79"/>
        <v>0</v>
      </c>
    </row>
    <row r="184" spans="1:103" s="230" customFormat="1" ht="21" customHeight="1">
      <c r="A184" s="308"/>
      <c r="B184" s="309"/>
      <c r="C184" s="287" t="str">
        <f>IF($A184=0,"",(VLOOKUP(A184,[3]MAT!$B$5:$D$4756,3,FALSE)))</f>
        <v/>
      </c>
      <c r="D184" s="288" t="str">
        <f>IF($A184=0,"",(VLOOKUP(A184,[4]Hoja1!$A$2:$D$10000,4,FALSE)))</f>
        <v/>
      </c>
      <c r="E184" s="290"/>
      <c r="F184" s="310"/>
      <c r="G184" s="311"/>
      <c r="H184" s="293"/>
      <c r="I184" s="221"/>
      <c r="J184" s="294"/>
      <c r="K184" s="294"/>
      <c r="L184" s="295"/>
      <c r="M184" s="293"/>
      <c r="N184" s="221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  <c r="AA184" s="294"/>
      <c r="AB184" s="294"/>
      <c r="AC184" s="294"/>
      <c r="AD184" s="294"/>
      <c r="AE184" s="293"/>
      <c r="AF184" s="221"/>
      <c r="AG184" s="294"/>
      <c r="AH184" s="294"/>
      <c r="AI184" s="295"/>
      <c r="AJ184" s="293"/>
      <c r="AK184" s="295"/>
      <c r="AL184" s="295"/>
      <c r="AM184" s="295"/>
      <c r="AN184" s="295"/>
      <c r="AO184" s="295"/>
      <c r="AP184" s="295"/>
      <c r="AQ184" s="295"/>
      <c r="AR184" s="295"/>
      <c r="AS184" s="295"/>
      <c r="AT184" s="295"/>
      <c r="AU184" s="293"/>
      <c r="AV184" s="311"/>
      <c r="AW184" s="311"/>
      <c r="AX184" s="311"/>
      <c r="AY184" s="311"/>
      <c r="AZ184" s="311"/>
      <c r="BA184" s="311"/>
      <c r="BB184" s="311"/>
      <c r="BC184" s="311"/>
      <c r="BD184" s="293">
        <f t="shared" si="68"/>
        <v>0</v>
      </c>
      <c r="BE184" s="221"/>
      <c r="BF184" s="294"/>
      <c r="BG184" s="294"/>
      <c r="BH184" s="294"/>
      <c r="BI184" s="293">
        <f t="shared" si="80"/>
        <v>0</v>
      </c>
      <c r="BJ184" s="300"/>
      <c r="BK184" s="301">
        <f t="shared" si="69"/>
        <v>0</v>
      </c>
      <c r="BL184" s="312">
        <f t="shared" si="70"/>
        <v>0</v>
      </c>
      <c r="BM184" s="313">
        <f t="shared" si="71"/>
        <v>0</v>
      </c>
      <c r="BN184" s="336"/>
      <c r="BP184" s="305"/>
      <c r="BQ184" s="305"/>
      <c r="BR184" s="305"/>
      <c r="BS184" s="305"/>
      <c r="BT184" s="305"/>
      <c r="BU184" s="305"/>
      <c r="BV184" s="305"/>
      <c r="BW184" s="300">
        <f t="shared" si="63"/>
        <v>0</v>
      </c>
      <c r="BX184" s="300"/>
      <c r="BY184" s="305"/>
      <c r="BZ184" s="305"/>
      <c r="CA184" s="305"/>
      <c r="CB184" s="305"/>
      <c r="CC184" s="305"/>
      <c r="CD184" s="305"/>
      <c r="CE184" s="305"/>
      <c r="CF184" s="300">
        <f t="shared" si="64"/>
        <v>0</v>
      </c>
      <c r="CG184" s="300"/>
      <c r="CH184" s="305"/>
      <c r="CI184" s="305"/>
      <c r="CJ184" s="305"/>
      <c r="CK184" s="305"/>
      <c r="CL184" s="305"/>
      <c r="CM184" s="305"/>
      <c r="CN184" s="305"/>
      <c r="CO184" s="300">
        <f t="shared" si="65"/>
        <v>0</v>
      </c>
      <c r="CQ184" s="307">
        <f t="shared" si="72"/>
        <v>0</v>
      </c>
      <c r="CR184" s="307">
        <f t="shared" si="73"/>
        <v>0</v>
      </c>
      <c r="CS184" s="307">
        <f t="shared" si="74"/>
        <v>0</v>
      </c>
      <c r="CT184" s="307">
        <f t="shared" si="75"/>
        <v>0</v>
      </c>
      <c r="CU184" s="307">
        <f t="shared" si="76"/>
        <v>0</v>
      </c>
      <c r="CV184" s="307">
        <f t="shared" si="77"/>
        <v>0</v>
      </c>
      <c r="CW184" s="307">
        <f t="shared" si="78"/>
        <v>0</v>
      </c>
      <c r="CX184" s="307">
        <f t="shared" si="66"/>
        <v>0</v>
      </c>
      <c r="CY184" s="307">
        <f t="shared" si="79"/>
        <v>0</v>
      </c>
    </row>
    <row r="185" spans="1:103" s="230" customFormat="1" ht="21" customHeight="1">
      <c r="A185" s="308"/>
      <c r="B185" s="309"/>
      <c r="C185" s="287" t="str">
        <f>IF($A185=0,"",(VLOOKUP(A185,[3]MAT!$B$5:$D$4756,3,FALSE)))</f>
        <v/>
      </c>
      <c r="D185" s="288" t="str">
        <f>IF($A185=0,"",(VLOOKUP(A185,[4]Hoja1!$A$2:$D$10000,4,FALSE)))</f>
        <v/>
      </c>
      <c r="E185" s="290"/>
      <c r="F185" s="310"/>
      <c r="G185" s="311"/>
      <c r="H185" s="293"/>
      <c r="I185" s="221"/>
      <c r="J185" s="294"/>
      <c r="K185" s="294"/>
      <c r="L185" s="295"/>
      <c r="M185" s="293"/>
      <c r="N185" s="221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94"/>
      <c r="AB185" s="294"/>
      <c r="AC185" s="294"/>
      <c r="AD185" s="294"/>
      <c r="AE185" s="293"/>
      <c r="AF185" s="221"/>
      <c r="AG185" s="294"/>
      <c r="AH185" s="294"/>
      <c r="AI185" s="295"/>
      <c r="AJ185" s="293"/>
      <c r="AK185" s="295"/>
      <c r="AL185" s="295"/>
      <c r="AM185" s="295"/>
      <c r="AN185" s="295"/>
      <c r="AO185" s="295"/>
      <c r="AP185" s="295"/>
      <c r="AQ185" s="295"/>
      <c r="AR185" s="295"/>
      <c r="AS185" s="295"/>
      <c r="AT185" s="295"/>
      <c r="AU185" s="293"/>
      <c r="AV185" s="311"/>
      <c r="AW185" s="311"/>
      <c r="AX185" s="311"/>
      <c r="AY185" s="311"/>
      <c r="AZ185" s="311"/>
      <c r="BA185" s="311"/>
      <c r="BB185" s="311"/>
      <c r="BC185" s="311"/>
      <c r="BD185" s="293">
        <f t="shared" si="68"/>
        <v>0</v>
      </c>
      <c r="BE185" s="221"/>
      <c r="BF185" s="294"/>
      <c r="BG185" s="294"/>
      <c r="BH185" s="294"/>
      <c r="BI185" s="293">
        <f t="shared" si="80"/>
        <v>0</v>
      </c>
      <c r="BJ185" s="300"/>
      <c r="BK185" s="301">
        <f t="shared" si="69"/>
        <v>0</v>
      </c>
      <c r="BL185" s="312">
        <f t="shared" si="70"/>
        <v>0</v>
      </c>
      <c r="BM185" s="313">
        <f t="shared" si="71"/>
        <v>0</v>
      </c>
      <c r="BN185" s="336"/>
      <c r="BP185" s="305"/>
      <c r="BQ185" s="305"/>
      <c r="BR185" s="305"/>
      <c r="BS185" s="305"/>
      <c r="BT185" s="305"/>
      <c r="BU185" s="305"/>
      <c r="BV185" s="305"/>
      <c r="BW185" s="300">
        <f t="shared" si="63"/>
        <v>0</v>
      </c>
      <c r="BX185" s="300"/>
      <c r="BY185" s="305"/>
      <c r="BZ185" s="305"/>
      <c r="CA185" s="305"/>
      <c r="CB185" s="305"/>
      <c r="CC185" s="305"/>
      <c r="CD185" s="305"/>
      <c r="CE185" s="305"/>
      <c r="CF185" s="300">
        <f t="shared" si="64"/>
        <v>0</v>
      </c>
      <c r="CG185" s="300"/>
      <c r="CH185" s="305"/>
      <c r="CI185" s="305"/>
      <c r="CJ185" s="305"/>
      <c r="CK185" s="305"/>
      <c r="CL185" s="305"/>
      <c r="CM185" s="305"/>
      <c r="CN185" s="305"/>
      <c r="CO185" s="300">
        <f t="shared" si="65"/>
        <v>0</v>
      </c>
      <c r="CQ185" s="307">
        <f t="shared" si="72"/>
        <v>0</v>
      </c>
      <c r="CR185" s="307">
        <f t="shared" si="73"/>
        <v>0</v>
      </c>
      <c r="CS185" s="307">
        <f t="shared" si="74"/>
        <v>0</v>
      </c>
      <c r="CT185" s="307">
        <f t="shared" si="75"/>
        <v>0</v>
      </c>
      <c r="CU185" s="307">
        <f t="shared" si="76"/>
        <v>0</v>
      </c>
      <c r="CV185" s="307">
        <f t="shared" si="77"/>
        <v>0</v>
      </c>
      <c r="CW185" s="307">
        <f t="shared" si="78"/>
        <v>0</v>
      </c>
      <c r="CX185" s="307">
        <f t="shared" si="66"/>
        <v>0</v>
      </c>
      <c r="CY185" s="307">
        <f t="shared" si="79"/>
        <v>0</v>
      </c>
    </row>
    <row r="186" spans="1:103" s="230" customFormat="1" ht="21" customHeight="1">
      <c r="A186" s="308"/>
      <c r="B186" s="309"/>
      <c r="C186" s="287" t="str">
        <f>IF($A186=0,"",(VLOOKUP(A186,[3]MAT!$B$5:$D$4756,3,FALSE)))</f>
        <v/>
      </c>
      <c r="D186" s="288" t="str">
        <f>IF($A186=0,"",(VLOOKUP(A186,[4]Hoja1!$A$2:$D$10000,4,FALSE)))</f>
        <v/>
      </c>
      <c r="E186" s="290"/>
      <c r="F186" s="310"/>
      <c r="G186" s="311"/>
      <c r="H186" s="293"/>
      <c r="I186" s="221"/>
      <c r="J186" s="294"/>
      <c r="K186" s="294"/>
      <c r="L186" s="295"/>
      <c r="M186" s="293"/>
      <c r="N186" s="221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94"/>
      <c r="AB186" s="294"/>
      <c r="AC186" s="294"/>
      <c r="AD186" s="294"/>
      <c r="AE186" s="293"/>
      <c r="AF186" s="221"/>
      <c r="AG186" s="294"/>
      <c r="AH186" s="294"/>
      <c r="AI186" s="295"/>
      <c r="AJ186" s="293"/>
      <c r="AK186" s="295"/>
      <c r="AL186" s="295"/>
      <c r="AM186" s="295"/>
      <c r="AN186" s="295"/>
      <c r="AO186" s="295"/>
      <c r="AP186" s="295"/>
      <c r="AQ186" s="295"/>
      <c r="AR186" s="295"/>
      <c r="AS186" s="295"/>
      <c r="AT186" s="295"/>
      <c r="AU186" s="293"/>
      <c r="AV186" s="311"/>
      <c r="AW186" s="311"/>
      <c r="AX186" s="311"/>
      <c r="AY186" s="311"/>
      <c r="AZ186" s="311"/>
      <c r="BA186" s="311"/>
      <c r="BB186" s="311"/>
      <c r="BC186" s="311"/>
      <c r="BD186" s="293">
        <f t="shared" si="68"/>
        <v>0</v>
      </c>
      <c r="BE186" s="221"/>
      <c r="BF186" s="294"/>
      <c r="BG186" s="294"/>
      <c r="BH186" s="294"/>
      <c r="BI186" s="293">
        <f t="shared" si="80"/>
        <v>0</v>
      </c>
      <c r="BJ186" s="300"/>
      <c r="BK186" s="301">
        <f t="shared" si="69"/>
        <v>0</v>
      </c>
      <c r="BL186" s="312">
        <f t="shared" si="70"/>
        <v>0</v>
      </c>
      <c r="BM186" s="313">
        <f t="shared" si="71"/>
        <v>0</v>
      </c>
      <c r="BN186" s="336"/>
      <c r="BP186" s="305"/>
      <c r="BQ186" s="305"/>
      <c r="BR186" s="305"/>
      <c r="BS186" s="305"/>
      <c r="BT186" s="305"/>
      <c r="BU186" s="305"/>
      <c r="BV186" s="305"/>
      <c r="BW186" s="300">
        <f t="shared" si="63"/>
        <v>0</v>
      </c>
      <c r="BX186" s="300"/>
      <c r="BY186" s="305"/>
      <c r="BZ186" s="305"/>
      <c r="CA186" s="305"/>
      <c r="CB186" s="305"/>
      <c r="CC186" s="305"/>
      <c r="CD186" s="305"/>
      <c r="CE186" s="305"/>
      <c r="CF186" s="300">
        <f t="shared" si="64"/>
        <v>0</v>
      </c>
      <c r="CG186" s="300"/>
      <c r="CH186" s="305"/>
      <c r="CI186" s="305"/>
      <c r="CJ186" s="305"/>
      <c r="CK186" s="305"/>
      <c r="CL186" s="305"/>
      <c r="CM186" s="305"/>
      <c r="CN186" s="305"/>
      <c r="CO186" s="300">
        <f t="shared" si="65"/>
        <v>0</v>
      </c>
      <c r="CQ186" s="307">
        <f t="shared" si="72"/>
        <v>0</v>
      </c>
      <c r="CR186" s="307">
        <f t="shared" si="73"/>
        <v>0</v>
      </c>
      <c r="CS186" s="307">
        <f t="shared" si="74"/>
        <v>0</v>
      </c>
      <c r="CT186" s="307">
        <f t="shared" si="75"/>
        <v>0</v>
      </c>
      <c r="CU186" s="307">
        <f t="shared" si="76"/>
        <v>0</v>
      </c>
      <c r="CV186" s="307">
        <f t="shared" si="77"/>
        <v>0</v>
      </c>
      <c r="CW186" s="307">
        <f t="shared" si="78"/>
        <v>0</v>
      </c>
      <c r="CX186" s="307">
        <f t="shared" si="66"/>
        <v>0</v>
      </c>
      <c r="CY186" s="307">
        <f t="shared" si="79"/>
        <v>0</v>
      </c>
    </row>
    <row r="187" spans="1:103" s="230" customFormat="1" ht="21" customHeight="1">
      <c r="A187" s="308"/>
      <c r="B187" s="309"/>
      <c r="C187" s="287" t="str">
        <f>IF($A187=0,"",(VLOOKUP(A187,[3]MAT!$B$5:$D$4756,3,FALSE)))</f>
        <v/>
      </c>
      <c r="D187" s="288" t="str">
        <f>IF($A187=0,"",(VLOOKUP(A187,[4]Hoja1!$A$2:$D$10000,4,FALSE)))</f>
        <v/>
      </c>
      <c r="E187" s="290"/>
      <c r="F187" s="310"/>
      <c r="G187" s="311"/>
      <c r="H187" s="293"/>
      <c r="I187" s="221"/>
      <c r="J187" s="294"/>
      <c r="K187" s="294"/>
      <c r="L187" s="295"/>
      <c r="M187" s="293"/>
      <c r="N187" s="221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  <c r="AA187" s="294"/>
      <c r="AB187" s="294"/>
      <c r="AC187" s="294"/>
      <c r="AD187" s="294"/>
      <c r="AE187" s="293"/>
      <c r="AF187" s="221"/>
      <c r="AG187" s="294"/>
      <c r="AH187" s="294"/>
      <c r="AI187" s="295"/>
      <c r="AJ187" s="293"/>
      <c r="AK187" s="295"/>
      <c r="AL187" s="295"/>
      <c r="AM187" s="295"/>
      <c r="AN187" s="295"/>
      <c r="AO187" s="295"/>
      <c r="AP187" s="295"/>
      <c r="AQ187" s="295"/>
      <c r="AR187" s="295"/>
      <c r="AS187" s="295"/>
      <c r="AT187" s="295"/>
      <c r="AU187" s="293"/>
      <c r="AV187" s="311"/>
      <c r="AW187" s="311"/>
      <c r="AX187" s="311"/>
      <c r="AY187" s="311"/>
      <c r="AZ187" s="311"/>
      <c r="BA187" s="311"/>
      <c r="BB187" s="311"/>
      <c r="BC187" s="311"/>
      <c r="BD187" s="293">
        <f t="shared" si="68"/>
        <v>0</v>
      </c>
      <c r="BE187" s="221"/>
      <c r="BF187" s="294"/>
      <c r="BG187" s="294"/>
      <c r="BH187" s="294"/>
      <c r="BI187" s="293">
        <f t="shared" si="80"/>
        <v>0</v>
      </c>
      <c r="BJ187" s="300"/>
      <c r="BK187" s="301">
        <f t="shared" si="69"/>
        <v>0</v>
      </c>
      <c r="BL187" s="312">
        <f t="shared" si="70"/>
        <v>0</v>
      </c>
      <c r="BM187" s="313">
        <f t="shared" si="71"/>
        <v>0</v>
      </c>
      <c r="BN187" s="336"/>
      <c r="BP187" s="305"/>
      <c r="BQ187" s="305"/>
      <c r="BR187" s="305"/>
      <c r="BS187" s="305"/>
      <c r="BT187" s="305"/>
      <c r="BU187" s="305"/>
      <c r="BV187" s="305"/>
      <c r="BW187" s="300">
        <f t="shared" si="63"/>
        <v>0</v>
      </c>
      <c r="BX187" s="300"/>
      <c r="BY187" s="305"/>
      <c r="BZ187" s="305"/>
      <c r="CA187" s="305"/>
      <c r="CB187" s="305"/>
      <c r="CC187" s="305"/>
      <c r="CD187" s="305"/>
      <c r="CE187" s="305"/>
      <c r="CF187" s="300">
        <f t="shared" si="64"/>
        <v>0</v>
      </c>
      <c r="CG187" s="300"/>
      <c r="CH187" s="305"/>
      <c r="CI187" s="305"/>
      <c r="CJ187" s="305"/>
      <c r="CK187" s="305"/>
      <c r="CL187" s="305"/>
      <c r="CM187" s="305"/>
      <c r="CN187" s="305"/>
      <c r="CO187" s="300">
        <f t="shared" si="65"/>
        <v>0</v>
      </c>
      <c r="CQ187" s="307">
        <f t="shared" si="72"/>
        <v>0</v>
      </c>
      <c r="CR187" s="307">
        <f t="shared" si="73"/>
        <v>0</v>
      </c>
      <c r="CS187" s="307">
        <f t="shared" si="74"/>
        <v>0</v>
      </c>
      <c r="CT187" s="307">
        <f t="shared" si="75"/>
        <v>0</v>
      </c>
      <c r="CU187" s="307">
        <f t="shared" si="76"/>
        <v>0</v>
      </c>
      <c r="CV187" s="307">
        <f t="shared" si="77"/>
        <v>0</v>
      </c>
      <c r="CW187" s="307">
        <f t="shared" si="78"/>
        <v>0</v>
      </c>
      <c r="CX187" s="307">
        <f t="shared" si="66"/>
        <v>0</v>
      </c>
      <c r="CY187" s="307">
        <f t="shared" si="79"/>
        <v>0</v>
      </c>
    </row>
    <row r="188" spans="1:103" s="230" customFormat="1" ht="21" customHeight="1">
      <c r="A188" s="308"/>
      <c r="B188" s="309"/>
      <c r="C188" s="287" t="str">
        <f>IF($A188=0,"",(VLOOKUP(A188,[3]MAT!$B$5:$D$4756,3,FALSE)))</f>
        <v/>
      </c>
      <c r="D188" s="288" t="str">
        <f>IF($A188=0,"",(VLOOKUP(A188,[4]Hoja1!$A$2:$D$10000,4,FALSE)))</f>
        <v/>
      </c>
      <c r="E188" s="290"/>
      <c r="F188" s="310"/>
      <c r="G188" s="311"/>
      <c r="H188" s="293"/>
      <c r="I188" s="221"/>
      <c r="J188" s="294"/>
      <c r="K188" s="294"/>
      <c r="L188" s="295"/>
      <c r="M188" s="293"/>
      <c r="N188" s="221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294"/>
      <c r="AB188" s="294"/>
      <c r="AC188" s="294"/>
      <c r="AD188" s="294"/>
      <c r="AE188" s="293"/>
      <c r="AF188" s="221"/>
      <c r="AG188" s="294"/>
      <c r="AH188" s="294"/>
      <c r="AI188" s="295"/>
      <c r="AJ188" s="293"/>
      <c r="AK188" s="295"/>
      <c r="AL188" s="295"/>
      <c r="AM188" s="295"/>
      <c r="AN188" s="295"/>
      <c r="AO188" s="295"/>
      <c r="AP188" s="295"/>
      <c r="AQ188" s="295"/>
      <c r="AR188" s="295"/>
      <c r="AS188" s="295"/>
      <c r="AT188" s="295"/>
      <c r="AU188" s="293"/>
      <c r="AV188" s="311"/>
      <c r="AW188" s="311"/>
      <c r="AX188" s="311"/>
      <c r="AY188" s="311"/>
      <c r="AZ188" s="311"/>
      <c r="BA188" s="311"/>
      <c r="BB188" s="311"/>
      <c r="BC188" s="311"/>
      <c r="BD188" s="293">
        <f t="shared" si="68"/>
        <v>0</v>
      </c>
      <c r="BE188" s="221"/>
      <c r="BF188" s="294"/>
      <c r="BG188" s="294"/>
      <c r="BH188" s="294"/>
      <c r="BI188" s="293">
        <f t="shared" si="80"/>
        <v>0</v>
      </c>
      <c r="BJ188" s="300"/>
      <c r="BK188" s="301">
        <f t="shared" si="69"/>
        <v>0</v>
      </c>
      <c r="BL188" s="312">
        <f t="shared" si="70"/>
        <v>0</v>
      </c>
      <c r="BM188" s="313">
        <f t="shared" si="71"/>
        <v>0</v>
      </c>
      <c r="BN188" s="336"/>
      <c r="BP188" s="305"/>
      <c r="BQ188" s="305"/>
      <c r="BR188" s="305"/>
      <c r="BS188" s="305"/>
      <c r="BT188" s="305"/>
      <c r="BU188" s="305"/>
      <c r="BV188" s="305"/>
      <c r="BW188" s="300">
        <f t="shared" si="63"/>
        <v>0</v>
      </c>
      <c r="BX188" s="300"/>
      <c r="BY188" s="305"/>
      <c r="BZ188" s="305"/>
      <c r="CA188" s="305"/>
      <c r="CB188" s="305"/>
      <c r="CC188" s="305"/>
      <c r="CD188" s="305"/>
      <c r="CE188" s="305"/>
      <c r="CF188" s="300">
        <f t="shared" si="64"/>
        <v>0</v>
      </c>
      <c r="CG188" s="300"/>
      <c r="CH188" s="305"/>
      <c r="CI188" s="305"/>
      <c r="CJ188" s="305"/>
      <c r="CK188" s="305"/>
      <c r="CL188" s="305"/>
      <c r="CM188" s="305"/>
      <c r="CN188" s="305"/>
      <c r="CO188" s="300">
        <f t="shared" si="65"/>
        <v>0</v>
      </c>
      <c r="CQ188" s="307">
        <f t="shared" si="72"/>
        <v>0</v>
      </c>
      <c r="CR188" s="307">
        <f t="shared" si="73"/>
        <v>0</v>
      </c>
      <c r="CS188" s="307">
        <f t="shared" si="74"/>
        <v>0</v>
      </c>
      <c r="CT188" s="307">
        <f t="shared" si="75"/>
        <v>0</v>
      </c>
      <c r="CU188" s="307">
        <f t="shared" si="76"/>
        <v>0</v>
      </c>
      <c r="CV188" s="307">
        <f t="shared" si="77"/>
        <v>0</v>
      </c>
      <c r="CW188" s="307">
        <f t="shared" si="78"/>
        <v>0</v>
      </c>
      <c r="CX188" s="307">
        <f t="shared" si="66"/>
        <v>0</v>
      </c>
      <c r="CY188" s="307">
        <f t="shared" si="79"/>
        <v>0</v>
      </c>
    </row>
    <row r="189" spans="1:103" s="230" customFormat="1" ht="21" customHeight="1">
      <c r="A189" s="308"/>
      <c r="B189" s="309"/>
      <c r="C189" s="287" t="str">
        <f>IF($A189=0,"",(VLOOKUP(A189,[3]MAT!$B$5:$D$4756,3,FALSE)))</f>
        <v/>
      </c>
      <c r="D189" s="288" t="str">
        <f>IF($A189=0,"",(VLOOKUP(A189,[4]Hoja1!$A$2:$D$10000,4,FALSE)))</f>
        <v/>
      </c>
      <c r="E189" s="290"/>
      <c r="F189" s="310"/>
      <c r="G189" s="311"/>
      <c r="H189" s="293"/>
      <c r="I189" s="221"/>
      <c r="J189" s="294"/>
      <c r="K189" s="294"/>
      <c r="L189" s="295"/>
      <c r="M189" s="293"/>
      <c r="N189" s="221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  <c r="AA189" s="294"/>
      <c r="AB189" s="294"/>
      <c r="AC189" s="294"/>
      <c r="AD189" s="294"/>
      <c r="AE189" s="293"/>
      <c r="AF189" s="221"/>
      <c r="AG189" s="294"/>
      <c r="AH189" s="294"/>
      <c r="AI189" s="295"/>
      <c r="AJ189" s="293"/>
      <c r="AK189" s="295"/>
      <c r="AL189" s="295"/>
      <c r="AM189" s="295"/>
      <c r="AN189" s="295"/>
      <c r="AO189" s="295"/>
      <c r="AP189" s="295"/>
      <c r="AQ189" s="295"/>
      <c r="AR189" s="295"/>
      <c r="AS189" s="295"/>
      <c r="AT189" s="295"/>
      <c r="AU189" s="293"/>
      <c r="AV189" s="311"/>
      <c r="AW189" s="311"/>
      <c r="AX189" s="311"/>
      <c r="AY189" s="311"/>
      <c r="AZ189" s="311"/>
      <c r="BA189" s="311"/>
      <c r="BB189" s="311"/>
      <c r="BC189" s="311"/>
      <c r="BD189" s="293">
        <f t="shared" si="68"/>
        <v>0</v>
      </c>
      <c r="BE189" s="221"/>
      <c r="BF189" s="294"/>
      <c r="BG189" s="294"/>
      <c r="BH189" s="294"/>
      <c r="BI189" s="293">
        <f t="shared" si="80"/>
        <v>0</v>
      </c>
      <c r="BJ189" s="300"/>
      <c r="BK189" s="301">
        <f t="shared" si="69"/>
        <v>0</v>
      </c>
      <c r="BL189" s="312">
        <f t="shared" si="70"/>
        <v>0</v>
      </c>
      <c r="BM189" s="313">
        <f t="shared" si="71"/>
        <v>0</v>
      </c>
      <c r="BN189" s="336"/>
      <c r="BP189" s="305"/>
      <c r="BQ189" s="305"/>
      <c r="BR189" s="305"/>
      <c r="BS189" s="305"/>
      <c r="BT189" s="305"/>
      <c r="BU189" s="305"/>
      <c r="BV189" s="305"/>
      <c r="BW189" s="300">
        <f t="shared" si="63"/>
        <v>0</v>
      </c>
      <c r="BX189" s="300"/>
      <c r="BY189" s="305"/>
      <c r="BZ189" s="305"/>
      <c r="CA189" s="305"/>
      <c r="CB189" s="305"/>
      <c r="CC189" s="305"/>
      <c r="CD189" s="305"/>
      <c r="CE189" s="305"/>
      <c r="CF189" s="300">
        <f t="shared" si="64"/>
        <v>0</v>
      </c>
      <c r="CG189" s="300"/>
      <c r="CH189" s="305"/>
      <c r="CI189" s="305"/>
      <c r="CJ189" s="305"/>
      <c r="CK189" s="305"/>
      <c r="CL189" s="305"/>
      <c r="CM189" s="305"/>
      <c r="CN189" s="305"/>
      <c r="CO189" s="300">
        <f t="shared" si="65"/>
        <v>0</v>
      </c>
      <c r="CQ189" s="307">
        <f t="shared" si="72"/>
        <v>0</v>
      </c>
      <c r="CR189" s="307">
        <f t="shared" si="73"/>
        <v>0</v>
      </c>
      <c r="CS189" s="307">
        <f t="shared" si="74"/>
        <v>0</v>
      </c>
      <c r="CT189" s="307">
        <f t="shared" si="75"/>
        <v>0</v>
      </c>
      <c r="CU189" s="307">
        <f t="shared" si="76"/>
        <v>0</v>
      </c>
      <c r="CV189" s="307">
        <f t="shared" si="77"/>
        <v>0</v>
      </c>
      <c r="CW189" s="307">
        <f t="shared" si="78"/>
        <v>0</v>
      </c>
      <c r="CX189" s="307">
        <f t="shared" si="66"/>
        <v>0</v>
      </c>
      <c r="CY189" s="307">
        <f t="shared" si="79"/>
        <v>0</v>
      </c>
    </row>
    <row r="190" spans="1:103" s="230" customFormat="1" ht="21" customHeight="1">
      <c r="A190" s="308"/>
      <c r="B190" s="309"/>
      <c r="C190" s="287" t="str">
        <f>IF($A190=0,"",(VLOOKUP(A190,[3]MAT!$B$5:$D$4756,3,FALSE)))</f>
        <v/>
      </c>
      <c r="D190" s="288" t="str">
        <f>IF($A190=0,"",(VLOOKUP(A190,[4]Hoja1!$A$2:$D$10000,4,FALSE)))</f>
        <v/>
      </c>
      <c r="E190" s="290"/>
      <c r="F190" s="310"/>
      <c r="G190" s="311"/>
      <c r="H190" s="293"/>
      <c r="I190" s="221"/>
      <c r="J190" s="294"/>
      <c r="K190" s="294"/>
      <c r="L190" s="295"/>
      <c r="M190" s="293"/>
      <c r="N190" s="221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  <c r="AA190" s="294"/>
      <c r="AB190" s="294"/>
      <c r="AC190" s="294"/>
      <c r="AD190" s="294"/>
      <c r="AE190" s="293"/>
      <c r="AF190" s="221"/>
      <c r="AG190" s="294"/>
      <c r="AH190" s="294"/>
      <c r="AI190" s="295"/>
      <c r="AJ190" s="293"/>
      <c r="AK190" s="295"/>
      <c r="AL190" s="295"/>
      <c r="AM190" s="295"/>
      <c r="AN190" s="295"/>
      <c r="AO190" s="295"/>
      <c r="AP190" s="295"/>
      <c r="AQ190" s="295"/>
      <c r="AR190" s="295"/>
      <c r="AS190" s="295"/>
      <c r="AT190" s="295"/>
      <c r="AU190" s="293"/>
      <c r="AV190" s="311"/>
      <c r="AW190" s="311"/>
      <c r="AX190" s="311"/>
      <c r="AY190" s="311"/>
      <c r="AZ190" s="311"/>
      <c r="BA190" s="311"/>
      <c r="BB190" s="311"/>
      <c r="BC190" s="311"/>
      <c r="BD190" s="293">
        <f t="shared" si="68"/>
        <v>0</v>
      </c>
      <c r="BE190" s="221"/>
      <c r="BF190" s="294"/>
      <c r="BG190" s="294"/>
      <c r="BH190" s="294"/>
      <c r="BI190" s="293">
        <f t="shared" si="80"/>
        <v>0</v>
      </c>
      <c r="BJ190" s="300"/>
      <c r="BK190" s="301">
        <f t="shared" si="69"/>
        <v>0</v>
      </c>
      <c r="BL190" s="312">
        <f t="shared" si="70"/>
        <v>0</v>
      </c>
      <c r="BM190" s="313">
        <f t="shared" si="71"/>
        <v>0</v>
      </c>
      <c r="BN190" s="336"/>
      <c r="BP190" s="305"/>
      <c r="BQ190" s="305"/>
      <c r="BR190" s="305"/>
      <c r="BS190" s="305"/>
      <c r="BT190" s="305"/>
      <c r="BU190" s="305"/>
      <c r="BV190" s="305"/>
      <c r="BW190" s="300">
        <f t="shared" si="63"/>
        <v>0</v>
      </c>
      <c r="BX190" s="300"/>
      <c r="BY190" s="305"/>
      <c r="BZ190" s="305"/>
      <c r="CA190" s="305"/>
      <c r="CB190" s="305"/>
      <c r="CC190" s="305"/>
      <c r="CD190" s="305"/>
      <c r="CE190" s="305"/>
      <c r="CF190" s="300">
        <f t="shared" si="64"/>
        <v>0</v>
      </c>
      <c r="CG190" s="300"/>
      <c r="CH190" s="305"/>
      <c r="CI190" s="305"/>
      <c r="CJ190" s="305"/>
      <c r="CK190" s="305"/>
      <c r="CL190" s="305"/>
      <c r="CM190" s="305"/>
      <c r="CN190" s="305"/>
      <c r="CO190" s="300">
        <f t="shared" si="65"/>
        <v>0</v>
      </c>
      <c r="CQ190" s="307">
        <f t="shared" si="72"/>
        <v>0</v>
      </c>
      <c r="CR190" s="307">
        <f t="shared" si="73"/>
        <v>0</v>
      </c>
      <c r="CS190" s="307">
        <f t="shared" si="74"/>
        <v>0</v>
      </c>
      <c r="CT190" s="307">
        <f t="shared" si="75"/>
        <v>0</v>
      </c>
      <c r="CU190" s="307">
        <f t="shared" si="76"/>
        <v>0</v>
      </c>
      <c r="CV190" s="307">
        <f t="shared" si="77"/>
        <v>0</v>
      </c>
      <c r="CW190" s="307">
        <f t="shared" si="78"/>
        <v>0</v>
      </c>
      <c r="CX190" s="307">
        <f t="shared" si="66"/>
        <v>0</v>
      </c>
      <c r="CY190" s="307">
        <f t="shared" si="79"/>
        <v>0</v>
      </c>
    </row>
    <row r="191" spans="1:103" s="230" customFormat="1" ht="21" customHeight="1">
      <c r="A191" s="308"/>
      <c r="B191" s="309"/>
      <c r="C191" s="287" t="str">
        <f>IF($A191=0,"",(VLOOKUP(A191,[3]MAT!$B$5:$D$4756,3,FALSE)))</f>
        <v/>
      </c>
      <c r="D191" s="288" t="str">
        <f>IF($A191=0,"",(VLOOKUP(A191,[4]Hoja1!$A$2:$D$10000,4,FALSE)))</f>
        <v/>
      </c>
      <c r="E191" s="290"/>
      <c r="F191" s="310"/>
      <c r="G191" s="311"/>
      <c r="H191" s="293"/>
      <c r="I191" s="221"/>
      <c r="J191" s="294"/>
      <c r="K191" s="294"/>
      <c r="L191" s="295"/>
      <c r="M191" s="293"/>
      <c r="N191" s="221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94"/>
      <c r="AB191" s="294"/>
      <c r="AC191" s="294"/>
      <c r="AD191" s="294"/>
      <c r="AE191" s="293"/>
      <c r="AF191" s="221"/>
      <c r="AG191" s="294"/>
      <c r="AH191" s="294"/>
      <c r="AI191" s="295"/>
      <c r="AJ191" s="293"/>
      <c r="AK191" s="295"/>
      <c r="AL191" s="295"/>
      <c r="AM191" s="295"/>
      <c r="AN191" s="295"/>
      <c r="AO191" s="295"/>
      <c r="AP191" s="295"/>
      <c r="AQ191" s="295"/>
      <c r="AR191" s="295"/>
      <c r="AS191" s="295"/>
      <c r="AT191" s="295"/>
      <c r="AU191" s="293"/>
      <c r="AV191" s="311"/>
      <c r="AW191" s="311"/>
      <c r="AX191" s="311"/>
      <c r="AY191" s="311"/>
      <c r="AZ191" s="311"/>
      <c r="BA191" s="311"/>
      <c r="BB191" s="311"/>
      <c r="BC191" s="311"/>
      <c r="BD191" s="293">
        <f t="shared" si="68"/>
        <v>0</v>
      </c>
      <c r="BE191" s="221"/>
      <c r="BF191" s="294"/>
      <c r="BG191" s="294"/>
      <c r="BH191" s="294"/>
      <c r="BI191" s="293">
        <f t="shared" si="80"/>
        <v>0</v>
      </c>
      <c r="BJ191" s="300"/>
      <c r="BK191" s="301">
        <f t="shared" si="69"/>
        <v>0</v>
      </c>
      <c r="BL191" s="312">
        <f t="shared" si="70"/>
        <v>0</v>
      </c>
      <c r="BM191" s="313">
        <f t="shared" si="71"/>
        <v>0</v>
      </c>
      <c r="BN191" s="339"/>
      <c r="BP191" s="305"/>
      <c r="BQ191" s="305"/>
      <c r="BR191" s="305"/>
      <c r="BS191" s="305"/>
      <c r="BT191" s="305"/>
      <c r="BU191" s="305"/>
      <c r="BV191" s="305"/>
      <c r="BW191" s="300">
        <f t="shared" si="63"/>
        <v>0</v>
      </c>
      <c r="BX191" s="300"/>
      <c r="BY191" s="305"/>
      <c r="BZ191" s="305"/>
      <c r="CA191" s="305"/>
      <c r="CB191" s="305"/>
      <c r="CC191" s="305"/>
      <c r="CD191" s="305"/>
      <c r="CE191" s="305"/>
      <c r="CF191" s="300">
        <f t="shared" si="64"/>
        <v>0</v>
      </c>
      <c r="CG191" s="300"/>
      <c r="CH191" s="305"/>
      <c r="CI191" s="305"/>
      <c r="CJ191" s="305"/>
      <c r="CK191" s="305"/>
      <c r="CL191" s="305"/>
      <c r="CM191" s="305"/>
      <c r="CN191" s="305"/>
      <c r="CO191" s="300">
        <f t="shared" si="65"/>
        <v>0</v>
      </c>
      <c r="CQ191" s="307">
        <f t="shared" si="72"/>
        <v>0</v>
      </c>
      <c r="CR191" s="307">
        <f t="shared" si="73"/>
        <v>0</v>
      </c>
      <c r="CS191" s="307">
        <f t="shared" si="74"/>
        <v>0</v>
      </c>
      <c r="CT191" s="307">
        <f t="shared" si="75"/>
        <v>0</v>
      </c>
      <c r="CU191" s="307">
        <f t="shared" si="76"/>
        <v>0</v>
      </c>
      <c r="CV191" s="307">
        <f t="shared" si="77"/>
        <v>0</v>
      </c>
      <c r="CW191" s="307">
        <f t="shared" si="78"/>
        <v>0</v>
      </c>
      <c r="CX191" s="307">
        <f t="shared" si="66"/>
        <v>0</v>
      </c>
      <c r="CY191" s="307">
        <f t="shared" si="79"/>
        <v>0</v>
      </c>
    </row>
    <row r="192" spans="1:103" s="230" customFormat="1" ht="20.25" customHeight="1">
      <c r="E192" s="234"/>
      <c r="F192" s="235"/>
      <c r="G192" s="235"/>
      <c r="H192" s="236"/>
      <c r="I192" s="235"/>
      <c r="J192" s="235"/>
      <c r="K192" s="235"/>
      <c r="L192" s="235"/>
      <c r="M192" s="236"/>
      <c r="N192" s="235"/>
      <c r="O192" s="235"/>
      <c r="P192" s="235"/>
      <c r="Q192" s="235"/>
      <c r="R192" s="235"/>
      <c r="S192" s="235"/>
      <c r="T192" s="235"/>
      <c r="U192" s="235"/>
      <c r="V192" s="235"/>
      <c r="W192" s="235"/>
      <c r="X192" s="235"/>
      <c r="Y192" s="235"/>
      <c r="Z192" s="235"/>
      <c r="AA192" s="235"/>
      <c r="AB192" s="235"/>
      <c r="AC192" s="235"/>
      <c r="AD192" s="235"/>
      <c r="AE192" s="236"/>
      <c r="AF192" s="235"/>
      <c r="AG192" s="235"/>
      <c r="AH192" s="235"/>
      <c r="AI192" s="235"/>
      <c r="AJ192" s="236"/>
      <c r="AK192" s="235"/>
      <c r="AL192" s="235"/>
      <c r="AM192" s="235"/>
      <c r="AN192" s="235"/>
      <c r="AO192" s="235"/>
      <c r="AP192" s="235"/>
      <c r="AQ192" s="235"/>
      <c r="AR192" s="235"/>
      <c r="AS192" s="235"/>
      <c r="AT192" s="235"/>
      <c r="AU192" s="236"/>
      <c r="AV192" s="235"/>
      <c r="AW192" s="235"/>
      <c r="AX192" s="235"/>
      <c r="AY192" s="235"/>
      <c r="AZ192" s="235"/>
      <c r="BA192" s="235"/>
      <c r="BB192" s="235"/>
      <c r="BC192" s="235"/>
      <c r="BD192" s="236"/>
      <c r="BE192" s="235"/>
      <c r="BF192" s="235"/>
      <c r="BG192" s="235"/>
      <c r="BH192" s="235"/>
      <c r="BI192" s="236"/>
      <c r="BJ192" s="236"/>
      <c r="BK192" s="238"/>
      <c r="BL192" s="239"/>
      <c r="BM192" s="239"/>
      <c r="BN192" s="340"/>
      <c r="BP192" s="236"/>
      <c r="BQ192" s="236"/>
      <c r="BR192" s="236"/>
      <c r="BS192" s="236"/>
      <c r="BT192" s="236"/>
      <c r="BU192" s="236"/>
      <c r="BV192" s="236"/>
      <c r="BW192" s="236"/>
      <c r="BX192" s="236"/>
      <c r="BY192" s="236"/>
      <c r="BZ192" s="236"/>
      <c r="CA192" s="236"/>
      <c r="CB192" s="236"/>
      <c r="CC192" s="236"/>
      <c r="CD192" s="236"/>
      <c r="CE192" s="236"/>
      <c r="CF192" s="236"/>
      <c r="CG192" s="236"/>
      <c r="CH192" s="236"/>
      <c r="CI192" s="236"/>
      <c r="CJ192" s="236"/>
      <c r="CK192" s="236"/>
      <c r="CL192" s="236"/>
      <c r="CM192" s="236"/>
      <c r="CN192" s="236"/>
      <c r="CO192" s="236"/>
    </row>
    <row r="193" spans="5:93" s="230" customFormat="1">
      <c r="E193" s="234"/>
      <c r="F193" s="235"/>
      <c r="G193" s="235"/>
      <c r="H193" s="236"/>
      <c r="I193" s="235"/>
      <c r="J193" s="235"/>
      <c r="K193" s="235"/>
      <c r="L193" s="235"/>
      <c r="M193" s="236"/>
      <c r="N193" s="235"/>
      <c r="O193" s="235"/>
      <c r="P193" s="235"/>
      <c r="Q193" s="235"/>
      <c r="R193" s="235"/>
      <c r="S193" s="235"/>
      <c r="T193" s="235"/>
      <c r="U193" s="235"/>
      <c r="V193" s="235"/>
      <c r="W193" s="235"/>
      <c r="X193" s="235"/>
      <c r="Y193" s="235"/>
      <c r="Z193" s="235"/>
      <c r="AA193" s="235"/>
      <c r="AB193" s="235"/>
      <c r="AC193" s="235"/>
      <c r="AD193" s="235"/>
      <c r="AE193" s="236"/>
      <c r="AF193" s="235"/>
      <c r="AG193" s="235"/>
      <c r="AH193" s="235"/>
      <c r="AI193" s="235"/>
      <c r="AJ193" s="236"/>
      <c r="AK193" s="235"/>
      <c r="AL193" s="235"/>
      <c r="AM193" s="235"/>
      <c r="AN193" s="235"/>
      <c r="AO193" s="235"/>
      <c r="AP193" s="235"/>
      <c r="AQ193" s="235"/>
      <c r="AR193" s="235"/>
      <c r="AS193" s="235"/>
      <c r="AT193" s="235"/>
      <c r="AU193" s="236"/>
      <c r="AV193" s="235"/>
      <c r="AW193" s="235"/>
      <c r="AX193" s="235"/>
      <c r="AY193" s="235"/>
      <c r="AZ193" s="235"/>
      <c r="BA193" s="235"/>
      <c r="BB193" s="235"/>
      <c r="BC193" s="235"/>
      <c r="BD193" s="236"/>
      <c r="BE193" s="235"/>
      <c r="BF193" s="235"/>
      <c r="BG193" s="235"/>
      <c r="BH193" s="235"/>
      <c r="BI193" s="236"/>
      <c r="BJ193" s="236"/>
      <c r="BK193" s="238"/>
      <c r="BL193" s="239"/>
      <c r="BM193" s="239"/>
      <c r="BN193" s="340"/>
      <c r="BP193" s="236"/>
      <c r="BQ193" s="236"/>
      <c r="BR193" s="236"/>
      <c r="BS193" s="236"/>
      <c r="BT193" s="236"/>
      <c r="BU193" s="236"/>
      <c r="BV193" s="236"/>
      <c r="BW193" s="236"/>
      <c r="BX193" s="236"/>
      <c r="BY193" s="236"/>
      <c r="BZ193" s="236"/>
      <c r="CA193" s="236"/>
      <c r="CB193" s="236"/>
      <c r="CC193" s="236"/>
      <c r="CD193" s="236"/>
      <c r="CE193" s="236"/>
      <c r="CF193" s="236"/>
      <c r="CG193" s="236"/>
      <c r="CH193" s="236"/>
      <c r="CI193" s="236"/>
      <c r="CJ193" s="236"/>
      <c r="CK193" s="236"/>
      <c r="CL193" s="236"/>
      <c r="CM193" s="236"/>
      <c r="CN193" s="236"/>
      <c r="CO193" s="236"/>
    </row>
    <row r="194" spans="5:93" s="230" customFormat="1">
      <c r="E194" s="234"/>
      <c r="F194" s="235"/>
      <c r="G194" s="235"/>
      <c r="H194" s="236"/>
      <c r="I194" s="235"/>
      <c r="J194" s="235"/>
      <c r="K194" s="235"/>
      <c r="L194" s="235"/>
      <c r="M194" s="236"/>
      <c r="N194" s="235"/>
      <c r="O194" s="235"/>
      <c r="P194" s="235"/>
      <c r="Q194" s="235"/>
      <c r="R194" s="235"/>
      <c r="S194" s="235"/>
      <c r="T194" s="235"/>
      <c r="U194" s="235"/>
      <c r="V194" s="235"/>
      <c r="W194" s="235"/>
      <c r="X194" s="235"/>
      <c r="Y194" s="235"/>
      <c r="Z194" s="235"/>
      <c r="AA194" s="235"/>
      <c r="AB194" s="235"/>
      <c r="AC194" s="235"/>
      <c r="AD194" s="235"/>
      <c r="AE194" s="236"/>
      <c r="AF194" s="235"/>
      <c r="AG194" s="235"/>
      <c r="AH194" s="235"/>
      <c r="AI194" s="235"/>
      <c r="AJ194" s="236"/>
      <c r="AK194" s="235"/>
      <c r="AL194" s="235"/>
      <c r="AM194" s="235"/>
      <c r="AN194" s="235"/>
      <c r="AO194" s="235"/>
      <c r="AP194" s="235"/>
      <c r="AQ194" s="235"/>
      <c r="AR194" s="235"/>
      <c r="AS194" s="235"/>
      <c r="AT194" s="235"/>
      <c r="AU194" s="236"/>
      <c r="AV194" s="235"/>
      <c r="AW194" s="235"/>
      <c r="AX194" s="235"/>
      <c r="AY194" s="235"/>
      <c r="AZ194" s="235"/>
      <c r="BA194" s="235"/>
      <c r="BB194" s="235"/>
      <c r="BC194" s="235"/>
      <c r="BD194" s="236"/>
      <c r="BE194" s="235"/>
      <c r="BF194" s="235"/>
      <c r="BG194" s="235"/>
      <c r="BH194" s="235"/>
      <c r="BI194" s="236"/>
      <c r="BJ194" s="236"/>
      <c r="BK194" s="238"/>
      <c r="BL194" s="239"/>
      <c r="BM194" s="239"/>
      <c r="BN194" s="340"/>
      <c r="BP194" s="236"/>
      <c r="BQ194" s="236"/>
      <c r="BR194" s="236"/>
      <c r="BS194" s="236"/>
      <c r="BT194" s="236"/>
      <c r="BU194" s="236"/>
      <c r="BV194" s="236"/>
      <c r="BW194" s="236"/>
      <c r="BX194" s="236"/>
      <c r="BY194" s="236"/>
      <c r="BZ194" s="236"/>
      <c r="CA194" s="236"/>
      <c r="CB194" s="236"/>
      <c r="CC194" s="236"/>
      <c r="CD194" s="236"/>
      <c r="CE194" s="236"/>
      <c r="CF194" s="236"/>
      <c r="CG194" s="236"/>
      <c r="CH194" s="236"/>
      <c r="CI194" s="236"/>
      <c r="CJ194" s="236"/>
      <c r="CK194" s="236"/>
      <c r="CL194" s="236"/>
      <c r="CM194" s="236"/>
      <c r="CN194" s="236"/>
      <c r="CO194" s="236"/>
    </row>
    <row r="195" spans="5:93" s="230" customFormat="1">
      <c r="E195" s="234"/>
      <c r="F195" s="235"/>
      <c r="G195" s="235"/>
      <c r="H195" s="236"/>
      <c r="I195" s="235"/>
      <c r="J195" s="235"/>
      <c r="K195" s="235"/>
      <c r="L195" s="235"/>
      <c r="M195" s="236"/>
      <c r="N195" s="235"/>
      <c r="O195" s="235"/>
      <c r="P195" s="235"/>
      <c r="Q195" s="235"/>
      <c r="R195" s="235"/>
      <c r="S195" s="235"/>
      <c r="T195" s="235"/>
      <c r="U195" s="235"/>
      <c r="V195" s="235"/>
      <c r="W195" s="235"/>
      <c r="X195" s="235"/>
      <c r="Y195" s="235"/>
      <c r="Z195" s="235"/>
      <c r="AA195" s="235"/>
      <c r="AB195" s="235"/>
      <c r="AC195" s="235"/>
      <c r="AD195" s="235"/>
      <c r="AE195" s="236"/>
      <c r="AF195" s="235"/>
      <c r="AG195" s="235"/>
      <c r="AH195" s="235"/>
      <c r="AI195" s="235"/>
      <c r="AJ195" s="236"/>
      <c r="AK195" s="235"/>
      <c r="AL195" s="235"/>
      <c r="AM195" s="235"/>
      <c r="AN195" s="235"/>
      <c r="AO195" s="235"/>
      <c r="AP195" s="235"/>
      <c r="AQ195" s="235"/>
      <c r="AR195" s="235"/>
      <c r="AS195" s="235"/>
      <c r="AT195" s="235"/>
      <c r="AU195" s="236"/>
      <c r="AV195" s="235"/>
      <c r="AW195" s="235"/>
      <c r="AX195" s="235"/>
      <c r="AY195" s="235"/>
      <c r="AZ195" s="235"/>
      <c r="BA195" s="235"/>
      <c r="BB195" s="235"/>
      <c r="BC195" s="235"/>
      <c r="BD195" s="236"/>
      <c r="BE195" s="235"/>
      <c r="BF195" s="235"/>
      <c r="BG195" s="235"/>
      <c r="BH195" s="235"/>
      <c r="BI195" s="236"/>
      <c r="BJ195" s="236"/>
      <c r="BK195" s="238"/>
      <c r="BL195" s="239"/>
      <c r="BM195" s="239"/>
      <c r="BN195" s="340"/>
      <c r="BP195" s="236"/>
      <c r="BQ195" s="236"/>
      <c r="BR195" s="236"/>
      <c r="BS195" s="236"/>
      <c r="BT195" s="236"/>
      <c r="BU195" s="236"/>
      <c r="BV195" s="236"/>
      <c r="BW195" s="236"/>
      <c r="BX195" s="236"/>
      <c r="BY195" s="236"/>
      <c r="BZ195" s="236"/>
      <c r="CA195" s="236"/>
      <c r="CB195" s="236"/>
      <c r="CC195" s="236"/>
      <c r="CD195" s="236"/>
      <c r="CE195" s="236"/>
      <c r="CF195" s="236"/>
      <c r="CG195" s="236"/>
      <c r="CH195" s="236"/>
      <c r="CI195" s="236"/>
      <c r="CJ195" s="236"/>
      <c r="CK195" s="236"/>
      <c r="CL195" s="236"/>
      <c r="CM195" s="236"/>
      <c r="CN195" s="236"/>
      <c r="CO195" s="236"/>
    </row>
    <row r="196" spans="5:93" s="230" customFormat="1">
      <c r="E196" s="234"/>
      <c r="F196" s="235"/>
      <c r="G196" s="235"/>
      <c r="H196" s="236"/>
      <c r="I196" s="235"/>
      <c r="J196" s="235"/>
      <c r="K196" s="235"/>
      <c r="L196" s="235"/>
      <c r="M196" s="236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  <c r="Z196" s="235"/>
      <c r="AA196" s="235"/>
      <c r="AB196" s="235"/>
      <c r="AC196" s="235"/>
      <c r="AD196" s="235"/>
      <c r="AE196" s="236"/>
      <c r="AF196" s="235"/>
      <c r="AG196" s="235"/>
      <c r="AH196" s="235"/>
      <c r="AI196" s="235"/>
      <c r="AJ196" s="236"/>
      <c r="AK196" s="235"/>
      <c r="AL196" s="235"/>
      <c r="AM196" s="235"/>
      <c r="AN196" s="235"/>
      <c r="AO196" s="235"/>
      <c r="AP196" s="235"/>
      <c r="AQ196" s="235"/>
      <c r="AR196" s="235"/>
      <c r="AS196" s="235"/>
      <c r="AT196" s="235"/>
      <c r="AU196" s="236"/>
      <c r="AV196" s="235"/>
      <c r="AW196" s="235"/>
      <c r="AX196" s="235"/>
      <c r="AY196" s="235"/>
      <c r="AZ196" s="235"/>
      <c r="BA196" s="235"/>
      <c r="BB196" s="235"/>
      <c r="BC196" s="235"/>
      <c r="BD196" s="236"/>
      <c r="BE196" s="235"/>
      <c r="BF196" s="235"/>
      <c r="BG196" s="235"/>
      <c r="BH196" s="235"/>
      <c r="BI196" s="236"/>
      <c r="BJ196" s="236"/>
      <c r="BK196" s="238"/>
      <c r="BL196" s="239"/>
      <c r="BM196" s="239"/>
      <c r="BN196" s="340"/>
      <c r="BP196" s="236"/>
      <c r="BQ196" s="236"/>
      <c r="BR196" s="236"/>
      <c r="BS196" s="236"/>
      <c r="BT196" s="236"/>
      <c r="BU196" s="236"/>
      <c r="BV196" s="236"/>
      <c r="BW196" s="236"/>
      <c r="BX196" s="236"/>
      <c r="BY196" s="236"/>
      <c r="BZ196" s="236"/>
      <c r="CA196" s="236"/>
      <c r="CB196" s="236"/>
      <c r="CC196" s="236"/>
      <c r="CD196" s="236"/>
      <c r="CE196" s="236"/>
      <c r="CF196" s="236"/>
      <c r="CG196" s="236"/>
      <c r="CH196" s="236"/>
      <c r="CI196" s="236"/>
      <c r="CJ196" s="236"/>
      <c r="CK196" s="236"/>
      <c r="CL196" s="236"/>
      <c r="CM196" s="236"/>
      <c r="CN196" s="236"/>
      <c r="CO196" s="236"/>
    </row>
    <row r="197" spans="5:93" s="230" customFormat="1">
      <c r="E197" s="234"/>
      <c r="F197" s="235"/>
      <c r="G197" s="235"/>
      <c r="H197" s="236"/>
      <c r="I197" s="235"/>
      <c r="J197" s="235"/>
      <c r="K197" s="235"/>
      <c r="L197" s="235"/>
      <c r="M197" s="236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  <c r="Z197" s="235"/>
      <c r="AA197" s="235"/>
      <c r="AB197" s="235"/>
      <c r="AC197" s="235"/>
      <c r="AD197" s="235"/>
      <c r="AE197" s="236"/>
      <c r="AF197" s="235"/>
      <c r="AG197" s="235"/>
      <c r="AH197" s="235"/>
      <c r="AI197" s="235"/>
      <c r="AJ197" s="236"/>
      <c r="AK197" s="235"/>
      <c r="AL197" s="235"/>
      <c r="AM197" s="235"/>
      <c r="AN197" s="235"/>
      <c r="AO197" s="235"/>
      <c r="AP197" s="235"/>
      <c r="AQ197" s="235"/>
      <c r="AR197" s="235"/>
      <c r="AS197" s="235"/>
      <c r="AT197" s="235"/>
      <c r="AU197" s="236"/>
      <c r="AV197" s="235"/>
      <c r="AW197" s="235"/>
      <c r="AX197" s="235"/>
      <c r="AY197" s="235"/>
      <c r="AZ197" s="235"/>
      <c r="BA197" s="235"/>
      <c r="BB197" s="235"/>
      <c r="BC197" s="235"/>
      <c r="BD197" s="236"/>
      <c r="BE197" s="235"/>
      <c r="BF197" s="235"/>
      <c r="BG197" s="235"/>
      <c r="BH197" s="235"/>
      <c r="BI197" s="236"/>
      <c r="BJ197" s="236"/>
      <c r="BK197" s="238"/>
      <c r="BL197" s="239"/>
      <c r="BM197" s="239"/>
      <c r="BN197" s="340"/>
      <c r="BP197" s="236"/>
      <c r="BQ197" s="236"/>
      <c r="BR197" s="236"/>
      <c r="BS197" s="236"/>
      <c r="BT197" s="236"/>
      <c r="BU197" s="236"/>
      <c r="BV197" s="236"/>
      <c r="BW197" s="236"/>
      <c r="BX197" s="236"/>
      <c r="BY197" s="236"/>
      <c r="BZ197" s="236"/>
      <c r="CA197" s="236"/>
      <c r="CB197" s="236"/>
      <c r="CC197" s="236"/>
      <c r="CD197" s="236"/>
      <c r="CE197" s="236"/>
      <c r="CF197" s="236"/>
      <c r="CG197" s="236"/>
      <c r="CH197" s="236"/>
      <c r="CI197" s="236"/>
      <c r="CJ197" s="236"/>
      <c r="CK197" s="236"/>
      <c r="CL197" s="236"/>
      <c r="CM197" s="236"/>
      <c r="CN197" s="236"/>
      <c r="CO197" s="236"/>
    </row>
    <row r="198" spans="5:93" s="230" customFormat="1">
      <c r="E198" s="234"/>
      <c r="F198" s="235"/>
      <c r="G198" s="235"/>
      <c r="H198" s="236"/>
      <c r="I198" s="235"/>
      <c r="J198" s="235"/>
      <c r="K198" s="235"/>
      <c r="L198" s="235"/>
      <c r="M198" s="236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  <c r="Z198" s="235"/>
      <c r="AA198" s="235"/>
      <c r="AB198" s="235"/>
      <c r="AC198" s="235"/>
      <c r="AD198" s="235"/>
      <c r="AE198" s="236"/>
      <c r="AF198" s="235"/>
      <c r="AG198" s="235"/>
      <c r="AH198" s="235"/>
      <c r="AI198" s="235"/>
      <c r="AJ198" s="236"/>
      <c r="AK198" s="235"/>
      <c r="AL198" s="235"/>
      <c r="AM198" s="235"/>
      <c r="AN198" s="235"/>
      <c r="AO198" s="235"/>
      <c r="AP198" s="235"/>
      <c r="AQ198" s="235"/>
      <c r="AR198" s="235"/>
      <c r="AS198" s="235"/>
      <c r="AT198" s="235"/>
      <c r="AU198" s="236"/>
      <c r="AV198" s="235"/>
      <c r="AW198" s="235"/>
      <c r="AX198" s="235"/>
      <c r="AY198" s="235"/>
      <c r="AZ198" s="235"/>
      <c r="BA198" s="235"/>
      <c r="BB198" s="235"/>
      <c r="BC198" s="235"/>
      <c r="BD198" s="236"/>
      <c r="BE198" s="235"/>
      <c r="BF198" s="235"/>
      <c r="BG198" s="235"/>
      <c r="BH198" s="235"/>
      <c r="BI198" s="236"/>
      <c r="BJ198" s="236"/>
      <c r="BK198" s="238"/>
      <c r="BL198" s="239"/>
      <c r="BM198" s="239"/>
      <c r="BN198" s="340"/>
      <c r="BP198" s="236"/>
      <c r="BQ198" s="236"/>
      <c r="BR198" s="236"/>
      <c r="BS198" s="236"/>
      <c r="BT198" s="236"/>
      <c r="BU198" s="236"/>
      <c r="BV198" s="236"/>
      <c r="BW198" s="236"/>
      <c r="BX198" s="236"/>
      <c r="BY198" s="236"/>
      <c r="BZ198" s="236"/>
      <c r="CA198" s="236"/>
      <c r="CB198" s="236"/>
      <c r="CC198" s="236"/>
      <c r="CD198" s="236"/>
      <c r="CE198" s="236"/>
      <c r="CF198" s="236"/>
      <c r="CG198" s="236"/>
      <c r="CH198" s="236"/>
      <c r="CI198" s="236"/>
      <c r="CJ198" s="236"/>
      <c r="CK198" s="236"/>
      <c r="CL198" s="236"/>
      <c r="CM198" s="236"/>
      <c r="CN198" s="236"/>
      <c r="CO198" s="236"/>
    </row>
    <row r="199" spans="5:93" s="230" customFormat="1">
      <c r="E199" s="234"/>
      <c r="F199" s="235"/>
      <c r="G199" s="235"/>
      <c r="H199" s="236"/>
      <c r="I199" s="235"/>
      <c r="J199" s="235"/>
      <c r="K199" s="235"/>
      <c r="L199" s="235"/>
      <c r="M199" s="236"/>
      <c r="N199" s="235"/>
      <c r="O199" s="235"/>
      <c r="P199" s="235"/>
      <c r="Q199" s="235"/>
      <c r="R199" s="235"/>
      <c r="S199" s="235"/>
      <c r="T199" s="235"/>
      <c r="U199" s="235"/>
      <c r="V199" s="235"/>
      <c r="W199" s="235"/>
      <c r="X199" s="235"/>
      <c r="Y199" s="235"/>
      <c r="Z199" s="235"/>
      <c r="AA199" s="235"/>
      <c r="AB199" s="235"/>
      <c r="AC199" s="235"/>
      <c r="AD199" s="235"/>
      <c r="AE199" s="236"/>
      <c r="AF199" s="235"/>
      <c r="AG199" s="235"/>
      <c r="AH199" s="235"/>
      <c r="AI199" s="235"/>
      <c r="AJ199" s="236"/>
      <c r="AK199" s="235"/>
      <c r="AL199" s="235"/>
      <c r="AM199" s="235"/>
      <c r="AN199" s="235"/>
      <c r="AO199" s="235"/>
      <c r="AP199" s="235"/>
      <c r="AQ199" s="235"/>
      <c r="AR199" s="235"/>
      <c r="AS199" s="235"/>
      <c r="AT199" s="235"/>
      <c r="AU199" s="236"/>
      <c r="AV199" s="235"/>
      <c r="AW199" s="235"/>
      <c r="AX199" s="235"/>
      <c r="AY199" s="235"/>
      <c r="AZ199" s="235"/>
      <c r="BA199" s="235"/>
      <c r="BB199" s="235"/>
      <c r="BC199" s="235"/>
      <c r="BD199" s="236"/>
      <c r="BE199" s="235"/>
      <c r="BF199" s="235"/>
      <c r="BG199" s="235"/>
      <c r="BH199" s="235"/>
      <c r="BI199" s="236"/>
      <c r="BJ199" s="236"/>
      <c r="BK199" s="238"/>
      <c r="BL199" s="239"/>
      <c r="BM199" s="239"/>
      <c r="BN199" s="340"/>
      <c r="BP199" s="236"/>
      <c r="BQ199" s="236"/>
      <c r="BR199" s="236"/>
      <c r="BS199" s="236"/>
      <c r="BT199" s="236"/>
      <c r="BU199" s="236"/>
      <c r="BV199" s="236"/>
      <c r="BW199" s="236"/>
      <c r="BX199" s="236"/>
      <c r="BY199" s="236"/>
      <c r="BZ199" s="236"/>
      <c r="CA199" s="236"/>
      <c r="CB199" s="236"/>
      <c r="CC199" s="236"/>
      <c r="CD199" s="236"/>
      <c r="CE199" s="236"/>
      <c r="CF199" s="236"/>
      <c r="CG199" s="236"/>
      <c r="CH199" s="236"/>
      <c r="CI199" s="236"/>
      <c r="CJ199" s="236"/>
      <c r="CK199" s="236"/>
      <c r="CL199" s="236"/>
      <c r="CM199" s="236"/>
      <c r="CN199" s="236"/>
      <c r="CO199" s="236"/>
    </row>
    <row r="200" spans="5:93" s="230" customFormat="1">
      <c r="E200" s="234"/>
      <c r="F200" s="235"/>
      <c r="G200" s="235"/>
      <c r="H200" s="236"/>
      <c r="I200" s="235"/>
      <c r="J200" s="235"/>
      <c r="K200" s="235"/>
      <c r="L200" s="235"/>
      <c r="M200" s="236"/>
      <c r="N200" s="235"/>
      <c r="O200" s="235"/>
      <c r="P200" s="235"/>
      <c r="Q200" s="235"/>
      <c r="R200" s="235"/>
      <c r="S200" s="235"/>
      <c r="T200" s="235"/>
      <c r="U200" s="235"/>
      <c r="V200" s="235"/>
      <c r="W200" s="235"/>
      <c r="X200" s="235"/>
      <c r="Y200" s="235"/>
      <c r="Z200" s="235"/>
      <c r="AA200" s="235"/>
      <c r="AB200" s="235"/>
      <c r="AC200" s="235"/>
      <c r="AD200" s="235"/>
      <c r="AE200" s="236"/>
      <c r="AF200" s="235"/>
      <c r="AG200" s="235"/>
      <c r="AH200" s="235"/>
      <c r="AI200" s="235"/>
      <c r="AJ200" s="236"/>
      <c r="AK200" s="235"/>
      <c r="AL200" s="235"/>
      <c r="AM200" s="235"/>
      <c r="AN200" s="235"/>
      <c r="AO200" s="235"/>
      <c r="AP200" s="235"/>
      <c r="AQ200" s="235"/>
      <c r="AR200" s="235"/>
      <c r="AS200" s="235"/>
      <c r="AT200" s="235"/>
      <c r="AU200" s="236"/>
      <c r="AV200" s="235"/>
      <c r="AW200" s="235"/>
      <c r="AX200" s="235"/>
      <c r="AY200" s="235"/>
      <c r="AZ200" s="235"/>
      <c r="BA200" s="235"/>
      <c r="BB200" s="235"/>
      <c r="BC200" s="235"/>
      <c r="BD200" s="236"/>
      <c r="BE200" s="235"/>
      <c r="BF200" s="235"/>
      <c r="BG200" s="235"/>
      <c r="BH200" s="235"/>
      <c r="BI200" s="236"/>
      <c r="BJ200" s="236"/>
      <c r="BK200" s="238"/>
      <c r="BL200" s="239"/>
      <c r="BM200" s="239"/>
      <c r="BN200" s="340"/>
      <c r="BP200" s="236"/>
      <c r="BQ200" s="236"/>
      <c r="BR200" s="236"/>
      <c r="BS200" s="236"/>
      <c r="BT200" s="236"/>
      <c r="BU200" s="236"/>
      <c r="BV200" s="236"/>
      <c r="BW200" s="236"/>
      <c r="BX200" s="236"/>
      <c r="BY200" s="236"/>
      <c r="BZ200" s="236"/>
      <c r="CA200" s="236"/>
      <c r="CB200" s="236"/>
      <c r="CC200" s="236"/>
      <c r="CD200" s="236"/>
      <c r="CE200" s="236"/>
      <c r="CF200" s="236"/>
      <c r="CG200" s="236"/>
      <c r="CH200" s="236"/>
      <c r="CI200" s="236"/>
      <c r="CJ200" s="236"/>
      <c r="CK200" s="236"/>
      <c r="CL200" s="236"/>
      <c r="CM200" s="236"/>
      <c r="CN200" s="236"/>
      <c r="CO200" s="236"/>
    </row>
    <row r="201" spans="5:93" s="230" customFormat="1">
      <c r="E201" s="234"/>
      <c r="F201" s="235"/>
      <c r="G201" s="235"/>
      <c r="H201" s="236"/>
      <c r="I201" s="235"/>
      <c r="J201" s="235"/>
      <c r="K201" s="235"/>
      <c r="L201" s="235"/>
      <c r="M201" s="236"/>
      <c r="N201" s="235"/>
      <c r="O201" s="235"/>
      <c r="P201" s="235"/>
      <c r="Q201" s="235"/>
      <c r="R201" s="235"/>
      <c r="S201" s="235"/>
      <c r="T201" s="235"/>
      <c r="U201" s="235"/>
      <c r="V201" s="235"/>
      <c r="W201" s="235"/>
      <c r="X201" s="235"/>
      <c r="Y201" s="235"/>
      <c r="Z201" s="235"/>
      <c r="AA201" s="235"/>
      <c r="AB201" s="235"/>
      <c r="AC201" s="235"/>
      <c r="AD201" s="235"/>
      <c r="AE201" s="236"/>
      <c r="AF201" s="235"/>
      <c r="AG201" s="235"/>
      <c r="AH201" s="235"/>
      <c r="AI201" s="235"/>
      <c r="AJ201" s="236"/>
      <c r="AK201" s="235"/>
      <c r="AL201" s="235"/>
      <c r="AM201" s="235"/>
      <c r="AN201" s="235"/>
      <c r="AO201" s="235"/>
      <c r="AP201" s="235"/>
      <c r="AQ201" s="235"/>
      <c r="AR201" s="235"/>
      <c r="AS201" s="235"/>
      <c r="AT201" s="235"/>
      <c r="AU201" s="236"/>
      <c r="AV201" s="235"/>
      <c r="AW201" s="235"/>
      <c r="AX201" s="235"/>
      <c r="AY201" s="235"/>
      <c r="AZ201" s="235"/>
      <c r="BA201" s="235"/>
      <c r="BB201" s="235"/>
      <c r="BC201" s="235"/>
      <c r="BD201" s="236"/>
      <c r="BE201" s="235"/>
      <c r="BF201" s="235"/>
      <c r="BG201" s="235"/>
      <c r="BH201" s="235"/>
      <c r="BI201" s="236"/>
      <c r="BJ201" s="236"/>
      <c r="BK201" s="238"/>
      <c r="BL201" s="239"/>
      <c r="BM201" s="239"/>
      <c r="BN201" s="340"/>
      <c r="BP201" s="236"/>
      <c r="BQ201" s="236"/>
      <c r="BR201" s="236"/>
      <c r="BS201" s="236"/>
      <c r="BT201" s="236"/>
      <c r="BU201" s="236"/>
      <c r="BV201" s="236"/>
      <c r="BW201" s="236"/>
      <c r="BX201" s="236"/>
      <c r="BY201" s="236"/>
      <c r="BZ201" s="236"/>
      <c r="CA201" s="236"/>
      <c r="CB201" s="236"/>
      <c r="CC201" s="236"/>
      <c r="CD201" s="236"/>
      <c r="CE201" s="236"/>
      <c r="CF201" s="236"/>
      <c r="CG201" s="236"/>
      <c r="CH201" s="236"/>
      <c r="CI201" s="236"/>
      <c r="CJ201" s="236"/>
      <c r="CK201" s="236"/>
      <c r="CL201" s="236"/>
      <c r="CM201" s="236"/>
      <c r="CN201" s="236"/>
      <c r="CO201" s="236"/>
    </row>
    <row r="202" spans="5:93" s="230" customFormat="1">
      <c r="E202" s="234"/>
      <c r="F202" s="235"/>
      <c r="G202" s="235"/>
      <c r="H202" s="236"/>
      <c r="I202" s="235"/>
      <c r="J202" s="235"/>
      <c r="K202" s="235"/>
      <c r="L202" s="235"/>
      <c r="M202" s="236"/>
      <c r="N202" s="235"/>
      <c r="O202" s="235"/>
      <c r="P202" s="235"/>
      <c r="Q202" s="235"/>
      <c r="R202" s="235"/>
      <c r="S202" s="235"/>
      <c r="T202" s="235"/>
      <c r="U202" s="235"/>
      <c r="V202" s="235"/>
      <c r="W202" s="235"/>
      <c r="X202" s="235"/>
      <c r="Y202" s="235"/>
      <c r="Z202" s="235"/>
      <c r="AA202" s="235"/>
      <c r="AB202" s="235"/>
      <c r="AC202" s="235"/>
      <c r="AD202" s="235"/>
      <c r="AE202" s="236"/>
      <c r="AF202" s="235"/>
      <c r="AG202" s="235"/>
      <c r="AH202" s="235"/>
      <c r="AI202" s="235"/>
      <c r="AJ202" s="236"/>
      <c r="AK202" s="235"/>
      <c r="AL202" s="235"/>
      <c r="AM202" s="235"/>
      <c r="AN202" s="235"/>
      <c r="AO202" s="235"/>
      <c r="AP202" s="235"/>
      <c r="AQ202" s="235"/>
      <c r="AR202" s="235"/>
      <c r="AS202" s="235"/>
      <c r="AT202" s="235"/>
      <c r="AU202" s="236"/>
      <c r="AV202" s="235"/>
      <c r="AW202" s="235"/>
      <c r="AX202" s="235"/>
      <c r="AY202" s="235"/>
      <c r="AZ202" s="235"/>
      <c r="BA202" s="235"/>
      <c r="BB202" s="235"/>
      <c r="BC202" s="235"/>
      <c r="BD202" s="236"/>
      <c r="BE202" s="235"/>
      <c r="BF202" s="235"/>
      <c r="BG202" s="235"/>
      <c r="BH202" s="235"/>
      <c r="BI202" s="236"/>
      <c r="BJ202" s="236"/>
      <c r="BK202" s="238"/>
      <c r="BL202" s="239"/>
      <c r="BM202" s="239"/>
      <c r="BN202" s="340"/>
      <c r="BP202" s="236"/>
      <c r="BQ202" s="236"/>
      <c r="BR202" s="236"/>
      <c r="BS202" s="236"/>
      <c r="BT202" s="236"/>
      <c r="BU202" s="236"/>
      <c r="BV202" s="236"/>
      <c r="BW202" s="236"/>
      <c r="BX202" s="236"/>
      <c r="BY202" s="236"/>
      <c r="BZ202" s="236"/>
      <c r="CA202" s="236"/>
      <c r="CB202" s="236"/>
      <c r="CC202" s="236"/>
      <c r="CD202" s="236"/>
      <c r="CE202" s="236"/>
      <c r="CF202" s="236"/>
      <c r="CG202" s="236"/>
      <c r="CH202" s="236"/>
      <c r="CI202" s="236"/>
      <c r="CJ202" s="236"/>
      <c r="CK202" s="236"/>
      <c r="CL202" s="236"/>
      <c r="CM202" s="236"/>
      <c r="CN202" s="236"/>
      <c r="CO202" s="236"/>
    </row>
    <row r="203" spans="5:93" s="230" customFormat="1">
      <c r="E203" s="234"/>
      <c r="F203" s="235"/>
      <c r="G203" s="235"/>
      <c r="H203" s="236"/>
      <c r="I203" s="235"/>
      <c r="J203" s="235"/>
      <c r="K203" s="235"/>
      <c r="L203" s="235"/>
      <c r="M203" s="236"/>
      <c r="N203" s="235"/>
      <c r="O203" s="235"/>
      <c r="P203" s="235"/>
      <c r="Q203" s="235"/>
      <c r="R203" s="235"/>
      <c r="S203" s="235"/>
      <c r="T203" s="235"/>
      <c r="U203" s="235"/>
      <c r="V203" s="235"/>
      <c r="W203" s="235"/>
      <c r="X203" s="235"/>
      <c r="Y203" s="235"/>
      <c r="Z203" s="235"/>
      <c r="AA203" s="235"/>
      <c r="AB203" s="235"/>
      <c r="AC203" s="235"/>
      <c r="AD203" s="235"/>
      <c r="AE203" s="236"/>
      <c r="AF203" s="235"/>
      <c r="AG203" s="235"/>
      <c r="AH203" s="235"/>
      <c r="AI203" s="235"/>
      <c r="AJ203" s="236"/>
      <c r="AK203" s="235"/>
      <c r="AL203" s="235"/>
      <c r="AM203" s="235"/>
      <c r="AN203" s="235"/>
      <c r="AO203" s="235"/>
      <c r="AP203" s="235"/>
      <c r="AQ203" s="235"/>
      <c r="AR203" s="235"/>
      <c r="AS203" s="235"/>
      <c r="AT203" s="235"/>
      <c r="AU203" s="236"/>
      <c r="AV203" s="235"/>
      <c r="AW203" s="235"/>
      <c r="AX203" s="235"/>
      <c r="AY203" s="235"/>
      <c r="AZ203" s="235"/>
      <c r="BA203" s="235"/>
      <c r="BB203" s="235"/>
      <c r="BC203" s="235"/>
      <c r="BD203" s="236"/>
      <c r="BE203" s="235"/>
      <c r="BF203" s="235"/>
      <c r="BG203" s="235"/>
      <c r="BH203" s="235"/>
      <c r="BI203" s="236"/>
      <c r="BJ203" s="236"/>
      <c r="BK203" s="238"/>
      <c r="BL203" s="239"/>
      <c r="BM203" s="239"/>
      <c r="BN203" s="340"/>
      <c r="BP203" s="236"/>
      <c r="BQ203" s="236"/>
      <c r="BR203" s="236"/>
      <c r="BS203" s="236"/>
      <c r="BT203" s="236"/>
      <c r="BU203" s="236"/>
      <c r="BV203" s="236"/>
      <c r="BW203" s="236"/>
      <c r="BX203" s="236"/>
      <c r="BY203" s="236"/>
      <c r="BZ203" s="236"/>
      <c r="CA203" s="236"/>
      <c r="CB203" s="236"/>
      <c r="CC203" s="236"/>
      <c r="CD203" s="236"/>
      <c r="CE203" s="236"/>
      <c r="CF203" s="236"/>
      <c r="CG203" s="236"/>
      <c r="CH203" s="236"/>
      <c r="CI203" s="236"/>
      <c r="CJ203" s="236"/>
      <c r="CK203" s="236"/>
      <c r="CL203" s="236"/>
      <c r="CM203" s="236"/>
      <c r="CN203" s="236"/>
      <c r="CO203" s="236"/>
    </row>
    <row r="204" spans="5:93" s="230" customFormat="1">
      <c r="E204" s="234"/>
      <c r="F204" s="235"/>
      <c r="G204" s="235"/>
      <c r="H204" s="236"/>
      <c r="I204" s="235"/>
      <c r="J204" s="235"/>
      <c r="K204" s="235"/>
      <c r="L204" s="235"/>
      <c r="M204" s="236"/>
      <c r="N204" s="235"/>
      <c r="O204" s="235"/>
      <c r="P204" s="235"/>
      <c r="Q204" s="235"/>
      <c r="R204" s="235"/>
      <c r="S204" s="235"/>
      <c r="T204" s="235"/>
      <c r="U204" s="235"/>
      <c r="V204" s="235"/>
      <c r="W204" s="235"/>
      <c r="X204" s="235"/>
      <c r="Y204" s="235"/>
      <c r="Z204" s="235"/>
      <c r="AA204" s="235"/>
      <c r="AB204" s="235"/>
      <c r="AC204" s="235"/>
      <c r="AD204" s="235"/>
      <c r="AE204" s="236"/>
      <c r="AF204" s="235"/>
      <c r="AG204" s="235"/>
      <c r="AH204" s="235"/>
      <c r="AI204" s="235"/>
      <c r="AJ204" s="236"/>
      <c r="AK204" s="235"/>
      <c r="AL204" s="235"/>
      <c r="AM204" s="235"/>
      <c r="AN204" s="235"/>
      <c r="AO204" s="235"/>
      <c r="AP204" s="235"/>
      <c r="AQ204" s="235"/>
      <c r="AR204" s="235"/>
      <c r="AS204" s="235"/>
      <c r="AT204" s="235"/>
      <c r="AU204" s="236"/>
      <c r="AV204" s="235"/>
      <c r="AW204" s="235"/>
      <c r="AX204" s="235"/>
      <c r="AY204" s="235"/>
      <c r="AZ204" s="235"/>
      <c r="BA204" s="235"/>
      <c r="BB204" s="235"/>
      <c r="BC204" s="235"/>
      <c r="BD204" s="236"/>
      <c r="BE204" s="235"/>
      <c r="BF204" s="235"/>
      <c r="BG204" s="235"/>
      <c r="BH204" s="235"/>
      <c r="BI204" s="236"/>
      <c r="BJ204" s="236"/>
      <c r="BK204" s="238"/>
      <c r="BL204" s="239"/>
      <c r="BM204" s="239"/>
      <c r="BN204" s="340"/>
      <c r="BP204" s="236"/>
      <c r="BQ204" s="236"/>
      <c r="BR204" s="236"/>
      <c r="BS204" s="236"/>
      <c r="BT204" s="236"/>
      <c r="BU204" s="236"/>
      <c r="BV204" s="236"/>
      <c r="BW204" s="236"/>
      <c r="BX204" s="236"/>
      <c r="BY204" s="236"/>
      <c r="BZ204" s="236"/>
      <c r="CA204" s="236"/>
      <c r="CB204" s="236"/>
      <c r="CC204" s="236"/>
      <c r="CD204" s="236"/>
      <c r="CE204" s="236"/>
      <c r="CF204" s="236"/>
      <c r="CG204" s="236"/>
      <c r="CH204" s="236"/>
      <c r="CI204" s="236"/>
      <c r="CJ204" s="236"/>
      <c r="CK204" s="236"/>
      <c r="CL204" s="236"/>
      <c r="CM204" s="236"/>
      <c r="CN204" s="236"/>
      <c r="CO204" s="236"/>
    </row>
    <row r="205" spans="5:93" s="230" customFormat="1">
      <c r="E205" s="234"/>
      <c r="F205" s="235"/>
      <c r="G205" s="235"/>
      <c r="H205" s="236"/>
      <c r="I205" s="235"/>
      <c r="J205" s="235"/>
      <c r="K205" s="235"/>
      <c r="L205" s="235"/>
      <c r="M205" s="236"/>
      <c r="N205" s="235"/>
      <c r="O205" s="235"/>
      <c r="P205" s="235"/>
      <c r="Q205" s="235"/>
      <c r="R205" s="235"/>
      <c r="S205" s="235"/>
      <c r="T205" s="235"/>
      <c r="U205" s="235"/>
      <c r="V205" s="235"/>
      <c r="W205" s="235"/>
      <c r="X205" s="235"/>
      <c r="Y205" s="235"/>
      <c r="Z205" s="235"/>
      <c r="AA205" s="235"/>
      <c r="AB205" s="235"/>
      <c r="AC205" s="235"/>
      <c r="AD205" s="235"/>
      <c r="AE205" s="236"/>
      <c r="AF205" s="235"/>
      <c r="AG205" s="235"/>
      <c r="AH205" s="235"/>
      <c r="AI205" s="235"/>
      <c r="AJ205" s="236"/>
      <c r="AK205" s="235"/>
      <c r="AL205" s="235"/>
      <c r="AM205" s="235"/>
      <c r="AN205" s="235"/>
      <c r="AO205" s="235"/>
      <c r="AP205" s="235"/>
      <c r="AQ205" s="235"/>
      <c r="AR205" s="235"/>
      <c r="AS205" s="235"/>
      <c r="AT205" s="235"/>
      <c r="AU205" s="236"/>
      <c r="AV205" s="235"/>
      <c r="AW205" s="235"/>
      <c r="AX205" s="235"/>
      <c r="AY205" s="235"/>
      <c r="AZ205" s="235"/>
      <c r="BA205" s="235"/>
      <c r="BB205" s="235"/>
      <c r="BC205" s="235"/>
      <c r="BD205" s="236"/>
      <c r="BE205" s="235"/>
      <c r="BF205" s="235"/>
      <c r="BG205" s="235"/>
      <c r="BH205" s="235"/>
      <c r="BI205" s="236"/>
      <c r="BJ205" s="236"/>
      <c r="BK205" s="238"/>
      <c r="BL205" s="239"/>
      <c r="BM205" s="239"/>
      <c r="BN205" s="340"/>
      <c r="BP205" s="236"/>
      <c r="BQ205" s="236"/>
      <c r="BR205" s="236"/>
      <c r="BS205" s="236"/>
      <c r="BT205" s="236"/>
      <c r="BU205" s="236"/>
      <c r="BV205" s="236"/>
      <c r="BW205" s="236"/>
      <c r="BX205" s="236"/>
      <c r="BY205" s="236"/>
      <c r="BZ205" s="236"/>
      <c r="CA205" s="236"/>
      <c r="CB205" s="236"/>
      <c r="CC205" s="236"/>
      <c r="CD205" s="236"/>
      <c r="CE205" s="236"/>
      <c r="CF205" s="236"/>
      <c r="CG205" s="236"/>
      <c r="CH205" s="236"/>
      <c r="CI205" s="236"/>
      <c r="CJ205" s="236"/>
      <c r="CK205" s="236"/>
      <c r="CL205" s="236"/>
      <c r="CM205" s="236"/>
      <c r="CN205" s="236"/>
      <c r="CO205" s="236"/>
    </row>
    <row r="206" spans="5:93" s="230" customFormat="1">
      <c r="E206" s="234"/>
      <c r="F206" s="235"/>
      <c r="G206" s="235"/>
      <c r="H206" s="236"/>
      <c r="I206" s="235"/>
      <c r="J206" s="235"/>
      <c r="K206" s="235"/>
      <c r="L206" s="235"/>
      <c r="M206" s="236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  <c r="Z206" s="235"/>
      <c r="AA206" s="235"/>
      <c r="AB206" s="235"/>
      <c r="AC206" s="235"/>
      <c r="AD206" s="235"/>
      <c r="AE206" s="236"/>
      <c r="AF206" s="235"/>
      <c r="AG206" s="235"/>
      <c r="AH206" s="235"/>
      <c r="AI206" s="235"/>
      <c r="AJ206" s="236"/>
      <c r="AK206" s="235"/>
      <c r="AL206" s="235"/>
      <c r="AM206" s="235"/>
      <c r="AN206" s="235"/>
      <c r="AO206" s="235"/>
      <c r="AP206" s="235"/>
      <c r="AQ206" s="235"/>
      <c r="AR206" s="235"/>
      <c r="AS206" s="235"/>
      <c r="AT206" s="235"/>
      <c r="AU206" s="236"/>
      <c r="AV206" s="235"/>
      <c r="AW206" s="235"/>
      <c r="AX206" s="235"/>
      <c r="AY206" s="235"/>
      <c r="AZ206" s="235"/>
      <c r="BA206" s="235"/>
      <c r="BB206" s="235"/>
      <c r="BC206" s="235"/>
      <c r="BD206" s="236"/>
      <c r="BE206" s="235"/>
      <c r="BF206" s="235"/>
      <c r="BG206" s="235"/>
      <c r="BH206" s="235"/>
      <c r="BI206" s="236"/>
      <c r="BJ206" s="236"/>
      <c r="BK206" s="238"/>
      <c r="BL206" s="239"/>
      <c r="BM206" s="239"/>
      <c r="BN206" s="340"/>
      <c r="BP206" s="236"/>
      <c r="BQ206" s="236"/>
      <c r="BR206" s="236"/>
      <c r="BS206" s="236"/>
      <c r="BT206" s="236"/>
      <c r="BU206" s="236"/>
      <c r="BV206" s="236"/>
      <c r="BW206" s="236"/>
      <c r="BX206" s="236"/>
      <c r="BY206" s="236"/>
      <c r="BZ206" s="236"/>
      <c r="CA206" s="236"/>
      <c r="CB206" s="236"/>
      <c r="CC206" s="236"/>
      <c r="CD206" s="236"/>
      <c r="CE206" s="236"/>
      <c r="CF206" s="236"/>
      <c r="CG206" s="236"/>
      <c r="CH206" s="236"/>
      <c r="CI206" s="236"/>
      <c r="CJ206" s="236"/>
      <c r="CK206" s="236"/>
      <c r="CL206" s="236"/>
      <c r="CM206" s="236"/>
      <c r="CN206" s="236"/>
      <c r="CO206" s="236"/>
    </row>
    <row r="207" spans="5:93" s="230" customFormat="1">
      <c r="E207" s="234"/>
      <c r="F207" s="235"/>
      <c r="G207" s="235"/>
      <c r="H207" s="236"/>
      <c r="I207" s="235"/>
      <c r="J207" s="235"/>
      <c r="K207" s="235"/>
      <c r="L207" s="235"/>
      <c r="M207" s="236"/>
      <c r="N207" s="235"/>
      <c r="O207" s="235"/>
      <c r="P207" s="235"/>
      <c r="Q207" s="235"/>
      <c r="R207" s="235"/>
      <c r="S207" s="235"/>
      <c r="T207" s="235"/>
      <c r="U207" s="235"/>
      <c r="V207" s="235"/>
      <c r="W207" s="235"/>
      <c r="X207" s="235"/>
      <c r="Y207" s="235"/>
      <c r="Z207" s="235"/>
      <c r="AA207" s="235"/>
      <c r="AB207" s="235"/>
      <c r="AC207" s="235"/>
      <c r="AD207" s="235"/>
      <c r="AE207" s="236"/>
      <c r="AF207" s="235"/>
      <c r="AG207" s="235"/>
      <c r="AH207" s="235"/>
      <c r="AI207" s="235"/>
      <c r="AJ207" s="236"/>
      <c r="AK207" s="235"/>
      <c r="AL207" s="235"/>
      <c r="AM207" s="235"/>
      <c r="AN207" s="235"/>
      <c r="AO207" s="235"/>
      <c r="AP207" s="235"/>
      <c r="AQ207" s="235"/>
      <c r="AR207" s="235"/>
      <c r="AS207" s="235"/>
      <c r="AT207" s="235"/>
      <c r="AU207" s="236"/>
      <c r="AV207" s="235"/>
      <c r="AW207" s="235"/>
      <c r="AX207" s="235"/>
      <c r="AY207" s="235"/>
      <c r="AZ207" s="235"/>
      <c r="BA207" s="235"/>
      <c r="BB207" s="235"/>
      <c r="BC207" s="235"/>
      <c r="BD207" s="236"/>
      <c r="BE207" s="235"/>
      <c r="BF207" s="235"/>
      <c r="BG207" s="235"/>
      <c r="BH207" s="235"/>
      <c r="BI207" s="236"/>
      <c r="BJ207" s="236"/>
      <c r="BK207" s="238"/>
      <c r="BL207" s="239"/>
      <c r="BM207" s="239"/>
      <c r="BN207" s="340"/>
      <c r="BP207" s="236"/>
      <c r="BQ207" s="236"/>
      <c r="BR207" s="236"/>
      <c r="BS207" s="236"/>
      <c r="BT207" s="236"/>
      <c r="BU207" s="236"/>
      <c r="BV207" s="236"/>
      <c r="BW207" s="236"/>
      <c r="BX207" s="236"/>
      <c r="BY207" s="236"/>
      <c r="BZ207" s="236"/>
      <c r="CA207" s="236"/>
      <c r="CB207" s="236"/>
      <c r="CC207" s="236"/>
      <c r="CD207" s="236"/>
      <c r="CE207" s="236"/>
      <c r="CF207" s="236"/>
      <c r="CG207" s="236"/>
      <c r="CH207" s="236"/>
      <c r="CI207" s="236"/>
      <c r="CJ207" s="236"/>
      <c r="CK207" s="236"/>
      <c r="CL207" s="236"/>
      <c r="CM207" s="236"/>
      <c r="CN207" s="236"/>
      <c r="CO207" s="236"/>
    </row>
    <row r="208" spans="5:93" s="230" customFormat="1">
      <c r="E208" s="234"/>
      <c r="F208" s="235"/>
      <c r="G208" s="235"/>
      <c r="H208" s="236"/>
      <c r="I208" s="235"/>
      <c r="J208" s="235"/>
      <c r="K208" s="235"/>
      <c r="L208" s="235"/>
      <c r="M208" s="236"/>
      <c r="N208" s="235"/>
      <c r="O208" s="235"/>
      <c r="P208" s="235"/>
      <c r="Q208" s="235"/>
      <c r="R208" s="235"/>
      <c r="S208" s="235"/>
      <c r="T208" s="235"/>
      <c r="U208" s="235"/>
      <c r="V208" s="235"/>
      <c r="W208" s="235"/>
      <c r="X208" s="235"/>
      <c r="Y208" s="235"/>
      <c r="Z208" s="235"/>
      <c r="AA208" s="235"/>
      <c r="AB208" s="235"/>
      <c r="AC208" s="235"/>
      <c r="AD208" s="235"/>
      <c r="AE208" s="236"/>
      <c r="AF208" s="235"/>
      <c r="AG208" s="235"/>
      <c r="AH208" s="235"/>
      <c r="AI208" s="235"/>
      <c r="AJ208" s="236"/>
      <c r="AK208" s="235"/>
      <c r="AL208" s="235"/>
      <c r="AM208" s="235"/>
      <c r="AN208" s="235"/>
      <c r="AO208" s="235"/>
      <c r="AP208" s="235"/>
      <c r="AQ208" s="235"/>
      <c r="AR208" s="235"/>
      <c r="AS208" s="235"/>
      <c r="AT208" s="235"/>
      <c r="AU208" s="236"/>
      <c r="AV208" s="235"/>
      <c r="AW208" s="235"/>
      <c r="AX208" s="235"/>
      <c r="AY208" s="235"/>
      <c r="AZ208" s="235"/>
      <c r="BA208" s="235"/>
      <c r="BB208" s="235"/>
      <c r="BC208" s="235"/>
      <c r="BD208" s="236"/>
      <c r="BE208" s="235"/>
      <c r="BF208" s="235"/>
      <c r="BG208" s="235"/>
      <c r="BH208" s="235"/>
      <c r="BI208" s="236"/>
      <c r="BJ208" s="236"/>
      <c r="BK208" s="238"/>
      <c r="BL208" s="239"/>
      <c r="BM208" s="239"/>
      <c r="BN208" s="340"/>
      <c r="BP208" s="236"/>
      <c r="BQ208" s="236"/>
      <c r="BR208" s="236"/>
      <c r="BS208" s="236"/>
      <c r="BT208" s="236"/>
      <c r="BU208" s="236"/>
      <c r="BV208" s="236"/>
      <c r="BW208" s="236"/>
      <c r="BX208" s="236"/>
      <c r="BY208" s="236"/>
      <c r="BZ208" s="236"/>
      <c r="CA208" s="236"/>
      <c r="CB208" s="236"/>
      <c r="CC208" s="236"/>
      <c r="CD208" s="236"/>
      <c r="CE208" s="236"/>
      <c r="CF208" s="236"/>
      <c r="CG208" s="236"/>
      <c r="CH208" s="236"/>
      <c r="CI208" s="236"/>
      <c r="CJ208" s="236"/>
      <c r="CK208" s="236"/>
      <c r="CL208" s="236"/>
      <c r="CM208" s="236"/>
      <c r="CN208" s="236"/>
      <c r="CO208" s="236"/>
    </row>
    <row r="209" spans="5:93" s="230" customFormat="1">
      <c r="E209" s="234"/>
      <c r="F209" s="235"/>
      <c r="G209" s="235"/>
      <c r="H209" s="236"/>
      <c r="I209" s="235"/>
      <c r="J209" s="235"/>
      <c r="K209" s="235"/>
      <c r="L209" s="235"/>
      <c r="M209" s="236"/>
      <c r="N209" s="235"/>
      <c r="O209" s="235"/>
      <c r="P209" s="235"/>
      <c r="Q209" s="235"/>
      <c r="R209" s="235"/>
      <c r="S209" s="235"/>
      <c r="T209" s="235"/>
      <c r="U209" s="235"/>
      <c r="V209" s="235"/>
      <c r="W209" s="235"/>
      <c r="X209" s="235"/>
      <c r="Y209" s="235"/>
      <c r="Z209" s="235"/>
      <c r="AA209" s="235"/>
      <c r="AB209" s="235"/>
      <c r="AC209" s="235"/>
      <c r="AD209" s="235"/>
      <c r="AE209" s="236"/>
      <c r="AF209" s="235"/>
      <c r="AG209" s="235"/>
      <c r="AH209" s="235"/>
      <c r="AI209" s="235"/>
      <c r="AJ209" s="236"/>
      <c r="AK209" s="235"/>
      <c r="AL209" s="235"/>
      <c r="AM209" s="235"/>
      <c r="AN209" s="235"/>
      <c r="AO209" s="235"/>
      <c r="AP209" s="235"/>
      <c r="AQ209" s="235"/>
      <c r="AR209" s="235"/>
      <c r="AS209" s="235"/>
      <c r="AT209" s="235"/>
      <c r="AU209" s="236"/>
      <c r="AV209" s="235"/>
      <c r="AW209" s="235"/>
      <c r="AX209" s="235"/>
      <c r="AY209" s="235"/>
      <c r="AZ209" s="235"/>
      <c r="BA209" s="235"/>
      <c r="BB209" s="235"/>
      <c r="BC209" s="235"/>
      <c r="BD209" s="236"/>
      <c r="BE209" s="235"/>
      <c r="BF209" s="235"/>
      <c r="BG209" s="235"/>
      <c r="BH209" s="235"/>
      <c r="BI209" s="236"/>
      <c r="BJ209" s="236"/>
      <c r="BK209" s="238"/>
      <c r="BL209" s="239"/>
      <c r="BM209" s="239"/>
      <c r="BN209" s="340"/>
      <c r="BP209" s="236"/>
      <c r="BQ209" s="236"/>
      <c r="BR209" s="236"/>
      <c r="BS209" s="236"/>
      <c r="BT209" s="236"/>
      <c r="BU209" s="236"/>
      <c r="BV209" s="236"/>
      <c r="BW209" s="236"/>
      <c r="BX209" s="236"/>
      <c r="BY209" s="236"/>
      <c r="BZ209" s="236"/>
      <c r="CA209" s="236"/>
      <c r="CB209" s="236"/>
      <c r="CC209" s="236"/>
      <c r="CD209" s="236"/>
      <c r="CE209" s="236"/>
      <c r="CF209" s="236"/>
      <c r="CG209" s="236"/>
      <c r="CH209" s="236"/>
      <c r="CI209" s="236"/>
      <c r="CJ209" s="236"/>
      <c r="CK209" s="236"/>
      <c r="CL209" s="236"/>
      <c r="CM209" s="236"/>
      <c r="CN209" s="236"/>
      <c r="CO209" s="236"/>
    </row>
    <row r="210" spans="5:93" s="230" customFormat="1">
      <c r="E210" s="234"/>
      <c r="F210" s="235"/>
      <c r="G210" s="235"/>
      <c r="H210" s="236"/>
      <c r="I210" s="235"/>
      <c r="J210" s="235"/>
      <c r="K210" s="235"/>
      <c r="L210" s="235"/>
      <c r="M210" s="236"/>
      <c r="N210" s="235"/>
      <c r="O210" s="235"/>
      <c r="P210" s="235"/>
      <c r="Q210" s="235"/>
      <c r="R210" s="235"/>
      <c r="S210" s="235"/>
      <c r="T210" s="235"/>
      <c r="U210" s="235"/>
      <c r="V210" s="235"/>
      <c r="W210" s="235"/>
      <c r="X210" s="235"/>
      <c r="Y210" s="235"/>
      <c r="Z210" s="235"/>
      <c r="AA210" s="235"/>
      <c r="AB210" s="235"/>
      <c r="AC210" s="235"/>
      <c r="AD210" s="235"/>
      <c r="AE210" s="236"/>
      <c r="AF210" s="235"/>
      <c r="AG210" s="235"/>
      <c r="AH210" s="235"/>
      <c r="AI210" s="235"/>
      <c r="AJ210" s="236"/>
      <c r="AK210" s="235"/>
      <c r="AL210" s="235"/>
      <c r="AM210" s="235"/>
      <c r="AN210" s="235"/>
      <c r="AO210" s="235"/>
      <c r="AP210" s="235"/>
      <c r="AQ210" s="235"/>
      <c r="AR210" s="235"/>
      <c r="AS210" s="235"/>
      <c r="AT210" s="235"/>
      <c r="AU210" s="236"/>
      <c r="AV210" s="235"/>
      <c r="AW210" s="235"/>
      <c r="AX210" s="235"/>
      <c r="AY210" s="235"/>
      <c r="AZ210" s="235"/>
      <c r="BA210" s="235"/>
      <c r="BB210" s="235"/>
      <c r="BC210" s="235"/>
      <c r="BD210" s="236"/>
      <c r="BE210" s="235"/>
      <c r="BF210" s="235"/>
      <c r="BG210" s="235"/>
      <c r="BH210" s="235"/>
      <c r="BI210" s="236"/>
      <c r="BJ210" s="236"/>
      <c r="BK210" s="238"/>
      <c r="BL210" s="239"/>
      <c r="BM210" s="239"/>
      <c r="BN210" s="340"/>
      <c r="BP210" s="236"/>
      <c r="BQ210" s="236"/>
      <c r="BR210" s="236"/>
      <c r="BS210" s="236"/>
      <c r="BT210" s="236"/>
      <c r="BU210" s="236"/>
      <c r="BV210" s="236"/>
      <c r="BW210" s="236"/>
      <c r="BX210" s="236"/>
      <c r="BY210" s="236"/>
      <c r="BZ210" s="236"/>
      <c r="CA210" s="236"/>
      <c r="CB210" s="236"/>
      <c r="CC210" s="236"/>
      <c r="CD210" s="236"/>
      <c r="CE210" s="236"/>
      <c r="CF210" s="236"/>
      <c r="CG210" s="236"/>
      <c r="CH210" s="236"/>
      <c r="CI210" s="236"/>
      <c r="CJ210" s="236"/>
      <c r="CK210" s="236"/>
      <c r="CL210" s="236"/>
      <c r="CM210" s="236"/>
      <c r="CN210" s="236"/>
      <c r="CO210" s="236"/>
    </row>
    <row r="211" spans="5:93" s="230" customFormat="1">
      <c r="E211" s="234"/>
      <c r="F211" s="235"/>
      <c r="G211" s="235"/>
      <c r="H211" s="236"/>
      <c r="I211" s="235"/>
      <c r="J211" s="235"/>
      <c r="K211" s="235"/>
      <c r="L211" s="235"/>
      <c r="M211" s="236"/>
      <c r="N211" s="235"/>
      <c r="O211" s="235"/>
      <c r="P211" s="235"/>
      <c r="Q211" s="235"/>
      <c r="R211" s="235"/>
      <c r="S211" s="235"/>
      <c r="T211" s="235"/>
      <c r="U211" s="235"/>
      <c r="V211" s="235"/>
      <c r="W211" s="235"/>
      <c r="X211" s="235"/>
      <c r="Y211" s="235"/>
      <c r="Z211" s="235"/>
      <c r="AA211" s="235"/>
      <c r="AB211" s="235"/>
      <c r="AC211" s="235"/>
      <c r="AD211" s="235"/>
      <c r="AE211" s="236"/>
      <c r="AF211" s="235"/>
      <c r="AG211" s="235"/>
      <c r="AH211" s="235"/>
      <c r="AI211" s="235"/>
      <c r="AJ211" s="236"/>
      <c r="AK211" s="235"/>
      <c r="AL211" s="235"/>
      <c r="AM211" s="235"/>
      <c r="AN211" s="235"/>
      <c r="AO211" s="235"/>
      <c r="AP211" s="235"/>
      <c r="AQ211" s="235"/>
      <c r="AR211" s="235"/>
      <c r="AS211" s="235"/>
      <c r="AT211" s="235"/>
      <c r="AU211" s="236"/>
      <c r="AV211" s="235"/>
      <c r="AW211" s="235"/>
      <c r="AX211" s="235"/>
      <c r="AY211" s="235"/>
      <c r="AZ211" s="235"/>
      <c r="BA211" s="235"/>
      <c r="BB211" s="235"/>
      <c r="BC211" s="235"/>
      <c r="BD211" s="236"/>
      <c r="BE211" s="235"/>
      <c r="BF211" s="235"/>
      <c r="BG211" s="235"/>
      <c r="BH211" s="235"/>
      <c r="BI211" s="236"/>
      <c r="BJ211" s="236"/>
      <c r="BK211" s="238"/>
      <c r="BL211" s="239"/>
      <c r="BM211" s="239"/>
      <c r="BN211" s="340"/>
      <c r="BP211" s="236"/>
      <c r="BQ211" s="236"/>
      <c r="BR211" s="236"/>
      <c r="BS211" s="236"/>
      <c r="BT211" s="236"/>
      <c r="BU211" s="236"/>
      <c r="BV211" s="236"/>
      <c r="BW211" s="236"/>
      <c r="BX211" s="236"/>
      <c r="BY211" s="236"/>
      <c r="BZ211" s="236"/>
      <c r="CA211" s="236"/>
      <c r="CB211" s="236"/>
      <c r="CC211" s="236"/>
      <c r="CD211" s="236"/>
      <c r="CE211" s="236"/>
      <c r="CF211" s="236"/>
      <c r="CG211" s="236"/>
      <c r="CH211" s="236"/>
      <c r="CI211" s="236"/>
      <c r="CJ211" s="236"/>
      <c r="CK211" s="236"/>
      <c r="CL211" s="236"/>
      <c r="CM211" s="236"/>
      <c r="CN211" s="236"/>
      <c r="CO211" s="236"/>
    </row>
    <row r="212" spans="5:93" s="230" customFormat="1">
      <c r="E212" s="234"/>
      <c r="F212" s="235"/>
      <c r="G212" s="235"/>
      <c r="H212" s="236"/>
      <c r="I212" s="235"/>
      <c r="J212" s="235"/>
      <c r="K212" s="235"/>
      <c r="L212" s="235"/>
      <c r="M212" s="236"/>
      <c r="N212" s="235"/>
      <c r="O212" s="235"/>
      <c r="P212" s="235"/>
      <c r="Q212" s="235"/>
      <c r="R212" s="235"/>
      <c r="S212" s="235"/>
      <c r="T212" s="235"/>
      <c r="U212" s="235"/>
      <c r="V212" s="235"/>
      <c r="W212" s="235"/>
      <c r="X212" s="235"/>
      <c r="Y212" s="235"/>
      <c r="Z212" s="235"/>
      <c r="AA212" s="235"/>
      <c r="AB212" s="235"/>
      <c r="AC212" s="235"/>
      <c r="AD212" s="235"/>
      <c r="AE212" s="236"/>
      <c r="AF212" s="235"/>
      <c r="AG212" s="235"/>
      <c r="AH212" s="235"/>
      <c r="AI212" s="235"/>
      <c r="AJ212" s="236"/>
      <c r="AK212" s="235"/>
      <c r="AL212" s="235"/>
      <c r="AM212" s="235"/>
      <c r="AN212" s="235"/>
      <c r="AO212" s="235"/>
      <c r="AP212" s="235"/>
      <c r="AQ212" s="235"/>
      <c r="AR212" s="235"/>
      <c r="AS212" s="235"/>
      <c r="AT212" s="235"/>
      <c r="AU212" s="236"/>
      <c r="AV212" s="235"/>
      <c r="AW212" s="235"/>
      <c r="AX212" s="235"/>
      <c r="AY212" s="235"/>
      <c r="AZ212" s="235"/>
      <c r="BA212" s="235"/>
      <c r="BB212" s="235"/>
      <c r="BC212" s="235"/>
      <c r="BD212" s="236"/>
      <c r="BE212" s="235"/>
      <c r="BF212" s="235"/>
      <c r="BG212" s="235"/>
      <c r="BH212" s="235"/>
      <c r="BI212" s="236"/>
      <c r="BJ212" s="236"/>
      <c r="BK212" s="238"/>
      <c r="BL212" s="239"/>
      <c r="BM212" s="239"/>
      <c r="BN212" s="340"/>
      <c r="BP212" s="236"/>
      <c r="BQ212" s="236"/>
      <c r="BR212" s="236"/>
      <c r="BS212" s="236"/>
      <c r="BT212" s="236"/>
      <c r="BU212" s="236"/>
      <c r="BV212" s="236"/>
      <c r="BW212" s="236"/>
      <c r="BX212" s="236"/>
      <c r="BY212" s="236"/>
      <c r="BZ212" s="236"/>
      <c r="CA212" s="236"/>
      <c r="CB212" s="236"/>
      <c r="CC212" s="236"/>
      <c r="CD212" s="236"/>
      <c r="CE212" s="236"/>
      <c r="CF212" s="236"/>
      <c r="CG212" s="236"/>
      <c r="CH212" s="236"/>
      <c r="CI212" s="236"/>
      <c r="CJ212" s="236"/>
      <c r="CK212" s="236"/>
      <c r="CL212" s="236"/>
      <c r="CM212" s="236"/>
      <c r="CN212" s="236"/>
      <c r="CO212" s="236"/>
    </row>
    <row r="213" spans="5:93" s="230" customFormat="1">
      <c r="E213" s="234"/>
      <c r="F213" s="235"/>
      <c r="G213" s="235"/>
      <c r="H213" s="236"/>
      <c r="I213" s="235"/>
      <c r="J213" s="235"/>
      <c r="K213" s="235"/>
      <c r="L213" s="235"/>
      <c r="M213" s="236"/>
      <c r="N213" s="235"/>
      <c r="O213" s="235"/>
      <c r="P213" s="235"/>
      <c r="Q213" s="235"/>
      <c r="R213" s="235"/>
      <c r="S213" s="235"/>
      <c r="T213" s="235"/>
      <c r="U213" s="235"/>
      <c r="V213" s="235"/>
      <c r="W213" s="235"/>
      <c r="X213" s="235"/>
      <c r="Y213" s="235"/>
      <c r="Z213" s="235"/>
      <c r="AA213" s="235"/>
      <c r="AB213" s="235"/>
      <c r="AC213" s="235"/>
      <c r="AD213" s="235"/>
      <c r="AE213" s="236"/>
      <c r="AF213" s="235"/>
      <c r="AG213" s="235"/>
      <c r="AH213" s="235"/>
      <c r="AI213" s="235"/>
      <c r="AJ213" s="236"/>
      <c r="AK213" s="235"/>
      <c r="AL213" s="235"/>
      <c r="AM213" s="235"/>
      <c r="AN213" s="235"/>
      <c r="AO213" s="235"/>
      <c r="AP213" s="235"/>
      <c r="AQ213" s="235"/>
      <c r="AR213" s="235"/>
      <c r="AS213" s="235"/>
      <c r="AT213" s="235"/>
      <c r="AU213" s="236"/>
      <c r="AV213" s="235"/>
      <c r="AW213" s="235"/>
      <c r="AX213" s="235"/>
      <c r="AY213" s="235"/>
      <c r="AZ213" s="235"/>
      <c r="BA213" s="235"/>
      <c r="BB213" s="235"/>
      <c r="BC213" s="235"/>
      <c r="BD213" s="236"/>
      <c r="BE213" s="235"/>
      <c r="BF213" s="235"/>
      <c r="BG213" s="235"/>
      <c r="BH213" s="235"/>
      <c r="BI213" s="236"/>
      <c r="BJ213" s="236"/>
      <c r="BK213" s="238"/>
      <c r="BL213" s="239"/>
      <c r="BM213" s="239"/>
      <c r="BN213" s="340"/>
      <c r="BP213" s="236"/>
      <c r="BQ213" s="236"/>
      <c r="BR213" s="236"/>
      <c r="BS213" s="236"/>
      <c r="BT213" s="236"/>
      <c r="BU213" s="236"/>
      <c r="BV213" s="236"/>
      <c r="BW213" s="236"/>
      <c r="BX213" s="236"/>
      <c r="BY213" s="236"/>
      <c r="BZ213" s="236"/>
      <c r="CA213" s="236"/>
      <c r="CB213" s="236"/>
      <c r="CC213" s="236"/>
      <c r="CD213" s="236"/>
      <c r="CE213" s="236"/>
      <c r="CF213" s="236"/>
      <c r="CG213" s="236"/>
      <c r="CH213" s="236"/>
      <c r="CI213" s="236"/>
      <c r="CJ213" s="236"/>
      <c r="CK213" s="236"/>
      <c r="CL213" s="236"/>
      <c r="CM213" s="236"/>
      <c r="CN213" s="236"/>
      <c r="CO213" s="236"/>
    </row>
    <row r="214" spans="5:93" s="230" customFormat="1">
      <c r="E214" s="234"/>
      <c r="F214" s="235"/>
      <c r="G214" s="235"/>
      <c r="H214" s="236"/>
      <c r="I214" s="235"/>
      <c r="J214" s="235"/>
      <c r="K214" s="235"/>
      <c r="L214" s="235"/>
      <c r="M214" s="236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  <c r="Z214" s="235"/>
      <c r="AA214" s="235"/>
      <c r="AB214" s="235"/>
      <c r="AC214" s="235"/>
      <c r="AD214" s="235"/>
      <c r="AE214" s="236"/>
      <c r="AF214" s="235"/>
      <c r="AG214" s="235"/>
      <c r="AH214" s="235"/>
      <c r="AI214" s="235"/>
      <c r="AJ214" s="236"/>
      <c r="AK214" s="235"/>
      <c r="AL214" s="235"/>
      <c r="AM214" s="235"/>
      <c r="AN214" s="235"/>
      <c r="AO214" s="235"/>
      <c r="AP214" s="235"/>
      <c r="AQ214" s="235"/>
      <c r="AR214" s="235"/>
      <c r="AS214" s="235"/>
      <c r="AT214" s="235"/>
      <c r="AU214" s="236"/>
      <c r="AV214" s="235"/>
      <c r="AW214" s="235"/>
      <c r="AX214" s="235"/>
      <c r="AY214" s="235"/>
      <c r="AZ214" s="235"/>
      <c r="BA214" s="235"/>
      <c r="BB214" s="235"/>
      <c r="BC214" s="235"/>
      <c r="BD214" s="236"/>
      <c r="BE214" s="235"/>
      <c r="BF214" s="235"/>
      <c r="BG214" s="235"/>
      <c r="BH214" s="235"/>
      <c r="BI214" s="236"/>
      <c r="BJ214" s="236"/>
      <c r="BK214" s="238"/>
      <c r="BL214" s="239"/>
      <c r="BM214" s="239"/>
      <c r="BN214" s="340"/>
      <c r="BP214" s="236"/>
      <c r="BQ214" s="236"/>
      <c r="BR214" s="236"/>
      <c r="BS214" s="236"/>
      <c r="BT214" s="236"/>
      <c r="BU214" s="236"/>
      <c r="BV214" s="236"/>
      <c r="BW214" s="236"/>
      <c r="BX214" s="236"/>
      <c r="BY214" s="236"/>
      <c r="BZ214" s="236"/>
      <c r="CA214" s="236"/>
      <c r="CB214" s="236"/>
      <c r="CC214" s="236"/>
      <c r="CD214" s="236"/>
      <c r="CE214" s="236"/>
      <c r="CF214" s="236"/>
      <c r="CG214" s="236"/>
      <c r="CH214" s="236"/>
      <c r="CI214" s="236"/>
      <c r="CJ214" s="236"/>
      <c r="CK214" s="236"/>
      <c r="CL214" s="236"/>
      <c r="CM214" s="236"/>
      <c r="CN214" s="236"/>
      <c r="CO214" s="236"/>
    </row>
    <row r="215" spans="5:93" s="230" customFormat="1">
      <c r="E215" s="234"/>
      <c r="F215" s="235"/>
      <c r="G215" s="235"/>
      <c r="H215" s="236"/>
      <c r="I215" s="235"/>
      <c r="J215" s="235"/>
      <c r="K215" s="235"/>
      <c r="L215" s="235"/>
      <c r="M215" s="236"/>
      <c r="N215" s="235"/>
      <c r="O215" s="235"/>
      <c r="P215" s="235"/>
      <c r="Q215" s="235"/>
      <c r="R215" s="235"/>
      <c r="S215" s="235"/>
      <c r="T215" s="235"/>
      <c r="U215" s="235"/>
      <c r="V215" s="235"/>
      <c r="W215" s="235"/>
      <c r="X215" s="235"/>
      <c r="Y215" s="235"/>
      <c r="Z215" s="235"/>
      <c r="AA215" s="235"/>
      <c r="AB215" s="235"/>
      <c r="AC215" s="235"/>
      <c r="AD215" s="235"/>
      <c r="AE215" s="236"/>
      <c r="AF215" s="235"/>
      <c r="AG215" s="235"/>
      <c r="AH215" s="235"/>
      <c r="AI215" s="235"/>
      <c r="AJ215" s="236"/>
      <c r="AK215" s="235"/>
      <c r="AL215" s="235"/>
      <c r="AM215" s="235"/>
      <c r="AN215" s="235"/>
      <c r="AO215" s="235"/>
      <c r="AP215" s="235"/>
      <c r="AQ215" s="235"/>
      <c r="AR215" s="235"/>
      <c r="AS215" s="235"/>
      <c r="AT215" s="235"/>
      <c r="AU215" s="236"/>
      <c r="AV215" s="235"/>
      <c r="AW215" s="235"/>
      <c r="AX215" s="235"/>
      <c r="AY215" s="235"/>
      <c r="AZ215" s="235"/>
      <c r="BA215" s="235"/>
      <c r="BB215" s="235"/>
      <c r="BC215" s="235"/>
      <c r="BD215" s="236"/>
      <c r="BE215" s="235"/>
      <c r="BF215" s="235"/>
      <c r="BG215" s="235"/>
      <c r="BH215" s="235"/>
      <c r="BI215" s="236"/>
      <c r="BJ215" s="236"/>
      <c r="BK215" s="238"/>
      <c r="BL215" s="239"/>
      <c r="BM215" s="239"/>
      <c r="BN215" s="340"/>
      <c r="BP215" s="236"/>
      <c r="BQ215" s="236"/>
      <c r="BR215" s="236"/>
      <c r="BS215" s="236"/>
      <c r="BT215" s="236"/>
      <c r="BU215" s="236"/>
      <c r="BV215" s="236"/>
      <c r="BW215" s="236"/>
      <c r="BX215" s="236"/>
      <c r="BY215" s="236"/>
      <c r="BZ215" s="236"/>
      <c r="CA215" s="236"/>
      <c r="CB215" s="236"/>
      <c r="CC215" s="236"/>
      <c r="CD215" s="236"/>
      <c r="CE215" s="236"/>
      <c r="CF215" s="236"/>
      <c r="CG215" s="236"/>
      <c r="CH215" s="236"/>
      <c r="CI215" s="236"/>
      <c r="CJ215" s="236"/>
      <c r="CK215" s="236"/>
      <c r="CL215" s="236"/>
      <c r="CM215" s="236"/>
      <c r="CN215" s="236"/>
      <c r="CO215" s="236"/>
    </row>
    <row r="216" spans="5:93" s="230" customFormat="1">
      <c r="E216" s="234"/>
      <c r="F216" s="235"/>
      <c r="G216" s="235"/>
      <c r="H216" s="236"/>
      <c r="I216" s="235"/>
      <c r="J216" s="235"/>
      <c r="K216" s="235"/>
      <c r="L216" s="235"/>
      <c r="M216" s="236"/>
      <c r="N216" s="235"/>
      <c r="O216" s="235"/>
      <c r="P216" s="235"/>
      <c r="Q216" s="235"/>
      <c r="R216" s="235"/>
      <c r="S216" s="235"/>
      <c r="T216" s="235"/>
      <c r="U216" s="235"/>
      <c r="V216" s="235"/>
      <c r="W216" s="235"/>
      <c r="X216" s="235"/>
      <c r="Y216" s="235"/>
      <c r="Z216" s="235"/>
      <c r="AA216" s="235"/>
      <c r="AB216" s="235"/>
      <c r="AC216" s="235"/>
      <c r="AD216" s="235"/>
      <c r="AE216" s="236"/>
      <c r="AF216" s="235"/>
      <c r="AG216" s="235"/>
      <c r="AH216" s="235"/>
      <c r="AI216" s="235"/>
      <c r="AJ216" s="236"/>
      <c r="AK216" s="235"/>
      <c r="AL216" s="235"/>
      <c r="AM216" s="235"/>
      <c r="AN216" s="235"/>
      <c r="AO216" s="235"/>
      <c r="AP216" s="235"/>
      <c r="AQ216" s="235"/>
      <c r="AR216" s="235"/>
      <c r="AS216" s="235"/>
      <c r="AT216" s="235"/>
      <c r="AU216" s="236"/>
      <c r="AV216" s="235"/>
      <c r="AW216" s="235"/>
      <c r="AX216" s="235"/>
      <c r="AY216" s="235"/>
      <c r="AZ216" s="235"/>
      <c r="BA216" s="235"/>
      <c r="BB216" s="235"/>
      <c r="BC216" s="235"/>
      <c r="BD216" s="236"/>
      <c r="BE216" s="235"/>
      <c r="BF216" s="235"/>
      <c r="BG216" s="235"/>
      <c r="BH216" s="235"/>
      <c r="BI216" s="236"/>
      <c r="BJ216" s="236"/>
      <c r="BK216" s="238"/>
      <c r="BL216" s="239"/>
      <c r="BM216" s="239"/>
      <c r="BN216" s="340"/>
      <c r="BP216" s="236"/>
      <c r="BQ216" s="236"/>
      <c r="BR216" s="236"/>
      <c r="BS216" s="236"/>
      <c r="BT216" s="236"/>
      <c r="BU216" s="236"/>
      <c r="BV216" s="236"/>
      <c r="BW216" s="236"/>
      <c r="BX216" s="236"/>
      <c r="BY216" s="236"/>
      <c r="BZ216" s="236"/>
      <c r="CA216" s="236"/>
      <c r="CB216" s="236"/>
      <c r="CC216" s="236"/>
      <c r="CD216" s="236"/>
      <c r="CE216" s="236"/>
      <c r="CF216" s="236"/>
      <c r="CG216" s="236"/>
      <c r="CH216" s="236"/>
      <c r="CI216" s="236"/>
      <c r="CJ216" s="236"/>
      <c r="CK216" s="236"/>
      <c r="CL216" s="236"/>
      <c r="CM216" s="236"/>
      <c r="CN216" s="236"/>
      <c r="CO216" s="236"/>
    </row>
    <row r="217" spans="5:93" s="230" customFormat="1">
      <c r="E217" s="234"/>
      <c r="F217" s="235"/>
      <c r="G217" s="235"/>
      <c r="H217" s="236"/>
      <c r="I217" s="235"/>
      <c r="J217" s="235"/>
      <c r="K217" s="235"/>
      <c r="L217" s="235"/>
      <c r="M217" s="236"/>
      <c r="N217" s="235"/>
      <c r="O217" s="235"/>
      <c r="P217" s="235"/>
      <c r="Q217" s="235"/>
      <c r="R217" s="235"/>
      <c r="S217" s="235"/>
      <c r="T217" s="235"/>
      <c r="U217" s="235"/>
      <c r="V217" s="235"/>
      <c r="W217" s="235"/>
      <c r="X217" s="235"/>
      <c r="Y217" s="235"/>
      <c r="Z217" s="235"/>
      <c r="AA217" s="235"/>
      <c r="AB217" s="235"/>
      <c r="AC217" s="235"/>
      <c r="AD217" s="235"/>
      <c r="AE217" s="236"/>
      <c r="AF217" s="235"/>
      <c r="AG217" s="235"/>
      <c r="AH217" s="235"/>
      <c r="AI217" s="235"/>
      <c r="AJ217" s="236"/>
      <c r="AK217" s="235"/>
      <c r="AL217" s="235"/>
      <c r="AM217" s="235"/>
      <c r="AN217" s="235"/>
      <c r="AO217" s="235"/>
      <c r="AP217" s="235"/>
      <c r="AQ217" s="235"/>
      <c r="AR217" s="235"/>
      <c r="AS217" s="235"/>
      <c r="AT217" s="235"/>
      <c r="AU217" s="236"/>
      <c r="AV217" s="235"/>
      <c r="AW217" s="235"/>
      <c r="AX217" s="235"/>
      <c r="AY217" s="235"/>
      <c r="AZ217" s="235"/>
      <c r="BA217" s="235"/>
      <c r="BB217" s="235"/>
      <c r="BC217" s="235"/>
      <c r="BD217" s="236"/>
      <c r="BE217" s="235"/>
      <c r="BF217" s="235"/>
      <c r="BG217" s="235"/>
      <c r="BH217" s="235"/>
      <c r="BI217" s="236"/>
      <c r="BJ217" s="236"/>
      <c r="BK217" s="238"/>
      <c r="BL217" s="239"/>
      <c r="BM217" s="239"/>
      <c r="BN217" s="340"/>
      <c r="BP217" s="236"/>
      <c r="BQ217" s="236"/>
      <c r="BR217" s="236"/>
      <c r="BS217" s="236"/>
      <c r="BT217" s="236"/>
      <c r="BU217" s="236"/>
      <c r="BV217" s="236"/>
      <c r="BW217" s="236"/>
      <c r="BX217" s="236"/>
      <c r="BY217" s="236"/>
      <c r="BZ217" s="236"/>
      <c r="CA217" s="236"/>
      <c r="CB217" s="236"/>
      <c r="CC217" s="236"/>
      <c r="CD217" s="236"/>
      <c r="CE217" s="236"/>
      <c r="CF217" s="236"/>
      <c r="CG217" s="236"/>
      <c r="CH217" s="236"/>
      <c r="CI217" s="236"/>
      <c r="CJ217" s="236"/>
      <c r="CK217" s="236"/>
      <c r="CL217" s="236"/>
      <c r="CM217" s="236"/>
      <c r="CN217" s="236"/>
      <c r="CO217" s="236"/>
    </row>
    <row r="218" spans="5:93" s="230" customFormat="1">
      <c r="E218" s="234"/>
      <c r="F218" s="235"/>
      <c r="G218" s="235"/>
      <c r="H218" s="236"/>
      <c r="I218" s="235"/>
      <c r="J218" s="235"/>
      <c r="K218" s="235"/>
      <c r="L218" s="235"/>
      <c r="M218" s="236"/>
      <c r="N218" s="235"/>
      <c r="O218" s="235"/>
      <c r="P218" s="235"/>
      <c r="Q218" s="235"/>
      <c r="R218" s="235"/>
      <c r="S218" s="235"/>
      <c r="T218" s="235"/>
      <c r="U218" s="235"/>
      <c r="V218" s="235"/>
      <c r="W218" s="235"/>
      <c r="X218" s="235"/>
      <c r="Y218" s="235"/>
      <c r="Z218" s="235"/>
      <c r="AA218" s="235"/>
      <c r="AB218" s="235"/>
      <c r="AC218" s="235"/>
      <c r="AD218" s="235"/>
      <c r="AE218" s="236"/>
      <c r="AF218" s="235"/>
      <c r="AG218" s="235"/>
      <c r="AH218" s="235"/>
      <c r="AI218" s="235"/>
      <c r="AJ218" s="236"/>
      <c r="AK218" s="235"/>
      <c r="AL218" s="235"/>
      <c r="AM218" s="235"/>
      <c r="AN218" s="235"/>
      <c r="AO218" s="235"/>
      <c r="AP218" s="235"/>
      <c r="AQ218" s="235"/>
      <c r="AR218" s="235"/>
      <c r="AS218" s="235"/>
      <c r="AT218" s="235"/>
      <c r="AU218" s="236"/>
      <c r="AV218" s="235"/>
      <c r="AW218" s="235"/>
      <c r="AX218" s="235"/>
      <c r="AY218" s="235"/>
      <c r="AZ218" s="235"/>
      <c r="BA218" s="235"/>
      <c r="BB218" s="235"/>
      <c r="BC218" s="235"/>
      <c r="BD218" s="236"/>
      <c r="BE218" s="235"/>
      <c r="BF218" s="235"/>
      <c r="BG218" s="235"/>
      <c r="BH218" s="235"/>
      <c r="BI218" s="236"/>
      <c r="BJ218" s="236"/>
      <c r="BK218" s="238"/>
      <c r="BL218" s="239"/>
      <c r="BM218" s="239"/>
      <c r="BN218" s="340"/>
      <c r="BP218" s="236"/>
      <c r="BQ218" s="236"/>
      <c r="BR218" s="236"/>
      <c r="BS218" s="236"/>
      <c r="BT218" s="236"/>
      <c r="BU218" s="236"/>
      <c r="BV218" s="236"/>
      <c r="BW218" s="236"/>
      <c r="BX218" s="236"/>
      <c r="BY218" s="236"/>
      <c r="BZ218" s="236"/>
      <c r="CA218" s="236"/>
      <c r="CB218" s="236"/>
      <c r="CC218" s="236"/>
      <c r="CD218" s="236"/>
      <c r="CE218" s="236"/>
      <c r="CF218" s="236"/>
      <c r="CG218" s="236"/>
      <c r="CH218" s="236"/>
      <c r="CI218" s="236"/>
      <c r="CJ218" s="236"/>
      <c r="CK218" s="236"/>
      <c r="CL218" s="236"/>
      <c r="CM218" s="236"/>
      <c r="CN218" s="236"/>
      <c r="CO218" s="236"/>
    </row>
    <row r="219" spans="5:93" s="230" customFormat="1">
      <c r="E219" s="234"/>
      <c r="F219" s="235"/>
      <c r="G219" s="235"/>
      <c r="H219" s="236"/>
      <c r="I219" s="235"/>
      <c r="J219" s="235"/>
      <c r="K219" s="235"/>
      <c r="L219" s="235"/>
      <c r="M219" s="236"/>
      <c r="N219" s="235"/>
      <c r="O219" s="235"/>
      <c r="P219" s="235"/>
      <c r="Q219" s="235"/>
      <c r="R219" s="235"/>
      <c r="S219" s="235"/>
      <c r="T219" s="235"/>
      <c r="U219" s="235"/>
      <c r="V219" s="235"/>
      <c r="W219" s="235"/>
      <c r="X219" s="235"/>
      <c r="Y219" s="235"/>
      <c r="Z219" s="235"/>
      <c r="AA219" s="235"/>
      <c r="AB219" s="235"/>
      <c r="AC219" s="235"/>
      <c r="AD219" s="235"/>
      <c r="AE219" s="236"/>
      <c r="AF219" s="235"/>
      <c r="AG219" s="235"/>
      <c r="AH219" s="235"/>
      <c r="AI219" s="235"/>
      <c r="AJ219" s="236"/>
      <c r="AK219" s="235"/>
      <c r="AL219" s="235"/>
      <c r="AM219" s="235"/>
      <c r="AN219" s="235"/>
      <c r="AO219" s="235"/>
      <c r="AP219" s="235"/>
      <c r="AQ219" s="235"/>
      <c r="AR219" s="235"/>
      <c r="AS219" s="235"/>
      <c r="AT219" s="235"/>
      <c r="AU219" s="236"/>
      <c r="AV219" s="235"/>
      <c r="AW219" s="235"/>
      <c r="AX219" s="235"/>
      <c r="AY219" s="235"/>
      <c r="AZ219" s="235"/>
      <c r="BA219" s="235"/>
      <c r="BB219" s="235"/>
      <c r="BC219" s="235"/>
      <c r="BD219" s="236"/>
      <c r="BE219" s="235"/>
      <c r="BF219" s="235"/>
      <c r="BG219" s="235"/>
      <c r="BH219" s="235"/>
      <c r="BI219" s="236"/>
      <c r="BJ219" s="236"/>
      <c r="BK219" s="238"/>
      <c r="BL219" s="239"/>
      <c r="BM219" s="239"/>
      <c r="BN219" s="340"/>
      <c r="BP219" s="236"/>
      <c r="BQ219" s="236"/>
      <c r="BR219" s="236"/>
      <c r="BS219" s="236"/>
      <c r="BT219" s="236"/>
      <c r="BU219" s="236"/>
      <c r="BV219" s="236"/>
      <c r="BW219" s="236"/>
      <c r="BX219" s="236"/>
      <c r="BY219" s="236"/>
      <c r="BZ219" s="236"/>
      <c r="CA219" s="236"/>
      <c r="CB219" s="236"/>
      <c r="CC219" s="236"/>
      <c r="CD219" s="236"/>
      <c r="CE219" s="236"/>
      <c r="CF219" s="236"/>
      <c r="CG219" s="236"/>
      <c r="CH219" s="236"/>
      <c r="CI219" s="236"/>
      <c r="CJ219" s="236"/>
      <c r="CK219" s="236"/>
      <c r="CL219" s="236"/>
      <c r="CM219" s="236"/>
      <c r="CN219" s="236"/>
      <c r="CO219" s="236"/>
    </row>
    <row r="220" spans="5:93" s="230" customFormat="1">
      <c r="E220" s="234"/>
      <c r="F220" s="235"/>
      <c r="G220" s="235"/>
      <c r="H220" s="236"/>
      <c r="I220" s="235"/>
      <c r="J220" s="235"/>
      <c r="K220" s="235"/>
      <c r="L220" s="235"/>
      <c r="M220" s="236"/>
      <c r="N220" s="235"/>
      <c r="O220" s="235"/>
      <c r="P220" s="235"/>
      <c r="Q220" s="235"/>
      <c r="R220" s="235"/>
      <c r="S220" s="235"/>
      <c r="T220" s="235"/>
      <c r="U220" s="235"/>
      <c r="V220" s="235"/>
      <c r="W220" s="235"/>
      <c r="X220" s="235"/>
      <c r="Y220" s="235"/>
      <c r="Z220" s="235"/>
      <c r="AA220" s="235"/>
      <c r="AB220" s="235"/>
      <c r="AC220" s="235"/>
      <c r="AD220" s="235"/>
      <c r="AE220" s="236"/>
      <c r="AF220" s="235"/>
      <c r="AG220" s="235"/>
      <c r="AH220" s="235"/>
      <c r="AI220" s="235"/>
      <c r="AJ220" s="236"/>
      <c r="AK220" s="235"/>
      <c r="AL220" s="235"/>
      <c r="AM220" s="235"/>
      <c r="AN220" s="235"/>
      <c r="AO220" s="235"/>
      <c r="AP220" s="235"/>
      <c r="AQ220" s="235"/>
      <c r="AR220" s="235"/>
      <c r="AS220" s="235"/>
      <c r="AT220" s="235"/>
      <c r="AU220" s="236"/>
      <c r="AV220" s="235"/>
      <c r="AW220" s="235"/>
      <c r="AX220" s="235"/>
      <c r="AY220" s="235"/>
      <c r="AZ220" s="235"/>
      <c r="BA220" s="235"/>
      <c r="BB220" s="235"/>
      <c r="BC220" s="235"/>
      <c r="BD220" s="236"/>
      <c r="BE220" s="235"/>
      <c r="BF220" s="235"/>
      <c r="BG220" s="235"/>
      <c r="BH220" s="235"/>
      <c r="BI220" s="236"/>
      <c r="BJ220" s="236"/>
      <c r="BK220" s="238"/>
      <c r="BL220" s="239"/>
      <c r="BM220" s="239"/>
      <c r="BN220" s="340"/>
      <c r="BP220" s="236"/>
      <c r="BQ220" s="236"/>
      <c r="BR220" s="236"/>
      <c r="BS220" s="236"/>
      <c r="BT220" s="236"/>
      <c r="BU220" s="236"/>
      <c r="BV220" s="236"/>
      <c r="BW220" s="236"/>
      <c r="BX220" s="236"/>
      <c r="BY220" s="236"/>
      <c r="BZ220" s="236"/>
      <c r="CA220" s="236"/>
      <c r="CB220" s="236"/>
      <c r="CC220" s="236"/>
      <c r="CD220" s="236"/>
      <c r="CE220" s="236"/>
      <c r="CF220" s="236"/>
      <c r="CG220" s="236"/>
      <c r="CH220" s="236"/>
      <c r="CI220" s="236"/>
      <c r="CJ220" s="236"/>
      <c r="CK220" s="236"/>
      <c r="CL220" s="236"/>
      <c r="CM220" s="236"/>
      <c r="CN220" s="236"/>
      <c r="CO220" s="236"/>
    </row>
    <row r="221" spans="5:93" s="230" customFormat="1">
      <c r="E221" s="234"/>
      <c r="F221" s="235"/>
      <c r="G221" s="235"/>
      <c r="H221" s="236"/>
      <c r="I221" s="235"/>
      <c r="J221" s="235"/>
      <c r="K221" s="235"/>
      <c r="L221" s="235"/>
      <c r="M221" s="236"/>
      <c r="N221" s="235"/>
      <c r="O221" s="235"/>
      <c r="P221" s="235"/>
      <c r="Q221" s="235"/>
      <c r="R221" s="235"/>
      <c r="S221" s="235"/>
      <c r="T221" s="235"/>
      <c r="U221" s="235"/>
      <c r="V221" s="235"/>
      <c r="W221" s="235"/>
      <c r="X221" s="235"/>
      <c r="Y221" s="235"/>
      <c r="Z221" s="235"/>
      <c r="AA221" s="235"/>
      <c r="AB221" s="235"/>
      <c r="AC221" s="235"/>
      <c r="AD221" s="235"/>
      <c r="AE221" s="236"/>
      <c r="AF221" s="235"/>
      <c r="AG221" s="235"/>
      <c r="AH221" s="235"/>
      <c r="AI221" s="235"/>
      <c r="AJ221" s="236"/>
      <c r="AK221" s="235"/>
      <c r="AL221" s="235"/>
      <c r="AM221" s="235"/>
      <c r="AN221" s="235"/>
      <c r="AO221" s="235"/>
      <c r="AP221" s="235"/>
      <c r="AQ221" s="235"/>
      <c r="AR221" s="235"/>
      <c r="AS221" s="235"/>
      <c r="AT221" s="235"/>
      <c r="AU221" s="236"/>
      <c r="AV221" s="235"/>
      <c r="AW221" s="235"/>
      <c r="AX221" s="235"/>
      <c r="AY221" s="235"/>
      <c r="AZ221" s="235"/>
      <c r="BA221" s="235"/>
      <c r="BB221" s="235"/>
      <c r="BC221" s="235"/>
      <c r="BD221" s="236"/>
      <c r="BE221" s="235"/>
      <c r="BF221" s="235"/>
      <c r="BG221" s="235"/>
      <c r="BH221" s="235"/>
      <c r="BI221" s="236"/>
      <c r="BJ221" s="236"/>
      <c r="BK221" s="238"/>
      <c r="BL221" s="239"/>
      <c r="BM221" s="239"/>
      <c r="BN221" s="340"/>
      <c r="BP221" s="236"/>
      <c r="BQ221" s="236"/>
      <c r="BR221" s="236"/>
      <c r="BS221" s="236"/>
      <c r="BT221" s="236"/>
      <c r="BU221" s="236"/>
      <c r="BV221" s="236"/>
      <c r="BW221" s="236"/>
      <c r="BX221" s="236"/>
      <c r="BY221" s="236"/>
      <c r="BZ221" s="236"/>
      <c r="CA221" s="236"/>
      <c r="CB221" s="236"/>
      <c r="CC221" s="236"/>
      <c r="CD221" s="236"/>
      <c r="CE221" s="236"/>
      <c r="CF221" s="236"/>
      <c r="CG221" s="236"/>
      <c r="CH221" s="236"/>
      <c r="CI221" s="236"/>
      <c r="CJ221" s="236"/>
      <c r="CK221" s="236"/>
      <c r="CL221" s="236"/>
      <c r="CM221" s="236"/>
      <c r="CN221" s="236"/>
      <c r="CO221" s="236"/>
    </row>
    <row r="222" spans="5:93" s="230" customFormat="1">
      <c r="E222" s="234"/>
      <c r="F222" s="235"/>
      <c r="G222" s="235"/>
      <c r="H222" s="236"/>
      <c r="I222" s="235"/>
      <c r="J222" s="235"/>
      <c r="K222" s="235"/>
      <c r="L222" s="235"/>
      <c r="M222" s="236"/>
      <c r="N222" s="235"/>
      <c r="O222" s="235"/>
      <c r="P222" s="235"/>
      <c r="Q222" s="235"/>
      <c r="R222" s="235"/>
      <c r="S222" s="235"/>
      <c r="T222" s="235"/>
      <c r="U222" s="235"/>
      <c r="V222" s="235"/>
      <c r="W222" s="235"/>
      <c r="X222" s="235"/>
      <c r="Y222" s="235"/>
      <c r="Z222" s="235"/>
      <c r="AA222" s="235"/>
      <c r="AB222" s="235"/>
      <c r="AC222" s="235"/>
      <c r="AD222" s="235"/>
      <c r="AE222" s="236"/>
      <c r="AF222" s="235"/>
      <c r="AG222" s="235"/>
      <c r="AH222" s="235"/>
      <c r="AI222" s="235"/>
      <c r="AJ222" s="236"/>
      <c r="AK222" s="235"/>
      <c r="AL222" s="235"/>
      <c r="AM222" s="235"/>
      <c r="AN222" s="235"/>
      <c r="AO222" s="235"/>
      <c r="AP222" s="235"/>
      <c r="AQ222" s="235"/>
      <c r="AR222" s="235"/>
      <c r="AS222" s="235"/>
      <c r="AT222" s="235"/>
      <c r="AU222" s="236"/>
      <c r="AV222" s="235"/>
      <c r="AW222" s="235"/>
      <c r="AX222" s="235"/>
      <c r="AY222" s="235"/>
      <c r="AZ222" s="235"/>
      <c r="BA222" s="235"/>
      <c r="BB222" s="235"/>
      <c r="BC222" s="235"/>
      <c r="BD222" s="236"/>
      <c r="BE222" s="235"/>
      <c r="BF222" s="235"/>
      <c r="BG222" s="235"/>
      <c r="BH222" s="235"/>
      <c r="BI222" s="236"/>
      <c r="BJ222" s="236"/>
      <c r="BK222" s="238"/>
      <c r="BL222" s="239"/>
      <c r="BM222" s="239"/>
      <c r="BN222" s="340"/>
      <c r="BP222" s="236"/>
      <c r="BQ222" s="236"/>
      <c r="BR222" s="236"/>
      <c r="BS222" s="236"/>
      <c r="BT222" s="236"/>
      <c r="BU222" s="236"/>
      <c r="BV222" s="236"/>
      <c r="BW222" s="236"/>
      <c r="BX222" s="236"/>
      <c r="BY222" s="236"/>
      <c r="BZ222" s="236"/>
      <c r="CA222" s="236"/>
      <c r="CB222" s="236"/>
      <c r="CC222" s="236"/>
      <c r="CD222" s="236"/>
      <c r="CE222" s="236"/>
      <c r="CF222" s="236"/>
      <c r="CG222" s="236"/>
      <c r="CH222" s="236"/>
      <c r="CI222" s="236"/>
      <c r="CJ222" s="236"/>
      <c r="CK222" s="236"/>
      <c r="CL222" s="236"/>
      <c r="CM222" s="236"/>
      <c r="CN222" s="236"/>
      <c r="CO222" s="236"/>
    </row>
    <row r="223" spans="5:93" s="230" customFormat="1">
      <c r="E223" s="234"/>
      <c r="F223" s="235"/>
      <c r="G223" s="235"/>
      <c r="H223" s="236"/>
      <c r="I223" s="235"/>
      <c r="J223" s="235"/>
      <c r="K223" s="235"/>
      <c r="L223" s="235"/>
      <c r="M223" s="236"/>
      <c r="N223" s="235"/>
      <c r="O223" s="235"/>
      <c r="P223" s="235"/>
      <c r="Q223" s="235"/>
      <c r="R223" s="235"/>
      <c r="S223" s="235"/>
      <c r="T223" s="235"/>
      <c r="U223" s="235"/>
      <c r="V223" s="235"/>
      <c r="W223" s="235"/>
      <c r="X223" s="235"/>
      <c r="Y223" s="235"/>
      <c r="Z223" s="235"/>
      <c r="AA223" s="235"/>
      <c r="AB223" s="235"/>
      <c r="AC223" s="235"/>
      <c r="AD223" s="235"/>
      <c r="AE223" s="236"/>
      <c r="AF223" s="235"/>
      <c r="AG223" s="235"/>
      <c r="AH223" s="235"/>
      <c r="AI223" s="235"/>
      <c r="AJ223" s="236"/>
      <c r="AK223" s="235"/>
      <c r="AL223" s="235"/>
      <c r="AM223" s="235"/>
      <c r="AN223" s="235"/>
      <c r="AO223" s="235"/>
      <c r="AP223" s="235"/>
      <c r="AQ223" s="235"/>
      <c r="AR223" s="235"/>
      <c r="AS223" s="235"/>
      <c r="AT223" s="235"/>
      <c r="AU223" s="236"/>
      <c r="AV223" s="235"/>
      <c r="AW223" s="235"/>
      <c r="AX223" s="235"/>
      <c r="AY223" s="235"/>
      <c r="AZ223" s="235"/>
      <c r="BA223" s="235"/>
      <c r="BB223" s="235"/>
      <c r="BC223" s="235"/>
      <c r="BD223" s="236"/>
      <c r="BE223" s="235"/>
      <c r="BF223" s="235"/>
      <c r="BG223" s="235"/>
      <c r="BH223" s="235"/>
      <c r="BI223" s="236"/>
      <c r="BJ223" s="236"/>
      <c r="BK223" s="238"/>
      <c r="BL223" s="239"/>
      <c r="BM223" s="239"/>
      <c r="BN223" s="340"/>
      <c r="BP223" s="236"/>
      <c r="BQ223" s="236"/>
      <c r="BR223" s="236"/>
      <c r="BS223" s="236"/>
      <c r="BT223" s="236"/>
      <c r="BU223" s="236"/>
      <c r="BV223" s="236"/>
      <c r="BW223" s="236"/>
      <c r="BX223" s="236"/>
      <c r="BY223" s="236"/>
      <c r="BZ223" s="236"/>
      <c r="CA223" s="236"/>
      <c r="CB223" s="236"/>
      <c r="CC223" s="236"/>
      <c r="CD223" s="236"/>
      <c r="CE223" s="236"/>
      <c r="CF223" s="236"/>
      <c r="CG223" s="236"/>
      <c r="CH223" s="236"/>
      <c r="CI223" s="236"/>
      <c r="CJ223" s="236"/>
      <c r="CK223" s="236"/>
      <c r="CL223" s="236"/>
      <c r="CM223" s="236"/>
      <c r="CN223" s="236"/>
      <c r="CO223" s="236"/>
    </row>
    <row r="224" spans="5:93" s="230" customFormat="1">
      <c r="E224" s="234"/>
      <c r="F224" s="235"/>
      <c r="G224" s="235"/>
      <c r="H224" s="236"/>
      <c r="I224" s="235"/>
      <c r="J224" s="235"/>
      <c r="K224" s="235"/>
      <c r="L224" s="235"/>
      <c r="M224" s="236"/>
      <c r="N224" s="235"/>
      <c r="O224" s="235"/>
      <c r="P224" s="235"/>
      <c r="Q224" s="235"/>
      <c r="R224" s="235"/>
      <c r="S224" s="235"/>
      <c r="T224" s="235"/>
      <c r="U224" s="235"/>
      <c r="V224" s="235"/>
      <c r="W224" s="235"/>
      <c r="X224" s="235"/>
      <c r="Y224" s="235"/>
      <c r="Z224" s="235"/>
      <c r="AA224" s="235"/>
      <c r="AB224" s="235"/>
      <c r="AC224" s="235"/>
      <c r="AD224" s="235"/>
      <c r="AE224" s="236"/>
      <c r="AF224" s="235"/>
      <c r="AG224" s="235"/>
      <c r="AH224" s="235"/>
      <c r="AI224" s="235"/>
      <c r="AJ224" s="236"/>
      <c r="AK224" s="235"/>
      <c r="AL224" s="235"/>
      <c r="AM224" s="235"/>
      <c r="AN224" s="235"/>
      <c r="AO224" s="235"/>
      <c r="AP224" s="235"/>
      <c r="AQ224" s="235"/>
      <c r="AR224" s="235"/>
      <c r="AS224" s="235"/>
      <c r="AT224" s="235"/>
      <c r="AU224" s="236"/>
      <c r="AV224" s="235"/>
      <c r="AW224" s="235"/>
      <c r="AX224" s="235"/>
      <c r="AY224" s="235"/>
      <c r="AZ224" s="235"/>
      <c r="BA224" s="235"/>
      <c r="BB224" s="235"/>
      <c r="BC224" s="235"/>
      <c r="BD224" s="236"/>
      <c r="BE224" s="235"/>
      <c r="BF224" s="235"/>
      <c r="BG224" s="235"/>
      <c r="BH224" s="235"/>
      <c r="BI224" s="236"/>
      <c r="BJ224" s="236"/>
      <c r="BK224" s="238"/>
      <c r="BL224" s="239"/>
      <c r="BM224" s="239"/>
      <c r="BN224" s="340"/>
      <c r="BP224" s="236"/>
      <c r="BQ224" s="236"/>
      <c r="BR224" s="236"/>
      <c r="BS224" s="236"/>
      <c r="BT224" s="236"/>
      <c r="BU224" s="236"/>
      <c r="BV224" s="236"/>
      <c r="BW224" s="236"/>
      <c r="BX224" s="236"/>
      <c r="BY224" s="236"/>
      <c r="BZ224" s="236"/>
      <c r="CA224" s="236"/>
      <c r="CB224" s="236"/>
      <c r="CC224" s="236"/>
      <c r="CD224" s="236"/>
      <c r="CE224" s="236"/>
      <c r="CF224" s="236"/>
      <c r="CG224" s="236"/>
      <c r="CH224" s="236"/>
      <c r="CI224" s="236"/>
      <c r="CJ224" s="236"/>
      <c r="CK224" s="236"/>
      <c r="CL224" s="236"/>
      <c r="CM224" s="236"/>
      <c r="CN224" s="236"/>
      <c r="CO224" s="236"/>
    </row>
    <row r="225" spans="5:93" s="230" customFormat="1">
      <c r="E225" s="234"/>
      <c r="F225" s="235"/>
      <c r="G225" s="235"/>
      <c r="H225" s="236"/>
      <c r="I225" s="235"/>
      <c r="J225" s="235"/>
      <c r="K225" s="235"/>
      <c r="L225" s="235"/>
      <c r="M225" s="236"/>
      <c r="N225" s="235"/>
      <c r="O225" s="235"/>
      <c r="P225" s="235"/>
      <c r="Q225" s="235"/>
      <c r="R225" s="235"/>
      <c r="S225" s="235"/>
      <c r="T225" s="235"/>
      <c r="U225" s="235"/>
      <c r="V225" s="235"/>
      <c r="W225" s="235"/>
      <c r="X225" s="235"/>
      <c r="Y225" s="235"/>
      <c r="Z225" s="235"/>
      <c r="AA225" s="235"/>
      <c r="AB225" s="235"/>
      <c r="AC225" s="235"/>
      <c r="AD225" s="235"/>
      <c r="AE225" s="236"/>
      <c r="AF225" s="235"/>
      <c r="AG225" s="235"/>
      <c r="AH225" s="235"/>
      <c r="AI225" s="235"/>
      <c r="AJ225" s="236"/>
      <c r="AK225" s="235"/>
      <c r="AL225" s="235"/>
      <c r="AM225" s="235"/>
      <c r="AN225" s="235"/>
      <c r="AO225" s="235"/>
      <c r="AP225" s="235"/>
      <c r="AQ225" s="235"/>
      <c r="AR225" s="235"/>
      <c r="AS225" s="235"/>
      <c r="AT225" s="235"/>
      <c r="AU225" s="236"/>
      <c r="AV225" s="235"/>
      <c r="AW225" s="235"/>
      <c r="AX225" s="235"/>
      <c r="AY225" s="235"/>
      <c r="AZ225" s="235"/>
      <c r="BA225" s="235"/>
      <c r="BB225" s="235"/>
      <c r="BC225" s="235"/>
      <c r="BD225" s="236"/>
      <c r="BE225" s="235"/>
      <c r="BF225" s="235"/>
      <c r="BG225" s="235"/>
      <c r="BH225" s="235"/>
      <c r="BI225" s="236"/>
      <c r="BJ225" s="236"/>
      <c r="BK225" s="238"/>
      <c r="BL225" s="239"/>
      <c r="BM225" s="239"/>
      <c r="BN225" s="340"/>
      <c r="BP225" s="236"/>
      <c r="BQ225" s="236"/>
      <c r="BR225" s="236"/>
      <c r="BS225" s="236"/>
      <c r="BT225" s="236"/>
      <c r="BU225" s="236"/>
      <c r="BV225" s="236"/>
      <c r="BW225" s="236"/>
      <c r="BX225" s="236"/>
      <c r="BY225" s="236"/>
      <c r="BZ225" s="236"/>
      <c r="CA225" s="236"/>
      <c r="CB225" s="236"/>
      <c r="CC225" s="236"/>
      <c r="CD225" s="236"/>
      <c r="CE225" s="236"/>
      <c r="CF225" s="236"/>
      <c r="CG225" s="236"/>
      <c r="CH225" s="236"/>
      <c r="CI225" s="236"/>
      <c r="CJ225" s="236"/>
      <c r="CK225" s="236"/>
      <c r="CL225" s="236"/>
      <c r="CM225" s="236"/>
      <c r="CN225" s="236"/>
      <c r="CO225" s="236"/>
    </row>
    <row r="226" spans="5:93" s="230" customFormat="1">
      <c r="E226" s="234"/>
      <c r="F226" s="235"/>
      <c r="G226" s="235"/>
      <c r="H226" s="236"/>
      <c r="I226" s="235"/>
      <c r="J226" s="235"/>
      <c r="K226" s="235"/>
      <c r="L226" s="235"/>
      <c r="M226" s="236"/>
      <c r="N226" s="235"/>
      <c r="O226" s="235"/>
      <c r="P226" s="235"/>
      <c r="Q226" s="235"/>
      <c r="R226" s="235"/>
      <c r="S226" s="235"/>
      <c r="T226" s="235"/>
      <c r="U226" s="235"/>
      <c r="V226" s="235"/>
      <c r="W226" s="235"/>
      <c r="X226" s="235"/>
      <c r="Y226" s="235"/>
      <c r="Z226" s="235"/>
      <c r="AA226" s="235"/>
      <c r="AB226" s="235"/>
      <c r="AC226" s="235"/>
      <c r="AD226" s="235"/>
      <c r="AE226" s="236"/>
      <c r="AF226" s="235"/>
      <c r="AG226" s="235"/>
      <c r="AH226" s="235"/>
      <c r="AI226" s="235"/>
      <c r="AJ226" s="236"/>
      <c r="AK226" s="235"/>
      <c r="AL226" s="235"/>
      <c r="AM226" s="235"/>
      <c r="AN226" s="235"/>
      <c r="AO226" s="235"/>
      <c r="AP226" s="235"/>
      <c r="AQ226" s="235"/>
      <c r="AR226" s="235"/>
      <c r="AS226" s="235"/>
      <c r="AT226" s="235"/>
      <c r="AU226" s="236"/>
      <c r="AV226" s="235"/>
      <c r="AW226" s="235"/>
      <c r="AX226" s="235"/>
      <c r="AY226" s="235"/>
      <c r="AZ226" s="235"/>
      <c r="BA226" s="235"/>
      <c r="BB226" s="235"/>
      <c r="BC226" s="235"/>
      <c r="BD226" s="236"/>
      <c r="BE226" s="235"/>
      <c r="BF226" s="235"/>
      <c r="BG226" s="235"/>
      <c r="BH226" s="235"/>
      <c r="BI226" s="236"/>
      <c r="BJ226" s="236"/>
      <c r="BK226" s="238"/>
      <c r="BL226" s="239"/>
      <c r="BM226" s="239"/>
      <c r="BN226" s="340"/>
      <c r="BP226" s="236"/>
      <c r="BQ226" s="236"/>
      <c r="BR226" s="236"/>
      <c r="BS226" s="236"/>
      <c r="BT226" s="236"/>
      <c r="BU226" s="236"/>
      <c r="BV226" s="236"/>
      <c r="BW226" s="236"/>
      <c r="BX226" s="236"/>
      <c r="BY226" s="236"/>
      <c r="BZ226" s="236"/>
      <c r="CA226" s="236"/>
      <c r="CB226" s="236"/>
      <c r="CC226" s="236"/>
      <c r="CD226" s="236"/>
      <c r="CE226" s="236"/>
      <c r="CF226" s="236"/>
      <c r="CG226" s="236"/>
      <c r="CH226" s="236"/>
      <c r="CI226" s="236"/>
      <c r="CJ226" s="236"/>
      <c r="CK226" s="236"/>
      <c r="CL226" s="236"/>
      <c r="CM226" s="236"/>
      <c r="CN226" s="236"/>
      <c r="CO226" s="236"/>
    </row>
    <row r="227" spans="5:93" s="230" customFormat="1">
      <c r="E227" s="234"/>
      <c r="F227" s="235"/>
      <c r="G227" s="235"/>
      <c r="H227" s="236"/>
      <c r="I227" s="235"/>
      <c r="J227" s="235"/>
      <c r="K227" s="235"/>
      <c r="L227" s="235"/>
      <c r="M227" s="236"/>
      <c r="N227" s="235"/>
      <c r="O227" s="235"/>
      <c r="P227" s="235"/>
      <c r="Q227" s="235"/>
      <c r="R227" s="235"/>
      <c r="S227" s="235"/>
      <c r="T227" s="235"/>
      <c r="U227" s="235"/>
      <c r="V227" s="235"/>
      <c r="W227" s="235"/>
      <c r="X227" s="235"/>
      <c r="Y227" s="235"/>
      <c r="Z227" s="235"/>
      <c r="AA227" s="235"/>
      <c r="AB227" s="235"/>
      <c r="AC227" s="235"/>
      <c r="AD227" s="235"/>
      <c r="AE227" s="236"/>
      <c r="AF227" s="235"/>
      <c r="AG227" s="235"/>
      <c r="AH227" s="235"/>
      <c r="AI227" s="235"/>
      <c r="AJ227" s="236"/>
      <c r="AK227" s="235"/>
      <c r="AL227" s="235"/>
      <c r="AM227" s="235"/>
      <c r="AN227" s="235"/>
      <c r="AO227" s="235"/>
      <c r="AP227" s="235"/>
      <c r="AQ227" s="235"/>
      <c r="AR227" s="235"/>
      <c r="AS227" s="235"/>
      <c r="AT227" s="235"/>
      <c r="AU227" s="236"/>
      <c r="AV227" s="235"/>
      <c r="AW227" s="235"/>
      <c r="AX227" s="235"/>
      <c r="AY227" s="235"/>
      <c r="AZ227" s="235"/>
      <c r="BA227" s="235"/>
      <c r="BB227" s="235"/>
      <c r="BC227" s="235"/>
      <c r="BD227" s="236"/>
      <c r="BE227" s="235"/>
      <c r="BF227" s="235"/>
      <c r="BG227" s="235"/>
      <c r="BH227" s="235"/>
      <c r="BI227" s="236"/>
      <c r="BJ227" s="236"/>
      <c r="BK227" s="238"/>
      <c r="BL227" s="239"/>
      <c r="BM227" s="239"/>
      <c r="BN227" s="340"/>
      <c r="BP227" s="236"/>
      <c r="BQ227" s="236"/>
      <c r="BR227" s="236"/>
      <c r="BS227" s="236"/>
      <c r="BT227" s="236"/>
      <c r="BU227" s="236"/>
      <c r="BV227" s="236"/>
      <c r="BW227" s="236"/>
      <c r="BX227" s="236"/>
      <c r="BY227" s="236"/>
      <c r="BZ227" s="236"/>
      <c r="CA227" s="236"/>
      <c r="CB227" s="236"/>
      <c r="CC227" s="236"/>
      <c r="CD227" s="236"/>
      <c r="CE227" s="236"/>
      <c r="CF227" s="236"/>
      <c r="CG227" s="236"/>
      <c r="CH227" s="236"/>
      <c r="CI227" s="236"/>
      <c r="CJ227" s="236"/>
      <c r="CK227" s="236"/>
      <c r="CL227" s="236"/>
      <c r="CM227" s="236"/>
      <c r="CN227" s="236"/>
      <c r="CO227" s="236"/>
    </row>
    <row r="228" spans="5:93" s="230" customFormat="1">
      <c r="E228" s="234"/>
      <c r="F228" s="235"/>
      <c r="G228" s="235"/>
      <c r="H228" s="236"/>
      <c r="I228" s="235"/>
      <c r="J228" s="235"/>
      <c r="K228" s="235"/>
      <c r="L228" s="235"/>
      <c r="M228" s="236"/>
      <c r="N228" s="235"/>
      <c r="O228" s="235"/>
      <c r="P228" s="235"/>
      <c r="Q228" s="235"/>
      <c r="R228" s="235"/>
      <c r="S228" s="235"/>
      <c r="T228" s="235"/>
      <c r="U228" s="235"/>
      <c r="V228" s="235"/>
      <c r="W228" s="235"/>
      <c r="X228" s="235"/>
      <c r="Y228" s="235"/>
      <c r="Z228" s="235"/>
      <c r="AA228" s="235"/>
      <c r="AB228" s="235"/>
      <c r="AC228" s="235"/>
      <c r="AD228" s="235"/>
      <c r="AE228" s="236"/>
      <c r="AF228" s="235"/>
      <c r="AG228" s="235"/>
      <c r="AH228" s="235"/>
      <c r="AI228" s="235"/>
      <c r="AJ228" s="236"/>
      <c r="AK228" s="235"/>
      <c r="AL228" s="235"/>
      <c r="AM228" s="235"/>
      <c r="AN228" s="235"/>
      <c r="AO228" s="235"/>
      <c r="AP228" s="235"/>
      <c r="AQ228" s="235"/>
      <c r="AR228" s="235"/>
      <c r="AS228" s="235"/>
      <c r="AT228" s="235"/>
      <c r="AU228" s="236"/>
      <c r="AV228" s="235"/>
      <c r="AW228" s="235"/>
      <c r="AX228" s="235"/>
      <c r="AY228" s="235"/>
      <c r="AZ228" s="235"/>
      <c r="BA228" s="235"/>
      <c r="BB228" s="235"/>
      <c r="BC228" s="235"/>
      <c r="BD228" s="236"/>
      <c r="BE228" s="235"/>
      <c r="BF228" s="235"/>
      <c r="BG228" s="235"/>
      <c r="BH228" s="235"/>
      <c r="BI228" s="236"/>
      <c r="BJ228" s="236"/>
      <c r="BK228" s="238"/>
      <c r="BL228" s="239"/>
      <c r="BM228" s="239"/>
      <c r="BN228" s="340"/>
      <c r="BP228" s="236"/>
      <c r="BQ228" s="236"/>
      <c r="BR228" s="236"/>
      <c r="BS228" s="236"/>
      <c r="BT228" s="236"/>
      <c r="BU228" s="236"/>
      <c r="BV228" s="236"/>
      <c r="BW228" s="236"/>
      <c r="BX228" s="236"/>
      <c r="BY228" s="236"/>
      <c r="BZ228" s="236"/>
      <c r="CA228" s="236"/>
      <c r="CB228" s="236"/>
      <c r="CC228" s="236"/>
      <c r="CD228" s="236"/>
      <c r="CE228" s="236"/>
      <c r="CF228" s="236"/>
      <c r="CG228" s="236"/>
      <c r="CH228" s="236"/>
      <c r="CI228" s="236"/>
      <c r="CJ228" s="236"/>
      <c r="CK228" s="236"/>
      <c r="CL228" s="236"/>
      <c r="CM228" s="236"/>
      <c r="CN228" s="236"/>
      <c r="CO228" s="236"/>
    </row>
    <row r="229" spans="5:93" s="230" customFormat="1">
      <c r="E229" s="234"/>
      <c r="F229" s="235"/>
      <c r="G229" s="235"/>
      <c r="H229" s="236"/>
      <c r="I229" s="235"/>
      <c r="J229" s="235"/>
      <c r="K229" s="235"/>
      <c r="L229" s="235"/>
      <c r="M229" s="236"/>
      <c r="N229" s="235"/>
      <c r="O229" s="235"/>
      <c r="P229" s="235"/>
      <c r="Q229" s="235"/>
      <c r="R229" s="235"/>
      <c r="S229" s="235"/>
      <c r="T229" s="235"/>
      <c r="U229" s="235"/>
      <c r="V229" s="235"/>
      <c r="W229" s="235"/>
      <c r="X229" s="235"/>
      <c r="Y229" s="235"/>
      <c r="Z229" s="235"/>
      <c r="AA229" s="235"/>
      <c r="AB229" s="235"/>
      <c r="AC229" s="235"/>
      <c r="AD229" s="235"/>
      <c r="AE229" s="236"/>
      <c r="AF229" s="235"/>
      <c r="AG229" s="235"/>
      <c r="AH229" s="235"/>
      <c r="AI229" s="235"/>
      <c r="AJ229" s="236"/>
      <c r="AK229" s="235"/>
      <c r="AL229" s="235"/>
      <c r="AM229" s="235"/>
      <c r="AN229" s="235"/>
      <c r="AO229" s="235"/>
      <c r="AP229" s="235"/>
      <c r="AQ229" s="235"/>
      <c r="AR229" s="235"/>
      <c r="AS229" s="235"/>
      <c r="AT229" s="235"/>
      <c r="AU229" s="236"/>
      <c r="AV229" s="235"/>
      <c r="AW229" s="235"/>
      <c r="AX229" s="235"/>
      <c r="AY229" s="235"/>
      <c r="AZ229" s="235"/>
      <c r="BA229" s="235"/>
      <c r="BB229" s="235"/>
      <c r="BC229" s="235"/>
      <c r="BD229" s="236"/>
      <c r="BE229" s="235"/>
      <c r="BF229" s="235"/>
      <c r="BG229" s="235"/>
      <c r="BH229" s="235"/>
      <c r="BI229" s="236"/>
      <c r="BJ229" s="236"/>
      <c r="BK229" s="238"/>
      <c r="BL229" s="239"/>
      <c r="BM229" s="239"/>
      <c r="BN229" s="340"/>
      <c r="BP229" s="236"/>
      <c r="BQ229" s="236"/>
      <c r="BR229" s="236"/>
      <c r="BS229" s="236"/>
      <c r="BT229" s="236"/>
      <c r="BU229" s="236"/>
      <c r="BV229" s="236"/>
      <c r="BW229" s="236"/>
      <c r="BX229" s="236"/>
      <c r="BY229" s="236"/>
      <c r="BZ229" s="236"/>
      <c r="CA229" s="236"/>
      <c r="CB229" s="236"/>
      <c r="CC229" s="236"/>
      <c r="CD229" s="236"/>
      <c r="CE229" s="236"/>
      <c r="CF229" s="236"/>
      <c r="CG229" s="236"/>
      <c r="CH229" s="236"/>
      <c r="CI229" s="236"/>
      <c r="CJ229" s="236"/>
      <c r="CK229" s="236"/>
      <c r="CL229" s="236"/>
      <c r="CM229" s="236"/>
      <c r="CN229" s="236"/>
      <c r="CO229" s="236"/>
    </row>
    <row r="230" spans="5:93" s="230" customFormat="1">
      <c r="E230" s="234"/>
      <c r="F230" s="235"/>
      <c r="G230" s="235"/>
      <c r="H230" s="236"/>
      <c r="I230" s="235"/>
      <c r="J230" s="235"/>
      <c r="K230" s="235"/>
      <c r="L230" s="235"/>
      <c r="M230" s="236"/>
      <c r="N230" s="235"/>
      <c r="O230" s="235"/>
      <c r="P230" s="235"/>
      <c r="Q230" s="235"/>
      <c r="R230" s="235"/>
      <c r="S230" s="235"/>
      <c r="T230" s="235"/>
      <c r="U230" s="235"/>
      <c r="V230" s="235"/>
      <c r="W230" s="235"/>
      <c r="X230" s="235"/>
      <c r="Y230" s="235"/>
      <c r="Z230" s="235"/>
      <c r="AA230" s="235"/>
      <c r="AB230" s="235"/>
      <c r="AC230" s="235"/>
      <c r="AD230" s="235"/>
      <c r="AE230" s="236"/>
      <c r="AF230" s="235"/>
      <c r="AG230" s="235"/>
      <c r="AH230" s="235"/>
      <c r="AI230" s="235"/>
      <c r="AJ230" s="236"/>
      <c r="AK230" s="235"/>
      <c r="AL230" s="235"/>
      <c r="AM230" s="235"/>
      <c r="AN230" s="235"/>
      <c r="AO230" s="235"/>
      <c r="AP230" s="235"/>
      <c r="AQ230" s="235"/>
      <c r="AR230" s="235"/>
      <c r="AS230" s="235"/>
      <c r="AT230" s="235"/>
      <c r="AU230" s="236"/>
      <c r="AV230" s="235"/>
      <c r="AW230" s="235"/>
      <c r="AX230" s="235"/>
      <c r="AY230" s="235"/>
      <c r="AZ230" s="235"/>
      <c r="BA230" s="235"/>
      <c r="BB230" s="235"/>
      <c r="BC230" s="235"/>
      <c r="BD230" s="236"/>
      <c r="BE230" s="235"/>
      <c r="BF230" s="235"/>
      <c r="BG230" s="235"/>
      <c r="BH230" s="235"/>
      <c r="BI230" s="236"/>
      <c r="BJ230" s="236"/>
      <c r="BK230" s="238"/>
      <c r="BL230" s="239"/>
      <c r="BM230" s="239"/>
      <c r="BN230" s="340"/>
      <c r="BP230" s="236"/>
      <c r="BQ230" s="236"/>
      <c r="BR230" s="236"/>
      <c r="BS230" s="236"/>
      <c r="BT230" s="236"/>
      <c r="BU230" s="236"/>
      <c r="BV230" s="236"/>
      <c r="BW230" s="236"/>
      <c r="BX230" s="236"/>
      <c r="BY230" s="236"/>
      <c r="BZ230" s="236"/>
      <c r="CA230" s="236"/>
      <c r="CB230" s="236"/>
      <c r="CC230" s="236"/>
      <c r="CD230" s="236"/>
      <c r="CE230" s="236"/>
      <c r="CF230" s="236"/>
      <c r="CG230" s="236"/>
      <c r="CH230" s="236"/>
      <c r="CI230" s="236"/>
      <c r="CJ230" s="236"/>
      <c r="CK230" s="236"/>
      <c r="CL230" s="236"/>
      <c r="CM230" s="236"/>
      <c r="CN230" s="236"/>
      <c r="CO230" s="236"/>
    </row>
    <row r="231" spans="5:93" s="230" customFormat="1">
      <c r="E231" s="234"/>
      <c r="F231" s="235"/>
      <c r="G231" s="235"/>
      <c r="H231" s="236"/>
      <c r="I231" s="235"/>
      <c r="J231" s="235"/>
      <c r="K231" s="235"/>
      <c r="L231" s="235"/>
      <c r="M231" s="236"/>
      <c r="N231" s="235"/>
      <c r="O231" s="235"/>
      <c r="P231" s="235"/>
      <c r="Q231" s="235"/>
      <c r="R231" s="235"/>
      <c r="S231" s="235"/>
      <c r="T231" s="235"/>
      <c r="U231" s="235"/>
      <c r="V231" s="235"/>
      <c r="W231" s="235"/>
      <c r="X231" s="235"/>
      <c r="Y231" s="235"/>
      <c r="Z231" s="235"/>
      <c r="AA231" s="235"/>
      <c r="AB231" s="235"/>
      <c r="AC231" s="235"/>
      <c r="AD231" s="235"/>
      <c r="AE231" s="236"/>
      <c r="AF231" s="235"/>
      <c r="AG231" s="235"/>
      <c r="AH231" s="235"/>
      <c r="AI231" s="235"/>
      <c r="AJ231" s="236"/>
      <c r="AK231" s="235"/>
      <c r="AL231" s="235"/>
      <c r="AM231" s="235"/>
      <c r="AN231" s="235"/>
      <c r="AO231" s="235"/>
      <c r="AP231" s="235"/>
      <c r="AQ231" s="235"/>
      <c r="AR231" s="235"/>
      <c r="AS231" s="235"/>
      <c r="AT231" s="235"/>
      <c r="AU231" s="236"/>
      <c r="AV231" s="235"/>
      <c r="AW231" s="235"/>
      <c r="AX231" s="235"/>
      <c r="AY231" s="235"/>
      <c r="AZ231" s="235"/>
      <c r="BA231" s="235"/>
      <c r="BB231" s="235"/>
      <c r="BC231" s="235"/>
      <c r="BD231" s="236"/>
      <c r="BE231" s="235"/>
      <c r="BF231" s="235"/>
      <c r="BG231" s="235"/>
      <c r="BH231" s="235"/>
      <c r="BI231" s="236"/>
      <c r="BJ231" s="236"/>
      <c r="BK231" s="238"/>
      <c r="BL231" s="239"/>
      <c r="BM231" s="239"/>
      <c r="BN231" s="340"/>
      <c r="BP231" s="236"/>
      <c r="BQ231" s="236"/>
      <c r="BR231" s="236"/>
      <c r="BS231" s="236"/>
      <c r="BT231" s="236"/>
      <c r="BU231" s="236"/>
      <c r="BV231" s="236"/>
      <c r="BW231" s="236"/>
      <c r="BX231" s="236"/>
      <c r="BY231" s="236"/>
      <c r="BZ231" s="236"/>
      <c r="CA231" s="236"/>
      <c r="CB231" s="236"/>
      <c r="CC231" s="236"/>
      <c r="CD231" s="236"/>
      <c r="CE231" s="236"/>
      <c r="CF231" s="236"/>
      <c r="CG231" s="236"/>
      <c r="CH231" s="236"/>
      <c r="CI231" s="236"/>
      <c r="CJ231" s="236"/>
      <c r="CK231" s="236"/>
      <c r="CL231" s="236"/>
      <c r="CM231" s="236"/>
      <c r="CN231" s="236"/>
      <c r="CO231" s="236"/>
    </row>
    <row r="232" spans="5:93" s="230" customFormat="1">
      <c r="E232" s="234"/>
      <c r="F232" s="235"/>
      <c r="G232" s="235"/>
      <c r="H232" s="236"/>
      <c r="I232" s="235"/>
      <c r="J232" s="235"/>
      <c r="K232" s="235"/>
      <c r="L232" s="235"/>
      <c r="M232" s="236"/>
      <c r="N232" s="235"/>
      <c r="O232" s="235"/>
      <c r="P232" s="235"/>
      <c r="Q232" s="235"/>
      <c r="R232" s="235"/>
      <c r="S232" s="235"/>
      <c r="T232" s="235"/>
      <c r="U232" s="235"/>
      <c r="V232" s="235"/>
      <c r="W232" s="235"/>
      <c r="X232" s="235"/>
      <c r="Y232" s="235"/>
      <c r="Z232" s="235"/>
      <c r="AA232" s="235"/>
      <c r="AB232" s="235"/>
      <c r="AC232" s="235"/>
      <c r="AD232" s="235"/>
      <c r="AE232" s="236"/>
      <c r="AF232" s="235"/>
      <c r="AG232" s="235"/>
      <c r="AH232" s="235"/>
      <c r="AI232" s="235"/>
      <c r="AJ232" s="236"/>
      <c r="AK232" s="235"/>
      <c r="AL232" s="235"/>
      <c r="AM232" s="235"/>
      <c r="AN232" s="235"/>
      <c r="AO232" s="235"/>
      <c r="AP232" s="235"/>
      <c r="AQ232" s="235"/>
      <c r="AR232" s="235"/>
      <c r="AS232" s="235"/>
      <c r="AT232" s="235"/>
      <c r="AU232" s="236"/>
      <c r="AV232" s="235"/>
      <c r="AW232" s="235"/>
      <c r="AX232" s="235"/>
      <c r="AY232" s="235"/>
      <c r="AZ232" s="235"/>
      <c r="BA232" s="235"/>
      <c r="BB232" s="235"/>
      <c r="BC232" s="235"/>
      <c r="BD232" s="236"/>
      <c r="BE232" s="235"/>
      <c r="BF232" s="235"/>
      <c r="BG232" s="235"/>
      <c r="BH232" s="235"/>
      <c r="BI232" s="236"/>
      <c r="BJ232" s="236"/>
      <c r="BK232" s="238"/>
      <c r="BL232" s="239"/>
      <c r="BM232" s="239"/>
      <c r="BN232" s="340"/>
      <c r="BP232" s="236"/>
      <c r="BQ232" s="236"/>
      <c r="BR232" s="236"/>
      <c r="BS232" s="236"/>
      <c r="BT232" s="236"/>
      <c r="BU232" s="236"/>
      <c r="BV232" s="236"/>
      <c r="BW232" s="236"/>
      <c r="BX232" s="236"/>
      <c r="BY232" s="236"/>
      <c r="BZ232" s="236"/>
      <c r="CA232" s="236"/>
      <c r="CB232" s="236"/>
      <c r="CC232" s="236"/>
      <c r="CD232" s="236"/>
      <c r="CE232" s="236"/>
      <c r="CF232" s="236"/>
      <c r="CG232" s="236"/>
      <c r="CH232" s="236"/>
      <c r="CI232" s="236"/>
      <c r="CJ232" s="236"/>
      <c r="CK232" s="236"/>
      <c r="CL232" s="236"/>
      <c r="CM232" s="236"/>
      <c r="CN232" s="236"/>
      <c r="CO232" s="236"/>
    </row>
    <row r="233" spans="5:93" s="230" customFormat="1">
      <c r="E233" s="234"/>
      <c r="F233" s="235"/>
      <c r="G233" s="235"/>
      <c r="H233" s="236"/>
      <c r="I233" s="235"/>
      <c r="J233" s="235"/>
      <c r="K233" s="235"/>
      <c r="L233" s="235"/>
      <c r="M233" s="236"/>
      <c r="N233" s="235"/>
      <c r="O233" s="235"/>
      <c r="P233" s="235"/>
      <c r="Q233" s="235"/>
      <c r="R233" s="235"/>
      <c r="S233" s="235"/>
      <c r="T233" s="235"/>
      <c r="U233" s="235"/>
      <c r="V233" s="235"/>
      <c r="W233" s="235"/>
      <c r="X233" s="235"/>
      <c r="Y233" s="235"/>
      <c r="Z233" s="235"/>
      <c r="AA233" s="235"/>
      <c r="AB233" s="235"/>
      <c r="AC233" s="235"/>
      <c r="AD233" s="235"/>
      <c r="AE233" s="236"/>
      <c r="AF233" s="235"/>
      <c r="AG233" s="235"/>
      <c r="AH233" s="235"/>
      <c r="AI233" s="235"/>
      <c r="AJ233" s="236"/>
      <c r="AK233" s="235"/>
      <c r="AL233" s="235"/>
      <c r="AM233" s="235"/>
      <c r="AN233" s="235"/>
      <c r="AO233" s="235"/>
      <c r="AP233" s="235"/>
      <c r="AQ233" s="235"/>
      <c r="AR233" s="235"/>
      <c r="AS233" s="235"/>
      <c r="AT233" s="235"/>
      <c r="AU233" s="236"/>
      <c r="AV233" s="235"/>
      <c r="AW233" s="235"/>
      <c r="AX233" s="235"/>
      <c r="AY233" s="235"/>
      <c r="AZ233" s="235"/>
      <c r="BA233" s="235"/>
      <c r="BB233" s="235"/>
      <c r="BC233" s="235"/>
      <c r="BD233" s="236"/>
      <c r="BE233" s="235"/>
      <c r="BF233" s="235"/>
      <c r="BG233" s="235"/>
      <c r="BH233" s="235"/>
      <c r="BI233" s="236"/>
      <c r="BJ233" s="236"/>
      <c r="BK233" s="238"/>
      <c r="BL233" s="239"/>
      <c r="BM233" s="239"/>
      <c r="BN233" s="340"/>
      <c r="BP233" s="236"/>
      <c r="BQ233" s="236"/>
      <c r="BR233" s="236"/>
      <c r="BS233" s="236"/>
      <c r="BT233" s="236"/>
      <c r="BU233" s="236"/>
      <c r="BV233" s="236"/>
      <c r="BW233" s="236"/>
      <c r="BX233" s="236"/>
      <c r="BY233" s="236"/>
      <c r="BZ233" s="236"/>
      <c r="CA233" s="236"/>
      <c r="CB233" s="236"/>
      <c r="CC233" s="236"/>
      <c r="CD233" s="236"/>
      <c r="CE233" s="236"/>
      <c r="CF233" s="236"/>
      <c r="CG233" s="236"/>
      <c r="CH233" s="236"/>
      <c r="CI233" s="236"/>
      <c r="CJ233" s="236"/>
      <c r="CK233" s="236"/>
      <c r="CL233" s="236"/>
      <c r="CM233" s="236"/>
      <c r="CN233" s="236"/>
      <c r="CO233" s="236"/>
    </row>
    <row r="234" spans="5:93" s="230" customFormat="1">
      <c r="E234" s="234"/>
      <c r="F234" s="235"/>
      <c r="G234" s="235"/>
      <c r="H234" s="236"/>
      <c r="I234" s="235"/>
      <c r="J234" s="235"/>
      <c r="K234" s="235"/>
      <c r="L234" s="235"/>
      <c r="M234" s="236"/>
      <c r="N234" s="235"/>
      <c r="O234" s="235"/>
      <c r="P234" s="235"/>
      <c r="Q234" s="235"/>
      <c r="R234" s="235"/>
      <c r="S234" s="235"/>
      <c r="T234" s="235"/>
      <c r="U234" s="235"/>
      <c r="V234" s="235"/>
      <c r="W234" s="235"/>
      <c r="X234" s="235"/>
      <c r="Y234" s="235"/>
      <c r="Z234" s="235"/>
      <c r="AA234" s="235"/>
      <c r="AB234" s="235"/>
      <c r="AC234" s="235"/>
      <c r="AD234" s="235"/>
      <c r="AE234" s="236"/>
      <c r="AF234" s="235"/>
      <c r="AG234" s="235"/>
      <c r="AH234" s="235"/>
      <c r="AI234" s="235"/>
      <c r="AJ234" s="236"/>
      <c r="AK234" s="235"/>
      <c r="AL234" s="235"/>
      <c r="AM234" s="235"/>
      <c r="AN234" s="235"/>
      <c r="AO234" s="235"/>
      <c r="AP234" s="235"/>
      <c r="AQ234" s="235"/>
      <c r="AR234" s="235"/>
      <c r="AS234" s="235"/>
      <c r="AT234" s="235"/>
      <c r="AU234" s="236"/>
      <c r="AV234" s="235"/>
      <c r="AW234" s="235"/>
      <c r="AX234" s="235"/>
      <c r="AY234" s="235"/>
      <c r="AZ234" s="235"/>
      <c r="BA234" s="235"/>
      <c r="BB234" s="235"/>
      <c r="BC234" s="235"/>
      <c r="BD234" s="236"/>
      <c r="BE234" s="235"/>
      <c r="BF234" s="235"/>
      <c r="BG234" s="235"/>
      <c r="BH234" s="235"/>
      <c r="BI234" s="236"/>
      <c r="BJ234" s="236"/>
      <c r="BK234" s="238"/>
      <c r="BL234" s="239"/>
      <c r="BM234" s="239"/>
      <c r="BN234" s="340"/>
      <c r="BP234" s="236"/>
      <c r="BQ234" s="236"/>
      <c r="BR234" s="236"/>
      <c r="BS234" s="236"/>
      <c r="BT234" s="236"/>
      <c r="BU234" s="236"/>
      <c r="BV234" s="236"/>
      <c r="BW234" s="236"/>
      <c r="BX234" s="236"/>
      <c r="BY234" s="236"/>
      <c r="BZ234" s="236"/>
      <c r="CA234" s="236"/>
      <c r="CB234" s="236"/>
      <c r="CC234" s="236"/>
      <c r="CD234" s="236"/>
      <c r="CE234" s="236"/>
      <c r="CF234" s="236"/>
      <c r="CG234" s="236"/>
      <c r="CH234" s="236"/>
      <c r="CI234" s="236"/>
      <c r="CJ234" s="236"/>
      <c r="CK234" s="236"/>
      <c r="CL234" s="236"/>
      <c r="CM234" s="236"/>
      <c r="CN234" s="236"/>
      <c r="CO234" s="236"/>
    </row>
    <row r="235" spans="5:93" s="230" customFormat="1">
      <c r="E235" s="234"/>
      <c r="F235" s="235"/>
      <c r="G235" s="235"/>
      <c r="H235" s="236"/>
      <c r="I235" s="235"/>
      <c r="J235" s="235"/>
      <c r="K235" s="235"/>
      <c r="L235" s="235"/>
      <c r="M235" s="236"/>
      <c r="N235" s="235"/>
      <c r="O235" s="235"/>
      <c r="P235" s="235"/>
      <c r="Q235" s="235"/>
      <c r="R235" s="235"/>
      <c r="S235" s="235"/>
      <c r="T235" s="235"/>
      <c r="U235" s="235"/>
      <c r="V235" s="235"/>
      <c r="W235" s="235"/>
      <c r="X235" s="235"/>
      <c r="Y235" s="235"/>
      <c r="Z235" s="235"/>
      <c r="AA235" s="235"/>
      <c r="AB235" s="235"/>
      <c r="AC235" s="235"/>
      <c r="AD235" s="235"/>
      <c r="AE235" s="236"/>
      <c r="AF235" s="235"/>
      <c r="AG235" s="235"/>
      <c r="AH235" s="235"/>
      <c r="AI235" s="235"/>
      <c r="AJ235" s="236"/>
      <c r="AK235" s="235"/>
      <c r="AL235" s="235"/>
      <c r="AM235" s="235"/>
      <c r="AN235" s="235"/>
      <c r="AO235" s="235"/>
      <c r="AP235" s="235"/>
      <c r="AQ235" s="235"/>
      <c r="AR235" s="235"/>
      <c r="AS235" s="235"/>
      <c r="AT235" s="235"/>
      <c r="AU235" s="236"/>
      <c r="AV235" s="235"/>
      <c r="AW235" s="235"/>
      <c r="AX235" s="235"/>
      <c r="AY235" s="235"/>
      <c r="AZ235" s="235"/>
      <c r="BA235" s="235"/>
      <c r="BB235" s="235"/>
      <c r="BC235" s="235"/>
      <c r="BD235" s="236"/>
      <c r="BE235" s="235"/>
      <c r="BF235" s="235"/>
      <c r="BG235" s="235"/>
      <c r="BH235" s="235"/>
      <c r="BI235" s="236"/>
      <c r="BJ235" s="236"/>
      <c r="BK235" s="238"/>
      <c r="BL235" s="239"/>
      <c r="BM235" s="239"/>
      <c r="BN235" s="340"/>
      <c r="BP235" s="236"/>
      <c r="BQ235" s="236"/>
      <c r="BR235" s="236"/>
      <c r="BS235" s="236"/>
      <c r="BT235" s="236"/>
      <c r="BU235" s="236"/>
      <c r="BV235" s="236"/>
      <c r="BW235" s="236"/>
      <c r="BX235" s="236"/>
      <c r="BY235" s="236"/>
      <c r="BZ235" s="236"/>
      <c r="CA235" s="236"/>
      <c r="CB235" s="236"/>
      <c r="CC235" s="236"/>
      <c r="CD235" s="236"/>
      <c r="CE235" s="236"/>
      <c r="CF235" s="236"/>
      <c r="CG235" s="236"/>
      <c r="CH235" s="236"/>
      <c r="CI235" s="236"/>
      <c r="CJ235" s="236"/>
      <c r="CK235" s="236"/>
      <c r="CL235" s="236"/>
      <c r="CM235" s="236"/>
      <c r="CN235" s="236"/>
      <c r="CO235" s="236"/>
    </row>
    <row r="236" spans="5:93" s="230" customFormat="1">
      <c r="E236" s="234"/>
      <c r="F236" s="235"/>
      <c r="G236" s="235"/>
      <c r="H236" s="236"/>
      <c r="I236" s="235"/>
      <c r="J236" s="235"/>
      <c r="K236" s="235"/>
      <c r="L236" s="235"/>
      <c r="M236" s="236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  <c r="AA236" s="235"/>
      <c r="AB236" s="235"/>
      <c r="AC236" s="235"/>
      <c r="AD236" s="235"/>
      <c r="AE236" s="236"/>
      <c r="AF236" s="235"/>
      <c r="AG236" s="235"/>
      <c r="AH236" s="235"/>
      <c r="AI236" s="235"/>
      <c r="AJ236" s="236"/>
      <c r="AK236" s="235"/>
      <c r="AL236" s="235"/>
      <c r="AM236" s="235"/>
      <c r="AN236" s="235"/>
      <c r="AO236" s="235"/>
      <c r="AP236" s="235"/>
      <c r="AQ236" s="235"/>
      <c r="AR236" s="235"/>
      <c r="AS236" s="235"/>
      <c r="AT236" s="235"/>
      <c r="AU236" s="236"/>
      <c r="AV236" s="235"/>
      <c r="AW236" s="235"/>
      <c r="AX236" s="235"/>
      <c r="AY236" s="235"/>
      <c r="AZ236" s="235"/>
      <c r="BA236" s="235"/>
      <c r="BB236" s="235"/>
      <c r="BC236" s="235"/>
      <c r="BD236" s="236"/>
      <c r="BE236" s="235"/>
      <c r="BF236" s="235"/>
      <c r="BG236" s="235"/>
      <c r="BH236" s="235"/>
      <c r="BI236" s="236"/>
      <c r="BJ236" s="236"/>
      <c r="BK236" s="238"/>
      <c r="BL236" s="239"/>
      <c r="BM236" s="239"/>
      <c r="BN236" s="340"/>
      <c r="BP236" s="236"/>
      <c r="BQ236" s="236"/>
      <c r="BR236" s="236"/>
      <c r="BS236" s="236"/>
      <c r="BT236" s="236"/>
      <c r="BU236" s="236"/>
      <c r="BV236" s="236"/>
      <c r="BW236" s="236"/>
      <c r="BX236" s="236"/>
      <c r="BY236" s="236"/>
      <c r="BZ236" s="236"/>
      <c r="CA236" s="236"/>
      <c r="CB236" s="236"/>
      <c r="CC236" s="236"/>
      <c r="CD236" s="236"/>
      <c r="CE236" s="236"/>
      <c r="CF236" s="236"/>
      <c r="CG236" s="236"/>
      <c r="CH236" s="236"/>
      <c r="CI236" s="236"/>
      <c r="CJ236" s="236"/>
      <c r="CK236" s="236"/>
      <c r="CL236" s="236"/>
      <c r="CM236" s="236"/>
      <c r="CN236" s="236"/>
      <c r="CO236" s="236"/>
    </row>
    <row r="237" spans="5:93" s="230" customFormat="1">
      <c r="E237" s="234"/>
      <c r="F237" s="235"/>
      <c r="G237" s="235"/>
      <c r="H237" s="236"/>
      <c r="I237" s="235"/>
      <c r="J237" s="235"/>
      <c r="K237" s="235"/>
      <c r="L237" s="235"/>
      <c r="M237" s="236"/>
      <c r="N237" s="235"/>
      <c r="O237" s="235"/>
      <c r="P237" s="235"/>
      <c r="Q237" s="235"/>
      <c r="R237" s="235"/>
      <c r="S237" s="235"/>
      <c r="T237" s="235"/>
      <c r="U237" s="235"/>
      <c r="V237" s="235"/>
      <c r="W237" s="235"/>
      <c r="X237" s="235"/>
      <c r="Y237" s="235"/>
      <c r="Z237" s="235"/>
      <c r="AA237" s="235"/>
      <c r="AB237" s="235"/>
      <c r="AC237" s="235"/>
      <c r="AD237" s="235"/>
      <c r="AE237" s="236"/>
      <c r="AF237" s="235"/>
      <c r="AG237" s="235"/>
      <c r="AH237" s="235"/>
      <c r="AI237" s="235"/>
      <c r="AJ237" s="236"/>
      <c r="AK237" s="235"/>
      <c r="AL237" s="235"/>
      <c r="AM237" s="235"/>
      <c r="AN237" s="235"/>
      <c r="AO237" s="235"/>
      <c r="AP237" s="235"/>
      <c r="AQ237" s="235"/>
      <c r="AR237" s="235"/>
      <c r="AS237" s="235"/>
      <c r="AT237" s="235"/>
      <c r="AU237" s="236"/>
      <c r="AV237" s="235"/>
      <c r="AW237" s="235"/>
      <c r="AX237" s="235"/>
      <c r="AY237" s="235"/>
      <c r="AZ237" s="235"/>
      <c r="BA237" s="235"/>
      <c r="BB237" s="235"/>
      <c r="BC237" s="235"/>
      <c r="BD237" s="236"/>
      <c r="BE237" s="235"/>
      <c r="BF237" s="235"/>
      <c r="BG237" s="235"/>
      <c r="BH237" s="235"/>
      <c r="BI237" s="236"/>
      <c r="BJ237" s="236"/>
      <c r="BK237" s="238"/>
      <c r="BL237" s="239"/>
      <c r="BM237" s="239"/>
      <c r="BN237" s="340"/>
      <c r="BP237" s="236"/>
      <c r="BQ237" s="236"/>
      <c r="BR237" s="236"/>
      <c r="BS237" s="236"/>
      <c r="BT237" s="236"/>
      <c r="BU237" s="236"/>
      <c r="BV237" s="236"/>
      <c r="BW237" s="236"/>
      <c r="BX237" s="236"/>
      <c r="BY237" s="236"/>
      <c r="BZ237" s="236"/>
      <c r="CA237" s="236"/>
      <c r="CB237" s="236"/>
      <c r="CC237" s="236"/>
      <c r="CD237" s="236"/>
      <c r="CE237" s="236"/>
      <c r="CF237" s="236"/>
      <c r="CG237" s="236"/>
      <c r="CH237" s="236"/>
      <c r="CI237" s="236"/>
      <c r="CJ237" s="236"/>
      <c r="CK237" s="236"/>
      <c r="CL237" s="236"/>
      <c r="CM237" s="236"/>
      <c r="CN237" s="236"/>
      <c r="CO237" s="236"/>
    </row>
    <row r="238" spans="5:93" s="230" customFormat="1">
      <c r="E238" s="234"/>
      <c r="F238" s="235"/>
      <c r="G238" s="235"/>
      <c r="H238" s="236"/>
      <c r="I238" s="235"/>
      <c r="J238" s="235"/>
      <c r="K238" s="235"/>
      <c r="L238" s="235"/>
      <c r="M238" s="236"/>
      <c r="N238" s="235"/>
      <c r="O238" s="235"/>
      <c r="P238" s="235"/>
      <c r="Q238" s="235"/>
      <c r="R238" s="235"/>
      <c r="S238" s="235"/>
      <c r="T238" s="235"/>
      <c r="U238" s="235"/>
      <c r="V238" s="235"/>
      <c r="W238" s="235"/>
      <c r="X238" s="235"/>
      <c r="Y238" s="235"/>
      <c r="Z238" s="235"/>
      <c r="AA238" s="235"/>
      <c r="AB238" s="235"/>
      <c r="AC238" s="235"/>
      <c r="AD238" s="235"/>
      <c r="AE238" s="236"/>
      <c r="AF238" s="235"/>
      <c r="AG238" s="235"/>
      <c r="AH238" s="235"/>
      <c r="AI238" s="235"/>
      <c r="AJ238" s="236"/>
      <c r="AK238" s="235"/>
      <c r="AL238" s="235"/>
      <c r="AM238" s="235"/>
      <c r="AN238" s="235"/>
      <c r="AO238" s="235"/>
      <c r="AP238" s="235"/>
      <c r="AQ238" s="235"/>
      <c r="AR238" s="235"/>
      <c r="AS238" s="235"/>
      <c r="AT238" s="235"/>
      <c r="AU238" s="236"/>
      <c r="AV238" s="235"/>
      <c r="AW238" s="235"/>
      <c r="AX238" s="235"/>
      <c r="AY238" s="235"/>
      <c r="AZ238" s="235"/>
      <c r="BA238" s="235"/>
      <c r="BB238" s="235"/>
      <c r="BC238" s="235"/>
      <c r="BD238" s="236"/>
      <c r="BE238" s="235"/>
      <c r="BF238" s="235"/>
      <c r="BG238" s="235"/>
      <c r="BH238" s="235"/>
      <c r="BI238" s="236"/>
      <c r="BJ238" s="236"/>
      <c r="BK238" s="238"/>
      <c r="BL238" s="239"/>
      <c r="BM238" s="239"/>
      <c r="BN238" s="340"/>
      <c r="BP238" s="236"/>
      <c r="BQ238" s="236"/>
      <c r="BR238" s="236"/>
      <c r="BS238" s="236"/>
      <c r="BT238" s="236"/>
      <c r="BU238" s="236"/>
      <c r="BV238" s="236"/>
      <c r="BW238" s="236"/>
      <c r="BX238" s="236"/>
      <c r="BY238" s="236"/>
      <c r="BZ238" s="236"/>
      <c r="CA238" s="236"/>
      <c r="CB238" s="236"/>
      <c r="CC238" s="236"/>
      <c r="CD238" s="236"/>
      <c r="CE238" s="236"/>
      <c r="CF238" s="236"/>
      <c r="CG238" s="236"/>
      <c r="CH238" s="236"/>
      <c r="CI238" s="236"/>
      <c r="CJ238" s="236"/>
      <c r="CK238" s="236"/>
      <c r="CL238" s="236"/>
      <c r="CM238" s="236"/>
      <c r="CN238" s="236"/>
      <c r="CO238" s="236"/>
    </row>
    <row r="239" spans="5:93" s="230" customFormat="1">
      <c r="E239" s="234"/>
      <c r="F239" s="235"/>
      <c r="G239" s="235"/>
      <c r="H239" s="236"/>
      <c r="I239" s="235"/>
      <c r="J239" s="235"/>
      <c r="K239" s="235"/>
      <c r="L239" s="235"/>
      <c r="M239" s="236"/>
      <c r="N239" s="235"/>
      <c r="O239" s="235"/>
      <c r="P239" s="235"/>
      <c r="Q239" s="235"/>
      <c r="R239" s="235"/>
      <c r="S239" s="235"/>
      <c r="T239" s="235"/>
      <c r="U239" s="235"/>
      <c r="V239" s="235"/>
      <c r="W239" s="235"/>
      <c r="X239" s="235"/>
      <c r="Y239" s="235"/>
      <c r="Z239" s="235"/>
      <c r="AA239" s="235"/>
      <c r="AB239" s="235"/>
      <c r="AC239" s="235"/>
      <c r="AD239" s="235"/>
      <c r="AE239" s="236"/>
      <c r="AF239" s="235"/>
      <c r="AG239" s="235"/>
      <c r="AH239" s="235"/>
      <c r="AI239" s="235"/>
      <c r="AJ239" s="236"/>
      <c r="AK239" s="235"/>
      <c r="AL239" s="235"/>
      <c r="AM239" s="235"/>
      <c r="AN239" s="235"/>
      <c r="AO239" s="235"/>
      <c r="AP239" s="235"/>
      <c r="AQ239" s="235"/>
      <c r="AR239" s="235"/>
      <c r="AS239" s="235"/>
      <c r="AT239" s="235"/>
      <c r="AU239" s="236"/>
      <c r="AV239" s="235"/>
      <c r="AW239" s="235"/>
      <c r="AX239" s="235"/>
      <c r="AY239" s="235"/>
      <c r="AZ239" s="235"/>
      <c r="BA239" s="235"/>
      <c r="BB239" s="235"/>
      <c r="BC239" s="235"/>
      <c r="BD239" s="236"/>
      <c r="BE239" s="235"/>
      <c r="BF239" s="235"/>
      <c r="BG239" s="235"/>
      <c r="BH239" s="235"/>
      <c r="BI239" s="236"/>
      <c r="BJ239" s="236"/>
      <c r="BK239" s="238"/>
      <c r="BL239" s="239"/>
      <c r="BM239" s="239"/>
      <c r="BN239" s="340"/>
      <c r="BP239" s="236"/>
      <c r="BQ239" s="236"/>
      <c r="BR239" s="236"/>
      <c r="BS239" s="236"/>
      <c r="BT239" s="236"/>
      <c r="BU239" s="236"/>
      <c r="BV239" s="236"/>
      <c r="BW239" s="236"/>
      <c r="BX239" s="236"/>
      <c r="BY239" s="236"/>
      <c r="BZ239" s="236"/>
      <c r="CA239" s="236"/>
      <c r="CB239" s="236"/>
      <c r="CC239" s="236"/>
      <c r="CD239" s="236"/>
      <c r="CE239" s="236"/>
      <c r="CF239" s="236"/>
      <c r="CG239" s="236"/>
      <c r="CH239" s="236"/>
      <c r="CI239" s="236"/>
      <c r="CJ239" s="236"/>
      <c r="CK239" s="236"/>
      <c r="CL239" s="236"/>
      <c r="CM239" s="236"/>
      <c r="CN239" s="236"/>
      <c r="CO239" s="236"/>
    </row>
    <row r="240" spans="5:93" s="230" customFormat="1">
      <c r="E240" s="234"/>
      <c r="F240" s="235"/>
      <c r="G240" s="235"/>
      <c r="H240" s="236"/>
      <c r="I240" s="235"/>
      <c r="J240" s="235"/>
      <c r="K240" s="235"/>
      <c r="L240" s="235"/>
      <c r="M240" s="236"/>
      <c r="N240" s="235"/>
      <c r="O240" s="235"/>
      <c r="P240" s="235"/>
      <c r="Q240" s="235"/>
      <c r="R240" s="235"/>
      <c r="S240" s="235"/>
      <c r="T240" s="235"/>
      <c r="U240" s="235"/>
      <c r="V240" s="235"/>
      <c r="W240" s="235"/>
      <c r="X240" s="235"/>
      <c r="Y240" s="235"/>
      <c r="Z240" s="235"/>
      <c r="AA240" s="235"/>
      <c r="AB240" s="235"/>
      <c r="AC240" s="235"/>
      <c r="AD240" s="235"/>
      <c r="AE240" s="236"/>
      <c r="AF240" s="235"/>
      <c r="AG240" s="235"/>
      <c r="AH240" s="235"/>
      <c r="AI240" s="235"/>
      <c r="AJ240" s="236"/>
      <c r="AK240" s="235"/>
      <c r="AL240" s="235"/>
      <c r="AM240" s="235"/>
      <c r="AN240" s="235"/>
      <c r="AO240" s="235"/>
      <c r="AP240" s="235"/>
      <c r="AQ240" s="235"/>
      <c r="AR240" s="235"/>
      <c r="AS240" s="235"/>
      <c r="AT240" s="235"/>
      <c r="AU240" s="236"/>
      <c r="AV240" s="235"/>
      <c r="AW240" s="235"/>
      <c r="AX240" s="235"/>
      <c r="AY240" s="235"/>
      <c r="AZ240" s="235"/>
      <c r="BA240" s="235"/>
      <c r="BB240" s="235"/>
      <c r="BC240" s="235"/>
      <c r="BD240" s="236"/>
      <c r="BE240" s="235"/>
      <c r="BF240" s="235"/>
      <c r="BG240" s="235"/>
      <c r="BH240" s="235"/>
      <c r="BI240" s="236"/>
      <c r="BJ240" s="236"/>
      <c r="BK240" s="238"/>
      <c r="BL240" s="239"/>
      <c r="BM240" s="239"/>
      <c r="BN240" s="340"/>
      <c r="BP240" s="236"/>
      <c r="BQ240" s="236"/>
      <c r="BR240" s="236"/>
      <c r="BS240" s="236"/>
      <c r="BT240" s="236"/>
      <c r="BU240" s="236"/>
      <c r="BV240" s="236"/>
      <c r="BW240" s="236"/>
      <c r="BX240" s="236"/>
      <c r="BY240" s="236"/>
      <c r="BZ240" s="236"/>
      <c r="CA240" s="236"/>
      <c r="CB240" s="236"/>
      <c r="CC240" s="236"/>
      <c r="CD240" s="236"/>
      <c r="CE240" s="236"/>
      <c r="CF240" s="236"/>
      <c r="CG240" s="236"/>
      <c r="CH240" s="236"/>
      <c r="CI240" s="236"/>
      <c r="CJ240" s="236"/>
      <c r="CK240" s="236"/>
      <c r="CL240" s="236"/>
      <c r="CM240" s="236"/>
      <c r="CN240" s="236"/>
      <c r="CO240" s="236"/>
    </row>
    <row r="241" spans="5:93" s="230" customFormat="1">
      <c r="E241" s="234"/>
      <c r="F241" s="235"/>
      <c r="G241" s="235"/>
      <c r="H241" s="236"/>
      <c r="I241" s="235"/>
      <c r="J241" s="235"/>
      <c r="K241" s="235"/>
      <c r="L241" s="235"/>
      <c r="M241" s="236"/>
      <c r="N241" s="235"/>
      <c r="O241" s="235"/>
      <c r="P241" s="235"/>
      <c r="Q241" s="235"/>
      <c r="R241" s="235"/>
      <c r="S241" s="235"/>
      <c r="T241" s="235"/>
      <c r="U241" s="235"/>
      <c r="V241" s="235"/>
      <c r="W241" s="235"/>
      <c r="X241" s="235"/>
      <c r="Y241" s="235"/>
      <c r="Z241" s="235"/>
      <c r="AA241" s="235"/>
      <c r="AB241" s="235"/>
      <c r="AC241" s="235"/>
      <c r="AD241" s="235"/>
      <c r="AE241" s="236"/>
      <c r="AF241" s="235"/>
      <c r="AG241" s="235"/>
      <c r="AH241" s="235"/>
      <c r="AI241" s="235"/>
      <c r="AJ241" s="236"/>
      <c r="AK241" s="235"/>
      <c r="AL241" s="235"/>
      <c r="AM241" s="235"/>
      <c r="AN241" s="235"/>
      <c r="AO241" s="235"/>
      <c r="AP241" s="235"/>
      <c r="AQ241" s="235"/>
      <c r="AR241" s="235"/>
      <c r="AS241" s="235"/>
      <c r="AT241" s="235"/>
      <c r="AU241" s="236"/>
      <c r="AV241" s="235"/>
      <c r="AW241" s="235"/>
      <c r="AX241" s="235"/>
      <c r="AY241" s="235"/>
      <c r="AZ241" s="235"/>
      <c r="BA241" s="235"/>
      <c r="BB241" s="235"/>
      <c r="BC241" s="235"/>
      <c r="BD241" s="236"/>
      <c r="BE241" s="235"/>
      <c r="BF241" s="235"/>
      <c r="BG241" s="235"/>
      <c r="BH241" s="235"/>
      <c r="BI241" s="236"/>
      <c r="BJ241" s="236"/>
      <c r="BK241" s="238"/>
      <c r="BL241" s="239"/>
      <c r="BM241" s="239"/>
      <c r="BN241" s="340"/>
      <c r="BP241" s="236"/>
      <c r="BQ241" s="236"/>
      <c r="BR241" s="236"/>
      <c r="BS241" s="236"/>
      <c r="BT241" s="236"/>
      <c r="BU241" s="236"/>
      <c r="BV241" s="236"/>
      <c r="BW241" s="236"/>
      <c r="BX241" s="236"/>
      <c r="BY241" s="236"/>
      <c r="BZ241" s="236"/>
      <c r="CA241" s="236"/>
      <c r="CB241" s="236"/>
      <c r="CC241" s="236"/>
      <c r="CD241" s="236"/>
      <c r="CE241" s="236"/>
      <c r="CF241" s="236"/>
      <c r="CG241" s="236"/>
      <c r="CH241" s="236"/>
      <c r="CI241" s="236"/>
      <c r="CJ241" s="236"/>
      <c r="CK241" s="236"/>
      <c r="CL241" s="236"/>
      <c r="CM241" s="236"/>
      <c r="CN241" s="236"/>
      <c r="CO241" s="236"/>
    </row>
    <row r="242" spans="5:93" s="230" customFormat="1">
      <c r="E242" s="234"/>
      <c r="F242" s="235"/>
      <c r="G242" s="235"/>
      <c r="H242" s="236"/>
      <c r="I242" s="235"/>
      <c r="J242" s="235"/>
      <c r="K242" s="235"/>
      <c r="L242" s="235"/>
      <c r="M242" s="236"/>
      <c r="N242" s="235"/>
      <c r="O242" s="235"/>
      <c r="P242" s="235"/>
      <c r="Q242" s="235"/>
      <c r="R242" s="235"/>
      <c r="S242" s="235"/>
      <c r="T242" s="235"/>
      <c r="U242" s="235"/>
      <c r="V242" s="235"/>
      <c r="W242" s="235"/>
      <c r="X242" s="235"/>
      <c r="Y242" s="235"/>
      <c r="Z242" s="235"/>
      <c r="AA242" s="235"/>
      <c r="AB242" s="235"/>
      <c r="AC242" s="235"/>
      <c r="AD242" s="235"/>
      <c r="AE242" s="236"/>
      <c r="AF242" s="235"/>
      <c r="AG242" s="235"/>
      <c r="AH242" s="235"/>
      <c r="AI242" s="235"/>
      <c r="AJ242" s="236"/>
      <c r="AK242" s="235"/>
      <c r="AL242" s="235"/>
      <c r="AM242" s="235"/>
      <c r="AN242" s="235"/>
      <c r="AO242" s="235"/>
      <c r="AP242" s="235"/>
      <c r="AQ242" s="235"/>
      <c r="AR242" s="235"/>
      <c r="AS242" s="235"/>
      <c r="AT242" s="235"/>
      <c r="AU242" s="236"/>
      <c r="AV242" s="235"/>
      <c r="AW242" s="235"/>
      <c r="AX242" s="235"/>
      <c r="AY242" s="235"/>
      <c r="AZ242" s="235"/>
      <c r="BA242" s="235"/>
      <c r="BB242" s="235"/>
      <c r="BC242" s="235"/>
      <c r="BD242" s="236"/>
      <c r="BE242" s="235"/>
      <c r="BF242" s="235"/>
      <c r="BG242" s="235"/>
      <c r="BH242" s="235"/>
      <c r="BI242" s="236"/>
      <c r="BJ242" s="236"/>
      <c r="BK242" s="238"/>
      <c r="BL242" s="239"/>
      <c r="BM242" s="239"/>
      <c r="BN242" s="340"/>
      <c r="BP242" s="236"/>
      <c r="BQ242" s="236"/>
      <c r="BR242" s="236"/>
      <c r="BS242" s="236"/>
      <c r="BT242" s="236"/>
      <c r="BU242" s="236"/>
      <c r="BV242" s="236"/>
      <c r="BW242" s="236"/>
      <c r="BX242" s="236"/>
      <c r="BY242" s="236"/>
      <c r="BZ242" s="236"/>
      <c r="CA242" s="236"/>
      <c r="CB242" s="236"/>
      <c r="CC242" s="236"/>
      <c r="CD242" s="236"/>
      <c r="CE242" s="236"/>
      <c r="CF242" s="236"/>
      <c r="CG242" s="236"/>
      <c r="CH242" s="236"/>
      <c r="CI242" s="236"/>
      <c r="CJ242" s="236"/>
      <c r="CK242" s="236"/>
      <c r="CL242" s="236"/>
      <c r="CM242" s="236"/>
      <c r="CN242" s="236"/>
      <c r="CO242" s="236"/>
    </row>
    <row r="243" spans="5:93" s="230" customFormat="1">
      <c r="E243" s="234"/>
      <c r="F243" s="235"/>
      <c r="G243" s="235"/>
      <c r="H243" s="236"/>
      <c r="I243" s="235"/>
      <c r="J243" s="235"/>
      <c r="K243" s="235"/>
      <c r="L243" s="235"/>
      <c r="M243" s="236"/>
      <c r="N243" s="235"/>
      <c r="O243" s="235"/>
      <c r="P243" s="235"/>
      <c r="Q243" s="235"/>
      <c r="R243" s="235"/>
      <c r="S243" s="235"/>
      <c r="T243" s="235"/>
      <c r="U243" s="235"/>
      <c r="V243" s="235"/>
      <c r="W243" s="235"/>
      <c r="X243" s="235"/>
      <c r="Y243" s="235"/>
      <c r="Z243" s="235"/>
      <c r="AA243" s="235"/>
      <c r="AB243" s="235"/>
      <c r="AC243" s="235"/>
      <c r="AD243" s="235"/>
      <c r="AE243" s="236"/>
      <c r="AF243" s="235"/>
      <c r="AG243" s="235"/>
      <c r="AH243" s="235"/>
      <c r="AI243" s="235"/>
      <c r="AJ243" s="236"/>
      <c r="AK243" s="235"/>
      <c r="AL243" s="235"/>
      <c r="AM243" s="235"/>
      <c r="AN243" s="235"/>
      <c r="AO243" s="235"/>
      <c r="AP243" s="235"/>
      <c r="AQ243" s="235"/>
      <c r="AR243" s="235"/>
      <c r="AS243" s="235"/>
      <c r="AT243" s="235"/>
      <c r="AU243" s="236"/>
      <c r="AV243" s="235"/>
      <c r="AW243" s="235"/>
      <c r="AX243" s="235"/>
      <c r="AY243" s="235"/>
      <c r="AZ243" s="235"/>
      <c r="BA243" s="235"/>
      <c r="BB243" s="235"/>
      <c r="BC243" s="235"/>
      <c r="BD243" s="236"/>
      <c r="BE243" s="235"/>
      <c r="BF243" s="235"/>
      <c r="BG243" s="235"/>
      <c r="BH243" s="235"/>
      <c r="BI243" s="236"/>
      <c r="BJ243" s="236"/>
      <c r="BK243" s="238"/>
      <c r="BL243" s="239"/>
      <c r="BM243" s="239"/>
      <c r="BN243" s="340"/>
      <c r="BP243" s="236"/>
      <c r="BQ243" s="236"/>
      <c r="BR243" s="236"/>
      <c r="BS243" s="236"/>
      <c r="BT243" s="236"/>
      <c r="BU243" s="236"/>
      <c r="BV243" s="236"/>
      <c r="BW243" s="236"/>
      <c r="BX243" s="236"/>
      <c r="BY243" s="236"/>
      <c r="BZ243" s="236"/>
      <c r="CA243" s="236"/>
      <c r="CB243" s="236"/>
      <c r="CC243" s="236"/>
      <c r="CD243" s="236"/>
      <c r="CE243" s="236"/>
      <c r="CF243" s="236"/>
      <c r="CG243" s="236"/>
      <c r="CH243" s="236"/>
      <c r="CI243" s="236"/>
      <c r="CJ243" s="236"/>
      <c r="CK243" s="236"/>
      <c r="CL243" s="236"/>
      <c r="CM243" s="236"/>
      <c r="CN243" s="236"/>
      <c r="CO243" s="236"/>
    </row>
    <row r="244" spans="5:93" s="230" customFormat="1">
      <c r="E244" s="234"/>
      <c r="F244" s="235"/>
      <c r="G244" s="235"/>
      <c r="H244" s="236"/>
      <c r="I244" s="235"/>
      <c r="J244" s="235"/>
      <c r="K244" s="235"/>
      <c r="L244" s="235"/>
      <c r="M244" s="236"/>
      <c r="N244" s="235"/>
      <c r="O244" s="235"/>
      <c r="P244" s="235"/>
      <c r="Q244" s="235"/>
      <c r="R244" s="235"/>
      <c r="S244" s="235"/>
      <c r="T244" s="235"/>
      <c r="U244" s="235"/>
      <c r="V244" s="235"/>
      <c r="W244" s="235"/>
      <c r="X244" s="235"/>
      <c r="Y244" s="235"/>
      <c r="Z244" s="235"/>
      <c r="AA244" s="235"/>
      <c r="AB244" s="235"/>
      <c r="AC244" s="235"/>
      <c r="AD244" s="235"/>
      <c r="AE244" s="236"/>
      <c r="AF244" s="235"/>
      <c r="AG244" s="235"/>
      <c r="AH244" s="235"/>
      <c r="AI244" s="235"/>
      <c r="AJ244" s="236"/>
      <c r="AK244" s="235"/>
      <c r="AL244" s="235"/>
      <c r="AM244" s="235"/>
      <c r="AN244" s="235"/>
      <c r="AO244" s="235"/>
      <c r="AP244" s="235"/>
      <c r="AQ244" s="235"/>
      <c r="AR244" s="235"/>
      <c r="AS244" s="235"/>
      <c r="AT244" s="235"/>
      <c r="AU244" s="236"/>
      <c r="AV244" s="235"/>
      <c r="AW244" s="235"/>
      <c r="AX244" s="235"/>
      <c r="AY244" s="235"/>
      <c r="AZ244" s="235"/>
      <c r="BA244" s="235"/>
      <c r="BB244" s="235"/>
      <c r="BC244" s="235"/>
      <c r="BD244" s="236"/>
      <c r="BE244" s="235"/>
      <c r="BF244" s="235"/>
      <c r="BG244" s="235"/>
      <c r="BH244" s="235"/>
      <c r="BI244" s="236"/>
      <c r="BJ244" s="236"/>
      <c r="BK244" s="238"/>
      <c r="BL244" s="239"/>
      <c r="BM244" s="239"/>
      <c r="BN244" s="340"/>
      <c r="BP244" s="236"/>
      <c r="BQ244" s="236"/>
      <c r="BR244" s="236"/>
      <c r="BS244" s="236"/>
      <c r="BT244" s="236"/>
      <c r="BU244" s="236"/>
      <c r="BV244" s="236"/>
      <c r="BW244" s="236"/>
      <c r="BX244" s="236"/>
      <c r="BY244" s="236"/>
      <c r="BZ244" s="236"/>
      <c r="CA244" s="236"/>
      <c r="CB244" s="236"/>
      <c r="CC244" s="236"/>
      <c r="CD244" s="236"/>
      <c r="CE244" s="236"/>
      <c r="CF244" s="236"/>
      <c r="CG244" s="236"/>
      <c r="CH244" s="236"/>
      <c r="CI244" s="236"/>
      <c r="CJ244" s="236"/>
      <c r="CK244" s="236"/>
      <c r="CL244" s="236"/>
      <c r="CM244" s="236"/>
      <c r="CN244" s="236"/>
      <c r="CO244" s="236"/>
    </row>
    <row r="245" spans="5:93" s="230" customFormat="1">
      <c r="E245" s="234"/>
      <c r="F245" s="235"/>
      <c r="G245" s="235"/>
      <c r="H245" s="236"/>
      <c r="I245" s="235"/>
      <c r="J245" s="235"/>
      <c r="K245" s="235"/>
      <c r="L245" s="235"/>
      <c r="M245" s="236"/>
      <c r="N245" s="235"/>
      <c r="O245" s="235"/>
      <c r="P245" s="235"/>
      <c r="Q245" s="235"/>
      <c r="R245" s="235"/>
      <c r="S245" s="235"/>
      <c r="T245" s="235"/>
      <c r="U245" s="235"/>
      <c r="V245" s="235"/>
      <c r="W245" s="235"/>
      <c r="X245" s="235"/>
      <c r="Y245" s="235"/>
      <c r="Z245" s="235"/>
      <c r="AA245" s="235"/>
      <c r="AB245" s="235"/>
      <c r="AC245" s="235"/>
      <c r="AD245" s="235"/>
      <c r="AE245" s="236"/>
      <c r="AF245" s="235"/>
      <c r="AG245" s="235"/>
      <c r="AH245" s="235"/>
      <c r="AI245" s="235"/>
      <c r="AJ245" s="236"/>
      <c r="AK245" s="235"/>
      <c r="AL245" s="235"/>
      <c r="AM245" s="235"/>
      <c r="AN245" s="235"/>
      <c r="AO245" s="235"/>
      <c r="AP245" s="235"/>
      <c r="AQ245" s="235"/>
      <c r="AR245" s="235"/>
      <c r="AS245" s="235"/>
      <c r="AT245" s="235"/>
      <c r="AU245" s="236"/>
      <c r="AV245" s="235"/>
      <c r="AW245" s="235"/>
      <c r="AX245" s="235"/>
      <c r="AY245" s="235"/>
      <c r="AZ245" s="235"/>
      <c r="BA245" s="235"/>
      <c r="BB245" s="235"/>
      <c r="BC245" s="235"/>
      <c r="BD245" s="236"/>
      <c r="BE245" s="235"/>
      <c r="BF245" s="235"/>
      <c r="BG245" s="235"/>
      <c r="BH245" s="235"/>
      <c r="BI245" s="236"/>
      <c r="BJ245" s="236"/>
      <c r="BK245" s="238"/>
      <c r="BL245" s="239"/>
      <c r="BM245" s="239"/>
      <c r="BN245" s="340"/>
      <c r="BP245" s="236"/>
      <c r="BQ245" s="236"/>
      <c r="BR245" s="236"/>
      <c r="BS245" s="236"/>
      <c r="BT245" s="236"/>
      <c r="BU245" s="236"/>
      <c r="BV245" s="236"/>
      <c r="BW245" s="236"/>
      <c r="BX245" s="236"/>
      <c r="BY245" s="236"/>
      <c r="BZ245" s="236"/>
      <c r="CA245" s="236"/>
      <c r="CB245" s="236"/>
      <c r="CC245" s="236"/>
      <c r="CD245" s="236"/>
      <c r="CE245" s="236"/>
      <c r="CF245" s="236"/>
      <c r="CG245" s="236"/>
      <c r="CH245" s="236"/>
      <c r="CI245" s="236"/>
      <c r="CJ245" s="236"/>
      <c r="CK245" s="236"/>
      <c r="CL245" s="236"/>
      <c r="CM245" s="236"/>
      <c r="CN245" s="236"/>
      <c r="CO245" s="236"/>
    </row>
    <row r="246" spans="5:93" s="230" customFormat="1">
      <c r="E246" s="234"/>
      <c r="F246" s="235"/>
      <c r="G246" s="235"/>
      <c r="H246" s="236"/>
      <c r="I246" s="235"/>
      <c r="J246" s="235"/>
      <c r="K246" s="235"/>
      <c r="L246" s="235"/>
      <c r="M246" s="236"/>
      <c r="N246" s="235"/>
      <c r="O246" s="235"/>
      <c r="P246" s="235"/>
      <c r="Q246" s="235"/>
      <c r="R246" s="235"/>
      <c r="S246" s="235"/>
      <c r="T246" s="235"/>
      <c r="U246" s="235"/>
      <c r="V246" s="235"/>
      <c r="W246" s="235"/>
      <c r="X246" s="235"/>
      <c r="Y246" s="235"/>
      <c r="Z246" s="235"/>
      <c r="AA246" s="235"/>
      <c r="AB246" s="235"/>
      <c r="AC246" s="235"/>
      <c r="AD246" s="235"/>
      <c r="AE246" s="236"/>
      <c r="AF246" s="235"/>
      <c r="AG246" s="235"/>
      <c r="AH246" s="235"/>
      <c r="AI246" s="235"/>
      <c r="AJ246" s="236"/>
      <c r="AK246" s="235"/>
      <c r="AL246" s="235"/>
      <c r="AM246" s="235"/>
      <c r="AN246" s="235"/>
      <c r="AO246" s="235"/>
      <c r="AP246" s="235"/>
      <c r="AQ246" s="235"/>
      <c r="AR246" s="235"/>
      <c r="AS246" s="235"/>
      <c r="AT246" s="235"/>
      <c r="AU246" s="236"/>
      <c r="AV246" s="235"/>
      <c r="AW246" s="235"/>
      <c r="AX246" s="235"/>
      <c r="AY246" s="235"/>
      <c r="AZ246" s="235"/>
      <c r="BA246" s="235"/>
      <c r="BB246" s="235"/>
      <c r="BC246" s="235"/>
      <c r="BD246" s="236"/>
      <c r="BE246" s="235"/>
      <c r="BF246" s="235"/>
      <c r="BG246" s="235"/>
      <c r="BH246" s="235"/>
      <c r="BI246" s="236"/>
      <c r="BJ246" s="236"/>
      <c r="BK246" s="238"/>
      <c r="BL246" s="239"/>
      <c r="BM246" s="239"/>
      <c r="BN246" s="340"/>
      <c r="BP246" s="236"/>
      <c r="BQ246" s="236"/>
      <c r="BR246" s="236"/>
      <c r="BS246" s="236"/>
      <c r="BT246" s="236"/>
      <c r="BU246" s="236"/>
      <c r="BV246" s="236"/>
      <c r="BW246" s="236"/>
      <c r="BX246" s="236"/>
      <c r="BY246" s="236"/>
      <c r="BZ246" s="236"/>
      <c r="CA246" s="236"/>
      <c r="CB246" s="236"/>
      <c r="CC246" s="236"/>
      <c r="CD246" s="236"/>
      <c r="CE246" s="236"/>
      <c r="CF246" s="236"/>
      <c r="CG246" s="236"/>
      <c r="CH246" s="236"/>
      <c r="CI246" s="236"/>
      <c r="CJ246" s="236"/>
      <c r="CK246" s="236"/>
      <c r="CL246" s="236"/>
      <c r="CM246" s="236"/>
      <c r="CN246" s="236"/>
      <c r="CO246" s="236"/>
    </row>
    <row r="247" spans="5:93" s="230" customFormat="1">
      <c r="E247" s="234"/>
      <c r="F247" s="235"/>
      <c r="G247" s="235"/>
      <c r="H247" s="236"/>
      <c r="I247" s="235"/>
      <c r="J247" s="235"/>
      <c r="K247" s="235"/>
      <c r="L247" s="235"/>
      <c r="M247" s="236"/>
      <c r="N247" s="235"/>
      <c r="O247" s="235"/>
      <c r="P247" s="235"/>
      <c r="Q247" s="235"/>
      <c r="R247" s="235"/>
      <c r="S247" s="235"/>
      <c r="T247" s="235"/>
      <c r="U247" s="235"/>
      <c r="V247" s="235"/>
      <c r="W247" s="235"/>
      <c r="X247" s="235"/>
      <c r="Y247" s="235"/>
      <c r="Z247" s="235"/>
      <c r="AA247" s="235"/>
      <c r="AB247" s="235"/>
      <c r="AC247" s="235"/>
      <c r="AD247" s="235"/>
      <c r="AE247" s="236"/>
      <c r="AF247" s="235"/>
      <c r="AG247" s="235"/>
      <c r="AH247" s="235"/>
      <c r="AI247" s="235"/>
      <c r="AJ247" s="236"/>
      <c r="AK247" s="235"/>
      <c r="AL247" s="235"/>
      <c r="AM247" s="235"/>
      <c r="AN247" s="235"/>
      <c r="AO247" s="235"/>
      <c r="AP247" s="235"/>
      <c r="AQ247" s="235"/>
      <c r="AR247" s="235"/>
      <c r="AS247" s="235"/>
      <c r="AT247" s="235"/>
      <c r="AU247" s="236"/>
      <c r="AV247" s="235"/>
      <c r="AW247" s="235"/>
      <c r="AX247" s="235"/>
      <c r="AY247" s="235"/>
      <c r="AZ247" s="235"/>
      <c r="BA247" s="235"/>
      <c r="BB247" s="235"/>
      <c r="BC247" s="235"/>
      <c r="BD247" s="236"/>
      <c r="BE247" s="235"/>
      <c r="BF247" s="235"/>
      <c r="BG247" s="235"/>
      <c r="BH247" s="235"/>
      <c r="BI247" s="236"/>
      <c r="BJ247" s="236"/>
      <c r="BK247" s="238"/>
      <c r="BL247" s="239"/>
      <c r="BM247" s="239"/>
      <c r="BN247" s="340"/>
      <c r="BP247" s="236"/>
      <c r="BQ247" s="236"/>
      <c r="BR247" s="236"/>
      <c r="BS247" s="236"/>
      <c r="BT247" s="236"/>
      <c r="BU247" s="236"/>
      <c r="BV247" s="236"/>
      <c r="BW247" s="236"/>
      <c r="BX247" s="236"/>
      <c r="BY247" s="236"/>
      <c r="BZ247" s="236"/>
      <c r="CA247" s="236"/>
      <c r="CB247" s="236"/>
      <c r="CC247" s="236"/>
      <c r="CD247" s="236"/>
      <c r="CE247" s="236"/>
      <c r="CF247" s="236"/>
      <c r="CG247" s="236"/>
      <c r="CH247" s="236"/>
      <c r="CI247" s="236"/>
      <c r="CJ247" s="236"/>
      <c r="CK247" s="236"/>
      <c r="CL247" s="236"/>
      <c r="CM247" s="236"/>
      <c r="CN247" s="236"/>
      <c r="CO247" s="236"/>
    </row>
    <row r="248" spans="5:93" s="230" customFormat="1">
      <c r="E248" s="234"/>
      <c r="F248" s="235"/>
      <c r="G248" s="235"/>
      <c r="H248" s="236"/>
      <c r="I248" s="235"/>
      <c r="J248" s="235"/>
      <c r="K248" s="235"/>
      <c r="L248" s="235"/>
      <c r="M248" s="236"/>
      <c r="N248" s="235"/>
      <c r="O248" s="235"/>
      <c r="P248" s="235"/>
      <c r="Q248" s="235"/>
      <c r="R248" s="235"/>
      <c r="S248" s="235"/>
      <c r="T248" s="235"/>
      <c r="U248" s="235"/>
      <c r="V248" s="235"/>
      <c r="W248" s="235"/>
      <c r="X248" s="235"/>
      <c r="Y248" s="235"/>
      <c r="Z248" s="235"/>
      <c r="AA248" s="235"/>
      <c r="AB248" s="235"/>
      <c r="AC248" s="235"/>
      <c r="AD248" s="235"/>
      <c r="AE248" s="236"/>
      <c r="AF248" s="235"/>
      <c r="AG248" s="235"/>
      <c r="AH248" s="235"/>
      <c r="AI248" s="235"/>
      <c r="AJ248" s="236"/>
      <c r="AK248" s="235"/>
      <c r="AL248" s="235"/>
      <c r="AM248" s="235"/>
      <c r="AN248" s="235"/>
      <c r="AO248" s="235"/>
      <c r="AP248" s="235"/>
      <c r="AQ248" s="235"/>
      <c r="AR248" s="235"/>
      <c r="AS248" s="235"/>
      <c r="AT248" s="235"/>
      <c r="AU248" s="236"/>
      <c r="AV248" s="235"/>
      <c r="AW248" s="235"/>
      <c r="AX248" s="235"/>
      <c r="AY248" s="235"/>
      <c r="AZ248" s="235"/>
      <c r="BA248" s="235"/>
      <c r="BB248" s="235"/>
      <c r="BC248" s="235"/>
      <c r="BD248" s="236"/>
      <c r="BE248" s="235"/>
      <c r="BF248" s="235"/>
      <c r="BG248" s="235"/>
      <c r="BH248" s="235"/>
      <c r="BI248" s="236"/>
      <c r="BJ248" s="236"/>
      <c r="BK248" s="238"/>
      <c r="BL248" s="239"/>
      <c r="BM248" s="239"/>
      <c r="BN248" s="340"/>
      <c r="BP248" s="236"/>
      <c r="BQ248" s="236"/>
      <c r="BR248" s="236"/>
      <c r="BS248" s="236"/>
      <c r="BT248" s="236"/>
      <c r="BU248" s="236"/>
      <c r="BV248" s="236"/>
      <c r="BW248" s="236"/>
      <c r="BX248" s="236"/>
      <c r="BY248" s="236"/>
      <c r="BZ248" s="236"/>
      <c r="CA248" s="236"/>
      <c r="CB248" s="236"/>
      <c r="CC248" s="236"/>
      <c r="CD248" s="236"/>
      <c r="CE248" s="236"/>
      <c r="CF248" s="236"/>
      <c r="CG248" s="236"/>
      <c r="CH248" s="236"/>
      <c r="CI248" s="236"/>
      <c r="CJ248" s="236"/>
      <c r="CK248" s="236"/>
      <c r="CL248" s="236"/>
      <c r="CM248" s="236"/>
      <c r="CN248" s="236"/>
      <c r="CO248" s="236"/>
    </row>
    <row r="249" spans="5:93" s="230" customFormat="1">
      <c r="E249" s="234"/>
      <c r="F249" s="235"/>
      <c r="G249" s="235"/>
      <c r="H249" s="236"/>
      <c r="I249" s="235"/>
      <c r="J249" s="235"/>
      <c r="K249" s="235"/>
      <c r="L249" s="235"/>
      <c r="M249" s="236"/>
      <c r="N249" s="235"/>
      <c r="O249" s="235"/>
      <c r="P249" s="235"/>
      <c r="Q249" s="235"/>
      <c r="R249" s="235"/>
      <c r="S249" s="235"/>
      <c r="T249" s="235"/>
      <c r="U249" s="235"/>
      <c r="V249" s="235"/>
      <c r="W249" s="235"/>
      <c r="X249" s="235"/>
      <c r="Y249" s="235"/>
      <c r="Z249" s="235"/>
      <c r="AA249" s="235"/>
      <c r="AB249" s="235"/>
      <c r="AC249" s="235"/>
      <c r="AD249" s="235"/>
      <c r="AE249" s="236"/>
      <c r="AF249" s="235"/>
      <c r="AG249" s="235"/>
      <c r="AH249" s="235"/>
      <c r="AI249" s="235"/>
      <c r="AJ249" s="236"/>
      <c r="AK249" s="235"/>
      <c r="AL249" s="235"/>
      <c r="AM249" s="235"/>
      <c r="AN249" s="235"/>
      <c r="AO249" s="235"/>
      <c r="AP249" s="235"/>
      <c r="AQ249" s="235"/>
      <c r="AR249" s="235"/>
      <c r="AS249" s="235"/>
      <c r="AT249" s="235"/>
      <c r="AU249" s="236"/>
      <c r="AV249" s="235"/>
      <c r="AW249" s="235"/>
      <c r="AX249" s="235"/>
      <c r="AY249" s="235"/>
      <c r="AZ249" s="235"/>
      <c r="BA249" s="235"/>
      <c r="BB249" s="235"/>
      <c r="BC249" s="235"/>
      <c r="BD249" s="236"/>
      <c r="BE249" s="235"/>
      <c r="BF249" s="235"/>
      <c r="BG249" s="235"/>
      <c r="BH249" s="235"/>
      <c r="BI249" s="236"/>
      <c r="BJ249" s="236"/>
      <c r="BK249" s="238"/>
      <c r="BL249" s="239"/>
      <c r="BM249" s="239"/>
      <c r="BN249" s="340"/>
      <c r="BP249" s="236"/>
      <c r="BQ249" s="236"/>
      <c r="BR249" s="236"/>
      <c r="BS249" s="236"/>
      <c r="BT249" s="236"/>
      <c r="BU249" s="236"/>
      <c r="BV249" s="236"/>
      <c r="BW249" s="236"/>
      <c r="BX249" s="236"/>
      <c r="BY249" s="236"/>
      <c r="BZ249" s="236"/>
      <c r="CA249" s="236"/>
      <c r="CB249" s="236"/>
      <c r="CC249" s="236"/>
      <c r="CD249" s="236"/>
      <c r="CE249" s="236"/>
      <c r="CF249" s="236"/>
      <c r="CG249" s="236"/>
      <c r="CH249" s="236"/>
      <c r="CI249" s="236"/>
      <c r="CJ249" s="236"/>
      <c r="CK249" s="236"/>
      <c r="CL249" s="236"/>
      <c r="CM249" s="236"/>
      <c r="CN249" s="236"/>
      <c r="CO249" s="236"/>
    </row>
    <row r="250" spans="5:93" s="230" customFormat="1">
      <c r="E250" s="234"/>
      <c r="F250" s="235"/>
      <c r="G250" s="235"/>
      <c r="H250" s="236"/>
      <c r="I250" s="235"/>
      <c r="J250" s="235"/>
      <c r="K250" s="235"/>
      <c r="L250" s="235"/>
      <c r="M250" s="236"/>
      <c r="N250" s="235"/>
      <c r="O250" s="235"/>
      <c r="P250" s="235"/>
      <c r="Q250" s="235"/>
      <c r="R250" s="235"/>
      <c r="S250" s="235"/>
      <c r="T250" s="235"/>
      <c r="U250" s="235"/>
      <c r="V250" s="235"/>
      <c r="W250" s="235"/>
      <c r="X250" s="235"/>
      <c r="Y250" s="235"/>
      <c r="Z250" s="235"/>
      <c r="AA250" s="235"/>
      <c r="AB250" s="235"/>
      <c r="AC250" s="235"/>
      <c r="AD250" s="235"/>
      <c r="AE250" s="236"/>
      <c r="AF250" s="235"/>
      <c r="AG250" s="235"/>
      <c r="AH250" s="235"/>
      <c r="AI250" s="235"/>
      <c r="AJ250" s="236"/>
      <c r="AK250" s="235"/>
      <c r="AL250" s="235"/>
      <c r="AM250" s="235"/>
      <c r="AN250" s="235"/>
      <c r="AO250" s="235"/>
      <c r="AP250" s="235"/>
      <c r="AQ250" s="235"/>
      <c r="AR250" s="235"/>
      <c r="AS250" s="235"/>
      <c r="AT250" s="235"/>
      <c r="AU250" s="236"/>
      <c r="AV250" s="235"/>
      <c r="AW250" s="235"/>
      <c r="AX250" s="235"/>
      <c r="AY250" s="235"/>
      <c r="AZ250" s="235"/>
      <c r="BA250" s="235"/>
      <c r="BB250" s="235"/>
      <c r="BC250" s="235"/>
      <c r="BD250" s="236"/>
      <c r="BE250" s="235"/>
      <c r="BF250" s="235"/>
      <c r="BG250" s="235"/>
      <c r="BH250" s="235"/>
      <c r="BI250" s="236"/>
      <c r="BJ250" s="236"/>
      <c r="BK250" s="238"/>
      <c r="BL250" s="239"/>
      <c r="BM250" s="239"/>
      <c r="BN250" s="340"/>
      <c r="BP250" s="236"/>
      <c r="BQ250" s="236"/>
      <c r="BR250" s="236"/>
      <c r="BS250" s="236"/>
      <c r="BT250" s="236"/>
      <c r="BU250" s="236"/>
      <c r="BV250" s="236"/>
      <c r="BW250" s="236"/>
      <c r="BX250" s="236"/>
      <c r="BY250" s="236"/>
      <c r="BZ250" s="236"/>
      <c r="CA250" s="236"/>
      <c r="CB250" s="236"/>
      <c r="CC250" s="236"/>
      <c r="CD250" s="236"/>
      <c r="CE250" s="236"/>
      <c r="CF250" s="236"/>
      <c r="CG250" s="236"/>
      <c r="CH250" s="236"/>
      <c r="CI250" s="236"/>
      <c r="CJ250" s="236"/>
      <c r="CK250" s="236"/>
      <c r="CL250" s="236"/>
      <c r="CM250" s="236"/>
      <c r="CN250" s="236"/>
      <c r="CO250" s="236"/>
    </row>
    <row r="251" spans="5:93" s="230" customFormat="1">
      <c r="E251" s="234"/>
      <c r="F251" s="235"/>
      <c r="G251" s="235"/>
      <c r="H251" s="236"/>
      <c r="I251" s="235"/>
      <c r="J251" s="235"/>
      <c r="K251" s="235"/>
      <c r="L251" s="235"/>
      <c r="M251" s="236"/>
      <c r="N251" s="235"/>
      <c r="O251" s="235"/>
      <c r="P251" s="235"/>
      <c r="Q251" s="235"/>
      <c r="R251" s="235"/>
      <c r="S251" s="235"/>
      <c r="T251" s="235"/>
      <c r="U251" s="235"/>
      <c r="V251" s="235"/>
      <c r="W251" s="235"/>
      <c r="X251" s="235"/>
      <c r="Y251" s="235"/>
      <c r="Z251" s="235"/>
      <c r="AA251" s="235"/>
      <c r="AB251" s="235"/>
      <c r="AC251" s="235"/>
      <c r="AD251" s="235"/>
      <c r="AE251" s="236"/>
      <c r="AF251" s="235"/>
      <c r="AG251" s="235"/>
      <c r="AH251" s="235"/>
      <c r="AI251" s="235"/>
      <c r="AJ251" s="236"/>
      <c r="AK251" s="235"/>
      <c r="AL251" s="235"/>
      <c r="AM251" s="235"/>
      <c r="AN251" s="235"/>
      <c r="AO251" s="235"/>
      <c r="AP251" s="235"/>
      <c r="AQ251" s="235"/>
      <c r="AR251" s="235"/>
      <c r="AS251" s="235"/>
      <c r="AT251" s="235"/>
      <c r="AU251" s="236"/>
      <c r="AV251" s="235"/>
      <c r="AW251" s="235"/>
      <c r="AX251" s="235"/>
      <c r="AY251" s="235"/>
      <c r="AZ251" s="235"/>
      <c r="BA251" s="235"/>
      <c r="BB251" s="235"/>
      <c r="BC251" s="235"/>
      <c r="BD251" s="236"/>
      <c r="BE251" s="235"/>
      <c r="BF251" s="235"/>
      <c r="BG251" s="235"/>
      <c r="BH251" s="235"/>
      <c r="BI251" s="236"/>
      <c r="BJ251" s="236"/>
      <c r="BK251" s="238"/>
      <c r="BL251" s="239"/>
      <c r="BM251" s="239"/>
      <c r="BN251" s="340"/>
      <c r="BP251" s="236"/>
      <c r="BQ251" s="236"/>
      <c r="BR251" s="236"/>
      <c r="BS251" s="236"/>
      <c r="BT251" s="236"/>
      <c r="BU251" s="236"/>
      <c r="BV251" s="236"/>
      <c r="BW251" s="236"/>
      <c r="BX251" s="236"/>
      <c r="BY251" s="236"/>
      <c r="BZ251" s="236"/>
      <c r="CA251" s="236"/>
      <c r="CB251" s="236"/>
      <c r="CC251" s="236"/>
      <c r="CD251" s="236"/>
      <c r="CE251" s="236"/>
      <c r="CF251" s="236"/>
      <c r="CG251" s="236"/>
      <c r="CH251" s="236"/>
      <c r="CI251" s="236"/>
      <c r="CJ251" s="236"/>
      <c r="CK251" s="236"/>
      <c r="CL251" s="236"/>
      <c r="CM251" s="236"/>
      <c r="CN251" s="236"/>
      <c r="CO251" s="236"/>
    </row>
    <row r="252" spans="5:93" s="230" customFormat="1">
      <c r="E252" s="234"/>
      <c r="F252" s="235"/>
      <c r="G252" s="235"/>
      <c r="H252" s="236"/>
      <c r="I252" s="235"/>
      <c r="J252" s="235"/>
      <c r="K252" s="235"/>
      <c r="L252" s="235"/>
      <c r="M252" s="236"/>
      <c r="N252" s="235"/>
      <c r="O252" s="235"/>
      <c r="P252" s="235"/>
      <c r="Q252" s="235"/>
      <c r="R252" s="235"/>
      <c r="S252" s="235"/>
      <c r="T252" s="235"/>
      <c r="U252" s="235"/>
      <c r="V252" s="235"/>
      <c r="W252" s="235"/>
      <c r="X252" s="235"/>
      <c r="Y252" s="235"/>
      <c r="Z252" s="235"/>
      <c r="AA252" s="235"/>
      <c r="AB252" s="235"/>
      <c r="AC252" s="235"/>
      <c r="AD252" s="235"/>
      <c r="AE252" s="236"/>
      <c r="AF252" s="235"/>
      <c r="AG252" s="235"/>
      <c r="AH252" s="235"/>
      <c r="AI252" s="235"/>
      <c r="AJ252" s="236"/>
      <c r="AK252" s="235"/>
      <c r="AL252" s="235"/>
      <c r="AM252" s="235"/>
      <c r="AN252" s="235"/>
      <c r="AO252" s="235"/>
      <c r="AP252" s="235"/>
      <c r="AQ252" s="235"/>
      <c r="AR252" s="235"/>
      <c r="AS252" s="235"/>
      <c r="AT252" s="235"/>
      <c r="AU252" s="236"/>
      <c r="AV252" s="235"/>
      <c r="AW252" s="235"/>
      <c r="AX252" s="235"/>
      <c r="AY252" s="235"/>
      <c r="AZ252" s="235"/>
      <c r="BA252" s="235"/>
      <c r="BB252" s="235"/>
      <c r="BC252" s="235"/>
      <c r="BD252" s="236"/>
      <c r="BE252" s="235"/>
      <c r="BF252" s="235"/>
      <c r="BG252" s="235"/>
      <c r="BH252" s="235"/>
      <c r="BI252" s="236"/>
      <c r="BJ252" s="236"/>
      <c r="BK252" s="238"/>
      <c r="BL252" s="239"/>
      <c r="BM252" s="239"/>
      <c r="BN252" s="340"/>
      <c r="BP252" s="236"/>
      <c r="BQ252" s="236"/>
      <c r="BR252" s="236"/>
      <c r="BS252" s="236"/>
      <c r="BT252" s="236"/>
      <c r="BU252" s="236"/>
      <c r="BV252" s="236"/>
      <c r="BW252" s="236"/>
      <c r="BX252" s="236"/>
      <c r="BY252" s="236"/>
      <c r="BZ252" s="236"/>
      <c r="CA252" s="236"/>
      <c r="CB252" s="236"/>
      <c r="CC252" s="236"/>
      <c r="CD252" s="236"/>
      <c r="CE252" s="236"/>
      <c r="CF252" s="236"/>
      <c r="CG252" s="236"/>
      <c r="CH252" s="236"/>
      <c r="CI252" s="236"/>
      <c r="CJ252" s="236"/>
      <c r="CK252" s="236"/>
      <c r="CL252" s="236"/>
      <c r="CM252" s="236"/>
      <c r="CN252" s="236"/>
      <c r="CO252" s="236"/>
    </row>
    <row r="253" spans="5:93" s="230" customFormat="1">
      <c r="E253" s="234"/>
      <c r="F253" s="235"/>
      <c r="G253" s="235"/>
      <c r="H253" s="236"/>
      <c r="I253" s="235"/>
      <c r="J253" s="235"/>
      <c r="K253" s="235"/>
      <c r="L253" s="235"/>
      <c r="M253" s="236"/>
      <c r="N253" s="235"/>
      <c r="O253" s="235"/>
      <c r="P253" s="235"/>
      <c r="Q253" s="235"/>
      <c r="R253" s="235"/>
      <c r="S253" s="235"/>
      <c r="T253" s="235"/>
      <c r="U253" s="235"/>
      <c r="V253" s="235"/>
      <c r="W253" s="235"/>
      <c r="X253" s="235"/>
      <c r="Y253" s="235"/>
      <c r="Z253" s="235"/>
      <c r="AA253" s="235"/>
      <c r="AB253" s="235"/>
      <c r="AC253" s="235"/>
      <c r="AD253" s="235"/>
      <c r="AE253" s="236"/>
      <c r="AF253" s="235"/>
      <c r="AG253" s="235"/>
      <c r="AH253" s="235"/>
      <c r="AI253" s="235"/>
      <c r="AJ253" s="236"/>
      <c r="AK253" s="235"/>
      <c r="AL253" s="235"/>
      <c r="AM253" s="235"/>
      <c r="AN253" s="235"/>
      <c r="AO253" s="235"/>
      <c r="AP253" s="235"/>
      <c r="AQ253" s="235"/>
      <c r="AR253" s="235"/>
      <c r="AS253" s="235"/>
      <c r="AT253" s="235"/>
      <c r="AU253" s="236"/>
      <c r="AV253" s="235"/>
      <c r="AW253" s="235"/>
      <c r="AX253" s="235"/>
      <c r="AY253" s="235"/>
      <c r="AZ253" s="235"/>
      <c r="BA253" s="235"/>
      <c r="BB253" s="235"/>
      <c r="BC253" s="235"/>
      <c r="BD253" s="236"/>
      <c r="BE253" s="235"/>
      <c r="BF253" s="235"/>
      <c r="BG253" s="235"/>
      <c r="BH253" s="235"/>
      <c r="BI253" s="236"/>
      <c r="BJ253" s="236"/>
      <c r="BK253" s="238"/>
      <c r="BL253" s="239"/>
      <c r="BM253" s="239"/>
      <c r="BN253" s="340"/>
      <c r="BP253" s="236"/>
      <c r="BQ253" s="236"/>
      <c r="BR253" s="236"/>
      <c r="BS253" s="236"/>
      <c r="BT253" s="236"/>
      <c r="BU253" s="236"/>
      <c r="BV253" s="236"/>
      <c r="BW253" s="236"/>
      <c r="BX253" s="236"/>
      <c r="BY253" s="236"/>
      <c r="BZ253" s="236"/>
      <c r="CA253" s="236"/>
      <c r="CB253" s="236"/>
      <c r="CC253" s="236"/>
      <c r="CD253" s="236"/>
      <c r="CE253" s="236"/>
      <c r="CF253" s="236"/>
      <c r="CG253" s="236"/>
      <c r="CH253" s="236"/>
      <c r="CI253" s="236"/>
      <c r="CJ253" s="236"/>
      <c r="CK253" s="236"/>
      <c r="CL253" s="236"/>
      <c r="CM253" s="236"/>
      <c r="CN253" s="236"/>
      <c r="CO253" s="236"/>
    </row>
    <row r="254" spans="5:93" s="230" customFormat="1">
      <c r="E254" s="234"/>
      <c r="F254" s="235"/>
      <c r="G254" s="235"/>
      <c r="H254" s="236"/>
      <c r="I254" s="235"/>
      <c r="J254" s="235"/>
      <c r="K254" s="235"/>
      <c r="L254" s="235"/>
      <c r="M254" s="236"/>
      <c r="N254" s="235"/>
      <c r="O254" s="235"/>
      <c r="P254" s="235"/>
      <c r="Q254" s="235"/>
      <c r="R254" s="235"/>
      <c r="S254" s="235"/>
      <c r="T254" s="235"/>
      <c r="U254" s="235"/>
      <c r="V254" s="235"/>
      <c r="W254" s="235"/>
      <c r="X254" s="235"/>
      <c r="Y254" s="235"/>
      <c r="Z254" s="235"/>
      <c r="AA254" s="235"/>
      <c r="AB254" s="235"/>
      <c r="AC254" s="235"/>
      <c r="AD254" s="235"/>
      <c r="AE254" s="236"/>
      <c r="AF254" s="235"/>
      <c r="AG254" s="235"/>
      <c r="AH254" s="235"/>
      <c r="AI254" s="235"/>
      <c r="AJ254" s="236"/>
      <c r="AK254" s="235"/>
      <c r="AL254" s="235"/>
      <c r="AM254" s="235"/>
      <c r="AN254" s="235"/>
      <c r="AO254" s="235"/>
      <c r="AP254" s="235"/>
      <c r="AQ254" s="235"/>
      <c r="AR254" s="235"/>
      <c r="AS254" s="235"/>
      <c r="AT254" s="235"/>
      <c r="AU254" s="236"/>
      <c r="AV254" s="235"/>
      <c r="AW254" s="235"/>
      <c r="AX254" s="235"/>
      <c r="AY254" s="235"/>
      <c r="AZ254" s="235"/>
      <c r="BA254" s="235"/>
      <c r="BB254" s="235"/>
      <c r="BC254" s="235"/>
      <c r="BD254" s="236"/>
      <c r="BE254" s="235"/>
      <c r="BF254" s="235"/>
      <c r="BG254" s="235"/>
      <c r="BH254" s="235"/>
      <c r="BI254" s="236"/>
      <c r="BJ254" s="236"/>
      <c r="BK254" s="238"/>
      <c r="BL254" s="239"/>
      <c r="BM254" s="239"/>
      <c r="BN254" s="340"/>
      <c r="BP254" s="236"/>
      <c r="BQ254" s="236"/>
      <c r="BR254" s="236"/>
      <c r="BS254" s="236"/>
      <c r="BT254" s="236"/>
      <c r="BU254" s="236"/>
      <c r="BV254" s="236"/>
      <c r="BW254" s="236"/>
      <c r="BX254" s="236"/>
      <c r="BY254" s="236"/>
      <c r="BZ254" s="236"/>
      <c r="CA254" s="236"/>
      <c r="CB254" s="236"/>
      <c r="CC254" s="236"/>
      <c r="CD254" s="236"/>
      <c r="CE254" s="236"/>
      <c r="CF254" s="236"/>
      <c r="CG254" s="236"/>
      <c r="CH254" s="236"/>
      <c r="CI254" s="236"/>
      <c r="CJ254" s="236"/>
      <c r="CK254" s="236"/>
      <c r="CL254" s="236"/>
      <c r="CM254" s="236"/>
      <c r="CN254" s="236"/>
      <c r="CO254" s="236"/>
    </row>
    <row r="255" spans="5:93" s="230" customFormat="1">
      <c r="E255" s="234"/>
      <c r="F255" s="235"/>
      <c r="G255" s="235"/>
      <c r="H255" s="236"/>
      <c r="I255" s="235"/>
      <c r="J255" s="235"/>
      <c r="K255" s="235"/>
      <c r="L255" s="235"/>
      <c r="M255" s="236"/>
      <c r="N255" s="235"/>
      <c r="O255" s="235"/>
      <c r="P255" s="235"/>
      <c r="Q255" s="235"/>
      <c r="R255" s="235"/>
      <c r="S255" s="235"/>
      <c r="T255" s="235"/>
      <c r="U255" s="235"/>
      <c r="V255" s="235"/>
      <c r="W255" s="235"/>
      <c r="X255" s="235"/>
      <c r="Y255" s="235"/>
      <c r="Z255" s="235"/>
      <c r="AA255" s="235"/>
      <c r="AB255" s="235"/>
      <c r="AC255" s="235"/>
      <c r="AD255" s="235"/>
      <c r="AE255" s="236"/>
      <c r="AF255" s="235"/>
      <c r="AG255" s="235"/>
      <c r="AH255" s="235"/>
      <c r="AI255" s="235"/>
      <c r="AJ255" s="236"/>
      <c r="AK255" s="235"/>
      <c r="AL255" s="235"/>
      <c r="AM255" s="235"/>
      <c r="AN255" s="235"/>
      <c r="AO255" s="235"/>
      <c r="AP255" s="235"/>
      <c r="AQ255" s="235"/>
      <c r="AR255" s="235"/>
      <c r="AS255" s="235"/>
      <c r="AT255" s="235"/>
      <c r="AU255" s="236"/>
      <c r="AV255" s="235"/>
      <c r="AW255" s="235"/>
      <c r="AX255" s="235"/>
      <c r="AY255" s="235"/>
      <c r="AZ255" s="235"/>
      <c r="BA255" s="235"/>
      <c r="BB255" s="235"/>
      <c r="BC255" s="235"/>
      <c r="BD255" s="236"/>
      <c r="BE255" s="235"/>
      <c r="BF255" s="235"/>
      <c r="BG255" s="235"/>
      <c r="BH255" s="235"/>
      <c r="BI255" s="236"/>
      <c r="BJ255" s="236"/>
      <c r="BK255" s="238"/>
      <c r="BL255" s="239"/>
      <c r="BM255" s="239"/>
      <c r="BN255" s="340"/>
      <c r="BP255" s="236"/>
      <c r="BQ255" s="236"/>
      <c r="BR255" s="236"/>
      <c r="BS255" s="236"/>
      <c r="BT255" s="236"/>
      <c r="BU255" s="236"/>
      <c r="BV255" s="236"/>
      <c r="BW255" s="236"/>
      <c r="BX255" s="236"/>
      <c r="BY255" s="236"/>
      <c r="BZ255" s="236"/>
      <c r="CA255" s="236"/>
      <c r="CB255" s="236"/>
      <c r="CC255" s="236"/>
      <c r="CD255" s="236"/>
      <c r="CE255" s="236"/>
      <c r="CF255" s="236"/>
      <c r="CG255" s="236"/>
      <c r="CH255" s="236"/>
      <c r="CI255" s="236"/>
      <c r="CJ255" s="236"/>
      <c r="CK255" s="236"/>
      <c r="CL255" s="236"/>
      <c r="CM255" s="236"/>
      <c r="CN255" s="236"/>
      <c r="CO255" s="236"/>
    </row>
    <row r="256" spans="5:93" s="230" customFormat="1">
      <c r="E256" s="234"/>
      <c r="F256" s="235"/>
      <c r="G256" s="235"/>
      <c r="H256" s="236"/>
      <c r="I256" s="235"/>
      <c r="J256" s="235"/>
      <c r="K256" s="235"/>
      <c r="L256" s="235"/>
      <c r="M256" s="236"/>
      <c r="N256" s="235"/>
      <c r="O256" s="235"/>
      <c r="P256" s="235"/>
      <c r="Q256" s="235"/>
      <c r="R256" s="235"/>
      <c r="S256" s="235"/>
      <c r="T256" s="235"/>
      <c r="U256" s="235"/>
      <c r="V256" s="235"/>
      <c r="W256" s="235"/>
      <c r="X256" s="235"/>
      <c r="Y256" s="235"/>
      <c r="Z256" s="235"/>
      <c r="AA256" s="235"/>
      <c r="AB256" s="235"/>
      <c r="AC256" s="235"/>
      <c r="AD256" s="235"/>
      <c r="AE256" s="236"/>
      <c r="AF256" s="235"/>
      <c r="AG256" s="235"/>
      <c r="AH256" s="235"/>
      <c r="AI256" s="235"/>
      <c r="AJ256" s="236"/>
      <c r="AK256" s="235"/>
      <c r="AL256" s="235"/>
      <c r="AM256" s="235"/>
      <c r="AN256" s="235"/>
      <c r="AO256" s="235"/>
      <c r="AP256" s="235"/>
      <c r="AQ256" s="235"/>
      <c r="AR256" s="235"/>
      <c r="AS256" s="235"/>
      <c r="AT256" s="235"/>
      <c r="AU256" s="236"/>
      <c r="AV256" s="235"/>
      <c r="AW256" s="235"/>
      <c r="AX256" s="235"/>
      <c r="AY256" s="235"/>
      <c r="AZ256" s="235"/>
      <c r="BA256" s="235"/>
      <c r="BB256" s="235"/>
      <c r="BC256" s="235"/>
      <c r="BD256" s="236"/>
      <c r="BE256" s="235"/>
      <c r="BF256" s="235"/>
      <c r="BG256" s="235"/>
      <c r="BH256" s="235"/>
      <c r="BI256" s="236"/>
      <c r="BJ256" s="236"/>
      <c r="BK256" s="238"/>
      <c r="BL256" s="239"/>
      <c r="BM256" s="239"/>
      <c r="BN256" s="340"/>
      <c r="BP256" s="236"/>
      <c r="BQ256" s="236"/>
      <c r="BR256" s="236"/>
      <c r="BS256" s="236"/>
      <c r="BT256" s="236"/>
      <c r="BU256" s="236"/>
      <c r="BV256" s="236"/>
      <c r="BW256" s="236"/>
      <c r="BX256" s="236"/>
      <c r="BY256" s="236"/>
      <c r="BZ256" s="236"/>
      <c r="CA256" s="236"/>
      <c r="CB256" s="236"/>
      <c r="CC256" s="236"/>
      <c r="CD256" s="236"/>
      <c r="CE256" s="236"/>
      <c r="CF256" s="236"/>
      <c r="CG256" s="236"/>
      <c r="CH256" s="236"/>
      <c r="CI256" s="236"/>
      <c r="CJ256" s="236"/>
      <c r="CK256" s="236"/>
      <c r="CL256" s="236"/>
      <c r="CM256" s="236"/>
      <c r="CN256" s="236"/>
      <c r="CO256" s="236"/>
    </row>
    <row r="257" spans="5:93" s="230" customFormat="1">
      <c r="E257" s="234"/>
      <c r="F257" s="235"/>
      <c r="G257" s="235"/>
      <c r="H257" s="236"/>
      <c r="I257" s="235"/>
      <c r="J257" s="235"/>
      <c r="K257" s="235"/>
      <c r="L257" s="235"/>
      <c r="M257" s="236"/>
      <c r="N257" s="235"/>
      <c r="O257" s="235"/>
      <c r="P257" s="235"/>
      <c r="Q257" s="235"/>
      <c r="R257" s="235"/>
      <c r="S257" s="235"/>
      <c r="T257" s="235"/>
      <c r="U257" s="235"/>
      <c r="V257" s="235"/>
      <c r="W257" s="235"/>
      <c r="X257" s="235"/>
      <c r="Y257" s="235"/>
      <c r="Z257" s="235"/>
      <c r="AA257" s="235"/>
      <c r="AB257" s="235"/>
      <c r="AC257" s="235"/>
      <c r="AD257" s="235"/>
      <c r="AE257" s="236"/>
      <c r="AF257" s="235"/>
      <c r="AG257" s="235"/>
      <c r="AH257" s="235"/>
      <c r="AI257" s="235"/>
      <c r="AJ257" s="236"/>
      <c r="AK257" s="235"/>
      <c r="AL257" s="235"/>
      <c r="AM257" s="235"/>
      <c r="AN257" s="235"/>
      <c r="AO257" s="235"/>
      <c r="AP257" s="235"/>
      <c r="AQ257" s="235"/>
      <c r="AR257" s="235"/>
      <c r="AS257" s="235"/>
      <c r="AT257" s="235"/>
      <c r="AU257" s="236"/>
      <c r="AV257" s="235"/>
      <c r="AW257" s="235"/>
      <c r="AX257" s="235"/>
      <c r="AY257" s="235"/>
      <c r="AZ257" s="235"/>
      <c r="BA257" s="235"/>
      <c r="BB257" s="235"/>
      <c r="BC257" s="235"/>
      <c r="BD257" s="236"/>
      <c r="BE257" s="235"/>
      <c r="BF257" s="235"/>
      <c r="BG257" s="235"/>
      <c r="BH257" s="235"/>
      <c r="BI257" s="236"/>
      <c r="BJ257" s="236"/>
      <c r="BK257" s="238"/>
      <c r="BL257" s="239"/>
      <c r="BM257" s="239"/>
      <c r="BN257" s="340"/>
      <c r="BP257" s="236"/>
      <c r="BQ257" s="236"/>
      <c r="BR257" s="236"/>
      <c r="BS257" s="236"/>
      <c r="BT257" s="236"/>
      <c r="BU257" s="236"/>
      <c r="BV257" s="236"/>
      <c r="BW257" s="236"/>
      <c r="BX257" s="236"/>
      <c r="BY257" s="236"/>
      <c r="BZ257" s="236"/>
      <c r="CA257" s="236"/>
      <c r="CB257" s="236"/>
      <c r="CC257" s="236"/>
      <c r="CD257" s="236"/>
      <c r="CE257" s="236"/>
      <c r="CF257" s="236"/>
      <c r="CG257" s="236"/>
      <c r="CH257" s="236"/>
      <c r="CI257" s="236"/>
      <c r="CJ257" s="236"/>
      <c r="CK257" s="236"/>
      <c r="CL257" s="236"/>
      <c r="CM257" s="236"/>
      <c r="CN257" s="236"/>
      <c r="CO257" s="236"/>
    </row>
    <row r="258" spans="5:93" s="230" customFormat="1">
      <c r="E258" s="234"/>
      <c r="F258" s="235"/>
      <c r="G258" s="235"/>
      <c r="H258" s="236"/>
      <c r="I258" s="235"/>
      <c r="J258" s="235"/>
      <c r="K258" s="235"/>
      <c r="L258" s="235"/>
      <c r="M258" s="236"/>
      <c r="N258" s="235"/>
      <c r="O258" s="235"/>
      <c r="P258" s="235"/>
      <c r="Q258" s="235"/>
      <c r="R258" s="235"/>
      <c r="S258" s="235"/>
      <c r="T258" s="235"/>
      <c r="U258" s="235"/>
      <c r="V258" s="235"/>
      <c r="W258" s="235"/>
      <c r="X258" s="235"/>
      <c r="Y258" s="235"/>
      <c r="Z258" s="235"/>
      <c r="AA258" s="235"/>
      <c r="AB258" s="235"/>
      <c r="AC258" s="235"/>
      <c r="AD258" s="235"/>
      <c r="AE258" s="236"/>
      <c r="AF258" s="235"/>
      <c r="AG258" s="235"/>
      <c r="AH258" s="235"/>
      <c r="AI258" s="235"/>
      <c r="AJ258" s="236"/>
      <c r="AK258" s="235"/>
      <c r="AL258" s="235"/>
      <c r="AM258" s="235"/>
      <c r="AN258" s="235"/>
      <c r="AO258" s="235"/>
      <c r="AP258" s="235"/>
      <c r="AQ258" s="235"/>
      <c r="AR258" s="235"/>
      <c r="AS258" s="235"/>
      <c r="AT258" s="235"/>
      <c r="AU258" s="236"/>
      <c r="AV258" s="235"/>
      <c r="AW258" s="235"/>
      <c r="AX258" s="235"/>
      <c r="AY258" s="235"/>
      <c r="AZ258" s="235"/>
      <c r="BA258" s="235"/>
      <c r="BB258" s="235"/>
      <c r="BC258" s="235"/>
      <c r="BD258" s="236"/>
      <c r="BE258" s="235"/>
      <c r="BF258" s="235"/>
      <c r="BG258" s="235"/>
      <c r="BH258" s="235"/>
      <c r="BI258" s="236"/>
      <c r="BJ258" s="236"/>
      <c r="BK258" s="238"/>
      <c r="BL258" s="239"/>
      <c r="BM258" s="239"/>
      <c r="BN258" s="340"/>
      <c r="BP258" s="236"/>
      <c r="BQ258" s="236"/>
      <c r="BR258" s="236"/>
      <c r="BS258" s="236"/>
      <c r="BT258" s="236"/>
      <c r="BU258" s="236"/>
      <c r="BV258" s="236"/>
      <c r="BW258" s="236"/>
      <c r="BX258" s="236"/>
      <c r="BY258" s="236"/>
      <c r="BZ258" s="236"/>
      <c r="CA258" s="236"/>
      <c r="CB258" s="236"/>
      <c r="CC258" s="236"/>
      <c r="CD258" s="236"/>
      <c r="CE258" s="236"/>
      <c r="CF258" s="236"/>
      <c r="CG258" s="236"/>
      <c r="CH258" s="236"/>
      <c r="CI258" s="236"/>
      <c r="CJ258" s="236"/>
      <c r="CK258" s="236"/>
      <c r="CL258" s="236"/>
      <c r="CM258" s="236"/>
      <c r="CN258" s="236"/>
      <c r="CO258" s="236"/>
    </row>
    <row r="259" spans="5:93" s="230" customFormat="1">
      <c r="E259" s="234"/>
      <c r="F259" s="235"/>
      <c r="G259" s="235"/>
      <c r="H259" s="236"/>
      <c r="I259" s="235"/>
      <c r="J259" s="235"/>
      <c r="K259" s="235"/>
      <c r="L259" s="235"/>
      <c r="M259" s="236"/>
      <c r="N259" s="235"/>
      <c r="O259" s="235"/>
      <c r="P259" s="235"/>
      <c r="Q259" s="235"/>
      <c r="R259" s="235"/>
      <c r="S259" s="235"/>
      <c r="T259" s="235"/>
      <c r="U259" s="235"/>
      <c r="V259" s="235"/>
      <c r="W259" s="235"/>
      <c r="X259" s="235"/>
      <c r="Y259" s="235"/>
      <c r="Z259" s="235"/>
      <c r="AA259" s="235"/>
      <c r="AB259" s="235"/>
      <c r="AC259" s="235"/>
      <c r="AD259" s="235"/>
      <c r="AE259" s="236"/>
      <c r="AF259" s="235"/>
      <c r="AG259" s="235"/>
      <c r="AH259" s="235"/>
      <c r="AI259" s="235"/>
      <c r="AJ259" s="236"/>
      <c r="AK259" s="235"/>
      <c r="AL259" s="235"/>
      <c r="AM259" s="235"/>
      <c r="AN259" s="235"/>
      <c r="AO259" s="235"/>
      <c r="AP259" s="235"/>
      <c r="AQ259" s="235"/>
      <c r="AR259" s="235"/>
      <c r="AS259" s="235"/>
      <c r="AT259" s="235"/>
      <c r="AU259" s="236"/>
      <c r="AV259" s="235"/>
      <c r="AW259" s="235"/>
      <c r="AX259" s="235"/>
      <c r="AY259" s="235"/>
      <c r="AZ259" s="235"/>
      <c r="BA259" s="235"/>
      <c r="BB259" s="235"/>
      <c r="BC259" s="235"/>
      <c r="BD259" s="236"/>
      <c r="BE259" s="235"/>
      <c r="BF259" s="235"/>
      <c r="BG259" s="235"/>
      <c r="BH259" s="235"/>
      <c r="BI259" s="236"/>
      <c r="BJ259" s="236"/>
      <c r="BK259" s="238"/>
      <c r="BL259" s="239"/>
      <c r="BM259" s="239"/>
      <c r="BN259" s="340"/>
      <c r="BP259" s="236"/>
      <c r="BQ259" s="236"/>
      <c r="BR259" s="236"/>
      <c r="BS259" s="236"/>
      <c r="BT259" s="236"/>
      <c r="BU259" s="236"/>
      <c r="BV259" s="236"/>
      <c r="BW259" s="236"/>
      <c r="BX259" s="236"/>
      <c r="BY259" s="236"/>
      <c r="BZ259" s="236"/>
      <c r="CA259" s="236"/>
      <c r="CB259" s="236"/>
      <c r="CC259" s="236"/>
      <c r="CD259" s="236"/>
      <c r="CE259" s="236"/>
      <c r="CF259" s="236"/>
      <c r="CG259" s="236"/>
      <c r="CH259" s="236"/>
      <c r="CI259" s="236"/>
      <c r="CJ259" s="236"/>
      <c r="CK259" s="236"/>
      <c r="CL259" s="236"/>
      <c r="CM259" s="236"/>
      <c r="CN259" s="236"/>
      <c r="CO259" s="236"/>
    </row>
    <row r="260" spans="5:93" s="230" customFormat="1">
      <c r="E260" s="234"/>
      <c r="F260" s="235"/>
      <c r="G260" s="235"/>
      <c r="H260" s="236"/>
      <c r="I260" s="235"/>
      <c r="J260" s="235"/>
      <c r="K260" s="235"/>
      <c r="L260" s="235"/>
      <c r="M260" s="236"/>
      <c r="N260" s="235"/>
      <c r="O260" s="235"/>
      <c r="P260" s="235"/>
      <c r="Q260" s="235"/>
      <c r="R260" s="235"/>
      <c r="S260" s="235"/>
      <c r="T260" s="235"/>
      <c r="U260" s="235"/>
      <c r="V260" s="235"/>
      <c r="W260" s="235"/>
      <c r="X260" s="235"/>
      <c r="Y260" s="235"/>
      <c r="Z260" s="235"/>
      <c r="AA260" s="235"/>
      <c r="AB260" s="235"/>
      <c r="AC260" s="235"/>
      <c r="AD260" s="235"/>
      <c r="AE260" s="236"/>
      <c r="AF260" s="235"/>
      <c r="AG260" s="235"/>
      <c r="AH260" s="235"/>
      <c r="AI260" s="235"/>
      <c r="AJ260" s="236"/>
      <c r="AK260" s="235"/>
      <c r="AL260" s="235"/>
      <c r="AM260" s="235"/>
      <c r="AN260" s="235"/>
      <c r="AO260" s="235"/>
      <c r="AP260" s="235"/>
      <c r="AQ260" s="235"/>
      <c r="AR260" s="235"/>
      <c r="AS260" s="235"/>
      <c r="AT260" s="235"/>
      <c r="AU260" s="236"/>
      <c r="AV260" s="235"/>
      <c r="AW260" s="235"/>
      <c r="AX260" s="235"/>
      <c r="AY260" s="235"/>
      <c r="AZ260" s="235"/>
      <c r="BA260" s="235"/>
      <c r="BB260" s="235"/>
      <c r="BC260" s="235"/>
      <c r="BD260" s="236"/>
      <c r="BE260" s="235"/>
      <c r="BF260" s="235"/>
      <c r="BG260" s="235"/>
      <c r="BH260" s="235"/>
      <c r="BI260" s="236"/>
      <c r="BJ260" s="236"/>
      <c r="BK260" s="238"/>
      <c r="BL260" s="239"/>
      <c r="BM260" s="239"/>
      <c r="BN260" s="340"/>
      <c r="BP260" s="236"/>
      <c r="BQ260" s="236"/>
      <c r="BR260" s="236"/>
      <c r="BS260" s="236"/>
      <c r="BT260" s="236"/>
      <c r="BU260" s="236"/>
      <c r="BV260" s="236"/>
      <c r="BW260" s="236"/>
      <c r="BX260" s="236"/>
      <c r="BY260" s="236"/>
      <c r="BZ260" s="236"/>
      <c r="CA260" s="236"/>
      <c r="CB260" s="236"/>
      <c r="CC260" s="236"/>
      <c r="CD260" s="236"/>
      <c r="CE260" s="236"/>
      <c r="CF260" s="236"/>
      <c r="CG260" s="236"/>
      <c r="CH260" s="236"/>
      <c r="CI260" s="236"/>
      <c r="CJ260" s="236"/>
      <c r="CK260" s="236"/>
      <c r="CL260" s="236"/>
      <c r="CM260" s="236"/>
      <c r="CN260" s="236"/>
      <c r="CO260" s="236"/>
    </row>
    <row r="261" spans="5:93" s="230" customFormat="1">
      <c r="E261" s="234"/>
      <c r="F261" s="235"/>
      <c r="G261" s="235"/>
      <c r="H261" s="236"/>
      <c r="I261" s="235"/>
      <c r="J261" s="235"/>
      <c r="K261" s="235"/>
      <c r="L261" s="235"/>
      <c r="M261" s="236"/>
      <c r="N261" s="235"/>
      <c r="O261" s="235"/>
      <c r="P261" s="235"/>
      <c r="Q261" s="235"/>
      <c r="R261" s="235"/>
      <c r="S261" s="235"/>
      <c r="T261" s="235"/>
      <c r="U261" s="235"/>
      <c r="V261" s="235"/>
      <c r="W261" s="235"/>
      <c r="X261" s="235"/>
      <c r="Y261" s="235"/>
      <c r="Z261" s="235"/>
      <c r="AA261" s="235"/>
      <c r="AB261" s="235"/>
      <c r="AC261" s="235"/>
      <c r="AD261" s="235"/>
      <c r="AE261" s="236"/>
      <c r="AF261" s="235"/>
      <c r="AG261" s="235"/>
      <c r="AH261" s="235"/>
      <c r="AI261" s="235"/>
      <c r="AJ261" s="236"/>
      <c r="AK261" s="235"/>
      <c r="AL261" s="235"/>
      <c r="AM261" s="235"/>
      <c r="AN261" s="235"/>
      <c r="AO261" s="235"/>
      <c r="AP261" s="235"/>
      <c r="AQ261" s="235"/>
      <c r="AR261" s="235"/>
      <c r="AS261" s="235"/>
      <c r="AT261" s="235"/>
      <c r="AU261" s="236"/>
      <c r="AV261" s="235"/>
      <c r="AW261" s="235"/>
      <c r="AX261" s="235"/>
      <c r="AY261" s="235"/>
      <c r="AZ261" s="235"/>
      <c r="BA261" s="235"/>
      <c r="BB261" s="235"/>
      <c r="BC261" s="235"/>
      <c r="BD261" s="236"/>
      <c r="BE261" s="235"/>
      <c r="BF261" s="235"/>
      <c r="BG261" s="235"/>
      <c r="BH261" s="235"/>
      <c r="BI261" s="236"/>
      <c r="BJ261" s="236"/>
      <c r="BK261" s="238"/>
      <c r="BL261" s="239"/>
      <c r="BM261" s="239"/>
      <c r="BN261" s="340"/>
      <c r="BP261" s="236"/>
      <c r="BQ261" s="236"/>
      <c r="BR261" s="236"/>
      <c r="BS261" s="236"/>
      <c r="BT261" s="236"/>
      <c r="BU261" s="236"/>
      <c r="BV261" s="236"/>
      <c r="BW261" s="236"/>
      <c r="BX261" s="236"/>
      <c r="BY261" s="236"/>
      <c r="BZ261" s="236"/>
      <c r="CA261" s="236"/>
      <c r="CB261" s="236"/>
      <c r="CC261" s="236"/>
      <c r="CD261" s="236"/>
      <c r="CE261" s="236"/>
      <c r="CF261" s="236"/>
      <c r="CG261" s="236"/>
      <c r="CH261" s="236"/>
      <c r="CI261" s="236"/>
      <c r="CJ261" s="236"/>
      <c r="CK261" s="236"/>
      <c r="CL261" s="236"/>
      <c r="CM261" s="236"/>
      <c r="CN261" s="236"/>
      <c r="CO261" s="236"/>
    </row>
    <row r="262" spans="5:93" s="230" customFormat="1">
      <c r="E262" s="234"/>
      <c r="F262" s="235"/>
      <c r="G262" s="235"/>
      <c r="H262" s="236"/>
      <c r="I262" s="235"/>
      <c r="J262" s="235"/>
      <c r="K262" s="235"/>
      <c r="L262" s="235"/>
      <c r="M262" s="236"/>
      <c r="N262" s="235"/>
      <c r="O262" s="235"/>
      <c r="P262" s="235"/>
      <c r="Q262" s="235"/>
      <c r="R262" s="235"/>
      <c r="S262" s="235"/>
      <c r="T262" s="235"/>
      <c r="U262" s="235"/>
      <c r="V262" s="235"/>
      <c r="W262" s="235"/>
      <c r="X262" s="235"/>
      <c r="Y262" s="235"/>
      <c r="Z262" s="235"/>
      <c r="AA262" s="235"/>
      <c r="AB262" s="235"/>
      <c r="AC262" s="235"/>
      <c r="AD262" s="235"/>
      <c r="AE262" s="236"/>
      <c r="AF262" s="235"/>
      <c r="AG262" s="235"/>
      <c r="AH262" s="235"/>
      <c r="AI262" s="235"/>
      <c r="AJ262" s="236"/>
      <c r="AK262" s="235"/>
      <c r="AL262" s="235"/>
      <c r="AM262" s="235"/>
      <c r="AN262" s="235"/>
      <c r="AO262" s="235"/>
      <c r="AP262" s="235"/>
      <c r="AQ262" s="235"/>
      <c r="AR262" s="235"/>
      <c r="AS262" s="235"/>
      <c r="AT262" s="235"/>
      <c r="AU262" s="236"/>
      <c r="AV262" s="235"/>
      <c r="AW262" s="235"/>
      <c r="AX262" s="235"/>
      <c r="AY262" s="235"/>
      <c r="AZ262" s="235"/>
      <c r="BA262" s="235"/>
      <c r="BB262" s="235"/>
      <c r="BC262" s="235"/>
      <c r="BD262" s="236"/>
      <c r="BE262" s="235"/>
      <c r="BF262" s="235"/>
      <c r="BG262" s="235"/>
      <c r="BH262" s="235"/>
      <c r="BI262" s="236"/>
      <c r="BJ262" s="236"/>
      <c r="BK262" s="238"/>
      <c r="BL262" s="239"/>
      <c r="BM262" s="239"/>
      <c r="BN262" s="340"/>
      <c r="BP262" s="236"/>
      <c r="BQ262" s="236"/>
      <c r="BR262" s="236"/>
      <c r="BS262" s="236"/>
      <c r="BT262" s="236"/>
      <c r="BU262" s="236"/>
      <c r="BV262" s="236"/>
      <c r="BW262" s="236"/>
      <c r="BX262" s="236"/>
      <c r="BY262" s="236"/>
      <c r="BZ262" s="236"/>
      <c r="CA262" s="236"/>
      <c r="CB262" s="236"/>
      <c r="CC262" s="236"/>
      <c r="CD262" s="236"/>
      <c r="CE262" s="236"/>
      <c r="CF262" s="236"/>
      <c r="CG262" s="236"/>
      <c r="CH262" s="236"/>
      <c r="CI262" s="236"/>
      <c r="CJ262" s="236"/>
      <c r="CK262" s="236"/>
      <c r="CL262" s="236"/>
      <c r="CM262" s="236"/>
      <c r="CN262" s="236"/>
      <c r="CO262" s="236"/>
    </row>
    <row r="263" spans="5:93" s="230" customFormat="1">
      <c r="E263" s="234"/>
      <c r="F263" s="235"/>
      <c r="G263" s="235"/>
      <c r="H263" s="236"/>
      <c r="I263" s="235"/>
      <c r="J263" s="235"/>
      <c r="K263" s="235"/>
      <c r="L263" s="235"/>
      <c r="M263" s="236"/>
      <c r="N263" s="235"/>
      <c r="O263" s="235"/>
      <c r="P263" s="235"/>
      <c r="Q263" s="235"/>
      <c r="R263" s="235"/>
      <c r="S263" s="235"/>
      <c r="T263" s="235"/>
      <c r="U263" s="235"/>
      <c r="V263" s="235"/>
      <c r="W263" s="235"/>
      <c r="X263" s="235"/>
      <c r="Y263" s="235"/>
      <c r="Z263" s="235"/>
      <c r="AA263" s="235"/>
      <c r="AB263" s="235"/>
      <c r="AC263" s="235"/>
      <c r="AD263" s="235"/>
      <c r="AE263" s="236"/>
      <c r="AF263" s="235"/>
      <c r="AG263" s="235"/>
      <c r="AH263" s="235"/>
      <c r="AI263" s="235"/>
      <c r="AJ263" s="236"/>
      <c r="AK263" s="235"/>
      <c r="AL263" s="235"/>
      <c r="AM263" s="235"/>
      <c r="AN263" s="235"/>
      <c r="AO263" s="235"/>
      <c r="AP263" s="235"/>
      <c r="AQ263" s="235"/>
      <c r="AR263" s="235"/>
      <c r="AS263" s="235"/>
      <c r="AT263" s="235"/>
      <c r="AU263" s="236"/>
      <c r="AV263" s="235"/>
      <c r="AW263" s="235"/>
      <c r="AX263" s="235"/>
      <c r="AY263" s="235"/>
      <c r="AZ263" s="235"/>
      <c r="BA263" s="235"/>
      <c r="BB263" s="235"/>
      <c r="BC263" s="235"/>
      <c r="BD263" s="236"/>
      <c r="BE263" s="235"/>
      <c r="BF263" s="235"/>
      <c r="BG263" s="235"/>
      <c r="BH263" s="235"/>
      <c r="BI263" s="236"/>
      <c r="BJ263" s="236"/>
      <c r="BK263" s="238"/>
      <c r="BL263" s="239"/>
      <c r="BM263" s="239"/>
      <c r="BN263" s="340"/>
      <c r="BP263" s="236"/>
      <c r="BQ263" s="236"/>
      <c r="BR263" s="236"/>
      <c r="BS263" s="236"/>
      <c r="BT263" s="236"/>
      <c r="BU263" s="236"/>
      <c r="BV263" s="236"/>
      <c r="BW263" s="236"/>
      <c r="BX263" s="236"/>
      <c r="BY263" s="236"/>
      <c r="BZ263" s="236"/>
      <c r="CA263" s="236"/>
      <c r="CB263" s="236"/>
      <c r="CC263" s="236"/>
      <c r="CD263" s="236"/>
      <c r="CE263" s="236"/>
      <c r="CF263" s="236"/>
      <c r="CG263" s="236"/>
      <c r="CH263" s="236"/>
      <c r="CI263" s="236"/>
      <c r="CJ263" s="236"/>
      <c r="CK263" s="236"/>
      <c r="CL263" s="236"/>
      <c r="CM263" s="236"/>
      <c r="CN263" s="236"/>
      <c r="CO263" s="236"/>
    </row>
    <row r="264" spans="5:93" s="230" customFormat="1">
      <c r="E264" s="234"/>
      <c r="F264" s="235"/>
      <c r="G264" s="235"/>
      <c r="H264" s="236"/>
      <c r="I264" s="235"/>
      <c r="J264" s="235"/>
      <c r="K264" s="235"/>
      <c r="L264" s="235"/>
      <c r="M264" s="236"/>
      <c r="N264" s="235"/>
      <c r="O264" s="235"/>
      <c r="P264" s="235"/>
      <c r="Q264" s="235"/>
      <c r="R264" s="235"/>
      <c r="S264" s="235"/>
      <c r="T264" s="235"/>
      <c r="U264" s="235"/>
      <c r="V264" s="235"/>
      <c r="W264" s="235"/>
      <c r="X264" s="235"/>
      <c r="Y264" s="235"/>
      <c r="Z264" s="235"/>
      <c r="AA264" s="235"/>
      <c r="AB264" s="235"/>
      <c r="AC264" s="235"/>
      <c r="AD264" s="235"/>
      <c r="AE264" s="236"/>
      <c r="AF264" s="235"/>
      <c r="AG264" s="235"/>
      <c r="AH264" s="235"/>
      <c r="AI264" s="235"/>
      <c r="AJ264" s="236"/>
      <c r="AK264" s="235"/>
      <c r="AL264" s="235"/>
      <c r="AM264" s="235"/>
      <c r="AN264" s="235"/>
      <c r="AO264" s="235"/>
      <c r="AP264" s="235"/>
      <c r="AQ264" s="235"/>
      <c r="AR264" s="235"/>
      <c r="AS264" s="235"/>
      <c r="AT264" s="235"/>
      <c r="AU264" s="236"/>
      <c r="AV264" s="235"/>
      <c r="AW264" s="235"/>
      <c r="AX264" s="235"/>
      <c r="AY264" s="235"/>
      <c r="AZ264" s="235"/>
      <c r="BA264" s="235"/>
      <c r="BB264" s="235"/>
      <c r="BC264" s="235"/>
      <c r="BD264" s="236"/>
      <c r="BE264" s="235"/>
      <c r="BF264" s="235"/>
      <c r="BG264" s="235"/>
      <c r="BH264" s="235"/>
      <c r="BI264" s="236"/>
      <c r="BJ264" s="236"/>
      <c r="BK264" s="238"/>
      <c r="BL264" s="239"/>
      <c r="BM264" s="239"/>
      <c r="BN264" s="340"/>
      <c r="BP264" s="236"/>
      <c r="BQ264" s="236"/>
      <c r="BR264" s="236"/>
      <c r="BS264" s="236"/>
      <c r="BT264" s="236"/>
      <c r="BU264" s="236"/>
      <c r="BV264" s="236"/>
      <c r="BW264" s="236"/>
      <c r="BX264" s="236"/>
      <c r="BY264" s="236"/>
      <c r="BZ264" s="236"/>
      <c r="CA264" s="236"/>
      <c r="CB264" s="236"/>
      <c r="CC264" s="236"/>
      <c r="CD264" s="236"/>
      <c r="CE264" s="236"/>
      <c r="CF264" s="236"/>
      <c r="CG264" s="236"/>
      <c r="CH264" s="236"/>
      <c r="CI264" s="236"/>
      <c r="CJ264" s="236"/>
      <c r="CK264" s="236"/>
      <c r="CL264" s="236"/>
      <c r="CM264" s="236"/>
      <c r="CN264" s="236"/>
      <c r="CO264" s="236"/>
    </row>
    <row r="265" spans="5:93" s="230" customFormat="1">
      <c r="E265" s="234"/>
      <c r="F265" s="235"/>
      <c r="G265" s="235"/>
      <c r="H265" s="236"/>
      <c r="I265" s="235"/>
      <c r="J265" s="235"/>
      <c r="K265" s="235"/>
      <c r="L265" s="235"/>
      <c r="M265" s="236"/>
      <c r="N265" s="235"/>
      <c r="O265" s="235"/>
      <c r="P265" s="235"/>
      <c r="Q265" s="235"/>
      <c r="R265" s="235"/>
      <c r="S265" s="235"/>
      <c r="T265" s="235"/>
      <c r="U265" s="235"/>
      <c r="V265" s="235"/>
      <c r="W265" s="235"/>
      <c r="X265" s="235"/>
      <c r="Y265" s="235"/>
      <c r="Z265" s="235"/>
      <c r="AA265" s="235"/>
      <c r="AB265" s="235"/>
      <c r="AC265" s="235"/>
      <c r="AD265" s="235"/>
      <c r="AE265" s="236"/>
      <c r="AF265" s="235"/>
      <c r="AG265" s="235"/>
      <c r="AH265" s="235"/>
      <c r="AI265" s="235"/>
      <c r="AJ265" s="236"/>
      <c r="AK265" s="235"/>
      <c r="AL265" s="235"/>
      <c r="AM265" s="235"/>
      <c r="AN265" s="235"/>
      <c r="AO265" s="235"/>
      <c r="AP265" s="235"/>
      <c r="AQ265" s="235"/>
      <c r="AR265" s="235"/>
      <c r="AS265" s="235"/>
      <c r="AT265" s="235"/>
      <c r="AU265" s="236"/>
      <c r="AV265" s="235"/>
      <c r="AW265" s="235"/>
      <c r="AX265" s="235"/>
      <c r="AY265" s="235"/>
      <c r="AZ265" s="235"/>
      <c r="BA265" s="235"/>
      <c r="BB265" s="235"/>
      <c r="BC265" s="235"/>
      <c r="BD265" s="236"/>
      <c r="BE265" s="235"/>
      <c r="BF265" s="235"/>
      <c r="BG265" s="235"/>
      <c r="BH265" s="235"/>
      <c r="BI265" s="236"/>
      <c r="BJ265" s="236"/>
      <c r="BK265" s="238"/>
      <c r="BL265" s="239"/>
      <c r="BM265" s="239"/>
      <c r="BN265" s="340"/>
      <c r="BP265" s="236"/>
      <c r="BQ265" s="236"/>
      <c r="BR265" s="236"/>
      <c r="BS265" s="236"/>
      <c r="BT265" s="236"/>
      <c r="BU265" s="236"/>
      <c r="BV265" s="236"/>
      <c r="BW265" s="236"/>
      <c r="BX265" s="236"/>
      <c r="BY265" s="236"/>
      <c r="BZ265" s="236"/>
      <c r="CA265" s="236"/>
      <c r="CB265" s="236"/>
      <c r="CC265" s="236"/>
      <c r="CD265" s="236"/>
      <c r="CE265" s="236"/>
      <c r="CF265" s="236"/>
      <c r="CG265" s="236"/>
      <c r="CH265" s="236"/>
      <c r="CI265" s="236"/>
      <c r="CJ265" s="236"/>
      <c r="CK265" s="236"/>
      <c r="CL265" s="236"/>
      <c r="CM265" s="236"/>
      <c r="CN265" s="236"/>
      <c r="CO265" s="236"/>
    </row>
    <row r="266" spans="5:93" s="230" customFormat="1">
      <c r="E266" s="234"/>
      <c r="F266" s="235"/>
      <c r="G266" s="235"/>
      <c r="H266" s="236"/>
      <c r="I266" s="235"/>
      <c r="J266" s="235"/>
      <c r="K266" s="235"/>
      <c r="L266" s="235"/>
      <c r="M266" s="236"/>
      <c r="N266" s="235"/>
      <c r="O266" s="235"/>
      <c r="P266" s="235"/>
      <c r="Q266" s="235"/>
      <c r="R266" s="235"/>
      <c r="S266" s="235"/>
      <c r="T266" s="235"/>
      <c r="U266" s="235"/>
      <c r="V266" s="235"/>
      <c r="W266" s="235"/>
      <c r="X266" s="235"/>
      <c r="Y266" s="235"/>
      <c r="Z266" s="235"/>
      <c r="AA266" s="235"/>
      <c r="AB266" s="235"/>
      <c r="AC266" s="235"/>
      <c r="AD266" s="235"/>
      <c r="AE266" s="236"/>
      <c r="AF266" s="235"/>
      <c r="AG266" s="235"/>
      <c r="AH266" s="235"/>
      <c r="AI266" s="235"/>
      <c r="AJ266" s="236"/>
      <c r="AK266" s="235"/>
      <c r="AL266" s="235"/>
      <c r="AM266" s="235"/>
      <c r="AN266" s="235"/>
      <c r="AO266" s="235"/>
      <c r="AP266" s="235"/>
      <c r="AQ266" s="235"/>
      <c r="AR266" s="235"/>
      <c r="AS266" s="235"/>
      <c r="AT266" s="235"/>
      <c r="AU266" s="236"/>
      <c r="AV266" s="235"/>
      <c r="AW266" s="235"/>
      <c r="AX266" s="235"/>
      <c r="AY266" s="235"/>
      <c r="AZ266" s="235"/>
      <c r="BA266" s="235"/>
      <c r="BB266" s="235"/>
      <c r="BC266" s="235"/>
      <c r="BD266" s="236"/>
      <c r="BE266" s="235"/>
      <c r="BF266" s="235"/>
      <c r="BG266" s="235"/>
      <c r="BH266" s="235"/>
      <c r="BI266" s="236"/>
      <c r="BJ266" s="236"/>
      <c r="BK266" s="238"/>
      <c r="BL266" s="239"/>
      <c r="BM266" s="239"/>
      <c r="BN266" s="340"/>
      <c r="BP266" s="236"/>
      <c r="BQ266" s="236"/>
      <c r="BR266" s="236"/>
      <c r="BS266" s="236"/>
      <c r="BT266" s="236"/>
      <c r="BU266" s="236"/>
      <c r="BV266" s="236"/>
      <c r="BW266" s="236"/>
      <c r="BX266" s="236"/>
      <c r="BY266" s="236"/>
      <c r="BZ266" s="236"/>
      <c r="CA266" s="236"/>
      <c r="CB266" s="236"/>
      <c r="CC266" s="236"/>
      <c r="CD266" s="236"/>
      <c r="CE266" s="236"/>
      <c r="CF266" s="236"/>
      <c r="CG266" s="236"/>
      <c r="CH266" s="236"/>
      <c r="CI266" s="236"/>
      <c r="CJ266" s="236"/>
      <c r="CK266" s="236"/>
      <c r="CL266" s="236"/>
      <c r="CM266" s="236"/>
      <c r="CN266" s="236"/>
      <c r="CO266" s="236"/>
    </row>
    <row r="267" spans="5:93" s="230" customFormat="1">
      <c r="E267" s="234"/>
      <c r="F267" s="235"/>
      <c r="G267" s="235"/>
      <c r="H267" s="236"/>
      <c r="I267" s="235"/>
      <c r="J267" s="235"/>
      <c r="K267" s="235"/>
      <c r="L267" s="235"/>
      <c r="M267" s="236"/>
      <c r="N267" s="235"/>
      <c r="O267" s="235"/>
      <c r="P267" s="235"/>
      <c r="Q267" s="235"/>
      <c r="R267" s="235"/>
      <c r="S267" s="235"/>
      <c r="T267" s="235"/>
      <c r="U267" s="235"/>
      <c r="V267" s="235"/>
      <c r="W267" s="235"/>
      <c r="X267" s="235"/>
      <c r="Y267" s="235"/>
      <c r="Z267" s="235"/>
      <c r="AA267" s="235"/>
      <c r="AB267" s="235"/>
      <c r="AC267" s="235"/>
      <c r="AD267" s="235"/>
      <c r="AE267" s="236"/>
      <c r="AF267" s="235"/>
      <c r="AG267" s="235"/>
      <c r="AH267" s="235"/>
      <c r="AI267" s="235"/>
      <c r="AJ267" s="236"/>
      <c r="AK267" s="235"/>
      <c r="AL267" s="235"/>
      <c r="AM267" s="235"/>
      <c r="AN267" s="235"/>
      <c r="AO267" s="235"/>
      <c r="AP267" s="235"/>
      <c r="AQ267" s="235"/>
      <c r="AR267" s="235"/>
      <c r="AS267" s="235"/>
      <c r="AT267" s="235"/>
      <c r="AU267" s="236"/>
      <c r="AV267" s="235"/>
      <c r="AW267" s="235"/>
      <c r="AX267" s="235"/>
      <c r="AY267" s="235"/>
      <c r="AZ267" s="235"/>
      <c r="BA267" s="235"/>
      <c r="BB267" s="235"/>
      <c r="BC267" s="235"/>
      <c r="BD267" s="236"/>
      <c r="BE267" s="235"/>
      <c r="BF267" s="235"/>
      <c r="BG267" s="235"/>
      <c r="BH267" s="235"/>
      <c r="BI267" s="236"/>
      <c r="BJ267" s="236"/>
      <c r="BK267" s="238"/>
      <c r="BL267" s="239"/>
      <c r="BM267" s="239"/>
      <c r="BN267" s="340"/>
      <c r="BP267" s="236"/>
      <c r="BQ267" s="236"/>
      <c r="BR267" s="236"/>
      <c r="BS267" s="236"/>
      <c r="BT267" s="236"/>
      <c r="BU267" s="236"/>
      <c r="BV267" s="236"/>
      <c r="BW267" s="236"/>
      <c r="BX267" s="236"/>
      <c r="BY267" s="236"/>
      <c r="BZ267" s="236"/>
      <c r="CA267" s="236"/>
      <c r="CB267" s="236"/>
      <c r="CC267" s="236"/>
      <c r="CD267" s="236"/>
      <c r="CE267" s="236"/>
      <c r="CF267" s="236"/>
      <c r="CG267" s="236"/>
      <c r="CH267" s="236"/>
      <c r="CI267" s="236"/>
      <c r="CJ267" s="236"/>
      <c r="CK267" s="236"/>
      <c r="CL267" s="236"/>
      <c r="CM267" s="236"/>
      <c r="CN267" s="236"/>
      <c r="CO267" s="236"/>
    </row>
    <row r="268" spans="5:93" s="230" customFormat="1">
      <c r="E268" s="234"/>
      <c r="F268" s="235"/>
      <c r="G268" s="235"/>
      <c r="H268" s="236"/>
      <c r="I268" s="235"/>
      <c r="J268" s="235"/>
      <c r="K268" s="235"/>
      <c r="L268" s="235"/>
      <c r="M268" s="236"/>
      <c r="N268" s="235"/>
      <c r="O268" s="235"/>
      <c r="P268" s="235"/>
      <c r="Q268" s="235"/>
      <c r="R268" s="235"/>
      <c r="S268" s="235"/>
      <c r="T268" s="235"/>
      <c r="U268" s="235"/>
      <c r="V268" s="235"/>
      <c r="W268" s="235"/>
      <c r="X268" s="235"/>
      <c r="Y268" s="235"/>
      <c r="Z268" s="235"/>
      <c r="AA268" s="235"/>
      <c r="AB268" s="235"/>
      <c r="AC268" s="235"/>
      <c r="AD268" s="235"/>
      <c r="AE268" s="236"/>
      <c r="AF268" s="235"/>
      <c r="AG268" s="235"/>
      <c r="AH268" s="235"/>
      <c r="AI268" s="235"/>
      <c r="AJ268" s="236"/>
      <c r="AK268" s="235"/>
      <c r="AL268" s="235"/>
      <c r="AM268" s="235"/>
      <c r="AN268" s="235"/>
      <c r="AO268" s="235"/>
      <c r="AP268" s="235"/>
      <c r="AQ268" s="235"/>
      <c r="AR268" s="235"/>
      <c r="AS268" s="235"/>
      <c r="AT268" s="235"/>
      <c r="AU268" s="236"/>
      <c r="AV268" s="235"/>
      <c r="AW268" s="235"/>
      <c r="AX268" s="235"/>
      <c r="AY268" s="235"/>
      <c r="AZ268" s="235"/>
      <c r="BA268" s="235"/>
      <c r="BB268" s="235"/>
      <c r="BC268" s="235"/>
      <c r="BD268" s="236"/>
      <c r="BE268" s="235"/>
      <c r="BF268" s="235"/>
      <c r="BG268" s="235"/>
      <c r="BH268" s="235"/>
      <c r="BI268" s="236"/>
      <c r="BJ268" s="236"/>
      <c r="BK268" s="238"/>
      <c r="BL268" s="239"/>
      <c r="BM268" s="239"/>
      <c r="BN268" s="340"/>
      <c r="BP268" s="236"/>
      <c r="BQ268" s="236"/>
      <c r="BR268" s="236"/>
      <c r="BS268" s="236"/>
      <c r="BT268" s="236"/>
      <c r="BU268" s="236"/>
      <c r="BV268" s="236"/>
      <c r="BW268" s="236"/>
      <c r="BX268" s="236"/>
      <c r="BY268" s="236"/>
      <c r="BZ268" s="236"/>
      <c r="CA268" s="236"/>
      <c r="CB268" s="236"/>
      <c r="CC268" s="236"/>
      <c r="CD268" s="236"/>
      <c r="CE268" s="236"/>
      <c r="CF268" s="236"/>
      <c r="CG268" s="236"/>
      <c r="CH268" s="236"/>
      <c r="CI268" s="236"/>
      <c r="CJ268" s="236"/>
      <c r="CK268" s="236"/>
      <c r="CL268" s="236"/>
      <c r="CM268" s="236"/>
      <c r="CN268" s="236"/>
      <c r="CO268" s="236"/>
    </row>
    <row r="269" spans="5:93" s="230" customFormat="1">
      <c r="E269" s="234"/>
      <c r="F269" s="235"/>
      <c r="G269" s="235"/>
      <c r="H269" s="236"/>
      <c r="I269" s="235"/>
      <c r="J269" s="235"/>
      <c r="K269" s="235"/>
      <c r="L269" s="235"/>
      <c r="M269" s="236"/>
      <c r="N269" s="235"/>
      <c r="O269" s="235"/>
      <c r="P269" s="235"/>
      <c r="Q269" s="235"/>
      <c r="R269" s="235"/>
      <c r="S269" s="235"/>
      <c r="T269" s="235"/>
      <c r="U269" s="235"/>
      <c r="V269" s="235"/>
      <c r="W269" s="235"/>
      <c r="X269" s="235"/>
      <c r="Y269" s="235"/>
      <c r="Z269" s="235"/>
      <c r="AA269" s="235"/>
      <c r="AB269" s="235"/>
      <c r="AC269" s="235"/>
      <c r="AD269" s="235"/>
      <c r="AE269" s="236"/>
      <c r="AF269" s="235"/>
      <c r="AG269" s="235"/>
      <c r="AH269" s="235"/>
      <c r="AI269" s="235"/>
      <c r="AJ269" s="236"/>
      <c r="AK269" s="235"/>
      <c r="AL269" s="235"/>
      <c r="AM269" s="235"/>
      <c r="AN269" s="235"/>
      <c r="AO269" s="235"/>
      <c r="AP269" s="235"/>
      <c r="AQ269" s="235"/>
      <c r="AR269" s="235"/>
      <c r="AS269" s="235"/>
      <c r="AT269" s="235"/>
      <c r="AU269" s="236"/>
      <c r="AV269" s="235"/>
      <c r="AW269" s="235"/>
      <c r="AX269" s="235"/>
      <c r="AY269" s="235"/>
      <c r="AZ269" s="235"/>
      <c r="BA269" s="235"/>
      <c r="BB269" s="235"/>
      <c r="BC269" s="235"/>
      <c r="BD269" s="236"/>
      <c r="BE269" s="235"/>
      <c r="BF269" s="235"/>
      <c r="BG269" s="235"/>
      <c r="BH269" s="235"/>
      <c r="BI269" s="236"/>
      <c r="BJ269" s="236"/>
      <c r="BK269" s="238"/>
      <c r="BL269" s="239"/>
      <c r="BM269" s="239"/>
      <c r="BN269" s="340"/>
      <c r="BP269" s="236"/>
      <c r="BQ269" s="236"/>
      <c r="BR269" s="236"/>
      <c r="BS269" s="236"/>
      <c r="BT269" s="236"/>
      <c r="BU269" s="236"/>
      <c r="BV269" s="236"/>
      <c r="BW269" s="236"/>
      <c r="BX269" s="236"/>
      <c r="BY269" s="236"/>
      <c r="BZ269" s="236"/>
      <c r="CA269" s="236"/>
      <c r="CB269" s="236"/>
      <c r="CC269" s="236"/>
      <c r="CD269" s="236"/>
      <c r="CE269" s="236"/>
      <c r="CF269" s="236"/>
      <c r="CG269" s="236"/>
      <c r="CH269" s="236"/>
      <c r="CI269" s="236"/>
      <c r="CJ269" s="236"/>
      <c r="CK269" s="236"/>
      <c r="CL269" s="236"/>
      <c r="CM269" s="236"/>
      <c r="CN269" s="236"/>
      <c r="CO269" s="236"/>
    </row>
    <row r="270" spans="5:93" s="230" customFormat="1">
      <c r="E270" s="234"/>
      <c r="F270" s="235"/>
      <c r="G270" s="235"/>
      <c r="H270" s="236"/>
      <c r="I270" s="235"/>
      <c r="J270" s="235"/>
      <c r="K270" s="235"/>
      <c r="L270" s="235"/>
      <c r="M270" s="236"/>
      <c r="N270" s="235"/>
      <c r="O270" s="235"/>
      <c r="P270" s="235"/>
      <c r="Q270" s="235"/>
      <c r="R270" s="235"/>
      <c r="S270" s="235"/>
      <c r="T270" s="235"/>
      <c r="U270" s="235"/>
      <c r="V270" s="235"/>
      <c r="W270" s="235"/>
      <c r="X270" s="235"/>
      <c r="Y270" s="235"/>
      <c r="Z270" s="235"/>
      <c r="AA270" s="235"/>
      <c r="AB270" s="235"/>
      <c r="AC270" s="235"/>
      <c r="AD270" s="235"/>
      <c r="AE270" s="236"/>
      <c r="AF270" s="235"/>
      <c r="AG270" s="235"/>
      <c r="AH270" s="235"/>
      <c r="AI270" s="235"/>
      <c r="AJ270" s="236"/>
      <c r="AK270" s="235"/>
      <c r="AL270" s="235"/>
      <c r="AM270" s="235"/>
      <c r="AN270" s="235"/>
      <c r="AO270" s="235"/>
      <c r="AP270" s="235"/>
      <c r="AQ270" s="235"/>
      <c r="AR270" s="235"/>
      <c r="AS270" s="235"/>
      <c r="AT270" s="235"/>
      <c r="AU270" s="236"/>
      <c r="AV270" s="235"/>
      <c r="AW270" s="235"/>
      <c r="AX270" s="235"/>
      <c r="AY270" s="235"/>
      <c r="AZ270" s="235"/>
      <c r="BA270" s="235"/>
      <c r="BB270" s="235"/>
      <c r="BC270" s="235"/>
      <c r="BD270" s="236"/>
      <c r="BE270" s="235"/>
      <c r="BF270" s="235"/>
      <c r="BG270" s="235"/>
      <c r="BH270" s="235"/>
      <c r="BI270" s="236"/>
      <c r="BJ270" s="236"/>
      <c r="BK270" s="238"/>
      <c r="BL270" s="239"/>
      <c r="BM270" s="239"/>
      <c r="BN270" s="340"/>
      <c r="BP270" s="236"/>
      <c r="BQ270" s="236"/>
      <c r="BR270" s="236"/>
      <c r="BS270" s="236"/>
      <c r="BT270" s="236"/>
      <c r="BU270" s="236"/>
      <c r="BV270" s="236"/>
      <c r="BW270" s="236"/>
      <c r="BX270" s="236"/>
      <c r="BY270" s="236"/>
      <c r="BZ270" s="236"/>
      <c r="CA270" s="236"/>
      <c r="CB270" s="236"/>
      <c r="CC270" s="236"/>
      <c r="CD270" s="236"/>
      <c r="CE270" s="236"/>
      <c r="CF270" s="236"/>
      <c r="CG270" s="236"/>
      <c r="CH270" s="236"/>
      <c r="CI270" s="236"/>
      <c r="CJ270" s="236"/>
      <c r="CK270" s="236"/>
      <c r="CL270" s="236"/>
      <c r="CM270" s="236"/>
      <c r="CN270" s="236"/>
      <c r="CO270" s="236"/>
    </row>
    <row r="271" spans="5:93" s="230" customFormat="1">
      <c r="E271" s="234"/>
      <c r="F271" s="235"/>
      <c r="G271" s="235"/>
      <c r="H271" s="236"/>
      <c r="I271" s="235"/>
      <c r="J271" s="235"/>
      <c r="K271" s="235"/>
      <c r="L271" s="235"/>
      <c r="M271" s="236"/>
      <c r="N271" s="235"/>
      <c r="O271" s="235"/>
      <c r="P271" s="235"/>
      <c r="Q271" s="235"/>
      <c r="R271" s="235"/>
      <c r="S271" s="235"/>
      <c r="T271" s="235"/>
      <c r="U271" s="235"/>
      <c r="V271" s="235"/>
      <c r="W271" s="235"/>
      <c r="X271" s="235"/>
      <c r="Y271" s="235"/>
      <c r="Z271" s="235"/>
      <c r="AA271" s="235"/>
      <c r="AB271" s="235"/>
      <c r="AC271" s="235"/>
      <c r="AD271" s="235"/>
      <c r="AE271" s="236"/>
      <c r="AF271" s="235"/>
      <c r="AG271" s="235"/>
      <c r="AH271" s="235"/>
      <c r="AI271" s="235"/>
      <c r="AJ271" s="236"/>
      <c r="AK271" s="235"/>
      <c r="AL271" s="235"/>
      <c r="AM271" s="235"/>
      <c r="AN271" s="235"/>
      <c r="AO271" s="235"/>
      <c r="AP271" s="235"/>
      <c r="AQ271" s="235"/>
      <c r="AR271" s="235"/>
      <c r="AS271" s="235"/>
      <c r="AT271" s="235"/>
      <c r="AU271" s="236"/>
      <c r="AV271" s="235"/>
      <c r="AW271" s="235"/>
      <c r="AX271" s="235"/>
      <c r="AY271" s="235"/>
      <c r="AZ271" s="235"/>
      <c r="BA271" s="235"/>
      <c r="BB271" s="235"/>
      <c r="BC271" s="235"/>
      <c r="BD271" s="236"/>
      <c r="BE271" s="235"/>
      <c r="BF271" s="235"/>
      <c r="BG271" s="235"/>
      <c r="BH271" s="235"/>
      <c r="BI271" s="236"/>
      <c r="BJ271" s="236"/>
      <c r="BK271" s="238"/>
      <c r="BL271" s="239"/>
      <c r="BM271" s="239"/>
      <c r="BN271" s="340"/>
      <c r="BP271" s="236"/>
      <c r="BQ271" s="236"/>
      <c r="BR271" s="236"/>
      <c r="BS271" s="236"/>
      <c r="BT271" s="236"/>
      <c r="BU271" s="236"/>
      <c r="BV271" s="236"/>
      <c r="BW271" s="236"/>
      <c r="BX271" s="236"/>
      <c r="BY271" s="236"/>
      <c r="BZ271" s="236"/>
      <c r="CA271" s="236"/>
      <c r="CB271" s="236"/>
      <c r="CC271" s="236"/>
      <c r="CD271" s="236"/>
      <c r="CE271" s="236"/>
      <c r="CF271" s="236"/>
      <c r="CG271" s="236"/>
      <c r="CH271" s="236"/>
      <c r="CI271" s="236"/>
      <c r="CJ271" s="236"/>
      <c r="CK271" s="236"/>
      <c r="CL271" s="236"/>
      <c r="CM271" s="236"/>
      <c r="CN271" s="236"/>
      <c r="CO271" s="236"/>
    </row>
    <row r="272" spans="5:93" s="230" customFormat="1">
      <c r="E272" s="234"/>
      <c r="F272" s="235"/>
      <c r="G272" s="235"/>
      <c r="H272" s="236"/>
      <c r="I272" s="235"/>
      <c r="J272" s="235"/>
      <c r="K272" s="235"/>
      <c r="L272" s="235"/>
      <c r="M272" s="236"/>
      <c r="N272" s="235"/>
      <c r="O272" s="235"/>
      <c r="P272" s="235"/>
      <c r="Q272" s="235"/>
      <c r="R272" s="235"/>
      <c r="S272" s="235"/>
      <c r="T272" s="235"/>
      <c r="U272" s="235"/>
      <c r="V272" s="235"/>
      <c r="W272" s="235"/>
      <c r="X272" s="235"/>
      <c r="Y272" s="235"/>
      <c r="Z272" s="235"/>
      <c r="AA272" s="235"/>
      <c r="AB272" s="235"/>
      <c r="AC272" s="235"/>
      <c r="AD272" s="235"/>
      <c r="AE272" s="236"/>
      <c r="AF272" s="235"/>
      <c r="AG272" s="235"/>
      <c r="AH272" s="235"/>
      <c r="AI272" s="235"/>
      <c r="AJ272" s="236"/>
      <c r="AK272" s="235"/>
      <c r="AL272" s="235"/>
      <c r="AM272" s="235"/>
      <c r="AN272" s="235"/>
      <c r="AO272" s="235"/>
      <c r="AP272" s="235"/>
      <c r="AQ272" s="235"/>
      <c r="AR272" s="235"/>
      <c r="AS272" s="235"/>
      <c r="AT272" s="235"/>
      <c r="AU272" s="236"/>
      <c r="AV272" s="235"/>
      <c r="AW272" s="235"/>
      <c r="AX272" s="235"/>
      <c r="AY272" s="235"/>
      <c r="AZ272" s="235"/>
      <c r="BA272" s="235"/>
      <c r="BB272" s="235"/>
      <c r="BC272" s="235"/>
      <c r="BD272" s="236"/>
      <c r="BE272" s="235"/>
      <c r="BF272" s="235"/>
      <c r="BG272" s="235"/>
      <c r="BH272" s="235"/>
      <c r="BI272" s="236"/>
      <c r="BJ272" s="236"/>
      <c r="BK272" s="238"/>
      <c r="BL272" s="239"/>
      <c r="BM272" s="239"/>
      <c r="BN272" s="340"/>
      <c r="BP272" s="236"/>
      <c r="BQ272" s="236"/>
      <c r="BR272" s="236"/>
      <c r="BS272" s="236"/>
      <c r="BT272" s="236"/>
      <c r="BU272" s="236"/>
      <c r="BV272" s="236"/>
      <c r="BW272" s="236"/>
      <c r="BX272" s="236"/>
      <c r="BY272" s="236"/>
      <c r="BZ272" s="236"/>
      <c r="CA272" s="236"/>
      <c r="CB272" s="236"/>
      <c r="CC272" s="236"/>
      <c r="CD272" s="236"/>
      <c r="CE272" s="236"/>
      <c r="CF272" s="236"/>
      <c r="CG272" s="236"/>
      <c r="CH272" s="236"/>
      <c r="CI272" s="236"/>
      <c r="CJ272" s="236"/>
      <c r="CK272" s="236"/>
      <c r="CL272" s="236"/>
      <c r="CM272" s="236"/>
      <c r="CN272" s="236"/>
      <c r="CO272" s="236"/>
    </row>
    <row r="273" spans="5:93" s="230" customFormat="1">
      <c r="E273" s="234"/>
      <c r="F273" s="235"/>
      <c r="G273" s="235"/>
      <c r="H273" s="236"/>
      <c r="I273" s="235"/>
      <c r="J273" s="235"/>
      <c r="K273" s="235"/>
      <c r="L273" s="235"/>
      <c r="M273" s="236"/>
      <c r="N273" s="235"/>
      <c r="O273" s="235"/>
      <c r="P273" s="235"/>
      <c r="Q273" s="235"/>
      <c r="R273" s="235"/>
      <c r="S273" s="235"/>
      <c r="T273" s="235"/>
      <c r="U273" s="235"/>
      <c r="V273" s="235"/>
      <c r="W273" s="235"/>
      <c r="X273" s="235"/>
      <c r="Y273" s="235"/>
      <c r="Z273" s="235"/>
      <c r="AA273" s="235"/>
      <c r="AB273" s="235"/>
      <c r="AC273" s="235"/>
      <c r="AD273" s="235"/>
      <c r="AE273" s="236"/>
      <c r="AF273" s="235"/>
      <c r="AG273" s="235"/>
      <c r="AH273" s="235"/>
      <c r="AI273" s="235"/>
      <c r="AJ273" s="236"/>
      <c r="AK273" s="235"/>
      <c r="AL273" s="235"/>
      <c r="AM273" s="235"/>
      <c r="AN273" s="235"/>
      <c r="AO273" s="235"/>
      <c r="AP273" s="235"/>
      <c r="AQ273" s="235"/>
      <c r="AR273" s="235"/>
      <c r="AS273" s="235"/>
      <c r="AT273" s="235"/>
      <c r="AU273" s="236"/>
      <c r="AV273" s="235"/>
      <c r="AW273" s="235"/>
      <c r="AX273" s="235"/>
      <c r="AY273" s="235"/>
      <c r="AZ273" s="235"/>
      <c r="BA273" s="235"/>
      <c r="BB273" s="235"/>
      <c r="BC273" s="235"/>
      <c r="BD273" s="236"/>
      <c r="BE273" s="235"/>
      <c r="BF273" s="235"/>
      <c r="BG273" s="235"/>
      <c r="BH273" s="235"/>
      <c r="BI273" s="236"/>
      <c r="BJ273" s="236"/>
      <c r="BK273" s="238"/>
      <c r="BL273" s="239"/>
      <c r="BM273" s="239"/>
      <c r="BN273" s="340"/>
      <c r="BP273" s="236"/>
      <c r="BQ273" s="236"/>
      <c r="BR273" s="236"/>
      <c r="BS273" s="236"/>
      <c r="BT273" s="236"/>
      <c r="BU273" s="236"/>
      <c r="BV273" s="236"/>
      <c r="BW273" s="236"/>
      <c r="BX273" s="236"/>
      <c r="BY273" s="236"/>
      <c r="BZ273" s="236"/>
      <c r="CA273" s="236"/>
      <c r="CB273" s="236"/>
      <c r="CC273" s="236"/>
      <c r="CD273" s="236"/>
      <c r="CE273" s="236"/>
      <c r="CF273" s="236"/>
      <c r="CG273" s="236"/>
      <c r="CH273" s="236"/>
      <c r="CI273" s="236"/>
      <c r="CJ273" s="236"/>
      <c r="CK273" s="236"/>
      <c r="CL273" s="236"/>
      <c r="CM273" s="236"/>
      <c r="CN273" s="236"/>
      <c r="CO273" s="236"/>
    </row>
    <row r="274" spans="5:93" s="230" customFormat="1">
      <c r="E274" s="234"/>
      <c r="F274" s="235"/>
      <c r="G274" s="235"/>
      <c r="H274" s="236"/>
      <c r="I274" s="235"/>
      <c r="J274" s="235"/>
      <c r="K274" s="235"/>
      <c r="L274" s="235"/>
      <c r="M274" s="236"/>
      <c r="N274" s="235"/>
      <c r="O274" s="235"/>
      <c r="P274" s="235"/>
      <c r="Q274" s="235"/>
      <c r="R274" s="235"/>
      <c r="S274" s="235"/>
      <c r="T274" s="235"/>
      <c r="U274" s="235"/>
      <c r="V274" s="235"/>
      <c r="W274" s="235"/>
      <c r="X274" s="235"/>
      <c r="Y274" s="235"/>
      <c r="Z274" s="235"/>
      <c r="AA274" s="235"/>
      <c r="AB274" s="235"/>
      <c r="AC274" s="235"/>
      <c r="AD274" s="235"/>
      <c r="AE274" s="236"/>
      <c r="AF274" s="235"/>
      <c r="AG274" s="235"/>
      <c r="AH274" s="235"/>
      <c r="AI274" s="235"/>
      <c r="AJ274" s="236"/>
      <c r="AK274" s="235"/>
      <c r="AL274" s="235"/>
      <c r="AM274" s="235"/>
      <c r="AN274" s="235"/>
      <c r="AO274" s="235"/>
      <c r="AP274" s="235"/>
      <c r="AQ274" s="235"/>
      <c r="AR274" s="235"/>
      <c r="AS274" s="235"/>
      <c r="AT274" s="235"/>
      <c r="AU274" s="236"/>
      <c r="AV274" s="235"/>
      <c r="AW274" s="235"/>
      <c r="AX274" s="235"/>
      <c r="AY274" s="235"/>
      <c r="AZ274" s="235"/>
      <c r="BA274" s="235"/>
      <c r="BB274" s="235"/>
      <c r="BC274" s="235"/>
      <c r="BD274" s="236"/>
      <c r="BE274" s="235"/>
      <c r="BF274" s="235"/>
      <c r="BG274" s="235"/>
      <c r="BH274" s="235"/>
      <c r="BI274" s="236"/>
      <c r="BJ274" s="236"/>
      <c r="BK274" s="238"/>
      <c r="BL274" s="239"/>
      <c r="BM274" s="239"/>
      <c r="BN274" s="340"/>
      <c r="BP274" s="236"/>
      <c r="BQ274" s="236"/>
      <c r="BR274" s="236"/>
      <c r="BS274" s="236"/>
      <c r="BT274" s="236"/>
      <c r="BU274" s="236"/>
      <c r="BV274" s="236"/>
      <c r="BW274" s="236"/>
      <c r="BX274" s="236"/>
      <c r="BY274" s="236"/>
      <c r="BZ274" s="236"/>
      <c r="CA274" s="236"/>
      <c r="CB274" s="236"/>
      <c r="CC274" s="236"/>
      <c r="CD274" s="236"/>
      <c r="CE274" s="236"/>
      <c r="CF274" s="236"/>
      <c r="CG274" s="236"/>
      <c r="CH274" s="236"/>
      <c r="CI274" s="236"/>
      <c r="CJ274" s="236"/>
      <c r="CK274" s="236"/>
      <c r="CL274" s="236"/>
      <c r="CM274" s="236"/>
      <c r="CN274" s="236"/>
      <c r="CO274" s="236"/>
    </row>
    <row r="275" spans="5:93" s="230" customFormat="1">
      <c r="E275" s="234"/>
      <c r="F275" s="235"/>
      <c r="G275" s="235"/>
      <c r="H275" s="236"/>
      <c r="I275" s="235"/>
      <c r="J275" s="235"/>
      <c r="K275" s="235"/>
      <c r="L275" s="235"/>
      <c r="M275" s="236"/>
      <c r="N275" s="235"/>
      <c r="O275" s="235"/>
      <c r="P275" s="235"/>
      <c r="Q275" s="235"/>
      <c r="R275" s="235"/>
      <c r="S275" s="235"/>
      <c r="T275" s="235"/>
      <c r="U275" s="235"/>
      <c r="V275" s="235"/>
      <c r="W275" s="235"/>
      <c r="X275" s="235"/>
      <c r="Y275" s="235"/>
      <c r="Z275" s="235"/>
      <c r="AA275" s="235"/>
      <c r="AB275" s="235"/>
      <c r="AC275" s="235"/>
      <c r="AD275" s="235"/>
      <c r="AE275" s="236"/>
      <c r="AF275" s="235"/>
      <c r="AG275" s="235"/>
      <c r="AH275" s="235"/>
      <c r="AI275" s="235"/>
      <c r="AJ275" s="236"/>
      <c r="AK275" s="235"/>
      <c r="AL275" s="235"/>
      <c r="AM275" s="235"/>
      <c r="AN275" s="235"/>
      <c r="AO275" s="235"/>
      <c r="AP275" s="235"/>
      <c r="AQ275" s="235"/>
      <c r="AR275" s="235"/>
      <c r="AS275" s="235"/>
      <c r="AT275" s="235"/>
      <c r="AU275" s="236"/>
      <c r="AV275" s="235"/>
      <c r="AW275" s="235"/>
      <c r="AX275" s="235"/>
      <c r="AY275" s="235"/>
      <c r="AZ275" s="235"/>
      <c r="BA275" s="235"/>
      <c r="BB275" s="235"/>
      <c r="BC275" s="235"/>
      <c r="BD275" s="236"/>
      <c r="BE275" s="235"/>
      <c r="BF275" s="235"/>
      <c r="BG275" s="235"/>
      <c r="BH275" s="235"/>
      <c r="BI275" s="236"/>
      <c r="BJ275" s="236"/>
      <c r="BK275" s="238"/>
      <c r="BL275" s="239"/>
      <c r="BM275" s="239"/>
      <c r="BN275" s="340"/>
      <c r="BP275" s="236"/>
      <c r="BQ275" s="236"/>
      <c r="BR275" s="236"/>
      <c r="BS275" s="236"/>
      <c r="BT275" s="236"/>
      <c r="BU275" s="236"/>
      <c r="BV275" s="236"/>
      <c r="BW275" s="236"/>
      <c r="BX275" s="236"/>
      <c r="BY275" s="236"/>
      <c r="BZ275" s="236"/>
      <c r="CA275" s="236"/>
      <c r="CB275" s="236"/>
      <c r="CC275" s="236"/>
      <c r="CD275" s="236"/>
      <c r="CE275" s="236"/>
      <c r="CF275" s="236"/>
      <c r="CG275" s="236"/>
      <c r="CH275" s="236"/>
      <c r="CI275" s="236"/>
      <c r="CJ275" s="236"/>
      <c r="CK275" s="236"/>
      <c r="CL275" s="236"/>
      <c r="CM275" s="236"/>
      <c r="CN275" s="236"/>
      <c r="CO275" s="236"/>
    </row>
    <row r="276" spans="5:93" s="230" customFormat="1">
      <c r="E276" s="234"/>
      <c r="F276" s="235"/>
      <c r="G276" s="235"/>
      <c r="H276" s="236"/>
      <c r="I276" s="235"/>
      <c r="J276" s="235"/>
      <c r="K276" s="235"/>
      <c r="L276" s="235"/>
      <c r="M276" s="236"/>
      <c r="N276" s="235"/>
      <c r="O276" s="235"/>
      <c r="P276" s="235"/>
      <c r="Q276" s="235"/>
      <c r="R276" s="235"/>
      <c r="S276" s="235"/>
      <c r="T276" s="235"/>
      <c r="U276" s="235"/>
      <c r="V276" s="235"/>
      <c r="W276" s="235"/>
      <c r="X276" s="235"/>
      <c r="Y276" s="235"/>
      <c r="Z276" s="235"/>
      <c r="AA276" s="235"/>
      <c r="AB276" s="235"/>
      <c r="AC276" s="235"/>
      <c r="AD276" s="235"/>
      <c r="AE276" s="236"/>
      <c r="AF276" s="235"/>
      <c r="AG276" s="235"/>
      <c r="AH276" s="235"/>
      <c r="AI276" s="235"/>
      <c r="AJ276" s="236"/>
      <c r="AK276" s="235"/>
      <c r="AL276" s="235"/>
      <c r="AM276" s="235"/>
      <c r="AN276" s="235"/>
      <c r="AO276" s="235"/>
      <c r="AP276" s="235"/>
      <c r="AQ276" s="235"/>
      <c r="AR276" s="235"/>
      <c r="AS276" s="235"/>
      <c r="AT276" s="235"/>
      <c r="AU276" s="236"/>
      <c r="AV276" s="235"/>
      <c r="AW276" s="235"/>
      <c r="AX276" s="235"/>
      <c r="AY276" s="235"/>
      <c r="AZ276" s="235"/>
      <c r="BA276" s="235"/>
      <c r="BB276" s="235"/>
      <c r="BC276" s="235"/>
      <c r="BD276" s="236"/>
      <c r="BE276" s="235"/>
      <c r="BF276" s="235"/>
      <c r="BG276" s="235"/>
      <c r="BH276" s="235"/>
      <c r="BI276" s="236"/>
      <c r="BJ276" s="236"/>
      <c r="BK276" s="238"/>
      <c r="BL276" s="239"/>
      <c r="BM276" s="239"/>
      <c r="BN276" s="340"/>
      <c r="BP276" s="236"/>
      <c r="BQ276" s="236"/>
      <c r="BR276" s="236"/>
      <c r="BS276" s="236"/>
      <c r="BT276" s="236"/>
      <c r="BU276" s="236"/>
      <c r="BV276" s="236"/>
      <c r="BW276" s="236"/>
      <c r="BX276" s="236"/>
      <c r="BY276" s="236"/>
      <c r="BZ276" s="236"/>
      <c r="CA276" s="236"/>
      <c r="CB276" s="236"/>
      <c r="CC276" s="236"/>
      <c r="CD276" s="236"/>
      <c r="CE276" s="236"/>
      <c r="CF276" s="236"/>
      <c r="CG276" s="236"/>
      <c r="CH276" s="236"/>
      <c r="CI276" s="236"/>
      <c r="CJ276" s="236"/>
      <c r="CK276" s="236"/>
      <c r="CL276" s="236"/>
      <c r="CM276" s="236"/>
      <c r="CN276" s="236"/>
      <c r="CO276" s="236"/>
    </row>
    <row r="277" spans="5:93" s="230" customFormat="1">
      <c r="E277" s="234"/>
      <c r="F277" s="235"/>
      <c r="G277" s="235"/>
      <c r="H277" s="236"/>
      <c r="I277" s="235"/>
      <c r="J277" s="235"/>
      <c r="K277" s="235"/>
      <c r="L277" s="235"/>
      <c r="M277" s="236"/>
      <c r="N277" s="235"/>
      <c r="O277" s="235"/>
      <c r="P277" s="235"/>
      <c r="Q277" s="235"/>
      <c r="R277" s="235"/>
      <c r="S277" s="235"/>
      <c r="T277" s="235"/>
      <c r="U277" s="235"/>
      <c r="V277" s="235"/>
      <c r="W277" s="235"/>
      <c r="X277" s="235"/>
      <c r="Y277" s="235"/>
      <c r="Z277" s="235"/>
      <c r="AA277" s="235"/>
      <c r="AB277" s="235"/>
      <c r="AC277" s="235"/>
      <c r="AD277" s="235"/>
      <c r="AE277" s="236"/>
      <c r="AF277" s="235"/>
      <c r="AG277" s="235"/>
      <c r="AH277" s="235"/>
      <c r="AI277" s="235"/>
      <c r="AJ277" s="236"/>
      <c r="AK277" s="235"/>
      <c r="AL277" s="235"/>
      <c r="AM277" s="235"/>
      <c r="AN277" s="235"/>
      <c r="AO277" s="235"/>
      <c r="AP277" s="235"/>
      <c r="AQ277" s="235"/>
      <c r="AR277" s="235"/>
      <c r="AS277" s="235"/>
      <c r="AT277" s="235"/>
      <c r="AU277" s="236"/>
      <c r="AV277" s="235"/>
      <c r="AW277" s="235"/>
      <c r="AX277" s="235"/>
      <c r="AY277" s="235"/>
      <c r="AZ277" s="235"/>
      <c r="BA277" s="235"/>
      <c r="BB277" s="235"/>
      <c r="BC277" s="235"/>
      <c r="BD277" s="236"/>
      <c r="BE277" s="235"/>
      <c r="BF277" s="235"/>
      <c r="BG277" s="235"/>
      <c r="BH277" s="235"/>
      <c r="BI277" s="236"/>
      <c r="BJ277" s="236"/>
      <c r="BK277" s="238"/>
      <c r="BL277" s="239"/>
      <c r="BM277" s="239"/>
      <c r="BN277" s="340"/>
      <c r="BP277" s="236"/>
      <c r="BQ277" s="236"/>
      <c r="BR277" s="236"/>
      <c r="BS277" s="236"/>
      <c r="BT277" s="236"/>
      <c r="BU277" s="236"/>
      <c r="BV277" s="236"/>
      <c r="BW277" s="236"/>
      <c r="BX277" s="236"/>
      <c r="BY277" s="236"/>
      <c r="BZ277" s="236"/>
      <c r="CA277" s="236"/>
      <c r="CB277" s="236"/>
      <c r="CC277" s="236"/>
      <c r="CD277" s="236"/>
      <c r="CE277" s="236"/>
      <c r="CF277" s="236"/>
      <c r="CG277" s="236"/>
      <c r="CH277" s="236"/>
      <c r="CI277" s="236"/>
      <c r="CJ277" s="236"/>
      <c r="CK277" s="236"/>
      <c r="CL277" s="236"/>
      <c r="CM277" s="236"/>
      <c r="CN277" s="236"/>
      <c r="CO277" s="236"/>
    </row>
    <row r="278" spans="5:93" s="230" customFormat="1">
      <c r="E278" s="234"/>
      <c r="F278" s="235"/>
      <c r="G278" s="235"/>
      <c r="H278" s="236"/>
      <c r="I278" s="235"/>
      <c r="J278" s="235"/>
      <c r="K278" s="235"/>
      <c r="L278" s="235"/>
      <c r="M278" s="236"/>
      <c r="N278" s="235"/>
      <c r="O278" s="235"/>
      <c r="P278" s="235"/>
      <c r="Q278" s="235"/>
      <c r="R278" s="235"/>
      <c r="S278" s="235"/>
      <c r="T278" s="235"/>
      <c r="U278" s="235"/>
      <c r="V278" s="235"/>
      <c r="W278" s="235"/>
      <c r="X278" s="235"/>
      <c r="Y278" s="235"/>
      <c r="Z278" s="235"/>
      <c r="AA278" s="235"/>
      <c r="AB278" s="235"/>
      <c r="AC278" s="235"/>
      <c r="AD278" s="235"/>
      <c r="AE278" s="236"/>
      <c r="AF278" s="235"/>
      <c r="AG278" s="235"/>
      <c r="AH278" s="235"/>
      <c r="AI278" s="235"/>
      <c r="AJ278" s="236"/>
      <c r="AK278" s="235"/>
      <c r="AL278" s="235"/>
      <c r="AM278" s="235"/>
      <c r="AN278" s="235"/>
      <c r="AO278" s="235"/>
      <c r="AP278" s="235"/>
      <c r="AQ278" s="235"/>
      <c r="AR278" s="235"/>
      <c r="AS278" s="235"/>
      <c r="AT278" s="235"/>
      <c r="AU278" s="236"/>
      <c r="AV278" s="235"/>
      <c r="AW278" s="235"/>
      <c r="AX278" s="235"/>
      <c r="AY278" s="235"/>
      <c r="AZ278" s="235"/>
      <c r="BA278" s="235"/>
      <c r="BB278" s="235"/>
      <c r="BC278" s="235"/>
      <c r="BD278" s="236"/>
      <c r="BE278" s="235"/>
      <c r="BF278" s="235"/>
      <c r="BG278" s="235"/>
      <c r="BH278" s="235"/>
      <c r="BI278" s="236"/>
      <c r="BJ278" s="236"/>
      <c r="BK278" s="238"/>
      <c r="BL278" s="239"/>
      <c r="BM278" s="239"/>
      <c r="BN278" s="340"/>
      <c r="BP278" s="236"/>
      <c r="BQ278" s="236"/>
      <c r="BR278" s="236"/>
      <c r="BS278" s="236"/>
      <c r="BT278" s="236"/>
      <c r="BU278" s="236"/>
      <c r="BV278" s="236"/>
      <c r="BW278" s="236"/>
      <c r="BX278" s="236"/>
      <c r="BY278" s="236"/>
      <c r="BZ278" s="236"/>
      <c r="CA278" s="236"/>
      <c r="CB278" s="236"/>
      <c r="CC278" s="236"/>
      <c r="CD278" s="236"/>
      <c r="CE278" s="236"/>
      <c r="CF278" s="236"/>
      <c r="CG278" s="236"/>
      <c r="CH278" s="236"/>
      <c r="CI278" s="236"/>
      <c r="CJ278" s="236"/>
      <c r="CK278" s="236"/>
      <c r="CL278" s="236"/>
      <c r="CM278" s="236"/>
      <c r="CN278" s="236"/>
      <c r="CO278" s="236"/>
    </row>
    <row r="279" spans="5:93" s="230" customFormat="1">
      <c r="E279" s="234"/>
      <c r="F279" s="235"/>
      <c r="G279" s="235"/>
      <c r="H279" s="236"/>
      <c r="I279" s="235"/>
      <c r="J279" s="235"/>
      <c r="K279" s="235"/>
      <c r="L279" s="235"/>
      <c r="M279" s="236"/>
      <c r="N279" s="235"/>
      <c r="O279" s="235"/>
      <c r="P279" s="235"/>
      <c r="Q279" s="235"/>
      <c r="R279" s="235"/>
      <c r="S279" s="235"/>
      <c r="T279" s="235"/>
      <c r="U279" s="235"/>
      <c r="V279" s="235"/>
      <c r="W279" s="235"/>
      <c r="X279" s="235"/>
      <c r="Y279" s="235"/>
      <c r="Z279" s="235"/>
      <c r="AA279" s="235"/>
      <c r="AB279" s="235"/>
      <c r="AC279" s="235"/>
      <c r="AD279" s="235"/>
      <c r="AE279" s="236"/>
      <c r="AF279" s="235"/>
      <c r="AG279" s="235"/>
      <c r="AH279" s="235"/>
      <c r="AI279" s="235"/>
      <c r="AJ279" s="236"/>
      <c r="AK279" s="235"/>
      <c r="AL279" s="235"/>
      <c r="AM279" s="235"/>
      <c r="AN279" s="235"/>
      <c r="AO279" s="235"/>
      <c r="AP279" s="235"/>
      <c r="AQ279" s="235"/>
      <c r="AR279" s="235"/>
      <c r="AS279" s="235"/>
      <c r="AT279" s="235"/>
      <c r="AU279" s="236"/>
      <c r="AV279" s="235"/>
      <c r="AW279" s="235"/>
      <c r="AX279" s="235"/>
      <c r="AY279" s="235"/>
      <c r="AZ279" s="235"/>
      <c r="BA279" s="235"/>
      <c r="BB279" s="235"/>
      <c r="BC279" s="235"/>
      <c r="BD279" s="236"/>
      <c r="BE279" s="235"/>
      <c r="BF279" s="235"/>
      <c r="BG279" s="235"/>
      <c r="BH279" s="235"/>
      <c r="BI279" s="236"/>
      <c r="BJ279" s="236"/>
      <c r="BK279" s="238"/>
      <c r="BL279" s="239"/>
      <c r="BM279" s="239"/>
      <c r="BN279" s="340"/>
      <c r="BP279" s="236"/>
      <c r="BQ279" s="236"/>
      <c r="BR279" s="236"/>
      <c r="BS279" s="236"/>
      <c r="BT279" s="236"/>
      <c r="BU279" s="236"/>
      <c r="BV279" s="236"/>
      <c r="BW279" s="236"/>
      <c r="BX279" s="236"/>
      <c r="BY279" s="236"/>
      <c r="BZ279" s="236"/>
      <c r="CA279" s="236"/>
      <c r="CB279" s="236"/>
      <c r="CC279" s="236"/>
      <c r="CD279" s="236"/>
      <c r="CE279" s="236"/>
      <c r="CF279" s="236"/>
      <c r="CG279" s="236"/>
      <c r="CH279" s="236"/>
      <c r="CI279" s="236"/>
      <c r="CJ279" s="236"/>
      <c r="CK279" s="236"/>
      <c r="CL279" s="236"/>
      <c r="CM279" s="236"/>
      <c r="CN279" s="236"/>
      <c r="CO279" s="236"/>
    </row>
    <row r="280" spans="5:93" s="230" customFormat="1">
      <c r="E280" s="234"/>
      <c r="F280" s="235"/>
      <c r="G280" s="235"/>
      <c r="H280" s="236"/>
      <c r="I280" s="235"/>
      <c r="J280" s="235"/>
      <c r="K280" s="235"/>
      <c r="L280" s="235"/>
      <c r="M280" s="236"/>
      <c r="N280" s="235"/>
      <c r="O280" s="235"/>
      <c r="P280" s="235"/>
      <c r="Q280" s="235"/>
      <c r="R280" s="235"/>
      <c r="S280" s="235"/>
      <c r="T280" s="235"/>
      <c r="U280" s="235"/>
      <c r="V280" s="235"/>
      <c r="W280" s="235"/>
      <c r="X280" s="235"/>
      <c r="Y280" s="235"/>
      <c r="Z280" s="235"/>
      <c r="AA280" s="235"/>
      <c r="AB280" s="235"/>
      <c r="AC280" s="235"/>
      <c r="AD280" s="235"/>
      <c r="AE280" s="236"/>
      <c r="AF280" s="235"/>
      <c r="AG280" s="235"/>
      <c r="AH280" s="235"/>
      <c r="AI280" s="235"/>
      <c r="AJ280" s="236"/>
      <c r="AK280" s="235"/>
      <c r="AL280" s="235"/>
      <c r="AM280" s="235"/>
      <c r="AN280" s="235"/>
      <c r="AO280" s="235"/>
      <c r="AP280" s="235"/>
      <c r="AQ280" s="235"/>
      <c r="AR280" s="235"/>
      <c r="AS280" s="235"/>
      <c r="AT280" s="235"/>
      <c r="AU280" s="236"/>
      <c r="AV280" s="235"/>
      <c r="AW280" s="235"/>
      <c r="AX280" s="235"/>
      <c r="AY280" s="235"/>
      <c r="AZ280" s="235"/>
      <c r="BA280" s="235"/>
      <c r="BB280" s="235"/>
      <c r="BC280" s="235"/>
      <c r="BD280" s="236"/>
      <c r="BE280" s="235"/>
      <c r="BF280" s="235"/>
      <c r="BG280" s="235"/>
      <c r="BH280" s="235"/>
      <c r="BI280" s="236"/>
      <c r="BJ280" s="236"/>
      <c r="BK280" s="238"/>
      <c r="BL280" s="239"/>
      <c r="BM280" s="239"/>
      <c r="BN280" s="340"/>
      <c r="BP280" s="236"/>
      <c r="BQ280" s="236"/>
      <c r="BR280" s="236"/>
      <c r="BS280" s="236"/>
      <c r="BT280" s="236"/>
      <c r="BU280" s="236"/>
      <c r="BV280" s="236"/>
      <c r="BW280" s="236"/>
      <c r="BX280" s="236"/>
      <c r="BY280" s="236"/>
      <c r="BZ280" s="236"/>
      <c r="CA280" s="236"/>
      <c r="CB280" s="236"/>
      <c r="CC280" s="236"/>
      <c r="CD280" s="236"/>
      <c r="CE280" s="236"/>
      <c r="CF280" s="236"/>
      <c r="CG280" s="236"/>
      <c r="CH280" s="236"/>
      <c r="CI280" s="236"/>
      <c r="CJ280" s="236"/>
      <c r="CK280" s="236"/>
      <c r="CL280" s="236"/>
      <c r="CM280" s="236"/>
      <c r="CN280" s="236"/>
      <c r="CO280" s="236"/>
    </row>
    <row r="281" spans="5:93" s="230" customFormat="1">
      <c r="E281" s="234"/>
      <c r="F281" s="235"/>
      <c r="G281" s="235"/>
      <c r="H281" s="236"/>
      <c r="I281" s="235"/>
      <c r="J281" s="235"/>
      <c r="K281" s="235"/>
      <c r="L281" s="235"/>
      <c r="M281" s="236"/>
      <c r="N281" s="235"/>
      <c r="O281" s="235"/>
      <c r="P281" s="235"/>
      <c r="Q281" s="235"/>
      <c r="R281" s="235"/>
      <c r="S281" s="235"/>
      <c r="T281" s="235"/>
      <c r="U281" s="235"/>
      <c r="V281" s="235"/>
      <c r="W281" s="235"/>
      <c r="X281" s="235"/>
      <c r="Y281" s="235"/>
      <c r="Z281" s="235"/>
      <c r="AA281" s="235"/>
      <c r="AB281" s="235"/>
      <c r="AC281" s="235"/>
      <c r="AD281" s="235"/>
      <c r="AE281" s="236"/>
      <c r="AF281" s="235"/>
      <c r="AG281" s="235"/>
      <c r="AH281" s="235"/>
      <c r="AI281" s="235"/>
      <c r="AJ281" s="236"/>
      <c r="AK281" s="235"/>
      <c r="AL281" s="235"/>
      <c r="AM281" s="235"/>
      <c r="AN281" s="235"/>
      <c r="AO281" s="235"/>
      <c r="AP281" s="235"/>
      <c r="AQ281" s="235"/>
      <c r="AR281" s="235"/>
      <c r="AS281" s="235"/>
      <c r="AT281" s="235"/>
      <c r="AU281" s="236"/>
      <c r="AV281" s="235"/>
      <c r="AW281" s="235"/>
      <c r="AX281" s="235"/>
      <c r="AY281" s="235"/>
      <c r="AZ281" s="235"/>
      <c r="BA281" s="235"/>
      <c r="BB281" s="235"/>
      <c r="BC281" s="235"/>
      <c r="BD281" s="236"/>
      <c r="BE281" s="235"/>
      <c r="BF281" s="235"/>
      <c r="BG281" s="235"/>
      <c r="BH281" s="235"/>
      <c r="BI281" s="236"/>
      <c r="BJ281" s="236"/>
      <c r="BK281" s="238"/>
      <c r="BL281" s="239"/>
      <c r="BM281" s="239"/>
      <c r="BN281" s="340"/>
      <c r="BP281" s="236"/>
      <c r="BQ281" s="236"/>
      <c r="BR281" s="236"/>
      <c r="BS281" s="236"/>
      <c r="BT281" s="236"/>
      <c r="BU281" s="236"/>
      <c r="BV281" s="236"/>
      <c r="BW281" s="236"/>
      <c r="BX281" s="236"/>
      <c r="BY281" s="236"/>
      <c r="BZ281" s="236"/>
      <c r="CA281" s="236"/>
      <c r="CB281" s="236"/>
      <c r="CC281" s="236"/>
      <c r="CD281" s="236"/>
      <c r="CE281" s="236"/>
      <c r="CF281" s="236"/>
      <c r="CG281" s="236"/>
      <c r="CH281" s="236"/>
      <c r="CI281" s="236"/>
      <c r="CJ281" s="236"/>
      <c r="CK281" s="236"/>
      <c r="CL281" s="236"/>
      <c r="CM281" s="236"/>
      <c r="CN281" s="236"/>
      <c r="CO281" s="236"/>
    </row>
    <row r="282" spans="5:93" s="230" customFormat="1">
      <c r="E282" s="234"/>
      <c r="F282" s="235"/>
      <c r="G282" s="235"/>
      <c r="H282" s="236"/>
      <c r="I282" s="235"/>
      <c r="J282" s="235"/>
      <c r="K282" s="235"/>
      <c r="L282" s="235"/>
      <c r="M282" s="236"/>
      <c r="N282" s="235"/>
      <c r="O282" s="235"/>
      <c r="P282" s="235"/>
      <c r="Q282" s="235"/>
      <c r="R282" s="235"/>
      <c r="S282" s="235"/>
      <c r="T282" s="235"/>
      <c r="U282" s="235"/>
      <c r="V282" s="235"/>
      <c r="W282" s="235"/>
      <c r="X282" s="235"/>
      <c r="Y282" s="235"/>
      <c r="Z282" s="235"/>
      <c r="AA282" s="235"/>
      <c r="AB282" s="235"/>
      <c r="AC282" s="235"/>
      <c r="AD282" s="235"/>
      <c r="AE282" s="236"/>
      <c r="AF282" s="235"/>
      <c r="AG282" s="235"/>
      <c r="AH282" s="235"/>
      <c r="AI282" s="235"/>
      <c r="AJ282" s="236"/>
      <c r="AK282" s="235"/>
      <c r="AL282" s="235"/>
      <c r="AM282" s="235"/>
      <c r="AN282" s="235"/>
      <c r="AO282" s="235"/>
      <c r="AP282" s="235"/>
      <c r="AQ282" s="235"/>
      <c r="AR282" s="235"/>
      <c r="AS282" s="235"/>
      <c r="AT282" s="235"/>
      <c r="AU282" s="236"/>
      <c r="AV282" s="235"/>
      <c r="AW282" s="235"/>
      <c r="AX282" s="235"/>
      <c r="AY282" s="235"/>
      <c r="AZ282" s="235"/>
      <c r="BA282" s="235"/>
      <c r="BB282" s="235"/>
      <c r="BC282" s="235"/>
      <c r="BD282" s="236"/>
      <c r="BE282" s="235"/>
      <c r="BF282" s="235"/>
      <c r="BG282" s="235"/>
      <c r="BH282" s="235"/>
      <c r="BI282" s="236"/>
      <c r="BJ282" s="236"/>
      <c r="BK282" s="238"/>
      <c r="BL282" s="239"/>
      <c r="BM282" s="239"/>
      <c r="BN282" s="340"/>
      <c r="BP282" s="236"/>
      <c r="BQ282" s="236"/>
      <c r="BR282" s="236"/>
      <c r="BS282" s="236"/>
      <c r="BT282" s="236"/>
      <c r="BU282" s="236"/>
      <c r="BV282" s="236"/>
      <c r="BW282" s="236"/>
      <c r="BX282" s="236"/>
      <c r="BY282" s="236"/>
      <c r="BZ282" s="236"/>
      <c r="CA282" s="236"/>
      <c r="CB282" s="236"/>
      <c r="CC282" s="236"/>
      <c r="CD282" s="236"/>
      <c r="CE282" s="236"/>
      <c r="CF282" s="236"/>
      <c r="CG282" s="236"/>
      <c r="CH282" s="236"/>
      <c r="CI282" s="236"/>
      <c r="CJ282" s="236"/>
      <c r="CK282" s="236"/>
      <c r="CL282" s="236"/>
      <c r="CM282" s="236"/>
      <c r="CN282" s="236"/>
      <c r="CO282" s="236"/>
    </row>
    <row r="283" spans="5:93" s="230" customFormat="1">
      <c r="E283" s="234"/>
      <c r="F283" s="235"/>
      <c r="G283" s="235"/>
      <c r="H283" s="236"/>
      <c r="I283" s="235"/>
      <c r="J283" s="235"/>
      <c r="K283" s="235"/>
      <c r="L283" s="235"/>
      <c r="M283" s="236"/>
      <c r="N283" s="235"/>
      <c r="O283" s="235"/>
      <c r="P283" s="235"/>
      <c r="Q283" s="235"/>
      <c r="R283" s="235"/>
      <c r="S283" s="235"/>
      <c r="T283" s="235"/>
      <c r="U283" s="235"/>
      <c r="V283" s="235"/>
      <c r="W283" s="235"/>
      <c r="X283" s="235"/>
      <c r="Y283" s="235"/>
      <c r="Z283" s="235"/>
      <c r="AA283" s="235"/>
      <c r="AB283" s="235"/>
      <c r="AC283" s="235"/>
      <c r="AD283" s="235"/>
      <c r="AE283" s="236"/>
      <c r="AF283" s="235"/>
      <c r="AG283" s="235"/>
      <c r="AH283" s="235"/>
      <c r="AI283" s="235"/>
      <c r="AJ283" s="236"/>
      <c r="AK283" s="235"/>
      <c r="AL283" s="235"/>
      <c r="AM283" s="235"/>
      <c r="AN283" s="235"/>
      <c r="AO283" s="235"/>
      <c r="AP283" s="235"/>
      <c r="AQ283" s="235"/>
      <c r="AR283" s="235"/>
      <c r="AS283" s="235"/>
      <c r="AT283" s="235"/>
      <c r="AU283" s="236"/>
      <c r="AV283" s="235"/>
      <c r="AW283" s="235"/>
      <c r="AX283" s="235"/>
      <c r="AY283" s="235"/>
      <c r="AZ283" s="235"/>
      <c r="BA283" s="235"/>
      <c r="BB283" s="235"/>
      <c r="BC283" s="235"/>
      <c r="BD283" s="236"/>
      <c r="BE283" s="235"/>
      <c r="BF283" s="235"/>
      <c r="BG283" s="235"/>
      <c r="BH283" s="235"/>
      <c r="BI283" s="236"/>
      <c r="BJ283" s="236"/>
      <c r="BK283" s="238"/>
      <c r="BL283" s="239"/>
      <c r="BM283" s="239"/>
      <c r="BN283" s="340"/>
      <c r="BP283" s="236"/>
      <c r="BQ283" s="236"/>
      <c r="BR283" s="236"/>
      <c r="BS283" s="236"/>
      <c r="BT283" s="236"/>
      <c r="BU283" s="236"/>
      <c r="BV283" s="236"/>
      <c r="BW283" s="236"/>
      <c r="BX283" s="236"/>
      <c r="BY283" s="236"/>
      <c r="BZ283" s="236"/>
      <c r="CA283" s="236"/>
      <c r="CB283" s="236"/>
      <c r="CC283" s="236"/>
      <c r="CD283" s="236"/>
      <c r="CE283" s="236"/>
      <c r="CF283" s="236"/>
      <c r="CG283" s="236"/>
      <c r="CH283" s="236"/>
      <c r="CI283" s="236"/>
      <c r="CJ283" s="236"/>
      <c r="CK283" s="236"/>
      <c r="CL283" s="236"/>
      <c r="CM283" s="236"/>
      <c r="CN283" s="236"/>
      <c r="CO283" s="236"/>
    </row>
    <row r="284" spans="5:93" s="230" customFormat="1">
      <c r="E284" s="234"/>
      <c r="F284" s="235"/>
      <c r="G284" s="235"/>
      <c r="H284" s="236"/>
      <c r="I284" s="235"/>
      <c r="J284" s="235"/>
      <c r="K284" s="235"/>
      <c r="L284" s="235"/>
      <c r="M284" s="236"/>
      <c r="N284" s="235"/>
      <c r="O284" s="235"/>
      <c r="P284" s="235"/>
      <c r="Q284" s="235"/>
      <c r="R284" s="235"/>
      <c r="S284" s="235"/>
      <c r="T284" s="235"/>
      <c r="U284" s="235"/>
      <c r="V284" s="235"/>
      <c r="W284" s="235"/>
      <c r="X284" s="235"/>
      <c r="Y284" s="235"/>
      <c r="Z284" s="235"/>
      <c r="AA284" s="235"/>
      <c r="AB284" s="235"/>
      <c r="AC284" s="235"/>
      <c r="AD284" s="235"/>
      <c r="AE284" s="236"/>
      <c r="AF284" s="235"/>
      <c r="AG284" s="235"/>
      <c r="AH284" s="235"/>
      <c r="AI284" s="235"/>
      <c r="AJ284" s="236"/>
      <c r="AK284" s="235"/>
      <c r="AL284" s="235"/>
      <c r="AM284" s="235"/>
      <c r="AN284" s="235"/>
      <c r="AO284" s="235"/>
      <c r="AP284" s="235"/>
      <c r="AQ284" s="235"/>
      <c r="AR284" s="235"/>
      <c r="AS284" s="235"/>
      <c r="AT284" s="235"/>
      <c r="AU284" s="236"/>
      <c r="AV284" s="235"/>
      <c r="AW284" s="235"/>
      <c r="AX284" s="235"/>
      <c r="AY284" s="235"/>
      <c r="AZ284" s="235"/>
      <c r="BA284" s="235"/>
      <c r="BB284" s="235"/>
      <c r="BC284" s="235"/>
      <c r="BD284" s="236"/>
      <c r="BE284" s="235"/>
      <c r="BF284" s="235"/>
      <c r="BG284" s="235"/>
      <c r="BH284" s="235"/>
      <c r="BI284" s="236"/>
      <c r="BJ284" s="236"/>
      <c r="BK284" s="238"/>
      <c r="BL284" s="239"/>
      <c r="BM284" s="239"/>
      <c r="BN284" s="340"/>
      <c r="BP284" s="236"/>
      <c r="BQ284" s="236"/>
      <c r="BR284" s="236"/>
      <c r="BS284" s="236"/>
      <c r="BT284" s="236"/>
      <c r="BU284" s="236"/>
      <c r="BV284" s="236"/>
      <c r="BW284" s="236"/>
      <c r="BX284" s="236"/>
      <c r="BY284" s="236"/>
      <c r="BZ284" s="236"/>
      <c r="CA284" s="236"/>
      <c r="CB284" s="236"/>
      <c r="CC284" s="236"/>
      <c r="CD284" s="236"/>
      <c r="CE284" s="236"/>
      <c r="CF284" s="236"/>
      <c r="CG284" s="236"/>
      <c r="CH284" s="236"/>
      <c r="CI284" s="236"/>
      <c r="CJ284" s="236"/>
      <c r="CK284" s="236"/>
      <c r="CL284" s="236"/>
      <c r="CM284" s="236"/>
      <c r="CN284" s="236"/>
      <c r="CO284" s="236"/>
    </row>
    <row r="285" spans="5:93" s="230" customFormat="1">
      <c r="E285" s="234"/>
      <c r="F285" s="235"/>
      <c r="G285" s="235"/>
      <c r="H285" s="236"/>
      <c r="I285" s="235"/>
      <c r="J285" s="235"/>
      <c r="K285" s="235"/>
      <c r="L285" s="235"/>
      <c r="M285" s="236"/>
      <c r="N285" s="235"/>
      <c r="O285" s="235"/>
      <c r="P285" s="235"/>
      <c r="Q285" s="235"/>
      <c r="R285" s="235"/>
      <c r="S285" s="235"/>
      <c r="T285" s="235"/>
      <c r="U285" s="235"/>
      <c r="V285" s="235"/>
      <c r="W285" s="235"/>
      <c r="X285" s="235"/>
      <c r="Y285" s="235"/>
      <c r="Z285" s="235"/>
      <c r="AA285" s="235"/>
      <c r="AB285" s="235"/>
      <c r="AC285" s="235"/>
      <c r="AD285" s="235"/>
      <c r="AE285" s="236"/>
      <c r="AF285" s="235"/>
      <c r="AG285" s="235"/>
      <c r="AH285" s="235"/>
      <c r="AI285" s="235"/>
      <c r="AJ285" s="236"/>
      <c r="AK285" s="235"/>
      <c r="AL285" s="235"/>
      <c r="AM285" s="235"/>
      <c r="AN285" s="235"/>
      <c r="AO285" s="235"/>
      <c r="AP285" s="235"/>
      <c r="AQ285" s="235"/>
      <c r="AR285" s="235"/>
      <c r="AS285" s="235"/>
      <c r="AT285" s="235"/>
      <c r="AU285" s="236"/>
      <c r="AV285" s="235"/>
      <c r="AW285" s="235"/>
      <c r="AX285" s="235"/>
      <c r="AY285" s="235"/>
      <c r="AZ285" s="235"/>
      <c r="BA285" s="235"/>
      <c r="BB285" s="235"/>
      <c r="BC285" s="235"/>
      <c r="BD285" s="236"/>
      <c r="BE285" s="235"/>
      <c r="BF285" s="235"/>
      <c r="BG285" s="235"/>
      <c r="BH285" s="235"/>
      <c r="BI285" s="236"/>
      <c r="BJ285" s="236"/>
      <c r="BK285" s="238"/>
      <c r="BL285" s="239"/>
      <c r="BM285" s="239"/>
      <c r="BN285" s="340"/>
      <c r="BP285" s="236"/>
      <c r="BQ285" s="236"/>
      <c r="BR285" s="236"/>
      <c r="BS285" s="236"/>
      <c r="BT285" s="236"/>
      <c r="BU285" s="236"/>
      <c r="BV285" s="236"/>
      <c r="BW285" s="236"/>
      <c r="BX285" s="236"/>
      <c r="BY285" s="236"/>
      <c r="BZ285" s="236"/>
      <c r="CA285" s="236"/>
      <c r="CB285" s="236"/>
      <c r="CC285" s="236"/>
      <c r="CD285" s="236"/>
      <c r="CE285" s="236"/>
      <c r="CF285" s="236"/>
      <c r="CG285" s="236"/>
      <c r="CH285" s="236"/>
      <c r="CI285" s="236"/>
      <c r="CJ285" s="236"/>
      <c r="CK285" s="236"/>
      <c r="CL285" s="236"/>
      <c r="CM285" s="236"/>
      <c r="CN285" s="236"/>
      <c r="CO285" s="236"/>
    </row>
    <row r="286" spans="5:93" s="230" customFormat="1">
      <c r="E286" s="234"/>
      <c r="F286" s="235"/>
      <c r="G286" s="235"/>
      <c r="H286" s="236"/>
      <c r="I286" s="235"/>
      <c r="J286" s="235"/>
      <c r="K286" s="235"/>
      <c r="L286" s="235"/>
      <c r="M286" s="236"/>
      <c r="N286" s="235"/>
      <c r="O286" s="235"/>
      <c r="P286" s="235"/>
      <c r="Q286" s="235"/>
      <c r="R286" s="235"/>
      <c r="S286" s="235"/>
      <c r="T286" s="235"/>
      <c r="U286" s="235"/>
      <c r="V286" s="235"/>
      <c r="W286" s="235"/>
      <c r="X286" s="235"/>
      <c r="Y286" s="235"/>
      <c r="Z286" s="235"/>
      <c r="AA286" s="235"/>
      <c r="AB286" s="235"/>
      <c r="AC286" s="235"/>
      <c r="AD286" s="235"/>
      <c r="AE286" s="236"/>
      <c r="AF286" s="235"/>
      <c r="AG286" s="235"/>
      <c r="AH286" s="235"/>
      <c r="AI286" s="235"/>
      <c r="AJ286" s="236"/>
      <c r="AK286" s="235"/>
      <c r="AL286" s="235"/>
      <c r="AM286" s="235"/>
      <c r="AN286" s="235"/>
      <c r="AO286" s="235"/>
      <c r="AP286" s="235"/>
      <c r="AQ286" s="235"/>
      <c r="AR286" s="235"/>
      <c r="AS286" s="235"/>
      <c r="AT286" s="235"/>
      <c r="AU286" s="236"/>
      <c r="AV286" s="235"/>
      <c r="AW286" s="235"/>
      <c r="AX286" s="235"/>
      <c r="AY286" s="235"/>
      <c r="AZ286" s="235"/>
      <c r="BA286" s="235"/>
      <c r="BB286" s="235"/>
      <c r="BC286" s="235"/>
      <c r="BD286" s="236"/>
      <c r="BE286" s="235"/>
      <c r="BF286" s="235"/>
      <c r="BG286" s="235"/>
      <c r="BH286" s="235"/>
      <c r="BI286" s="236"/>
      <c r="BJ286" s="236"/>
      <c r="BK286" s="238"/>
      <c r="BL286" s="239"/>
      <c r="BM286" s="239"/>
      <c r="BN286" s="340"/>
      <c r="BP286" s="236"/>
      <c r="BQ286" s="236"/>
      <c r="BR286" s="236"/>
      <c r="BS286" s="236"/>
      <c r="BT286" s="236"/>
      <c r="BU286" s="236"/>
      <c r="BV286" s="236"/>
      <c r="BW286" s="236"/>
      <c r="BX286" s="236"/>
      <c r="BY286" s="236"/>
      <c r="BZ286" s="236"/>
      <c r="CA286" s="236"/>
      <c r="CB286" s="236"/>
      <c r="CC286" s="236"/>
      <c r="CD286" s="236"/>
      <c r="CE286" s="236"/>
      <c r="CF286" s="236"/>
      <c r="CG286" s="236"/>
      <c r="CH286" s="236"/>
      <c r="CI286" s="236"/>
      <c r="CJ286" s="236"/>
      <c r="CK286" s="236"/>
      <c r="CL286" s="236"/>
      <c r="CM286" s="236"/>
      <c r="CN286" s="236"/>
      <c r="CO286" s="236"/>
    </row>
    <row r="287" spans="5:93" s="230" customFormat="1">
      <c r="E287" s="234"/>
      <c r="F287" s="235"/>
      <c r="G287" s="235"/>
      <c r="H287" s="236"/>
      <c r="I287" s="235"/>
      <c r="J287" s="235"/>
      <c r="K287" s="235"/>
      <c r="L287" s="235"/>
      <c r="M287" s="236"/>
      <c r="N287" s="235"/>
      <c r="O287" s="235"/>
      <c r="P287" s="235"/>
      <c r="Q287" s="235"/>
      <c r="R287" s="235"/>
      <c r="S287" s="235"/>
      <c r="T287" s="235"/>
      <c r="U287" s="235"/>
      <c r="V287" s="235"/>
      <c r="W287" s="235"/>
      <c r="X287" s="235"/>
      <c r="Y287" s="235"/>
      <c r="Z287" s="235"/>
      <c r="AA287" s="235"/>
      <c r="AB287" s="235"/>
      <c r="AC287" s="235"/>
      <c r="AD287" s="235"/>
      <c r="AE287" s="236"/>
      <c r="AF287" s="235"/>
      <c r="AG287" s="235"/>
      <c r="AH287" s="235"/>
      <c r="AI287" s="235"/>
      <c r="AJ287" s="236"/>
      <c r="AK287" s="235"/>
      <c r="AL287" s="235"/>
      <c r="AM287" s="235"/>
      <c r="AN287" s="235"/>
      <c r="AO287" s="235"/>
      <c r="AP287" s="235"/>
      <c r="AQ287" s="235"/>
      <c r="AR287" s="235"/>
      <c r="AS287" s="235"/>
      <c r="AT287" s="235"/>
      <c r="AU287" s="236"/>
      <c r="AV287" s="235"/>
      <c r="AW287" s="235"/>
      <c r="AX287" s="235"/>
      <c r="AY287" s="235"/>
      <c r="AZ287" s="235"/>
      <c r="BA287" s="235"/>
      <c r="BB287" s="235"/>
      <c r="BC287" s="235"/>
      <c r="BD287" s="236"/>
      <c r="BE287" s="235"/>
      <c r="BF287" s="235"/>
      <c r="BG287" s="235"/>
      <c r="BH287" s="235"/>
      <c r="BI287" s="236"/>
      <c r="BJ287" s="236"/>
      <c r="BK287" s="238"/>
      <c r="BL287" s="239"/>
      <c r="BM287" s="239"/>
      <c r="BN287" s="340"/>
      <c r="BP287" s="236"/>
      <c r="BQ287" s="236"/>
      <c r="BR287" s="236"/>
      <c r="BS287" s="236"/>
      <c r="BT287" s="236"/>
      <c r="BU287" s="236"/>
      <c r="BV287" s="236"/>
      <c r="BW287" s="236"/>
      <c r="BX287" s="236"/>
      <c r="BY287" s="236"/>
      <c r="BZ287" s="236"/>
      <c r="CA287" s="236"/>
      <c r="CB287" s="236"/>
      <c r="CC287" s="236"/>
      <c r="CD287" s="236"/>
      <c r="CE287" s="236"/>
      <c r="CF287" s="236"/>
      <c r="CG287" s="236"/>
      <c r="CH287" s="236"/>
      <c r="CI287" s="236"/>
      <c r="CJ287" s="236"/>
      <c r="CK287" s="236"/>
      <c r="CL287" s="236"/>
      <c r="CM287" s="236"/>
      <c r="CN287" s="236"/>
      <c r="CO287" s="236"/>
    </row>
    <row r="288" spans="5:93" s="230" customFormat="1">
      <c r="E288" s="234"/>
      <c r="F288" s="235"/>
      <c r="G288" s="235"/>
      <c r="H288" s="236"/>
      <c r="I288" s="235"/>
      <c r="J288" s="235"/>
      <c r="K288" s="235"/>
      <c r="L288" s="235"/>
      <c r="M288" s="236"/>
      <c r="N288" s="235"/>
      <c r="O288" s="235"/>
      <c r="P288" s="235"/>
      <c r="Q288" s="235"/>
      <c r="R288" s="235"/>
      <c r="S288" s="235"/>
      <c r="T288" s="235"/>
      <c r="U288" s="235"/>
      <c r="V288" s="235"/>
      <c r="W288" s="235"/>
      <c r="X288" s="235"/>
      <c r="Y288" s="235"/>
      <c r="Z288" s="235"/>
      <c r="AA288" s="235"/>
      <c r="AB288" s="235"/>
      <c r="AC288" s="235"/>
      <c r="AD288" s="235"/>
      <c r="AE288" s="236"/>
      <c r="AF288" s="235"/>
      <c r="AG288" s="235"/>
      <c r="AH288" s="235"/>
      <c r="AI288" s="235"/>
      <c r="AJ288" s="236"/>
      <c r="AK288" s="235"/>
      <c r="AL288" s="235"/>
      <c r="AM288" s="235"/>
      <c r="AN288" s="235"/>
      <c r="AO288" s="235"/>
      <c r="AP288" s="235"/>
      <c r="AQ288" s="235"/>
      <c r="AR288" s="235"/>
      <c r="AS288" s="235"/>
      <c r="AT288" s="235"/>
      <c r="AU288" s="236"/>
      <c r="AV288" s="235"/>
      <c r="AW288" s="235"/>
      <c r="AX288" s="235"/>
      <c r="AY288" s="235"/>
      <c r="AZ288" s="235"/>
      <c r="BA288" s="235"/>
      <c r="BB288" s="235"/>
      <c r="BC288" s="235"/>
      <c r="BD288" s="236"/>
      <c r="BE288" s="235"/>
      <c r="BF288" s="235"/>
      <c r="BG288" s="235"/>
      <c r="BH288" s="235"/>
      <c r="BI288" s="236"/>
      <c r="BJ288" s="236"/>
      <c r="BK288" s="238"/>
      <c r="BL288" s="239"/>
      <c r="BM288" s="239"/>
      <c r="BN288" s="340"/>
      <c r="BP288" s="236"/>
      <c r="BQ288" s="236"/>
      <c r="BR288" s="236"/>
      <c r="BS288" s="236"/>
      <c r="BT288" s="236"/>
      <c r="BU288" s="236"/>
      <c r="BV288" s="236"/>
      <c r="BW288" s="236"/>
      <c r="BX288" s="236"/>
      <c r="BY288" s="236"/>
      <c r="BZ288" s="236"/>
      <c r="CA288" s="236"/>
      <c r="CB288" s="236"/>
      <c r="CC288" s="236"/>
      <c r="CD288" s="236"/>
      <c r="CE288" s="236"/>
      <c r="CF288" s="236"/>
      <c r="CG288" s="236"/>
      <c r="CH288" s="236"/>
      <c r="CI288" s="236"/>
      <c r="CJ288" s="236"/>
      <c r="CK288" s="236"/>
      <c r="CL288" s="236"/>
      <c r="CM288" s="236"/>
      <c r="CN288" s="236"/>
      <c r="CO288" s="236"/>
    </row>
    <row r="289" spans="5:93" s="230" customFormat="1">
      <c r="E289" s="234"/>
      <c r="F289" s="235"/>
      <c r="G289" s="235"/>
      <c r="H289" s="236"/>
      <c r="I289" s="235"/>
      <c r="J289" s="235"/>
      <c r="K289" s="235"/>
      <c r="L289" s="235"/>
      <c r="M289" s="236"/>
      <c r="N289" s="235"/>
      <c r="O289" s="235"/>
      <c r="P289" s="235"/>
      <c r="Q289" s="235"/>
      <c r="R289" s="235"/>
      <c r="S289" s="235"/>
      <c r="T289" s="235"/>
      <c r="U289" s="235"/>
      <c r="V289" s="235"/>
      <c r="W289" s="235"/>
      <c r="X289" s="235"/>
      <c r="Y289" s="235"/>
      <c r="Z289" s="235"/>
      <c r="AA289" s="235"/>
      <c r="AB289" s="235"/>
      <c r="AC289" s="235"/>
      <c r="AD289" s="235"/>
      <c r="AE289" s="236"/>
      <c r="AF289" s="235"/>
      <c r="AG289" s="235"/>
      <c r="AH289" s="235"/>
      <c r="AI289" s="235"/>
      <c r="AJ289" s="236"/>
      <c r="AK289" s="235"/>
      <c r="AL289" s="235"/>
      <c r="AM289" s="235"/>
      <c r="AN289" s="235"/>
      <c r="AO289" s="235"/>
      <c r="AP289" s="235"/>
      <c r="AQ289" s="235"/>
      <c r="AR289" s="235"/>
      <c r="AS289" s="235"/>
      <c r="AT289" s="235"/>
      <c r="AU289" s="236"/>
      <c r="AV289" s="235"/>
      <c r="AW289" s="235"/>
      <c r="AX289" s="235"/>
      <c r="AY289" s="235"/>
      <c r="AZ289" s="235"/>
      <c r="BA289" s="235"/>
      <c r="BB289" s="235"/>
      <c r="BC289" s="235"/>
      <c r="BD289" s="236"/>
      <c r="BE289" s="235"/>
      <c r="BF289" s="235"/>
      <c r="BG289" s="235"/>
      <c r="BH289" s="235"/>
      <c r="BI289" s="236"/>
      <c r="BJ289" s="236"/>
      <c r="BK289" s="238"/>
      <c r="BL289" s="239"/>
      <c r="BM289" s="239"/>
      <c r="BN289" s="340"/>
      <c r="BP289" s="236"/>
      <c r="BQ289" s="236"/>
      <c r="BR289" s="236"/>
      <c r="BS289" s="236"/>
      <c r="BT289" s="236"/>
      <c r="BU289" s="236"/>
      <c r="BV289" s="236"/>
      <c r="BW289" s="236"/>
      <c r="BX289" s="236"/>
      <c r="BY289" s="236"/>
      <c r="BZ289" s="236"/>
      <c r="CA289" s="236"/>
      <c r="CB289" s="236"/>
      <c r="CC289" s="236"/>
      <c r="CD289" s="236"/>
      <c r="CE289" s="236"/>
      <c r="CF289" s="236"/>
      <c r="CG289" s="236"/>
      <c r="CH289" s="236"/>
      <c r="CI289" s="236"/>
      <c r="CJ289" s="236"/>
      <c r="CK289" s="236"/>
      <c r="CL289" s="236"/>
      <c r="CM289" s="236"/>
      <c r="CN289" s="236"/>
      <c r="CO289" s="236"/>
    </row>
    <row r="290" spans="5:93" s="230" customFormat="1">
      <c r="E290" s="234"/>
      <c r="F290" s="235"/>
      <c r="G290" s="235"/>
      <c r="H290" s="236"/>
      <c r="I290" s="235"/>
      <c r="J290" s="235"/>
      <c r="K290" s="235"/>
      <c r="L290" s="235"/>
      <c r="M290" s="236"/>
      <c r="N290" s="235"/>
      <c r="O290" s="235"/>
      <c r="P290" s="235"/>
      <c r="Q290" s="235"/>
      <c r="R290" s="235"/>
      <c r="S290" s="235"/>
      <c r="T290" s="235"/>
      <c r="U290" s="235"/>
      <c r="V290" s="235"/>
      <c r="W290" s="235"/>
      <c r="X290" s="235"/>
      <c r="Y290" s="235"/>
      <c r="Z290" s="235"/>
      <c r="AA290" s="235"/>
      <c r="AB290" s="235"/>
      <c r="AC290" s="235"/>
      <c r="AD290" s="235"/>
      <c r="AE290" s="236"/>
      <c r="AF290" s="235"/>
      <c r="AG290" s="235"/>
      <c r="AH290" s="235"/>
      <c r="AI290" s="235"/>
      <c r="AJ290" s="236"/>
      <c r="AK290" s="235"/>
      <c r="AL290" s="235"/>
      <c r="AM290" s="235"/>
      <c r="AN290" s="235"/>
      <c r="AO290" s="235"/>
      <c r="AP290" s="235"/>
      <c r="AQ290" s="235"/>
      <c r="AR290" s="235"/>
      <c r="AS290" s="235"/>
      <c r="AT290" s="235"/>
      <c r="AU290" s="236"/>
      <c r="AV290" s="235"/>
      <c r="AW290" s="235"/>
      <c r="AX290" s="235"/>
      <c r="AY290" s="235"/>
      <c r="AZ290" s="235"/>
      <c r="BA290" s="235"/>
      <c r="BB290" s="235"/>
      <c r="BC290" s="235"/>
      <c r="BD290" s="236"/>
      <c r="BE290" s="235"/>
      <c r="BF290" s="235"/>
      <c r="BG290" s="235"/>
      <c r="BH290" s="235"/>
      <c r="BI290" s="236"/>
      <c r="BJ290" s="236"/>
      <c r="BK290" s="238"/>
      <c r="BL290" s="239"/>
      <c r="BM290" s="239"/>
      <c r="BN290" s="340"/>
      <c r="BP290" s="236"/>
      <c r="BQ290" s="236"/>
      <c r="BR290" s="236"/>
      <c r="BS290" s="236"/>
      <c r="BT290" s="236"/>
      <c r="BU290" s="236"/>
      <c r="BV290" s="236"/>
      <c r="BW290" s="236"/>
      <c r="BX290" s="236"/>
      <c r="BY290" s="236"/>
      <c r="BZ290" s="236"/>
      <c r="CA290" s="236"/>
      <c r="CB290" s="236"/>
      <c r="CC290" s="236"/>
      <c r="CD290" s="236"/>
      <c r="CE290" s="236"/>
      <c r="CF290" s="236"/>
      <c r="CG290" s="236"/>
      <c r="CH290" s="236"/>
      <c r="CI290" s="236"/>
      <c r="CJ290" s="236"/>
      <c r="CK290" s="236"/>
      <c r="CL290" s="236"/>
      <c r="CM290" s="236"/>
      <c r="CN290" s="236"/>
      <c r="CO290" s="236"/>
    </row>
    <row r="291" spans="5:93" s="230" customFormat="1">
      <c r="E291" s="234"/>
      <c r="F291" s="235"/>
      <c r="G291" s="235"/>
      <c r="H291" s="236"/>
      <c r="I291" s="235"/>
      <c r="J291" s="235"/>
      <c r="K291" s="235"/>
      <c r="L291" s="235"/>
      <c r="M291" s="236"/>
      <c r="N291" s="235"/>
      <c r="O291" s="235"/>
      <c r="P291" s="235"/>
      <c r="Q291" s="235"/>
      <c r="R291" s="235"/>
      <c r="S291" s="235"/>
      <c r="T291" s="235"/>
      <c r="U291" s="235"/>
      <c r="V291" s="235"/>
      <c r="W291" s="235"/>
      <c r="X291" s="235"/>
      <c r="Y291" s="235"/>
      <c r="Z291" s="235"/>
      <c r="AA291" s="235"/>
      <c r="AB291" s="235"/>
      <c r="AC291" s="235"/>
      <c r="AD291" s="235"/>
      <c r="AE291" s="236"/>
      <c r="AF291" s="235"/>
      <c r="AG291" s="235"/>
      <c r="AH291" s="235"/>
      <c r="AI291" s="235"/>
      <c r="AJ291" s="236"/>
      <c r="AK291" s="235"/>
      <c r="AL291" s="235"/>
      <c r="AM291" s="235"/>
      <c r="AN291" s="235"/>
      <c r="AO291" s="235"/>
      <c r="AP291" s="235"/>
      <c r="AQ291" s="235"/>
      <c r="AR291" s="235"/>
      <c r="AS291" s="235"/>
      <c r="AT291" s="235"/>
      <c r="AU291" s="236"/>
      <c r="AV291" s="235"/>
      <c r="AW291" s="235"/>
      <c r="AX291" s="235"/>
      <c r="AY291" s="235"/>
      <c r="AZ291" s="235"/>
      <c r="BA291" s="235"/>
      <c r="BB291" s="235"/>
      <c r="BC291" s="235"/>
      <c r="BD291" s="236"/>
      <c r="BE291" s="235"/>
      <c r="BF291" s="235"/>
      <c r="BG291" s="235"/>
      <c r="BH291" s="235"/>
      <c r="BI291" s="236"/>
      <c r="BJ291" s="236"/>
      <c r="BK291" s="238"/>
      <c r="BL291" s="239"/>
      <c r="BM291" s="239"/>
      <c r="BN291" s="340"/>
      <c r="BP291" s="236"/>
      <c r="BQ291" s="236"/>
      <c r="BR291" s="236"/>
      <c r="BS291" s="236"/>
      <c r="BT291" s="236"/>
      <c r="BU291" s="236"/>
      <c r="BV291" s="236"/>
      <c r="BW291" s="236"/>
      <c r="BX291" s="236"/>
      <c r="BY291" s="236"/>
      <c r="BZ291" s="236"/>
      <c r="CA291" s="236"/>
      <c r="CB291" s="236"/>
      <c r="CC291" s="236"/>
      <c r="CD291" s="236"/>
      <c r="CE291" s="236"/>
      <c r="CF291" s="236"/>
      <c r="CG291" s="236"/>
      <c r="CH291" s="236"/>
      <c r="CI291" s="236"/>
      <c r="CJ291" s="236"/>
      <c r="CK291" s="236"/>
      <c r="CL291" s="236"/>
      <c r="CM291" s="236"/>
      <c r="CN291" s="236"/>
      <c r="CO291" s="236"/>
    </row>
    <row r="292" spans="5:93" s="230" customFormat="1">
      <c r="E292" s="234"/>
      <c r="F292" s="235"/>
      <c r="G292" s="235"/>
      <c r="H292" s="236"/>
      <c r="I292" s="235"/>
      <c r="J292" s="235"/>
      <c r="K292" s="235"/>
      <c r="L292" s="235"/>
      <c r="M292" s="236"/>
      <c r="N292" s="235"/>
      <c r="O292" s="235"/>
      <c r="P292" s="235"/>
      <c r="Q292" s="235"/>
      <c r="R292" s="235"/>
      <c r="S292" s="235"/>
      <c r="T292" s="235"/>
      <c r="U292" s="235"/>
      <c r="V292" s="235"/>
      <c r="W292" s="235"/>
      <c r="X292" s="235"/>
      <c r="Y292" s="235"/>
      <c r="Z292" s="235"/>
      <c r="AA292" s="235"/>
      <c r="AB292" s="235"/>
      <c r="AC292" s="235"/>
      <c r="AD292" s="235"/>
      <c r="AE292" s="236"/>
      <c r="AF292" s="235"/>
      <c r="AG292" s="235"/>
      <c r="AH292" s="235"/>
      <c r="AI292" s="235"/>
      <c r="AJ292" s="236"/>
      <c r="AK292" s="235"/>
      <c r="AL292" s="235"/>
      <c r="AM292" s="235"/>
      <c r="AN292" s="235"/>
      <c r="AO292" s="235"/>
      <c r="AP292" s="235"/>
      <c r="AQ292" s="235"/>
      <c r="AR292" s="235"/>
      <c r="AS292" s="235"/>
      <c r="AT292" s="235"/>
      <c r="AU292" s="236"/>
      <c r="AV292" s="235"/>
      <c r="AW292" s="235"/>
      <c r="AX292" s="235"/>
      <c r="AY292" s="235"/>
      <c r="AZ292" s="235"/>
      <c r="BA292" s="235"/>
      <c r="BB292" s="235"/>
      <c r="BC292" s="235"/>
      <c r="BD292" s="236"/>
      <c r="BE292" s="235"/>
      <c r="BF292" s="235"/>
      <c r="BG292" s="235"/>
      <c r="BH292" s="235"/>
      <c r="BI292" s="236"/>
      <c r="BJ292" s="236"/>
      <c r="BK292" s="238"/>
      <c r="BL292" s="239"/>
      <c r="BM292" s="239"/>
      <c r="BN292" s="340"/>
      <c r="BP292" s="236"/>
      <c r="BQ292" s="236"/>
      <c r="BR292" s="236"/>
      <c r="BS292" s="236"/>
      <c r="BT292" s="236"/>
      <c r="BU292" s="236"/>
      <c r="BV292" s="236"/>
      <c r="BW292" s="236"/>
      <c r="BX292" s="236"/>
      <c r="BY292" s="236"/>
      <c r="BZ292" s="236"/>
      <c r="CA292" s="236"/>
      <c r="CB292" s="236"/>
      <c r="CC292" s="236"/>
      <c r="CD292" s="236"/>
      <c r="CE292" s="236"/>
      <c r="CF292" s="236"/>
      <c r="CG292" s="236"/>
      <c r="CH292" s="236"/>
      <c r="CI292" s="236"/>
      <c r="CJ292" s="236"/>
      <c r="CK292" s="236"/>
      <c r="CL292" s="236"/>
      <c r="CM292" s="236"/>
      <c r="CN292" s="236"/>
      <c r="CO292" s="236"/>
    </row>
    <row r="293" spans="5:93" s="230" customFormat="1">
      <c r="E293" s="234"/>
      <c r="F293" s="235"/>
      <c r="G293" s="235"/>
      <c r="H293" s="236"/>
      <c r="I293" s="235"/>
      <c r="J293" s="235"/>
      <c r="K293" s="235"/>
      <c r="L293" s="235"/>
      <c r="M293" s="236"/>
      <c r="N293" s="235"/>
      <c r="O293" s="235"/>
      <c r="P293" s="235"/>
      <c r="Q293" s="235"/>
      <c r="R293" s="235"/>
      <c r="S293" s="235"/>
      <c r="T293" s="235"/>
      <c r="U293" s="235"/>
      <c r="V293" s="235"/>
      <c r="W293" s="235"/>
      <c r="X293" s="235"/>
      <c r="Y293" s="235"/>
      <c r="Z293" s="235"/>
      <c r="AA293" s="235"/>
      <c r="AB293" s="235"/>
      <c r="AC293" s="235"/>
      <c r="AD293" s="235"/>
      <c r="AE293" s="236"/>
      <c r="AF293" s="235"/>
      <c r="AG293" s="235"/>
      <c r="AH293" s="235"/>
      <c r="AI293" s="235"/>
      <c r="AJ293" s="236"/>
      <c r="AK293" s="235"/>
      <c r="AL293" s="235"/>
      <c r="AM293" s="235"/>
      <c r="AN293" s="235"/>
      <c r="AO293" s="235"/>
      <c r="AP293" s="235"/>
      <c r="AQ293" s="235"/>
      <c r="AR293" s="235"/>
      <c r="AS293" s="235"/>
      <c r="AT293" s="235"/>
      <c r="AU293" s="236"/>
      <c r="AV293" s="235"/>
      <c r="AW293" s="235"/>
      <c r="AX293" s="235"/>
      <c r="AY293" s="235"/>
      <c r="AZ293" s="235"/>
      <c r="BA293" s="235"/>
      <c r="BB293" s="235"/>
      <c r="BC293" s="235"/>
      <c r="BD293" s="236"/>
      <c r="BE293" s="235"/>
      <c r="BF293" s="235"/>
      <c r="BG293" s="235"/>
      <c r="BH293" s="235"/>
      <c r="BI293" s="236"/>
      <c r="BJ293" s="236"/>
      <c r="BK293" s="238"/>
      <c r="BL293" s="239"/>
      <c r="BM293" s="239"/>
      <c r="BN293" s="340"/>
      <c r="BP293" s="236"/>
      <c r="BQ293" s="236"/>
      <c r="BR293" s="236"/>
      <c r="BS293" s="236"/>
      <c r="BT293" s="236"/>
      <c r="BU293" s="236"/>
      <c r="BV293" s="236"/>
      <c r="BW293" s="236"/>
      <c r="BX293" s="236"/>
      <c r="BY293" s="236"/>
      <c r="BZ293" s="236"/>
      <c r="CA293" s="236"/>
      <c r="CB293" s="236"/>
      <c r="CC293" s="236"/>
      <c r="CD293" s="236"/>
      <c r="CE293" s="236"/>
      <c r="CF293" s="236"/>
      <c r="CG293" s="236"/>
      <c r="CH293" s="236"/>
      <c r="CI293" s="236"/>
      <c r="CJ293" s="236"/>
      <c r="CK293" s="236"/>
      <c r="CL293" s="236"/>
      <c r="CM293" s="236"/>
      <c r="CN293" s="236"/>
      <c r="CO293" s="236"/>
    </row>
    <row r="294" spans="5:93" s="230" customFormat="1">
      <c r="E294" s="234"/>
      <c r="F294" s="235"/>
      <c r="G294" s="235"/>
      <c r="H294" s="236"/>
      <c r="I294" s="235"/>
      <c r="J294" s="235"/>
      <c r="K294" s="235"/>
      <c r="L294" s="235"/>
      <c r="M294" s="236"/>
      <c r="N294" s="235"/>
      <c r="O294" s="235"/>
      <c r="P294" s="235"/>
      <c r="Q294" s="235"/>
      <c r="R294" s="235"/>
      <c r="S294" s="235"/>
      <c r="T294" s="235"/>
      <c r="U294" s="235"/>
      <c r="V294" s="235"/>
      <c r="W294" s="235"/>
      <c r="X294" s="235"/>
      <c r="Y294" s="235"/>
      <c r="Z294" s="235"/>
      <c r="AA294" s="235"/>
      <c r="AB294" s="235"/>
      <c r="AC294" s="235"/>
      <c r="AD294" s="235"/>
      <c r="AE294" s="236"/>
      <c r="AF294" s="235"/>
      <c r="AG294" s="235"/>
      <c r="AH294" s="235"/>
      <c r="AI294" s="235"/>
      <c r="AJ294" s="236"/>
      <c r="AK294" s="235"/>
      <c r="AL294" s="235"/>
      <c r="AM294" s="235"/>
      <c r="AN294" s="235"/>
      <c r="AO294" s="235"/>
      <c r="AP294" s="235"/>
      <c r="AQ294" s="235"/>
      <c r="AR294" s="235"/>
      <c r="AS294" s="235"/>
      <c r="AT294" s="235"/>
      <c r="AU294" s="236"/>
      <c r="AV294" s="235"/>
      <c r="AW294" s="235"/>
      <c r="AX294" s="235"/>
      <c r="AY294" s="235"/>
      <c r="AZ294" s="235"/>
      <c r="BA294" s="235"/>
      <c r="BB294" s="235"/>
      <c r="BC294" s="235"/>
      <c r="BD294" s="236"/>
      <c r="BE294" s="235"/>
      <c r="BF294" s="235"/>
      <c r="BG294" s="235"/>
      <c r="BH294" s="235"/>
      <c r="BI294" s="236"/>
      <c r="BJ294" s="236"/>
      <c r="BK294" s="238"/>
      <c r="BL294" s="239"/>
      <c r="BM294" s="239"/>
      <c r="BN294" s="340"/>
      <c r="BP294" s="236"/>
      <c r="BQ294" s="236"/>
      <c r="BR294" s="236"/>
      <c r="BS294" s="236"/>
      <c r="BT294" s="236"/>
      <c r="BU294" s="236"/>
      <c r="BV294" s="236"/>
      <c r="BW294" s="236"/>
      <c r="BX294" s="236"/>
      <c r="BY294" s="236"/>
      <c r="BZ294" s="236"/>
      <c r="CA294" s="236"/>
      <c r="CB294" s="236"/>
      <c r="CC294" s="236"/>
      <c r="CD294" s="236"/>
      <c r="CE294" s="236"/>
      <c r="CF294" s="236"/>
      <c r="CG294" s="236"/>
      <c r="CH294" s="236"/>
      <c r="CI294" s="236"/>
      <c r="CJ294" s="236"/>
      <c r="CK294" s="236"/>
      <c r="CL294" s="236"/>
      <c r="CM294" s="236"/>
      <c r="CN294" s="236"/>
      <c r="CO294" s="236"/>
    </row>
    <row r="295" spans="5:93" s="230" customFormat="1">
      <c r="E295" s="234"/>
      <c r="F295" s="235"/>
      <c r="G295" s="235"/>
      <c r="H295" s="236"/>
      <c r="I295" s="235"/>
      <c r="J295" s="235"/>
      <c r="K295" s="235"/>
      <c r="L295" s="235"/>
      <c r="M295" s="236"/>
      <c r="N295" s="235"/>
      <c r="O295" s="235"/>
      <c r="P295" s="235"/>
      <c r="Q295" s="235"/>
      <c r="R295" s="235"/>
      <c r="S295" s="235"/>
      <c r="T295" s="235"/>
      <c r="U295" s="235"/>
      <c r="V295" s="235"/>
      <c r="W295" s="235"/>
      <c r="X295" s="235"/>
      <c r="Y295" s="235"/>
      <c r="Z295" s="235"/>
      <c r="AA295" s="235"/>
      <c r="AB295" s="235"/>
      <c r="AC295" s="235"/>
      <c r="AD295" s="235"/>
      <c r="AE295" s="236"/>
      <c r="AF295" s="235"/>
      <c r="AG295" s="235"/>
      <c r="AH295" s="235"/>
      <c r="AI295" s="235"/>
      <c r="AJ295" s="236"/>
      <c r="AK295" s="235"/>
      <c r="AL295" s="235"/>
      <c r="AM295" s="235"/>
      <c r="AN295" s="235"/>
      <c r="AO295" s="235"/>
      <c r="AP295" s="235"/>
      <c r="AQ295" s="235"/>
      <c r="AR295" s="235"/>
      <c r="AS295" s="235"/>
      <c r="AT295" s="235"/>
      <c r="AU295" s="236"/>
      <c r="AV295" s="235"/>
      <c r="AW295" s="235"/>
      <c r="AX295" s="235"/>
      <c r="AY295" s="235"/>
      <c r="AZ295" s="235"/>
      <c r="BA295" s="235"/>
      <c r="BB295" s="235"/>
      <c r="BC295" s="235"/>
      <c r="BD295" s="236"/>
      <c r="BE295" s="235"/>
      <c r="BF295" s="235"/>
      <c r="BG295" s="235"/>
      <c r="BH295" s="235"/>
      <c r="BI295" s="236"/>
      <c r="BJ295" s="236"/>
      <c r="BK295" s="238"/>
      <c r="BL295" s="239"/>
      <c r="BM295" s="239"/>
      <c r="BN295" s="340"/>
      <c r="BP295" s="236"/>
      <c r="BQ295" s="236"/>
      <c r="BR295" s="236"/>
      <c r="BS295" s="236"/>
      <c r="BT295" s="236"/>
      <c r="BU295" s="236"/>
      <c r="BV295" s="236"/>
      <c r="BW295" s="236"/>
      <c r="BX295" s="236"/>
      <c r="BY295" s="236"/>
      <c r="BZ295" s="236"/>
      <c r="CA295" s="236"/>
      <c r="CB295" s="236"/>
      <c r="CC295" s="236"/>
      <c r="CD295" s="236"/>
      <c r="CE295" s="236"/>
      <c r="CF295" s="236"/>
      <c r="CG295" s="236"/>
      <c r="CH295" s="236"/>
      <c r="CI295" s="236"/>
      <c r="CJ295" s="236"/>
      <c r="CK295" s="236"/>
      <c r="CL295" s="236"/>
      <c r="CM295" s="236"/>
      <c r="CN295" s="236"/>
      <c r="CO295" s="236"/>
    </row>
    <row r="296" spans="5:93" s="230" customFormat="1">
      <c r="E296" s="234"/>
      <c r="F296" s="235"/>
      <c r="G296" s="235"/>
      <c r="H296" s="236"/>
      <c r="I296" s="235"/>
      <c r="J296" s="235"/>
      <c r="K296" s="235"/>
      <c r="L296" s="235"/>
      <c r="M296" s="236"/>
      <c r="N296" s="235"/>
      <c r="O296" s="235"/>
      <c r="P296" s="235"/>
      <c r="Q296" s="235"/>
      <c r="R296" s="235"/>
      <c r="S296" s="235"/>
      <c r="T296" s="235"/>
      <c r="U296" s="235"/>
      <c r="V296" s="235"/>
      <c r="W296" s="235"/>
      <c r="X296" s="235"/>
      <c r="Y296" s="235"/>
      <c r="Z296" s="235"/>
      <c r="AA296" s="235"/>
      <c r="AB296" s="235"/>
      <c r="AC296" s="235"/>
      <c r="AD296" s="235"/>
      <c r="AE296" s="236"/>
      <c r="AF296" s="235"/>
      <c r="AG296" s="235"/>
      <c r="AH296" s="235"/>
      <c r="AI296" s="235"/>
      <c r="AJ296" s="236"/>
      <c r="AK296" s="235"/>
      <c r="AL296" s="235"/>
      <c r="AM296" s="235"/>
      <c r="AN296" s="235"/>
      <c r="AO296" s="235"/>
      <c r="AP296" s="235"/>
      <c r="AQ296" s="235"/>
      <c r="AR296" s="235"/>
      <c r="AS296" s="235"/>
      <c r="AT296" s="235"/>
      <c r="AU296" s="236"/>
      <c r="AV296" s="235"/>
      <c r="AW296" s="235"/>
      <c r="AX296" s="235"/>
      <c r="AY296" s="235"/>
      <c r="AZ296" s="235"/>
      <c r="BA296" s="235"/>
      <c r="BB296" s="235"/>
      <c r="BC296" s="235"/>
      <c r="BD296" s="236"/>
      <c r="BE296" s="235"/>
      <c r="BF296" s="235"/>
      <c r="BG296" s="235"/>
      <c r="BH296" s="235"/>
      <c r="BI296" s="236"/>
      <c r="BJ296" s="236"/>
      <c r="BK296" s="238"/>
      <c r="BL296" s="239"/>
      <c r="BM296" s="239"/>
      <c r="BN296" s="340"/>
      <c r="BP296" s="236"/>
      <c r="BQ296" s="236"/>
      <c r="BR296" s="236"/>
      <c r="BS296" s="236"/>
      <c r="BT296" s="236"/>
      <c r="BU296" s="236"/>
      <c r="BV296" s="236"/>
      <c r="BW296" s="236"/>
      <c r="BX296" s="236"/>
      <c r="BY296" s="236"/>
      <c r="BZ296" s="236"/>
      <c r="CA296" s="236"/>
      <c r="CB296" s="236"/>
      <c r="CC296" s="236"/>
      <c r="CD296" s="236"/>
      <c r="CE296" s="236"/>
      <c r="CF296" s="236"/>
      <c r="CG296" s="236"/>
      <c r="CH296" s="236"/>
      <c r="CI296" s="236"/>
      <c r="CJ296" s="236"/>
      <c r="CK296" s="236"/>
      <c r="CL296" s="236"/>
      <c r="CM296" s="236"/>
      <c r="CN296" s="236"/>
      <c r="CO296" s="236"/>
    </row>
    <row r="297" spans="5:93" s="230" customFormat="1">
      <c r="E297" s="234"/>
      <c r="F297" s="235"/>
      <c r="G297" s="235"/>
      <c r="H297" s="236"/>
      <c r="I297" s="235"/>
      <c r="J297" s="235"/>
      <c r="K297" s="235"/>
      <c r="L297" s="235"/>
      <c r="M297" s="236"/>
      <c r="N297" s="235"/>
      <c r="O297" s="235"/>
      <c r="P297" s="235"/>
      <c r="Q297" s="235"/>
      <c r="R297" s="235"/>
      <c r="S297" s="235"/>
      <c r="T297" s="235"/>
      <c r="U297" s="235"/>
      <c r="V297" s="235"/>
      <c r="W297" s="235"/>
      <c r="X297" s="235"/>
      <c r="Y297" s="235"/>
      <c r="Z297" s="235"/>
      <c r="AA297" s="235"/>
      <c r="AB297" s="235"/>
      <c r="AC297" s="235"/>
      <c r="AD297" s="235"/>
      <c r="AE297" s="236"/>
      <c r="AF297" s="235"/>
      <c r="AG297" s="235"/>
      <c r="AH297" s="235"/>
      <c r="AI297" s="235"/>
      <c r="AJ297" s="236"/>
      <c r="AK297" s="235"/>
      <c r="AL297" s="235"/>
      <c r="AM297" s="235"/>
      <c r="AN297" s="235"/>
      <c r="AO297" s="235"/>
      <c r="AP297" s="235"/>
      <c r="AQ297" s="235"/>
      <c r="AR297" s="235"/>
      <c r="AS297" s="235"/>
      <c r="AT297" s="235"/>
      <c r="AU297" s="236"/>
      <c r="AV297" s="235"/>
      <c r="AW297" s="235"/>
      <c r="AX297" s="235"/>
      <c r="AY297" s="235"/>
      <c r="AZ297" s="235"/>
      <c r="BA297" s="235"/>
      <c r="BB297" s="235"/>
      <c r="BC297" s="235"/>
      <c r="BD297" s="236"/>
      <c r="BE297" s="235"/>
      <c r="BF297" s="235"/>
      <c r="BG297" s="235"/>
      <c r="BH297" s="235"/>
      <c r="BI297" s="236"/>
      <c r="BJ297" s="236"/>
      <c r="BK297" s="238"/>
      <c r="BL297" s="239"/>
      <c r="BM297" s="239"/>
      <c r="BN297" s="340"/>
      <c r="BP297" s="236"/>
      <c r="BQ297" s="236"/>
      <c r="BR297" s="236"/>
      <c r="BS297" s="236"/>
      <c r="BT297" s="236"/>
      <c r="BU297" s="236"/>
      <c r="BV297" s="236"/>
      <c r="BW297" s="236"/>
      <c r="BX297" s="236"/>
      <c r="BY297" s="236"/>
      <c r="BZ297" s="236"/>
      <c r="CA297" s="236"/>
      <c r="CB297" s="236"/>
      <c r="CC297" s="236"/>
      <c r="CD297" s="236"/>
      <c r="CE297" s="236"/>
      <c r="CF297" s="236"/>
      <c r="CG297" s="236"/>
      <c r="CH297" s="236"/>
      <c r="CI297" s="236"/>
      <c r="CJ297" s="236"/>
      <c r="CK297" s="236"/>
      <c r="CL297" s="236"/>
      <c r="CM297" s="236"/>
      <c r="CN297" s="236"/>
      <c r="CO297" s="236"/>
    </row>
    <row r="298" spans="5:93" s="230" customFormat="1">
      <c r="E298" s="234"/>
      <c r="F298" s="235"/>
      <c r="G298" s="235"/>
      <c r="H298" s="236"/>
      <c r="I298" s="235"/>
      <c r="J298" s="235"/>
      <c r="K298" s="235"/>
      <c r="L298" s="235"/>
      <c r="M298" s="236"/>
      <c r="N298" s="235"/>
      <c r="O298" s="235"/>
      <c r="P298" s="235"/>
      <c r="Q298" s="235"/>
      <c r="R298" s="235"/>
      <c r="S298" s="235"/>
      <c r="T298" s="235"/>
      <c r="U298" s="235"/>
      <c r="V298" s="235"/>
      <c r="W298" s="235"/>
      <c r="X298" s="235"/>
      <c r="Y298" s="235"/>
      <c r="Z298" s="235"/>
      <c r="AA298" s="235"/>
      <c r="AB298" s="235"/>
      <c r="AC298" s="235"/>
      <c r="AD298" s="235"/>
      <c r="AE298" s="236"/>
      <c r="AF298" s="235"/>
      <c r="AG298" s="235"/>
      <c r="AH298" s="235"/>
      <c r="AI298" s="235"/>
      <c r="AJ298" s="236"/>
      <c r="AK298" s="235"/>
      <c r="AL298" s="235"/>
      <c r="AM298" s="235"/>
      <c r="AN298" s="235"/>
      <c r="AO298" s="235"/>
      <c r="AP298" s="235"/>
      <c r="AQ298" s="235"/>
      <c r="AR298" s="235"/>
      <c r="AS298" s="235"/>
      <c r="AT298" s="235"/>
      <c r="AU298" s="236"/>
      <c r="AV298" s="235"/>
      <c r="AW298" s="235"/>
      <c r="AX298" s="235"/>
      <c r="AY298" s="235"/>
      <c r="AZ298" s="235"/>
      <c r="BA298" s="235"/>
      <c r="BB298" s="235"/>
      <c r="BC298" s="235"/>
      <c r="BD298" s="236"/>
      <c r="BE298" s="235"/>
      <c r="BF298" s="235"/>
      <c r="BG298" s="235"/>
      <c r="BH298" s="235"/>
      <c r="BI298" s="236"/>
      <c r="BJ298" s="236"/>
      <c r="BK298" s="238"/>
      <c r="BL298" s="239"/>
      <c r="BM298" s="239"/>
      <c r="BN298" s="340"/>
      <c r="BP298" s="236"/>
      <c r="BQ298" s="236"/>
      <c r="BR298" s="236"/>
      <c r="BS298" s="236"/>
      <c r="BT298" s="236"/>
      <c r="BU298" s="236"/>
      <c r="BV298" s="236"/>
      <c r="BW298" s="236"/>
      <c r="BX298" s="236"/>
      <c r="BY298" s="236"/>
      <c r="BZ298" s="236"/>
      <c r="CA298" s="236"/>
      <c r="CB298" s="236"/>
      <c r="CC298" s="236"/>
      <c r="CD298" s="236"/>
      <c r="CE298" s="236"/>
      <c r="CF298" s="236"/>
      <c r="CG298" s="236"/>
      <c r="CH298" s="236"/>
      <c r="CI298" s="236"/>
      <c r="CJ298" s="236"/>
      <c r="CK298" s="236"/>
      <c r="CL298" s="236"/>
      <c r="CM298" s="236"/>
      <c r="CN298" s="236"/>
      <c r="CO298" s="236"/>
    </row>
    <row r="299" spans="5:93" s="230" customFormat="1">
      <c r="E299" s="234"/>
      <c r="F299" s="235"/>
      <c r="G299" s="235"/>
      <c r="H299" s="236"/>
      <c r="I299" s="235"/>
      <c r="J299" s="235"/>
      <c r="K299" s="235"/>
      <c r="L299" s="235"/>
      <c r="M299" s="236"/>
      <c r="N299" s="235"/>
      <c r="O299" s="235"/>
      <c r="P299" s="235"/>
      <c r="Q299" s="235"/>
      <c r="R299" s="235"/>
      <c r="S299" s="235"/>
      <c r="T299" s="235"/>
      <c r="U299" s="235"/>
      <c r="V299" s="235"/>
      <c r="W299" s="235"/>
      <c r="X299" s="235"/>
      <c r="Y299" s="235"/>
      <c r="Z299" s="235"/>
      <c r="AA299" s="235"/>
      <c r="AB299" s="235"/>
      <c r="AC299" s="235"/>
      <c r="AD299" s="235"/>
      <c r="AE299" s="236"/>
      <c r="AF299" s="235"/>
      <c r="AG299" s="235"/>
      <c r="AH299" s="235"/>
      <c r="AI299" s="235"/>
      <c r="AJ299" s="236"/>
      <c r="AK299" s="235"/>
      <c r="AL299" s="235"/>
      <c r="AM299" s="235"/>
      <c r="AN299" s="235"/>
      <c r="AO299" s="235"/>
      <c r="AP299" s="235"/>
      <c r="AQ299" s="235"/>
      <c r="AR299" s="235"/>
      <c r="AS299" s="235"/>
      <c r="AT299" s="235"/>
      <c r="AU299" s="236"/>
      <c r="AV299" s="235"/>
      <c r="AW299" s="235"/>
      <c r="AX299" s="235"/>
      <c r="AY299" s="235"/>
      <c r="AZ299" s="235"/>
      <c r="BA299" s="235"/>
      <c r="BB299" s="235"/>
      <c r="BC299" s="235"/>
      <c r="BD299" s="236"/>
      <c r="BE299" s="235"/>
      <c r="BF299" s="235"/>
      <c r="BG299" s="235"/>
      <c r="BH299" s="235"/>
      <c r="BI299" s="236"/>
      <c r="BJ299" s="236"/>
      <c r="BK299" s="238"/>
      <c r="BL299" s="239"/>
      <c r="BM299" s="239"/>
      <c r="BN299" s="340"/>
      <c r="BP299" s="236"/>
      <c r="BQ299" s="236"/>
      <c r="BR299" s="236"/>
      <c r="BS299" s="236"/>
      <c r="BT299" s="236"/>
      <c r="BU299" s="236"/>
      <c r="BV299" s="236"/>
      <c r="BW299" s="236"/>
      <c r="BX299" s="236"/>
      <c r="BY299" s="236"/>
      <c r="BZ299" s="236"/>
      <c r="CA299" s="236"/>
      <c r="CB299" s="236"/>
      <c r="CC299" s="236"/>
      <c r="CD299" s="236"/>
      <c r="CE299" s="236"/>
      <c r="CF299" s="236"/>
      <c r="CG299" s="236"/>
      <c r="CH299" s="236"/>
      <c r="CI299" s="236"/>
      <c r="CJ299" s="236"/>
      <c r="CK299" s="236"/>
      <c r="CL299" s="236"/>
      <c r="CM299" s="236"/>
      <c r="CN299" s="236"/>
      <c r="CO299" s="236"/>
    </row>
    <row r="300" spans="5:93" s="230" customFormat="1">
      <c r="E300" s="234"/>
      <c r="F300" s="235"/>
      <c r="G300" s="235"/>
      <c r="H300" s="236"/>
      <c r="I300" s="235"/>
      <c r="J300" s="235"/>
      <c r="K300" s="235"/>
      <c r="L300" s="235"/>
      <c r="M300" s="236"/>
      <c r="N300" s="235"/>
      <c r="O300" s="235"/>
      <c r="P300" s="235"/>
      <c r="Q300" s="235"/>
      <c r="R300" s="235"/>
      <c r="S300" s="235"/>
      <c r="T300" s="235"/>
      <c r="U300" s="235"/>
      <c r="V300" s="235"/>
      <c r="W300" s="235"/>
      <c r="X300" s="235"/>
      <c r="Y300" s="235"/>
      <c r="Z300" s="235"/>
      <c r="AA300" s="235"/>
      <c r="AB300" s="235"/>
      <c r="AC300" s="235"/>
      <c r="AD300" s="235"/>
      <c r="AE300" s="236"/>
      <c r="AF300" s="235"/>
      <c r="AG300" s="235"/>
      <c r="AH300" s="235"/>
      <c r="AI300" s="235"/>
      <c r="AJ300" s="236"/>
      <c r="AK300" s="235"/>
      <c r="AL300" s="235"/>
      <c r="AM300" s="235"/>
      <c r="AN300" s="235"/>
      <c r="AO300" s="235"/>
      <c r="AP300" s="235"/>
      <c r="AQ300" s="235"/>
      <c r="AR300" s="235"/>
      <c r="AS300" s="235"/>
      <c r="AT300" s="235"/>
      <c r="AU300" s="236"/>
      <c r="AV300" s="235"/>
      <c r="AW300" s="235"/>
      <c r="AX300" s="235"/>
      <c r="AY300" s="235"/>
      <c r="AZ300" s="235"/>
      <c r="BA300" s="235"/>
      <c r="BB300" s="235"/>
      <c r="BC300" s="235"/>
      <c r="BD300" s="236"/>
      <c r="BE300" s="235"/>
      <c r="BF300" s="235"/>
      <c r="BG300" s="235"/>
      <c r="BH300" s="235"/>
      <c r="BI300" s="236"/>
      <c r="BJ300" s="236"/>
      <c r="BK300" s="238"/>
      <c r="BL300" s="239"/>
      <c r="BM300" s="239"/>
      <c r="BN300" s="340"/>
      <c r="BP300" s="236"/>
      <c r="BQ300" s="236"/>
      <c r="BR300" s="236"/>
      <c r="BS300" s="236"/>
      <c r="BT300" s="236"/>
      <c r="BU300" s="236"/>
      <c r="BV300" s="236"/>
      <c r="BW300" s="236"/>
      <c r="BX300" s="236"/>
      <c r="BY300" s="236"/>
      <c r="BZ300" s="236"/>
      <c r="CA300" s="236"/>
      <c r="CB300" s="236"/>
      <c r="CC300" s="236"/>
      <c r="CD300" s="236"/>
      <c r="CE300" s="236"/>
      <c r="CF300" s="236"/>
      <c r="CG300" s="236"/>
      <c r="CH300" s="236"/>
      <c r="CI300" s="236"/>
      <c r="CJ300" s="236"/>
      <c r="CK300" s="236"/>
      <c r="CL300" s="236"/>
      <c r="CM300" s="236"/>
      <c r="CN300" s="236"/>
      <c r="CO300" s="236"/>
    </row>
    <row r="301" spans="5:93" s="230" customFormat="1">
      <c r="E301" s="234"/>
      <c r="F301" s="235"/>
      <c r="G301" s="235"/>
      <c r="H301" s="236"/>
      <c r="I301" s="235"/>
      <c r="J301" s="235"/>
      <c r="K301" s="235"/>
      <c r="L301" s="235"/>
      <c r="M301" s="236"/>
      <c r="N301" s="235"/>
      <c r="O301" s="235"/>
      <c r="P301" s="235"/>
      <c r="Q301" s="235"/>
      <c r="R301" s="235"/>
      <c r="S301" s="235"/>
      <c r="T301" s="235"/>
      <c r="U301" s="235"/>
      <c r="V301" s="235"/>
      <c r="W301" s="235"/>
      <c r="X301" s="235"/>
      <c r="Y301" s="235"/>
      <c r="Z301" s="235"/>
      <c r="AA301" s="235"/>
      <c r="AB301" s="235"/>
      <c r="AC301" s="235"/>
      <c r="AD301" s="235"/>
      <c r="AE301" s="236"/>
      <c r="AF301" s="235"/>
      <c r="AG301" s="235"/>
      <c r="AH301" s="235"/>
      <c r="AI301" s="235"/>
      <c r="AJ301" s="236"/>
      <c r="AK301" s="235"/>
      <c r="AL301" s="235"/>
      <c r="AM301" s="235"/>
      <c r="AN301" s="235"/>
      <c r="AO301" s="235"/>
      <c r="AP301" s="235"/>
      <c r="AQ301" s="235"/>
      <c r="AR301" s="235"/>
      <c r="AS301" s="235"/>
      <c r="AT301" s="235"/>
      <c r="AU301" s="236"/>
      <c r="AV301" s="235"/>
      <c r="AW301" s="235"/>
      <c r="AX301" s="235"/>
      <c r="AY301" s="235"/>
      <c r="AZ301" s="235"/>
      <c r="BA301" s="235"/>
      <c r="BB301" s="235"/>
      <c r="BC301" s="235"/>
      <c r="BD301" s="236"/>
      <c r="BE301" s="235"/>
      <c r="BF301" s="235"/>
      <c r="BG301" s="235"/>
      <c r="BH301" s="235"/>
      <c r="BI301" s="236"/>
      <c r="BJ301" s="236"/>
      <c r="BK301" s="238"/>
      <c r="BL301" s="239"/>
      <c r="BM301" s="239"/>
      <c r="BN301" s="340"/>
      <c r="BP301" s="236"/>
      <c r="BQ301" s="236"/>
      <c r="BR301" s="236"/>
      <c r="BS301" s="236"/>
      <c r="BT301" s="236"/>
      <c r="BU301" s="236"/>
      <c r="BV301" s="236"/>
      <c r="BW301" s="236"/>
      <c r="BX301" s="236"/>
      <c r="BY301" s="236"/>
      <c r="BZ301" s="236"/>
      <c r="CA301" s="236"/>
      <c r="CB301" s="236"/>
      <c r="CC301" s="236"/>
      <c r="CD301" s="236"/>
      <c r="CE301" s="236"/>
      <c r="CF301" s="236"/>
      <c r="CG301" s="236"/>
      <c r="CH301" s="236"/>
      <c r="CI301" s="236"/>
      <c r="CJ301" s="236"/>
      <c r="CK301" s="236"/>
      <c r="CL301" s="236"/>
      <c r="CM301" s="236"/>
      <c r="CN301" s="236"/>
      <c r="CO301" s="236"/>
    </row>
    <row r="302" spans="5:93" s="230" customFormat="1">
      <c r="E302" s="234"/>
      <c r="F302" s="235"/>
      <c r="G302" s="235"/>
      <c r="H302" s="236"/>
      <c r="I302" s="235"/>
      <c r="J302" s="235"/>
      <c r="K302" s="235"/>
      <c r="L302" s="235"/>
      <c r="M302" s="236"/>
      <c r="N302" s="235"/>
      <c r="O302" s="235"/>
      <c r="P302" s="235"/>
      <c r="Q302" s="235"/>
      <c r="R302" s="235"/>
      <c r="S302" s="235"/>
      <c r="T302" s="235"/>
      <c r="U302" s="235"/>
      <c r="V302" s="235"/>
      <c r="W302" s="235"/>
      <c r="X302" s="235"/>
      <c r="Y302" s="235"/>
      <c r="Z302" s="235"/>
      <c r="AA302" s="235"/>
      <c r="AB302" s="235"/>
      <c r="AC302" s="235"/>
      <c r="AD302" s="235"/>
      <c r="AE302" s="236"/>
      <c r="AF302" s="235"/>
      <c r="AG302" s="235"/>
      <c r="AH302" s="235"/>
      <c r="AI302" s="235"/>
      <c r="AJ302" s="236"/>
      <c r="AK302" s="235"/>
      <c r="AL302" s="235"/>
      <c r="AM302" s="235"/>
      <c r="AN302" s="235"/>
      <c r="AO302" s="235"/>
      <c r="AP302" s="235"/>
      <c r="AQ302" s="235"/>
      <c r="AR302" s="235"/>
      <c r="AS302" s="235"/>
      <c r="AT302" s="235"/>
      <c r="AU302" s="236"/>
      <c r="AV302" s="235"/>
      <c r="AW302" s="235"/>
      <c r="AX302" s="235"/>
      <c r="AY302" s="235"/>
      <c r="AZ302" s="235"/>
      <c r="BA302" s="235"/>
      <c r="BB302" s="235"/>
      <c r="BC302" s="235"/>
      <c r="BD302" s="236"/>
      <c r="BE302" s="235"/>
      <c r="BF302" s="235"/>
      <c r="BG302" s="235"/>
      <c r="BH302" s="235"/>
      <c r="BI302" s="236"/>
      <c r="BJ302" s="236"/>
      <c r="BK302" s="238"/>
      <c r="BL302" s="239"/>
      <c r="BM302" s="239"/>
      <c r="BN302" s="340"/>
      <c r="BP302" s="236"/>
      <c r="BQ302" s="236"/>
      <c r="BR302" s="236"/>
      <c r="BS302" s="236"/>
      <c r="BT302" s="236"/>
      <c r="BU302" s="236"/>
      <c r="BV302" s="236"/>
      <c r="BW302" s="236"/>
      <c r="BX302" s="236"/>
      <c r="BY302" s="236"/>
      <c r="BZ302" s="236"/>
      <c r="CA302" s="236"/>
      <c r="CB302" s="236"/>
      <c r="CC302" s="236"/>
      <c r="CD302" s="236"/>
      <c r="CE302" s="236"/>
      <c r="CF302" s="236"/>
      <c r="CG302" s="236"/>
      <c r="CH302" s="236"/>
      <c r="CI302" s="236"/>
      <c r="CJ302" s="236"/>
      <c r="CK302" s="236"/>
      <c r="CL302" s="236"/>
      <c r="CM302" s="236"/>
      <c r="CN302" s="236"/>
      <c r="CO302" s="236"/>
    </row>
    <row r="303" spans="5:93" s="230" customFormat="1">
      <c r="E303" s="234"/>
      <c r="F303" s="235"/>
      <c r="G303" s="235"/>
      <c r="H303" s="236"/>
      <c r="I303" s="235"/>
      <c r="J303" s="235"/>
      <c r="K303" s="235"/>
      <c r="L303" s="235"/>
      <c r="M303" s="236"/>
      <c r="N303" s="235"/>
      <c r="O303" s="235"/>
      <c r="P303" s="235"/>
      <c r="Q303" s="235"/>
      <c r="R303" s="235"/>
      <c r="S303" s="235"/>
      <c r="T303" s="235"/>
      <c r="U303" s="235"/>
      <c r="V303" s="235"/>
      <c r="W303" s="235"/>
      <c r="X303" s="235"/>
      <c r="Y303" s="235"/>
      <c r="Z303" s="235"/>
      <c r="AA303" s="235"/>
      <c r="AB303" s="235"/>
      <c r="AC303" s="235"/>
      <c r="AD303" s="235"/>
      <c r="AE303" s="236"/>
      <c r="AF303" s="235"/>
      <c r="AG303" s="235"/>
      <c r="AH303" s="235"/>
      <c r="AI303" s="235"/>
      <c r="AJ303" s="236"/>
      <c r="AK303" s="235"/>
      <c r="AL303" s="235"/>
      <c r="AM303" s="235"/>
      <c r="AN303" s="235"/>
      <c r="AO303" s="235"/>
      <c r="AP303" s="235"/>
      <c r="AQ303" s="235"/>
      <c r="AR303" s="235"/>
      <c r="AS303" s="235"/>
      <c r="AT303" s="235"/>
      <c r="AU303" s="236"/>
      <c r="AV303" s="235"/>
      <c r="AW303" s="235"/>
      <c r="AX303" s="235"/>
      <c r="AY303" s="235"/>
      <c r="AZ303" s="235"/>
      <c r="BA303" s="235"/>
      <c r="BB303" s="235"/>
      <c r="BC303" s="235"/>
      <c r="BD303" s="236"/>
      <c r="BE303" s="235"/>
      <c r="BF303" s="235"/>
      <c r="BG303" s="235"/>
      <c r="BH303" s="235"/>
      <c r="BI303" s="236"/>
      <c r="BJ303" s="236"/>
      <c r="BK303" s="238"/>
      <c r="BL303" s="239"/>
      <c r="BM303" s="239"/>
      <c r="BN303" s="340"/>
      <c r="BP303" s="236"/>
      <c r="BQ303" s="236"/>
      <c r="BR303" s="236"/>
      <c r="BS303" s="236"/>
      <c r="BT303" s="236"/>
      <c r="BU303" s="236"/>
      <c r="BV303" s="236"/>
      <c r="BW303" s="236"/>
      <c r="BX303" s="236"/>
      <c r="BY303" s="236"/>
      <c r="BZ303" s="236"/>
      <c r="CA303" s="236"/>
      <c r="CB303" s="236"/>
      <c r="CC303" s="236"/>
      <c r="CD303" s="236"/>
      <c r="CE303" s="236"/>
      <c r="CF303" s="236"/>
      <c r="CG303" s="236"/>
      <c r="CH303" s="236"/>
      <c r="CI303" s="236"/>
      <c r="CJ303" s="236"/>
      <c r="CK303" s="236"/>
      <c r="CL303" s="236"/>
      <c r="CM303" s="236"/>
      <c r="CN303" s="236"/>
      <c r="CO303" s="236"/>
    </row>
    <row r="304" spans="5:93" s="230" customFormat="1">
      <c r="E304" s="234"/>
      <c r="F304" s="235"/>
      <c r="G304" s="235"/>
      <c r="H304" s="236"/>
      <c r="I304" s="235"/>
      <c r="J304" s="235"/>
      <c r="K304" s="235"/>
      <c r="L304" s="235"/>
      <c r="M304" s="236"/>
      <c r="N304" s="235"/>
      <c r="O304" s="235"/>
      <c r="P304" s="235"/>
      <c r="Q304" s="235"/>
      <c r="R304" s="235"/>
      <c r="S304" s="235"/>
      <c r="T304" s="235"/>
      <c r="U304" s="235"/>
      <c r="V304" s="235"/>
      <c r="W304" s="235"/>
      <c r="X304" s="235"/>
      <c r="Y304" s="235"/>
      <c r="Z304" s="235"/>
      <c r="AA304" s="235"/>
      <c r="AB304" s="235"/>
      <c r="AC304" s="235"/>
      <c r="AD304" s="235"/>
      <c r="AE304" s="236"/>
      <c r="AF304" s="235"/>
      <c r="AG304" s="235"/>
      <c r="AH304" s="235"/>
      <c r="AI304" s="235"/>
      <c r="AJ304" s="236"/>
      <c r="AK304" s="235"/>
      <c r="AL304" s="235"/>
      <c r="AM304" s="235"/>
      <c r="AN304" s="235"/>
      <c r="AO304" s="235"/>
      <c r="AP304" s="235"/>
      <c r="AQ304" s="235"/>
      <c r="AR304" s="235"/>
      <c r="AS304" s="235"/>
      <c r="AT304" s="235"/>
      <c r="AU304" s="236"/>
      <c r="AV304" s="235"/>
      <c r="AW304" s="235"/>
      <c r="AX304" s="235"/>
      <c r="AY304" s="235"/>
      <c r="AZ304" s="235"/>
      <c r="BA304" s="235"/>
      <c r="BB304" s="235"/>
      <c r="BC304" s="235"/>
      <c r="BD304" s="236"/>
      <c r="BE304" s="235"/>
      <c r="BF304" s="235"/>
      <c r="BG304" s="235"/>
      <c r="BH304" s="235"/>
      <c r="BI304" s="236"/>
      <c r="BJ304" s="236"/>
      <c r="BK304" s="238"/>
      <c r="BL304" s="239"/>
      <c r="BM304" s="239"/>
      <c r="BN304" s="340"/>
      <c r="BP304" s="236"/>
      <c r="BQ304" s="236"/>
      <c r="BR304" s="236"/>
      <c r="BS304" s="236"/>
      <c r="BT304" s="236"/>
      <c r="BU304" s="236"/>
      <c r="BV304" s="236"/>
      <c r="BW304" s="236"/>
      <c r="BX304" s="236"/>
      <c r="BY304" s="236"/>
      <c r="BZ304" s="236"/>
      <c r="CA304" s="236"/>
      <c r="CB304" s="236"/>
      <c r="CC304" s="236"/>
      <c r="CD304" s="236"/>
      <c r="CE304" s="236"/>
      <c r="CF304" s="236"/>
      <c r="CG304" s="236"/>
      <c r="CH304" s="236"/>
      <c r="CI304" s="236"/>
      <c r="CJ304" s="236"/>
      <c r="CK304" s="236"/>
      <c r="CL304" s="236"/>
      <c r="CM304" s="236"/>
      <c r="CN304" s="236"/>
      <c r="CO304" s="236"/>
    </row>
    <row r="305" spans="5:93" s="230" customFormat="1">
      <c r="E305" s="234"/>
      <c r="F305" s="235"/>
      <c r="G305" s="235"/>
      <c r="H305" s="236"/>
      <c r="I305" s="235"/>
      <c r="J305" s="235"/>
      <c r="K305" s="235"/>
      <c r="L305" s="235"/>
      <c r="M305" s="236"/>
      <c r="N305" s="235"/>
      <c r="O305" s="235"/>
      <c r="P305" s="235"/>
      <c r="Q305" s="235"/>
      <c r="R305" s="235"/>
      <c r="S305" s="235"/>
      <c r="T305" s="235"/>
      <c r="U305" s="235"/>
      <c r="V305" s="235"/>
      <c r="W305" s="235"/>
      <c r="X305" s="235"/>
      <c r="Y305" s="235"/>
      <c r="Z305" s="235"/>
      <c r="AA305" s="235"/>
      <c r="AB305" s="235"/>
      <c r="AC305" s="235"/>
      <c r="AD305" s="235"/>
      <c r="AE305" s="236"/>
      <c r="AF305" s="235"/>
      <c r="AG305" s="235"/>
      <c r="AH305" s="235"/>
      <c r="AI305" s="235"/>
      <c r="AJ305" s="236"/>
      <c r="AK305" s="235"/>
      <c r="AL305" s="235"/>
      <c r="AM305" s="235"/>
      <c r="AN305" s="235"/>
      <c r="AO305" s="235"/>
      <c r="AP305" s="235"/>
      <c r="AQ305" s="235"/>
      <c r="AR305" s="235"/>
      <c r="AS305" s="235"/>
      <c r="AT305" s="235"/>
      <c r="AU305" s="236"/>
      <c r="AV305" s="235"/>
      <c r="AW305" s="235"/>
      <c r="AX305" s="235"/>
      <c r="AY305" s="235"/>
      <c r="AZ305" s="235"/>
      <c r="BA305" s="235"/>
      <c r="BB305" s="235"/>
      <c r="BC305" s="235"/>
      <c r="BD305" s="236"/>
      <c r="BE305" s="235"/>
      <c r="BF305" s="235"/>
      <c r="BG305" s="235"/>
      <c r="BH305" s="235"/>
      <c r="BI305" s="236"/>
      <c r="BJ305" s="236"/>
      <c r="BK305" s="238"/>
      <c r="BL305" s="239"/>
      <c r="BM305" s="239"/>
      <c r="BN305" s="340"/>
      <c r="BP305" s="236"/>
      <c r="BQ305" s="236"/>
      <c r="BR305" s="236"/>
      <c r="BS305" s="236"/>
      <c r="BT305" s="236"/>
      <c r="BU305" s="236"/>
      <c r="BV305" s="236"/>
      <c r="BW305" s="236"/>
      <c r="BX305" s="236"/>
      <c r="BY305" s="236"/>
      <c r="BZ305" s="236"/>
      <c r="CA305" s="236"/>
      <c r="CB305" s="236"/>
      <c r="CC305" s="236"/>
      <c r="CD305" s="236"/>
      <c r="CE305" s="236"/>
      <c r="CF305" s="236"/>
      <c r="CG305" s="236"/>
      <c r="CH305" s="236"/>
      <c r="CI305" s="236"/>
      <c r="CJ305" s="236"/>
      <c r="CK305" s="236"/>
      <c r="CL305" s="236"/>
      <c r="CM305" s="236"/>
      <c r="CN305" s="236"/>
      <c r="CO305" s="236"/>
    </row>
    <row r="306" spans="5:93" s="230" customFormat="1">
      <c r="E306" s="234"/>
      <c r="F306" s="235"/>
      <c r="G306" s="235"/>
      <c r="H306" s="236"/>
      <c r="I306" s="235"/>
      <c r="J306" s="235"/>
      <c r="K306" s="235"/>
      <c r="L306" s="235"/>
      <c r="M306" s="236"/>
      <c r="N306" s="235"/>
      <c r="O306" s="235"/>
      <c r="P306" s="235"/>
      <c r="Q306" s="235"/>
      <c r="R306" s="235"/>
      <c r="S306" s="235"/>
      <c r="T306" s="235"/>
      <c r="U306" s="235"/>
      <c r="V306" s="235"/>
      <c r="W306" s="235"/>
      <c r="X306" s="235"/>
      <c r="Y306" s="235"/>
      <c r="Z306" s="235"/>
      <c r="AA306" s="235"/>
      <c r="AB306" s="235"/>
      <c r="AC306" s="235"/>
      <c r="AD306" s="235"/>
      <c r="AE306" s="236"/>
      <c r="AF306" s="235"/>
      <c r="AG306" s="235"/>
      <c r="AH306" s="235"/>
      <c r="AI306" s="235"/>
      <c r="AJ306" s="236"/>
      <c r="AK306" s="235"/>
      <c r="AL306" s="235"/>
      <c r="AM306" s="235"/>
      <c r="AN306" s="235"/>
      <c r="AO306" s="235"/>
      <c r="AP306" s="235"/>
      <c r="AQ306" s="235"/>
      <c r="AR306" s="235"/>
      <c r="AS306" s="235"/>
      <c r="AT306" s="235"/>
      <c r="AU306" s="236"/>
      <c r="AV306" s="235"/>
      <c r="AW306" s="235"/>
      <c r="AX306" s="235"/>
      <c r="AY306" s="235"/>
      <c r="AZ306" s="235"/>
      <c r="BA306" s="235"/>
      <c r="BB306" s="235"/>
      <c r="BC306" s="235"/>
      <c r="BD306" s="236"/>
      <c r="BE306" s="235"/>
      <c r="BF306" s="235"/>
      <c r="BG306" s="235"/>
      <c r="BH306" s="235"/>
      <c r="BI306" s="236"/>
      <c r="BJ306" s="236"/>
      <c r="BK306" s="238"/>
      <c r="BL306" s="239"/>
      <c r="BM306" s="239"/>
      <c r="BN306" s="340"/>
      <c r="BP306" s="236"/>
      <c r="BQ306" s="236"/>
      <c r="BR306" s="236"/>
      <c r="BS306" s="236"/>
      <c r="BT306" s="236"/>
      <c r="BU306" s="236"/>
      <c r="BV306" s="236"/>
      <c r="BW306" s="236"/>
      <c r="BX306" s="236"/>
      <c r="BY306" s="236"/>
      <c r="BZ306" s="236"/>
      <c r="CA306" s="236"/>
      <c r="CB306" s="236"/>
      <c r="CC306" s="236"/>
      <c r="CD306" s="236"/>
      <c r="CE306" s="236"/>
      <c r="CF306" s="236"/>
      <c r="CG306" s="236"/>
      <c r="CH306" s="236"/>
      <c r="CI306" s="236"/>
      <c r="CJ306" s="236"/>
      <c r="CK306" s="236"/>
      <c r="CL306" s="236"/>
      <c r="CM306" s="236"/>
      <c r="CN306" s="236"/>
      <c r="CO306" s="236"/>
    </row>
    <row r="307" spans="5:93" s="230" customFormat="1">
      <c r="E307" s="234"/>
      <c r="F307" s="235"/>
      <c r="G307" s="235"/>
      <c r="H307" s="236"/>
      <c r="I307" s="235"/>
      <c r="J307" s="235"/>
      <c r="K307" s="235"/>
      <c r="L307" s="235"/>
      <c r="M307" s="236"/>
      <c r="N307" s="235"/>
      <c r="O307" s="235"/>
      <c r="P307" s="235"/>
      <c r="Q307" s="235"/>
      <c r="R307" s="235"/>
      <c r="S307" s="235"/>
      <c r="T307" s="235"/>
      <c r="U307" s="235"/>
      <c r="V307" s="235"/>
      <c r="W307" s="235"/>
      <c r="X307" s="235"/>
      <c r="Y307" s="235"/>
      <c r="Z307" s="235"/>
      <c r="AA307" s="235"/>
      <c r="AB307" s="235"/>
      <c r="AC307" s="235"/>
      <c r="AD307" s="235"/>
      <c r="AE307" s="236"/>
      <c r="AF307" s="235"/>
      <c r="AG307" s="235"/>
      <c r="AH307" s="235"/>
      <c r="AI307" s="235"/>
      <c r="AJ307" s="236"/>
      <c r="AK307" s="235"/>
      <c r="AL307" s="235"/>
      <c r="AM307" s="235"/>
      <c r="AN307" s="235"/>
      <c r="AO307" s="235"/>
      <c r="AP307" s="235"/>
      <c r="AQ307" s="235"/>
      <c r="AR307" s="235"/>
      <c r="AS307" s="235"/>
      <c r="AT307" s="235"/>
      <c r="AU307" s="236"/>
      <c r="AV307" s="235"/>
      <c r="AW307" s="235"/>
      <c r="AX307" s="235"/>
      <c r="AY307" s="235"/>
      <c r="AZ307" s="235"/>
      <c r="BA307" s="235"/>
      <c r="BB307" s="235"/>
      <c r="BC307" s="235"/>
      <c r="BD307" s="236"/>
      <c r="BE307" s="235"/>
      <c r="BF307" s="235"/>
      <c r="BG307" s="235"/>
      <c r="BH307" s="235"/>
      <c r="BI307" s="236"/>
      <c r="BJ307" s="236"/>
      <c r="BK307" s="238"/>
      <c r="BL307" s="239"/>
      <c r="BM307" s="239"/>
      <c r="BN307" s="340"/>
      <c r="BP307" s="236"/>
      <c r="BQ307" s="236"/>
      <c r="BR307" s="236"/>
      <c r="BS307" s="236"/>
      <c r="BT307" s="236"/>
      <c r="BU307" s="236"/>
      <c r="BV307" s="236"/>
      <c r="BW307" s="236"/>
      <c r="BX307" s="236"/>
      <c r="BY307" s="236"/>
      <c r="BZ307" s="236"/>
      <c r="CA307" s="236"/>
      <c r="CB307" s="236"/>
      <c r="CC307" s="236"/>
      <c r="CD307" s="236"/>
      <c r="CE307" s="236"/>
      <c r="CF307" s="236"/>
      <c r="CG307" s="236"/>
      <c r="CH307" s="236"/>
      <c r="CI307" s="236"/>
      <c r="CJ307" s="236"/>
      <c r="CK307" s="236"/>
      <c r="CL307" s="236"/>
      <c r="CM307" s="236"/>
      <c r="CN307" s="236"/>
      <c r="CO307" s="236"/>
    </row>
    <row r="308" spans="5:93" s="230" customFormat="1">
      <c r="E308" s="234"/>
      <c r="F308" s="235"/>
      <c r="G308" s="235"/>
      <c r="H308" s="236"/>
      <c r="I308" s="235"/>
      <c r="J308" s="235"/>
      <c r="K308" s="235"/>
      <c r="L308" s="235"/>
      <c r="M308" s="236"/>
      <c r="N308" s="235"/>
      <c r="O308" s="235"/>
      <c r="P308" s="235"/>
      <c r="Q308" s="235"/>
      <c r="R308" s="235"/>
      <c r="S308" s="235"/>
      <c r="T308" s="235"/>
      <c r="U308" s="235"/>
      <c r="V308" s="235"/>
      <c r="W308" s="235"/>
      <c r="X308" s="235"/>
      <c r="Y308" s="235"/>
      <c r="Z308" s="235"/>
      <c r="AA308" s="235"/>
      <c r="AB308" s="235"/>
      <c r="AC308" s="235"/>
      <c r="AD308" s="235"/>
      <c r="AE308" s="236"/>
      <c r="AF308" s="235"/>
      <c r="AG308" s="235"/>
      <c r="AH308" s="235"/>
      <c r="AI308" s="235"/>
      <c r="AJ308" s="236"/>
      <c r="AK308" s="235"/>
      <c r="AL308" s="235"/>
      <c r="AM308" s="235"/>
      <c r="AN308" s="235"/>
      <c r="AO308" s="235"/>
      <c r="AP308" s="235"/>
      <c r="AQ308" s="235"/>
      <c r="AR308" s="235"/>
      <c r="AS308" s="235"/>
      <c r="AT308" s="235"/>
      <c r="AU308" s="236"/>
      <c r="AV308" s="235"/>
      <c r="AW308" s="235"/>
      <c r="AX308" s="235"/>
      <c r="AY308" s="235"/>
      <c r="AZ308" s="235"/>
      <c r="BA308" s="235"/>
      <c r="BB308" s="235"/>
      <c r="BC308" s="235"/>
      <c r="BD308" s="236"/>
      <c r="BE308" s="235"/>
      <c r="BF308" s="235"/>
      <c r="BG308" s="235"/>
      <c r="BH308" s="235"/>
      <c r="BI308" s="236"/>
      <c r="BJ308" s="236"/>
      <c r="BK308" s="238"/>
      <c r="BL308" s="239"/>
      <c r="BM308" s="239"/>
      <c r="BN308" s="340"/>
      <c r="BP308" s="236"/>
      <c r="BQ308" s="236"/>
      <c r="BR308" s="236"/>
      <c r="BS308" s="236"/>
      <c r="BT308" s="236"/>
      <c r="BU308" s="236"/>
      <c r="BV308" s="236"/>
      <c r="BW308" s="236"/>
      <c r="BX308" s="236"/>
      <c r="BY308" s="236"/>
      <c r="BZ308" s="236"/>
      <c r="CA308" s="236"/>
      <c r="CB308" s="236"/>
      <c r="CC308" s="236"/>
      <c r="CD308" s="236"/>
      <c r="CE308" s="236"/>
      <c r="CF308" s="236"/>
      <c r="CG308" s="236"/>
      <c r="CH308" s="236"/>
      <c r="CI308" s="236"/>
      <c r="CJ308" s="236"/>
      <c r="CK308" s="236"/>
      <c r="CL308" s="236"/>
      <c r="CM308" s="236"/>
      <c r="CN308" s="236"/>
      <c r="CO308" s="236"/>
    </row>
    <row r="309" spans="5:93" s="230" customFormat="1">
      <c r="E309" s="234"/>
      <c r="F309" s="235"/>
      <c r="G309" s="235"/>
      <c r="H309" s="236"/>
      <c r="I309" s="235"/>
      <c r="J309" s="235"/>
      <c r="K309" s="235"/>
      <c r="L309" s="235"/>
      <c r="M309" s="236"/>
      <c r="N309" s="235"/>
      <c r="O309" s="235"/>
      <c r="P309" s="235"/>
      <c r="Q309" s="235"/>
      <c r="R309" s="235"/>
      <c r="S309" s="235"/>
      <c r="T309" s="235"/>
      <c r="U309" s="235"/>
      <c r="V309" s="235"/>
      <c r="W309" s="235"/>
      <c r="X309" s="235"/>
      <c r="Y309" s="235"/>
      <c r="Z309" s="235"/>
      <c r="AA309" s="235"/>
      <c r="AB309" s="235"/>
      <c r="AC309" s="235"/>
      <c r="AD309" s="235"/>
      <c r="AE309" s="236"/>
      <c r="AF309" s="235"/>
      <c r="AG309" s="235"/>
      <c r="AH309" s="235"/>
      <c r="AI309" s="235"/>
      <c r="AJ309" s="236"/>
      <c r="AK309" s="235"/>
      <c r="AL309" s="235"/>
      <c r="AM309" s="235"/>
      <c r="AN309" s="235"/>
      <c r="AO309" s="235"/>
      <c r="AP309" s="235"/>
      <c r="AQ309" s="235"/>
      <c r="AR309" s="235"/>
      <c r="AS309" s="235"/>
      <c r="AT309" s="235"/>
      <c r="AU309" s="236"/>
      <c r="AV309" s="235"/>
      <c r="AW309" s="235"/>
      <c r="AX309" s="235"/>
      <c r="AY309" s="235"/>
      <c r="AZ309" s="235"/>
      <c r="BA309" s="235"/>
      <c r="BB309" s="235"/>
      <c r="BC309" s="235"/>
      <c r="BD309" s="236"/>
      <c r="BE309" s="235"/>
      <c r="BF309" s="235"/>
      <c r="BG309" s="235"/>
      <c r="BH309" s="235"/>
      <c r="BI309" s="236"/>
      <c r="BJ309" s="236"/>
      <c r="BK309" s="238"/>
      <c r="BL309" s="239"/>
      <c r="BM309" s="239"/>
      <c r="BN309" s="340"/>
      <c r="BP309" s="236"/>
      <c r="BQ309" s="236"/>
      <c r="BR309" s="236"/>
      <c r="BS309" s="236"/>
      <c r="BT309" s="236"/>
      <c r="BU309" s="236"/>
      <c r="BV309" s="236"/>
      <c r="BW309" s="236"/>
      <c r="BX309" s="236"/>
      <c r="BY309" s="236"/>
      <c r="BZ309" s="236"/>
      <c r="CA309" s="236"/>
      <c r="CB309" s="236"/>
      <c r="CC309" s="236"/>
      <c r="CD309" s="236"/>
      <c r="CE309" s="236"/>
      <c r="CF309" s="236"/>
      <c r="CG309" s="236"/>
      <c r="CH309" s="236"/>
      <c r="CI309" s="236"/>
      <c r="CJ309" s="236"/>
      <c r="CK309" s="236"/>
      <c r="CL309" s="236"/>
      <c r="CM309" s="236"/>
      <c r="CN309" s="236"/>
      <c r="CO309" s="236"/>
    </row>
    <row r="310" spans="5:93" s="230" customFormat="1">
      <c r="E310" s="234"/>
      <c r="F310" s="235"/>
      <c r="G310" s="235"/>
      <c r="H310" s="236"/>
      <c r="I310" s="235"/>
      <c r="J310" s="235"/>
      <c r="K310" s="235"/>
      <c r="L310" s="235"/>
      <c r="M310" s="236"/>
      <c r="N310" s="235"/>
      <c r="O310" s="235"/>
      <c r="P310" s="235"/>
      <c r="Q310" s="235"/>
      <c r="R310" s="235"/>
      <c r="S310" s="235"/>
      <c r="T310" s="235"/>
      <c r="U310" s="235"/>
      <c r="V310" s="235"/>
      <c r="W310" s="235"/>
      <c r="X310" s="235"/>
      <c r="Y310" s="235"/>
      <c r="Z310" s="235"/>
      <c r="AA310" s="235"/>
      <c r="AB310" s="235"/>
      <c r="AC310" s="235"/>
      <c r="AD310" s="235"/>
      <c r="AE310" s="236"/>
      <c r="AF310" s="235"/>
      <c r="AG310" s="235"/>
      <c r="AH310" s="235"/>
      <c r="AI310" s="235"/>
      <c r="AJ310" s="236"/>
      <c r="AK310" s="235"/>
      <c r="AL310" s="235"/>
      <c r="AM310" s="235"/>
      <c r="AN310" s="235"/>
      <c r="AO310" s="235"/>
      <c r="AP310" s="235"/>
      <c r="AQ310" s="235"/>
      <c r="AR310" s="235"/>
      <c r="AS310" s="235"/>
      <c r="AT310" s="235"/>
      <c r="AU310" s="236"/>
      <c r="AV310" s="235"/>
      <c r="AW310" s="235"/>
      <c r="AX310" s="235"/>
      <c r="AY310" s="235"/>
      <c r="AZ310" s="235"/>
      <c r="BA310" s="235"/>
      <c r="BB310" s="235"/>
      <c r="BC310" s="235"/>
      <c r="BD310" s="236"/>
      <c r="BE310" s="235"/>
      <c r="BF310" s="235"/>
      <c r="BG310" s="235"/>
      <c r="BH310" s="235"/>
      <c r="BI310" s="236"/>
      <c r="BJ310" s="236"/>
      <c r="BK310" s="238"/>
      <c r="BL310" s="239"/>
      <c r="BM310" s="239"/>
      <c r="BN310" s="340"/>
      <c r="BP310" s="236"/>
      <c r="BQ310" s="236"/>
      <c r="BR310" s="236"/>
      <c r="BS310" s="236"/>
      <c r="BT310" s="236"/>
      <c r="BU310" s="236"/>
      <c r="BV310" s="236"/>
      <c r="BW310" s="236"/>
      <c r="BX310" s="236"/>
      <c r="BY310" s="236"/>
      <c r="BZ310" s="236"/>
      <c r="CA310" s="236"/>
      <c r="CB310" s="236"/>
      <c r="CC310" s="236"/>
      <c r="CD310" s="236"/>
      <c r="CE310" s="236"/>
      <c r="CF310" s="236"/>
      <c r="CG310" s="236"/>
      <c r="CH310" s="236"/>
      <c r="CI310" s="236"/>
      <c r="CJ310" s="236"/>
      <c r="CK310" s="236"/>
      <c r="CL310" s="236"/>
      <c r="CM310" s="236"/>
      <c r="CN310" s="236"/>
      <c r="CO310" s="236"/>
    </row>
    <row r="311" spans="5:93" s="230" customFormat="1">
      <c r="E311" s="234"/>
      <c r="F311" s="235"/>
      <c r="G311" s="235"/>
      <c r="H311" s="236"/>
      <c r="I311" s="235"/>
      <c r="J311" s="235"/>
      <c r="K311" s="235"/>
      <c r="L311" s="235"/>
      <c r="M311" s="236"/>
      <c r="N311" s="235"/>
      <c r="O311" s="235"/>
      <c r="P311" s="235"/>
      <c r="Q311" s="235"/>
      <c r="R311" s="235"/>
      <c r="S311" s="235"/>
      <c r="T311" s="235"/>
      <c r="U311" s="235"/>
      <c r="V311" s="235"/>
      <c r="W311" s="235"/>
      <c r="X311" s="235"/>
      <c r="Y311" s="235"/>
      <c r="Z311" s="235"/>
      <c r="AA311" s="235"/>
      <c r="AB311" s="235"/>
      <c r="AC311" s="235"/>
      <c r="AD311" s="235"/>
      <c r="AE311" s="236"/>
      <c r="AF311" s="235"/>
      <c r="AG311" s="235"/>
      <c r="AH311" s="235"/>
      <c r="AI311" s="235"/>
      <c r="AJ311" s="236"/>
      <c r="AK311" s="235"/>
      <c r="AL311" s="235"/>
      <c r="AM311" s="235"/>
      <c r="AN311" s="235"/>
      <c r="AO311" s="235"/>
      <c r="AP311" s="235"/>
      <c r="AQ311" s="235"/>
      <c r="AR311" s="235"/>
      <c r="AS311" s="235"/>
      <c r="AT311" s="235"/>
      <c r="AU311" s="236"/>
      <c r="AV311" s="235"/>
      <c r="AW311" s="235"/>
      <c r="AX311" s="235"/>
      <c r="AY311" s="235"/>
      <c r="AZ311" s="235"/>
      <c r="BA311" s="235"/>
      <c r="BB311" s="235"/>
      <c r="BC311" s="235"/>
      <c r="BD311" s="236"/>
      <c r="BE311" s="235"/>
      <c r="BF311" s="235"/>
      <c r="BG311" s="235"/>
      <c r="BH311" s="235"/>
      <c r="BI311" s="236"/>
      <c r="BJ311" s="236"/>
      <c r="BK311" s="238"/>
      <c r="BL311" s="239"/>
      <c r="BM311" s="239"/>
      <c r="BN311" s="340"/>
      <c r="BP311" s="236"/>
      <c r="BQ311" s="236"/>
      <c r="BR311" s="236"/>
      <c r="BS311" s="236"/>
      <c r="BT311" s="236"/>
      <c r="BU311" s="236"/>
      <c r="BV311" s="236"/>
      <c r="BW311" s="236"/>
      <c r="BX311" s="236"/>
      <c r="BY311" s="236"/>
      <c r="BZ311" s="236"/>
      <c r="CA311" s="236"/>
      <c r="CB311" s="236"/>
      <c r="CC311" s="236"/>
      <c r="CD311" s="236"/>
      <c r="CE311" s="236"/>
      <c r="CF311" s="236"/>
      <c r="CG311" s="236"/>
      <c r="CH311" s="236"/>
      <c r="CI311" s="236"/>
      <c r="CJ311" s="236"/>
      <c r="CK311" s="236"/>
      <c r="CL311" s="236"/>
      <c r="CM311" s="236"/>
      <c r="CN311" s="236"/>
      <c r="CO311" s="236"/>
    </row>
    <row r="312" spans="5:93" s="230" customFormat="1">
      <c r="E312" s="234"/>
      <c r="F312" s="235"/>
      <c r="G312" s="235"/>
      <c r="H312" s="236"/>
      <c r="I312" s="235"/>
      <c r="J312" s="235"/>
      <c r="K312" s="235"/>
      <c r="L312" s="235"/>
      <c r="M312" s="236"/>
      <c r="N312" s="235"/>
      <c r="O312" s="235"/>
      <c r="P312" s="235"/>
      <c r="Q312" s="235"/>
      <c r="R312" s="235"/>
      <c r="S312" s="235"/>
      <c r="T312" s="235"/>
      <c r="U312" s="235"/>
      <c r="V312" s="235"/>
      <c r="W312" s="235"/>
      <c r="X312" s="235"/>
      <c r="Y312" s="235"/>
      <c r="Z312" s="235"/>
      <c r="AA312" s="235"/>
      <c r="AB312" s="235"/>
      <c r="AC312" s="235"/>
      <c r="AD312" s="235"/>
      <c r="AE312" s="236"/>
      <c r="AF312" s="235"/>
      <c r="AG312" s="235"/>
      <c r="AH312" s="235"/>
      <c r="AI312" s="235"/>
      <c r="AJ312" s="236"/>
      <c r="AK312" s="235"/>
      <c r="AL312" s="235"/>
      <c r="AM312" s="235"/>
      <c r="AN312" s="235"/>
      <c r="AO312" s="235"/>
      <c r="AP312" s="235"/>
      <c r="AQ312" s="235"/>
      <c r="AR312" s="235"/>
      <c r="AS312" s="235"/>
      <c r="AT312" s="235"/>
      <c r="AU312" s="236"/>
      <c r="AV312" s="235"/>
      <c r="AW312" s="235"/>
      <c r="AX312" s="235"/>
      <c r="AY312" s="235"/>
      <c r="AZ312" s="235"/>
      <c r="BA312" s="235"/>
      <c r="BB312" s="235"/>
      <c r="BC312" s="235"/>
      <c r="BD312" s="236"/>
      <c r="BE312" s="235"/>
      <c r="BF312" s="235"/>
      <c r="BG312" s="235"/>
      <c r="BH312" s="235"/>
      <c r="BI312" s="236"/>
      <c r="BJ312" s="236"/>
      <c r="BK312" s="238"/>
      <c r="BL312" s="239"/>
      <c r="BM312" s="239"/>
      <c r="BN312" s="340"/>
      <c r="BP312" s="236"/>
      <c r="BQ312" s="236"/>
      <c r="BR312" s="236"/>
      <c r="BS312" s="236"/>
      <c r="BT312" s="236"/>
      <c r="BU312" s="236"/>
      <c r="BV312" s="236"/>
      <c r="BW312" s="236"/>
      <c r="BX312" s="236"/>
      <c r="BY312" s="236"/>
      <c r="BZ312" s="236"/>
      <c r="CA312" s="236"/>
      <c r="CB312" s="236"/>
      <c r="CC312" s="236"/>
      <c r="CD312" s="236"/>
      <c r="CE312" s="236"/>
      <c r="CF312" s="236"/>
      <c r="CG312" s="236"/>
      <c r="CH312" s="236"/>
      <c r="CI312" s="236"/>
      <c r="CJ312" s="236"/>
      <c r="CK312" s="236"/>
      <c r="CL312" s="236"/>
      <c r="CM312" s="236"/>
      <c r="CN312" s="236"/>
      <c r="CO312" s="236"/>
    </row>
    <row r="313" spans="5:93" s="230" customFormat="1">
      <c r="E313" s="234"/>
      <c r="F313" s="235"/>
      <c r="G313" s="235"/>
      <c r="H313" s="236"/>
      <c r="I313" s="235"/>
      <c r="J313" s="235"/>
      <c r="K313" s="235"/>
      <c r="L313" s="235"/>
      <c r="M313" s="236"/>
      <c r="N313" s="235"/>
      <c r="O313" s="235"/>
      <c r="P313" s="235"/>
      <c r="Q313" s="235"/>
      <c r="R313" s="235"/>
      <c r="S313" s="235"/>
      <c r="T313" s="235"/>
      <c r="U313" s="235"/>
      <c r="V313" s="235"/>
      <c r="W313" s="235"/>
      <c r="X313" s="235"/>
      <c r="Y313" s="235"/>
      <c r="Z313" s="235"/>
      <c r="AA313" s="235"/>
      <c r="AB313" s="235"/>
      <c r="AC313" s="235"/>
      <c r="AD313" s="235"/>
      <c r="AE313" s="236"/>
      <c r="AF313" s="235"/>
      <c r="AG313" s="235"/>
      <c r="AH313" s="235"/>
      <c r="AI313" s="235"/>
      <c r="AJ313" s="236"/>
      <c r="AK313" s="235"/>
      <c r="AL313" s="235"/>
      <c r="AM313" s="235"/>
      <c r="AN313" s="235"/>
      <c r="AO313" s="235"/>
      <c r="AP313" s="235"/>
      <c r="AQ313" s="235"/>
      <c r="AR313" s="235"/>
      <c r="AS313" s="235"/>
      <c r="AT313" s="235"/>
      <c r="AU313" s="236"/>
      <c r="AV313" s="235"/>
      <c r="AW313" s="235"/>
      <c r="AX313" s="235"/>
      <c r="AY313" s="235"/>
      <c r="AZ313" s="235"/>
      <c r="BA313" s="235"/>
      <c r="BB313" s="235"/>
      <c r="BC313" s="235"/>
      <c r="BD313" s="236"/>
      <c r="BE313" s="235"/>
      <c r="BF313" s="235"/>
      <c r="BG313" s="235"/>
      <c r="BH313" s="235"/>
      <c r="BI313" s="236"/>
      <c r="BJ313" s="236"/>
      <c r="BK313" s="238"/>
      <c r="BL313" s="239"/>
      <c r="BM313" s="239"/>
      <c r="BN313" s="340"/>
      <c r="BP313" s="236"/>
      <c r="BQ313" s="236"/>
      <c r="BR313" s="236"/>
      <c r="BS313" s="236"/>
      <c r="BT313" s="236"/>
      <c r="BU313" s="236"/>
      <c r="BV313" s="236"/>
      <c r="BW313" s="236"/>
      <c r="BX313" s="236"/>
      <c r="BY313" s="236"/>
      <c r="BZ313" s="236"/>
      <c r="CA313" s="236"/>
      <c r="CB313" s="236"/>
      <c r="CC313" s="236"/>
      <c r="CD313" s="236"/>
      <c r="CE313" s="236"/>
      <c r="CF313" s="236"/>
      <c r="CG313" s="236"/>
      <c r="CH313" s="236"/>
      <c r="CI313" s="236"/>
      <c r="CJ313" s="236"/>
      <c r="CK313" s="236"/>
      <c r="CL313" s="236"/>
      <c r="CM313" s="236"/>
      <c r="CN313" s="236"/>
      <c r="CO313" s="236"/>
    </row>
    <row r="314" spans="5:93" s="230" customFormat="1">
      <c r="E314" s="234"/>
      <c r="F314" s="235"/>
      <c r="G314" s="235"/>
      <c r="H314" s="236"/>
      <c r="I314" s="235"/>
      <c r="J314" s="235"/>
      <c r="K314" s="235"/>
      <c r="L314" s="235"/>
      <c r="M314" s="236"/>
      <c r="N314" s="235"/>
      <c r="O314" s="235"/>
      <c r="P314" s="235"/>
      <c r="Q314" s="235"/>
      <c r="R314" s="235"/>
      <c r="S314" s="235"/>
      <c r="T314" s="235"/>
      <c r="U314" s="235"/>
      <c r="V314" s="235"/>
      <c r="W314" s="235"/>
      <c r="X314" s="235"/>
      <c r="Y314" s="235"/>
      <c r="Z314" s="235"/>
      <c r="AA314" s="235"/>
      <c r="AB314" s="235"/>
      <c r="AC314" s="235"/>
      <c r="AD314" s="235"/>
      <c r="AE314" s="236"/>
      <c r="AF314" s="235"/>
      <c r="AG314" s="235"/>
      <c r="AH314" s="235"/>
      <c r="AI314" s="235"/>
      <c r="AJ314" s="236"/>
      <c r="AK314" s="235"/>
      <c r="AL314" s="235"/>
      <c r="AM314" s="235"/>
      <c r="AN314" s="235"/>
      <c r="AO314" s="235"/>
      <c r="AP314" s="235"/>
      <c r="AQ314" s="235"/>
      <c r="AR314" s="235"/>
      <c r="AS314" s="235"/>
      <c r="AT314" s="235"/>
      <c r="AU314" s="236"/>
      <c r="AV314" s="235"/>
      <c r="AW314" s="235"/>
      <c r="AX314" s="235"/>
      <c r="AY314" s="235"/>
      <c r="AZ314" s="235"/>
      <c r="BA314" s="235"/>
      <c r="BB314" s="235"/>
      <c r="BC314" s="235"/>
      <c r="BD314" s="236"/>
      <c r="BE314" s="235"/>
      <c r="BF314" s="235"/>
      <c r="BG314" s="235"/>
      <c r="BH314" s="235"/>
      <c r="BI314" s="236"/>
      <c r="BJ314" s="236"/>
      <c r="BK314" s="238"/>
      <c r="BL314" s="239"/>
      <c r="BM314" s="239"/>
      <c r="BN314" s="340"/>
      <c r="BP314" s="236"/>
      <c r="BQ314" s="236"/>
      <c r="BR314" s="236"/>
      <c r="BS314" s="236"/>
      <c r="BT314" s="236"/>
      <c r="BU314" s="236"/>
      <c r="BV314" s="236"/>
      <c r="BW314" s="236"/>
      <c r="BX314" s="236"/>
      <c r="BY314" s="236"/>
      <c r="BZ314" s="236"/>
      <c r="CA314" s="236"/>
      <c r="CB314" s="236"/>
      <c r="CC314" s="236"/>
      <c r="CD314" s="236"/>
      <c r="CE314" s="236"/>
      <c r="CF314" s="236"/>
      <c r="CG314" s="236"/>
      <c r="CH314" s="236"/>
      <c r="CI314" s="236"/>
      <c r="CJ314" s="236"/>
      <c r="CK314" s="236"/>
      <c r="CL314" s="236"/>
      <c r="CM314" s="236"/>
      <c r="CN314" s="236"/>
      <c r="CO314" s="236"/>
    </row>
    <row r="315" spans="5:93" s="230" customFormat="1">
      <c r="E315" s="234"/>
      <c r="F315" s="235"/>
      <c r="G315" s="235"/>
      <c r="H315" s="236"/>
      <c r="I315" s="235"/>
      <c r="J315" s="235"/>
      <c r="K315" s="235"/>
      <c r="L315" s="235"/>
      <c r="M315" s="236"/>
      <c r="N315" s="235"/>
      <c r="O315" s="235"/>
      <c r="P315" s="235"/>
      <c r="Q315" s="235"/>
      <c r="R315" s="235"/>
      <c r="S315" s="235"/>
      <c r="T315" s="235"/>
      <c r="U315" s="235"/>
      <c r="V315" s="235"/>
      <c r="W315" s="235"/>
      <c r="X315" s="235"/>
      <c r="Y315" s="235"/>
      <c r="Z315" s="235"/>
      <c r="AA315" s="235"/>
      <c r="AB315" s="235"/>
      <c r="AC315" s="235"/>
      <c r="AD315" s="235"/>
      <c r="AE315" s="236"/>
      <c r="AF315" s="235"/>
      <c r="AG315" s="235"/>
      <c r="AH315" s="235"/>
      <c r="AI315" s="235"/>
      <c r="AJ315" s="236"/>
      <c r="AK315" s="235"/>
      <c r="AL315" s="235"/>
      <c r="AM315" s="235"/>
      <c r="AN315" s="235"/>
      <c r="AO315" s="235"/>
      <c r="AP315" s="235"/>
      <c r="AQ315" s="235"/>
      <c r="AR315" s="235"/>
      <c r="AS315" s="235"/>
      <c r="AT315" s="235"/>
      <c r="AU315" s="236"/>
      <c r="AV315" s="235"/>
      <c r="AW315" s="235"/>
      <c r="AX315" s="235"/>
      <c r="AY315" s="235"/>
      <c r="AZ315" s="235"/>
      <c r="BA315" s="235"/>
      <c r="BB315" s="235"/>
      <c r="BC315" s="235"/>
      <c r="BD315" s="236"/>
      <c r="BE315" s="235"/>
      <c r="BF315" s="235"/>
      <c r="BG315" s="235"/>
      <c r="BH315" s="235"/>
      <c r="BI315" s="236"/>
      <c r="BJ315" s="236"/>
      <c r="BK315" s="238"/>
      <c r="BL315" s="239"/>
      <c r="BM315" s="239"/>
      <c r="BN315" s="340"/>
      <c r="BP315" s="236"/>
      <c r="BQ315" s="236"/>
      <c r="BR315" s="236"/>
      <c r="BS315" s="236"/>
      <c r="BT315" s="236"/>
      <c r="BU315" s="236"/>
      <c r="BV315" s="236"/>
      <c r="BW315" s="236"/>
      <c r="BX315" s="236"/>
      <c r="BY315" s="236"/>
      <c r="BZ315" s="236"/>
      <c r="CA315" s="236"/>
      <c r="CB315" s="236"/>
      <c r="CC315" s="236"/>
      <c r="CD315" s="236"/>
      <c r="CE315" s="236"/>
      <c r="CF315" s="236"/>
      <c r="CG315" s="236"/>
      <c r="CH315" s="236"/>
      <c r="CI315" s="236"/>
      <c r="CJ315" s="236"/>
      <c r="CK315" s="236"/>
      <c r="CL315" s="236"/>
      <c r="CM315" s="236"/>
      <c r="CN315" s="236"/>
      <c r="CO315" s="236"/>
    </row>
    <row r="316" spans="5:93" s="230" customFormat="1">
      <c r="E316" s="234"/>
      <c r="F316" s="235"/>
      <c r="G316" s="235"/>
      <c r="H316" s="236"/>
      <c r="I316" s="235"/>
      <c r="J316" s="235"/>
      <c r="K316" s="235"/>
      <c r="L316" s="235"/>
      <c r="M316" s="236"/>
      <c r="N316" s="235"/>
      <c r="O316" s="235"/>
      <c r="P316" s="235"/>
      <c r="Q316" s="235"/>
      <c r="R316" s="235"/>
      <c r="S316" s="235"/>
      <c r="T316" s="235"/>
      <c r="U316" s="235"/>
      <c r="V316" s="235"/>
      <c r="W316" s="235"/>
      <c r="X316" s="235"/>
      <c r="Y316" s="235"/>
      <c r="Z316" s="235"/>
      <c r="AA316" s="235"/>
      <c r="AB316" s="235"/>
      <c r="AC316" s="235"/>
      <c r="AD316" s="235"/>
      <c r="AE316" s="236"/>
      <c r="AF316" s="235"/>
      <c r="AG316" s="235"/>
      <c r="AH316" s="235"/>
      <c r="AI316" s="235"/>
      <c r="AJ316" s="236"/>
      <c r="AK316" s="235"/>
      <c r="AL316" s="235"/>
      <c r="AM316" s="235"/>
      <c r="AN316" s="235"/>
      <c r="AO316" s="235"/>
      <c r="AP316" s="235"/>
      <c r="AQ316" s="235"/>
      <c r="AR316" s="235"/>
      <c r="AS316" s="235"/>
      <c r="AT316" s="235"/>
      <c r="AU316" s="236"/>
      <c r="AV316" s="235"/>
      <c r="AW316" s="235"/>
      <c r="AX316" s="235"/>
      <c r="AY316" s="235"/>
      <c r="AZ316" s="235"/>
      <c r="BA316" s="235"/>
      <c r="BB316" s="235"/>
      <c r="BC316" s="235"/>
      <c r="BD316" s="236"/>
      <c r="BE316" s="235"/>
      <c r="BF316" s="235"/>
      <c r="BG316" s="235"/>
      <c r="BH316" s="235"/>
      <c r="BI316" s="236"/>
      <c r="BJ316" s="236"/>
      <c r="BK316" s="238"/>
      <c r="BL316" s="239"/>
      <c r="BM316" s="239"/>
      <c r="BN316" s="340"/>
      <c r="BP316" s="236"/>
      <c r="BQ316" s="236"/>
      <c r="BR316" s="236"/>
      <c r="BS316" s="236"/>
      <c r="BT316" s="236"/>
      <c r="BU316" s="236"/>
      <c r="BV316" s="236"/>
      <c r="BW316" s="236"/>
      <c r="BX316" s="236"/>
      <c r="BY316" s="236"/>
      <c r="BZ316" s="236"/>
      <c r="CA316" s="236"/>
      <c r="CB316" s="236"/>
      <c r="CC316" s="236"/>
      <c r="CD316" s="236"/>
      <c r="CE316" s="236"/>
      <c r="CF316" s="236"/>
      <c r="CG316" s="236"/>
      <c r="CH316" s="236"/>
      <c r="CI316" s="236"/>
      <c r="CJ316" s="236"/>
      <c r="CK316" s="236"/>
      <c r="CL316" s="236"/>
      <c r="CM316" s="236"/>
      <c r="CN316" s="236"/>
      <c r="CO316" s="236"/>
    </row>
    <row r="317" spans="5:93" s="230" customFormat="1">
      <c r="E317" s="234"/>
      <c r="F317" s="235"/>
      <c r="G317" s="235"/>
      <c r="H317" s="236"/>
      <c r="I317" s="235"/>
      <c r="J317" s="235"/>
      <c r="K317" s="235"/>
      <c r="L317" s="235"/>
      <c r="M317" s="236"/>
      <c r="N317" s="235"/>
      <c r="O317" s="235"/>
      <c r="P317" s="235"/>
      <c r="Q317" s="235"/>
      <c r="R317" s="235"/>
      <c r="S317" s="235"/>
      <c r="T317" s="235"/>
      <c r="U317" s="235"/>
      <c r="V317" s="235"/>
      <c r="W317" s="235"/>
      <c r="X317" s="235"/>
      <c r="Y317" s="235"/>
      <c r="Z317" s="235"/>
      <c r="AA317" s="235"/>
      <c r="AB317" s="235"/>
      <c r="AC317" s="235"/>
      <c r="AD317" s="235"/>
      <c r="AE317" s="236"/>
      <c r="AF317" s="235"/>
      <c r="AG317" s="235"/>
      <c r="AH317" s="235"/>
      <c r="AI317" s="235"/>
      <c r="AJ317" s="236"/>
      <c r="AK317" s="235"/>
      <c r="AL317" s="235"/>
      <c r="AM317" s="235"/>
      <c r="AN317" s="235"/>
      <c r="AO317" s="235"/>
      <c r="AP317" s="235"/>
      <c r="AQ317" s="235"/>
      <c r="AR317" s="235"/>
      <c r="AS317" s="235"/>
      <c r="AT317" s="235"/>
      <c r="AU317" s="236"/>
      <c r="AV317" s="235"/>
      <c r="AW317" s="235"/>
      <c r="AX317" s="235"/>
      <c r="AY317" s="235"/>
      <c r="AZ317" s="235"/>
      <c r="BA317" s="235"/>
      <c r="BB317" s="235"/>
      <c r="BC317" s="235"/>
      <c r="BD317" s="236"/>
      <c r="BE317" s="235"/>
      <c r="BF317" s="235"/>
      <c r="BG317" s="235"/>
      <c r="BH317" s="235"/>
      <c r="BI317" s="236"/>
      <c r="BJ317" s="236"/>
      <c r="BK317" s="238"/>
      <c r="BL317" s="239"/>
      <c r="BM317" s="239"/>
      <c r="BN317" s="340"/>
      <c r="BP317" s="236"/>
      <c r="BQ317" s="236"/>
      <c r="BR317" s="236"/>
      <c r="BS317" s="236"/>
      <c r="BT317" s="236"/>
      <c r="BU317" s="236"/>
      <c r="BV317" s="236"/>
      <c r="BW317" s="236"/>
      <c r="BX317" s="236"/>
      <c r="BY317" s="236"/>
      <c r="BZ317" s="236"/>
      <c r="CA317" s="236"/>
      <c r="CB317" s="236"/>
      <c r="CC317" s="236"/>
      <c r="CD317" s="236"/>
      <c r="CE317" s="236"/>
      <c r="CF317" s="236"/>
      <c r="CG317" s="236"/>
      <c r="CH317" s="236"/>
      <c r="CI317" s="236"/>
      <c r="CJ317" s="236"/>
      <c r="CK317" s="236"/>
      <c r="CL317" s="236"/>
      <c r="CM317" s="236"/>
      <c r="CN317" s="236"/>
      <c r="CO317" s="236"/>
    </row>
    <row r="318" spans="5:93" s="230" customFormat="1">
      <c r="E318" s="234"/>
      <c r="F318" s="235"/>
      <c r="G318" s="235"/>
      <c r="H318" s="236"/>
      <c r="I318" s="235"/>
      <c r="J318" s="235"/>
      <c r="K318" s="235"/>
      <c r="L318" s="235"/>
      <c r="M318" s="236"/>
      <c r="N318" s="235"/>
      <c r="O318" s="235"/>
      <c r="P318" s="235"/>
      <c r="Q318" s="235"/>
      <c r="R318" s="235"/>
      <c r="S318" s="235"/>
      <c r="T318" s="235"/>
      <c r="U318" s="235"/>
      <c r="V318" s="235"/>
      <c r="W318" s="235"/>
      <c r="X318" s="235"/>
      <c r="Y318" s="235"/>
      <c r="Z318" s="235"/>
      <c r="AA318" s="235"/>
      <c r="AB318" s="235"/>
      <c r="AC318" s="235"/>
      <c r="AD318" s="235"/>
      <c r="AE318" s="236"/>
      <c r="AF318" s="235"/>
      <c r="AG318" s="235"/>
      <c r="AH318" s="235"/>
      <c r="AI318" s="235"/>
      <c r="AJ318" s="236"/>
      <c r="AK318" s="235"/>
      <c r="AL318" s="235"/>
      <c r="AM318" s="235"/>
      <c r="AN318" s="235"/>
      <c r="AO318" s="235"/>
      <c r="AP318" s="235"/>
      <c r="AQ318" s="235"/>
      <c r="AR318" s="235"/>
      <c r="AS318" s="235"/>
      <c r="AT318" s="235"/>
      <c r="AU318" s="236"/>
      <c r="AV318" s="235"/>
      <c r="AW318" s="235"/>
      <c r="AX318" s="235"/>
      <c r="AY318" s="235"/>
      <c r="AZ318" s="235"/>
      <c r="BA318" s="235"/>
      <c r="BB318" s="235"/>
      <c r="BC318" s="235"/>
      <c r="BD318" s="236"/>
      <c r="BE318" s="235"/>
      <c r="BF318" s="235"/>
      <c r="BG318" s="235"/>
      <c r="BH318" s="235"/>
      <c r="BI318" s="236"/>
      <c r="BJ318" s="236"/>
      <c r="BK318" s="238"/>
      <c r="BL318" s="239"/>
      <c r="BM318" s="239"/>
      <c r="BN318" s="340"/>
      <c r="BP318" s="236"/>
      <c r="BQ318" s="236"/>
      <c r="BR318" s="236"/>
      <c r="BS318" s="236"/>
      <c r="BT318" s="236"/>
      <c r="BU318" s="236"/>
      <c r="BV318" s="236"/>
      <c r="BW318" s="236"/>
      <c r="BX318" s="236"/>
      <c r="BY318" s="236"/>
      <c r="BZ318" s="236"/>
      <c r="CA318" s="236"/>
      <c r="CB318" s="236"/>
      <c r="CC318" s="236"/>
      <c r="CD318" s="236"/>
      <c r="CE318" s="236"/>
      <c r="CF318" s="236"/>
      <c r="CG318" s="236"/>
      <c r="CH318" s="236"/>
      <c r="CI318" s="236"/>
      <c r="CJ318" s="236"/>
      <c r="CK318" s="236"/>
      <c r="CL318" s="236"/>
      <c r="CM318" s="236"/>
      <c r="CN318" s="236"/>
      <c r="CO318" s="236"/>
    </row>
    <row r="319" spans="5:93" s="230" customFormat="1">
      <c r="E319" s="234"/>
      <c r="F319" s="235"/>
      <c r="G319" s="235"/>
      <c r="H319" s="236"/>
      <c r="I319" s="235"/>
      <c r="J319" s="235"/>
      <c r="K319" s="235"/>
      <c r="L319" s="235"/>
      <c r="M319" s="236"/>
      <c r="N319" s="235"/>
      <c r="O319" s="235"/>
      <c r="P319" s="235"/>
      <c r="Q319" s="235"/>
      <c r="R319" s="235"/>
      <c r="S319" s="235"/>
      <c r="T319" s="235"/>
      <c r="U319" s="235"/>
      <c r="V319" s="235"/>
      <c r="W319" s="235"/>
      <c r="X319" s="235"/>
      <c r="Y319" s="235"/>
      <c r="Z319" s="235"/>
      <c r="AA319" s="235"/>
      <c r="AB319" s="235"/>
      <c r="AC319" s="235"/>
      <c r="AD319" s="235"/>
      <c r="AE319" s="236"/>
      <c r="AF319" s="235"/>
      <c r="AG319" s="235"/>
      <c r="AH319" s="235"/>
      <c r="AI319" s="235"/>
      <c r="AJ319" s="236"/>
      <c r="AK319" s="235"/>
      <c r="AL319" s="235"/>
      <c r="AM319" s="235"/>
      <c r="AN319" s="235"/>
      <c r="AO319" s="235"/>
      <c r="AP319" s="235"/>
      <c r="AQ319" s="235"/>
      <c r="AR319" s="235"/>
      <c r="AS319" s="235"/>
      <c r="AT319" s="235"/>
      <c r="AU319" s="236"/>
      <c r="AV319" s="235"/>
      <c r="AW319" s="235"/>
      <c r="AX319" s="235"/>
      <c r="AY319" s="235"/>
      <c r="AZ319" s="235"/>
      <c r="BA319" s="235"/>
      <c r="BB319" s="235"/>
      <c r="BC319" s="235"/>
      <c r="BD319" s="236"/>
      <c r="BE319" s="235"/>
      <c r="BF319" s="235"/>
      <c r="BG319" s="235"/>
      <c r="BH319" s="235"/>
      <c r="BI319" s="236"/>
      <c r="BJ319" s="236"/>
      <c r="BK319" s="238"/>
      <c r="BL319" s="239"/>
      <c r="BM319" s="239"/>
      <c r="BN319" s="340"/>
      <c r="BP319" s="236"/>
      <c r="BQ319" s="236"/>
      <c r="BR319" s="236"/>
      <c r="BS319" s="236"/>
      <c r="BT319" s="236"/>
      <c r="BU319" s="236"/>
      <c r="BV319" s="236"/>
      <c r="BW319" s="236"/>
      <c r="BX319" s="236"/>
      <c r="BY319" s="236"/>
      <c r="BZ319" s="236"/>
      <c r="CA319" s="236"/>
      <c r="CB319" s="236"/>
      <c r="CC319" s="236"/>
      <c r="CD319" s="236"/>
      <c r="CE319" s="236"/>
      <c r="CF319" s="236"/>
      <c r="CG319" s="236"/>
      <c r="CH319" s="236"/>
      <c r="CI319" s="236"/>
      <c r="CJ319" s="236"/>
      <c r="CK319" s="236"/>
      <c r="CL319" s="236"/>
      <c r="CM319" s="236"/>
      <c r="CN319" s="236"/>
      <c r="CO319" s="236"/>
    </row>
    <row r="320" spans="5:93" s="230" customFormat="1">
      <c r="E320" s="234"/>
      <c r="F320" s="235"/>
      <c r="G320" s="235"/>
      <c r="H320" s="236"/>
      <c r="I320" s="235"/>
      <c r="J320" s="235"/>
      <c r="K320" s="235"/>
      <c r="L320" s="235"/>
      <c r="M320" s="236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  <c r="AA320" s="235"/>
      <c r="AB320" s="235"/>
      <c r="AC320" s="235"/>
      <c r="AD320" s="235"/>
      <c r="AE320" s="236"/>
      <c r="AF320" s="235"/>
      <c r="AG320" s="235"/>
      <c r="AH320" s="235"/>
      <c r="AI320" s="235"/>
      <c r="AJ320" s="236"/>
      <c r="AK320" s="235"/>
      <c r="AL320" s="235"/>
      <c r="AM320" s="235"/>
      <c r="AN320" s="235"/>
      <c r="AO320" s="235"/>
      <c r="AP320" s="235"/>
      <c r="AQ320" s="235"/>
      <c r="AR320" s="235"/>
      <c r="AS320" s="235"/>
      <c r="AT320" s="235"/>
      <c r="AU320" s="236"/>
      <c r="AV320" s="235"/>
      <c r="AW320" s="235"/>
      <c r="AX320" s="235"/>
      <c r="AY320" s="235"/>
      <c r="AZ320" s="235"/>
      <c r="BA320" s="235"/>
      <c r="BB320" s="235"/>
      <c r="BC320" s="235"/>
      <c r="BD320" s="236"/>
      <c r="BE320" s="235"/>
      <c r="BF320" s="235"/>
      <c r="BG320" s="235"/>
      <c r="BH320" s="235"/>
      <c r="BI320" s="236"/>
      <c r="BJ320" s="236"/>
      <c r="BK320" s="238"/>
      <c r="BL320" s="239"/>
      <c r="BM320" s="239"/>
      <c r="BN320" s="239"/>
      <c r="BP320" s="236"/>
      <c r="BQ320" s="236"/>
      <c r="BR320" s="236"/>
      <c r="BS320" s="236"/>
      <c r="BT320" s="236"/>
      <c r="BU320" s="236"/>
      <c r="BV320" s="236"/>
      <c r="BW320" s="236"/>
      <c r="BX320" s="236"/>
      <c r="BY320" s="236"/>
      <c r="BZ320" s="236"/>
      <c r="CA320" s="236"/>
      <c r="CB320" s="236"/>
      <c r="CC320" s="236"/>
      <c r="CD320" s="236"/>
      <c r="CE320" s="236"/>
      <c r="CF320" s="236"/>
      <c r="CG320" s="236"/>
      <c r="CH320" s="236"/>
      <c r="CI320" s="236"/>
      <c r="CJ320" s="236"/>
      <c r="CK320" s="236"/>
      <c r="CL320" s="236"/>
      <c r="CM320" s="236"/>
      <c r="CN320" s="236"/>
      <c r="CO320" s="236"/>
    </row>
    <row r="321" spans="5:93" s="230" customFormat="1">
      <c r="E321" s="234"/>
      <c r="F321" s="235"/>
      <c r="G321" s="235"/>
      <c r="H321" s="236"/>
      <c r="I321" s="235"/>
      <c r="J321" s="235"/>
      <c r="K321" s="235"/>
      <c r="L321" s="235"/>
      <c r="M321" s="236"/>
      <c r="N321" s="235"/>
      <c r="O321" s="235"/>
      <c r="P321" s="235"/>
      <c r="Q321" s="235"/>
      <c r="R321" s="235"/>
      <c r="S321" s="235"/>
      <c r="T321" s="235"/>
      <c r="U321" s="235"/>
      <c r="V321" s="235"/>
      <c r="W321" s="235"/>
      <c r="X321" s="235"/>
      <c r="Y321" s="235"/>
      <c r="Z321" s="235"/>
      <c r="AA321" s="235"/>
      <c r="AB321" s="235"/>
      <c r="AC321" s="235"/>
      <c r="AD321" s="235"/>
      <c r="AE321" s="236"/>
      <c r="AF321" s="235"/>
      <c r="AG321" s="235"/>
      <c r="AH321" s="235"/>
      <c r="AI321" s="235"/>
      <c r="AJ321" s="236"/>
      <c r="AK321" s="235"/>
      <c r="AL321" s="235"/>
      <c r="AM321" s="235"/>
      <c r="AN321" s="235"/>
      <c r="AO321" s="235"/>
      <c r="AP321" s="235"/>
      <c r="AQ321" s="235"/>
      <c r="AR321" s="235"/>
      <c r="AS321" s="235"/>
      <c r="AT321" s="235"/>
      <c r="AU321" s="236"/>
      <c r="AV321" s="235"/>
      <c r="AW321" s="235"/>
      <c r="AX321" s="235"/>
      <c r="AY321" s="235"/>
      <c r="AZ321" s="235"/>
      <c r="BA321" s="235"/>
      <c r="BB321" s="235"/>
      <c r="BC321" s="235"/>
      <c r="BD321" s="236"/>
      <c r="BE321" s="235"/>
      <c r="BF321" s="235"/>
      <c r="BG321" s="235"/>
      <c r="BH321" s="235"/>
      <c r="BI321" s="236"/>
      <c r="BJ321" s="236"/>
      <c r="BK321" s="238"/>
      <c r="BL321" s="239"/>
      <c r="BM321" s="239"/>
      <c r="BN321" s="239"/>
      <c r="BP321" s="236"/>
      <c r="BQ321" s="236"/>
      <c r="BR321" s="236"/>
      <c r="BS321" s="236"/>
      <c r="BT321" s="236"/>
      <c r="BU321" s="236"/>
      <c r="BV321" s="236"/>
      <c r="BW321" s="236"/>
      <c r="BX321" s="236"/>
      <c r="BY321" s="236"/>
      <c r="BZ321" s="236"/>
      <c r="CA321" s="236"/>
      <c r="CB321" s="236"/>
      <c r="CC321" s="236"/>
      <c r="CD321" s="236"/>
      <c r="CE321" s="236"/>
      <c r="CF321" s="236"/>
      <c r="CG321" s="236"/>
      <c r="CH321" s="236"/>
      <c r="CI321" s="236"/>
      <c r="CJ321" s="236"/>
      <c r="CK321" s="236"/>
      <c r="CL321" s="236"/>
      <c r="CM321" s="236"/>
      <c r="CN321" s="236"/>
      <c r="CO321" s="236"/>
    </row>
    <row r="322" spans="5:93" s="230" customFormat="1">
      <c r="E322" s="234"/>
      <c r="F322" s="235"/>
      <c r="G322" s="235"/>
      <c r="H322" s="236"/>
      <c r="I322" s="235"/>
      <c r="J322" s="235"/>
      <c r="K322" s="235"/>
      <c r="L322" s="235"/>
      <c r="M322" s="236"/>
      <c r="N322" s="235"/>
      <c r="O322" s="235"/>
      <c r="P322" s="235"/>
      <c r="Q322" s="235"/>
      <c r="R322" s="235"/>
      <c r="S322" s="235"/>
      <c r="T322" s="235"/>
      <c r="U322" s="235"/>
      <c r="V322" s="235"/>
      <c r="W322" s="235"/>
      <c r="X322" s="235"/>
      <c r="Y322" s="235"/>
      <c r="Z322" s="235"/>
      <c r="AA322" s="235"/>
      <c r="AB322" s="235"/>
      <c r="AC322" s="235"/>
      <c r="AD322" s="235"/>
      <c r="AE322" s="236"/>
      <c r="AF322" s="235"/>
      <c r="AG322" s="235"/>
      <c r="AH322" s="235"/>
      <c r="AI322" s="235"/>
      <c r="AJ322" s="236"/>
      <c r="AK322" s="235"/>
      <c r="AL322" s="235"/>
      <c r="AM322" s="235"/>
      <c r="AN322" s="235"/>
      <c r="AO322" s="235"/>
      <c r="AP322" s="235"/>
      <c r="AQ322" s="235"/>
      <c r="AR322" s="235"/>
      <c r="AS322" s="235"/>
      <c r="AT322" s="235"/>
      <c r="AU322" s="236"/>
      <c r="AV322" s="235"/>
      <c r="AW322" s="235"/>
      <c r="AX322" s="235"/>
      <c r="AY322" s="235"/>
      <c r="AZ322" s="235"/>
      <c r="BA322" s="235"/>
      <c r="BB322" s="235"/>
      <c r="BC322" s="235"/>
      <c r="BD322" s="236"/>
      <c r="BE322" s="235"/>
      <c r="BF322" s="235"/>
      <c r="BG322" s="235"/>
      <c r="BH322" s="235"/>
      <c r="BI322" s="236"/>
      <c r="BJ322" s="236"/>
      <c r="BK322" s="238"/>
      <c r="BL322" s="239"/>
      <c r="BM322" s="239"/>
      <c r="BN322" s="239"/>
      <c r="BP322" s="236"/>
      <c r="BQ322" s="236"/>
      <c r="BR322" s="236"/>
      <c r="BS322" s="236"/>
      <c r="BT322" s="236"/>
      <c r="BU322" s="236"/>
      <c r="BV322" s="236"/>
      <c r="BW322" s="236"/>
      <c r="BX322" s="236"/>
      <c r="BY322" s="236"/>
      <c r="BZ322" s="236"/>
      <c r="CA322" s="236"/>
      <c r="CB322" s="236"/>
      <c r="CC322" s="236"/>
      <c r="CD322" s="236"/>
      <c r="CE322" s="236"/>
      <c r="CF322" s="236"/>
      <c r="CG322" s="236"/>
      <c r="CH322" s="236"/>
      <c r="CI322" s="236"/>
      <c r="CJ322" s="236"/>
      <c r="CK322" s="236"/>
      <c r="CL322" s="236"/>
      <c r="CM322" s="236"/>
      <c r="CN322" s="236"/>
      <c r="CO322" s="236"/>
    </row>
    <row r="323" spans="5:93" s="230" customFormat="1">
      <c r="E323" s="234"/>
      <c r="F323" s="235"/>
      <c r="G323" s="235"/>
      <c r="H323" s="236"/>
      <c r="I323" s="235"/>
      <c r="J323" s="235"/>
      <c r="K323" s="235"/>
      <c r="L323" s="235"/>
      <c r="M323" s="236"/>
      <c r="N323" s="235"/>
      <c r="O323" s="235"/>
      <c r="P323" s="235"/>
      <c r="Q323" s="235"/>
      <c r="R323" s="235"/>
      <c r="S323" s="235"/>
      <c r="T323" s="235"/>
      <c r="U323" s="235"/>
      <c r="V323" s="235"/>
      <c r="W323" s="235"/>
      <c r="X323" s="235"/>
      <c r="Y323" s="235"/>
      <c r="Z323" s="235"/>
      <c r="AA323" s="235"/>
      <c r="AB323" s="235"/>
      <c r="AC323" s="235"/>
      <c r="AD323" s="235"/>
      <c r="AE323" s="236"/>
      <c r="AF323" s="235"/>
      <c r="AG323" s="235"/>
      <c r="AH323" s="235"/>
      <c r="AI323" s="235"/>
      <c r="AJ323" s="236"/>
      <c r="AK323" s="235"/>
      <c r="AL323" s="235"/>
      <c r="AM323" s="235"/>
      <c r="AN323" s="235"/>
      <c r="AO323" s="235"/>
      <c r="AP323" s="235"/>
      <c r="AQ323" s="235"/>
      <c r="AR323" s="235"/>
      <c r="AS323" s="235"/>
      <c r="AT323" s="235"/>
      <c r="AU323" s="236"/>
      <c r="AV323" s="235"/>
      <c r="AW323" s="235"/>
      <c r="AX323" s="235"/>
      <c r="AY323" s="235"/>
      <c r="AZ323" s="235"/>
      <c r="BA323" s="235"/>
      <c r="BB323" s="235"/>
      <c r="BC323" s="235"/>
      <c r="BD323" s="236"/>
      <c r="BE323" s="235"/>
      <c r="BF323" s="235"/>
      <c r="BG323" s="235"/>
      <c r="BH323" s="235"/>
      <c r="BI323" s="236"/>
      <c r="BJ323" s="236"/>
      <c r="BK323" s="238"/>
      <c r="BL323" s="239"/>
      <c r="BM323" s="239"/>
      <c r="BN323" s="239"/>
      <c r="BP323" s="236"/>
      <c r="BQ323" s="236"/>
      <c r="BR323" s="236"/>
      <c r="BS323" s="236"/>
      <c r="BT323" s="236"/>
      <c r="BU323" s="236"/>
      <c r="BV323" s="236"/>
      <c r="BW323" s="236"/>
      <c r="BX323" s="236"/>
      <c r="BY323" s="236"/>
      <c r="BZ323" s="236"/>
      <c r="CA323" s="236"/>
      <c r="CB323" s="236"/>
      <c r="CC323" s="236"/>
      <c r="CD323" s="236"/>
      <c r="CE323" s="236"/>
      <c r="CF323" s="236"/>
      <c r="CG323" s="236"/>
      <c r="CH323" s="236"/>
      <c r="CI323" s="236"/>
      <c r="CJ323" s="236"/>
      <c r="CK323" s="236"/>
      <c r="CL323" s="236"/>
      <c r="CM323" s="236"/>
      <c r="CN323" s="236"/>
      <c r="CO323" s="236"/>
    </row>
    <row r="324" spans="5:93" s="230" customFormat="1">
      <c r="E324" s="234"/>
      <c r="F324" s="235"/>
      <c r="G324" s="235"/>
      <c r="H324" s="236"/>
      <c r="I324" s="235"/>
      <c r="J324" s="235"/>
      <c r="K324" s="235"/>
      <c r="L324" s="235"/>
      <c r="M324" s="236"/>
      <c r="N324" s="235"/>
      <c r="O324" s="235"/>
      <c r="P324" s="235"/>
      <c r="Q324" s="235"/>
      <c r="R324" s="235"/>
      <c r="S324" s="235"/>
      <c r="T324" s="235"/>
      <c r="U324" s="235"/>
      <c r="V324" s="235"/>
      <c r="W324" s="235"/>
      <c r="X324" s="235"/>
      <c r="Y324" s="235"/>
      <c r="Z324" s="235"/>
      <c r="AA324" s="235"/>
      <c r="AB324" s="235"/>
      <c r="AC324" s="235"/>
      <c r="AD324" s="235"/>
      <c r="AE324" s="236"/>
      <c r="AF324" s="235"/>
      <c r="AG324" s="235"/>
      <c r="AH324" s="235"/>
      <c r="AI324" s="235"/>
      <c r="AJ324" s="236"/>
      <c r="AK324" s="235"/>
      <c r="AL324" s="235"/>
      <c r="AM324" s="235"/>
      <c r="AN324" s="235"/>
      <c r="AO324" s="235"/>
      <c r="AP324" s="235"/>
      <c r="AQ324" s="235"/>
      <c r="AR324" s="235"/>
      <c r="AS324" s="235"/>
      <c r="AT324" s="235"/>
      <c r="AU324" s="236"/>
      <c r="AV324" s="235"/>
      <c r="AW324" s="235"/>
      <c r="AX324" s="235"/>
      <c r="AY324" s="235"/>
      <c r="AZ324" s="235"/>
      <c r="BA324" s="235"/>
      <c r="BB324" s="235"/>
      <c r="BC324" s="235"/>
      <c r="BD324" s="236"/>
      <c r="BE324" s="235"/>
      <c r="BF324" s="235"/>
      <c r="BG324" s="235"/>
      <c r="BH324" s="235"/>
      <c r="BI324" s="236"/>
      <c r="BJ324" s="236"/>
      <c r="BK324" s="238"/>
      <c r="BL324" s="239"/>
      <c r="BM324" s="239"/>
      <c r="BN324" s="239"/>
      <c r="BP324" s="236"/>
      <c r="BQ324" s="236"/>
      <c r="BR324" s="236"/>
      <c r="BS324" s="236"/>
      <c r="BT324" s="236"/>
      <c r="BU324" s="236"/>
      <c r="BV324" s="236"/>
      <c r="BW324" s="236"/>
      <c r="BX324" s="236"/>
      <c r="BY324" s="236"/>
      <c r="BZ324" s="236"/>
      <c r="CA324" s="236"/>
      <c r="CB324" s="236"/>
      <c r="CC324" s="236"/>
      <c r="CD324" s="236"/>
      <c r="CE324" s="236"/>
      <c r="CF324" s="236"/>
      <c r="CG324" s="236"/>
      <c r="CH324" s="236"/>
      <c r="CI324" s="236"/>
      <c r="CJ324" s="236"/>
      <c r="CK324" s="236"/>
      <c r="CL324" s="236"/>
      <c r="CM324" s="236"/>
      <c r="CN324" s="236"/>
      <c r="CO324" s="236"/>
    </row>
    <row r="325" spans="5:93" s="230" customFormat="1">
      <c r="E325" s="234"/>
      <c r="F325" s="235"/>
      <c r="G325" s="235"/>
      <c r="H325" s="236"/>
      <c r="I325" s="235"/>
      <c r="J325" s="235"/>
      <c r="K325" s="235"/>
      <c r="L325" s="235"/>
      <c r="M325" s="236"/>
      <c r="N325" s="235"/>
      <c r="O325" s="235"/>
      <c r="P325" s="235"/>
      <c r="Q325" s="235"/>
      <c r="R325" s="235"/>
      <c r="S325" s="235"/>
      <c r="T325" s="235"/>
      <c r="U325" s="235"/>
      <c r="V325" s="235"/>
      <c r="W325" s="235"/>
      <c r="X325" s="235"/>
      <c r="Y325" s="235"/>
      <c r="Z325" s="235"/>
      <c r="AA325" s="235"/>
      <c r="AB325" s="235"/>
      <c r="AC325" s="235"/>
      <c r="AD325" s="235"/>
      <c r="AE325" s="236"/>
      <c r="AF325" s="235"/>
      <c r="AG325" s="235"/>
      <c r="AH325" s="235"/>
      <c r="AI325" s="235"/>
      <c r="AJ325" s="236"/>
      <c r="AK325" s="235"/>
      <c r="AL325" s="235"/>
      <c r="AM325" s="235"/>
      <c r="AN325" s="235"/>
      <c r="AO325" s="235"/>
      <c r="AP325" s="235"/>
      <c r="AQ325" s="235"/>
      <c r="AR325" s="235"/>
      <c r="AS325" s="235"/>
      <c r="AT325" s="235"/>
      <c r="AU325" s="236"/>
      <c r="AV325" s="235"/>
      <c r="AW325" s="235"/>
      <c r="AX325" s="235"/>
      <c r="AY325" s="235"/>
      <c r="AZ325" s="235"/>
      <c r="BA325" s="235"/>
      <c r="BB325" s="235"/>
      <c r="BC325" s="235"/>
      <c r="BD325" s="236"/>
      <c r="BE325" s="235"/>
      <c r="BF325" s="235"/>
      <c r="BG325" s="235"/>
      <c r="BH325" s="235"/>
      <c r="BI325" s="236"/>
      <c r="BJ325" s="236"/>
      <c r="BK325" s="238"/>
      <c r="BL325" s="239"/>
      <c r="BM325" s="239"/>
      <c r="BN325" s="239"/>
      <c r="BP325" s="236"/>
      <c r="BQ325" s="236"/>
      <c r="BR325" s="236"/>
      <c r="BS325" s="236"/>
      <c r="BT325" s="236"/>
      <c r="BU325" s="236"/>
      <c r="BV325" s="236"/>
      <c r="BW325" s="236"/>
      <c r="BX325" s="236"/>
      <c r="BY325" s="236"/>
      <c r="BZ325" s="236"/>
      <c r="CA325" s="236"/>
      <c r="CB325" s="236"/>
      <c r="CC325" s="236"/>
      <c r="CD325" s="236"/>
      <c r="CE325" s="236"/>
      <c r="CF325" s="236"/>
      <c r="CG325" s="236"/>
      <c r="CH325" s="236"/>
      <c r="CI325" s="236"/>
      <c r="CJ325" s="236"/>
      <c r="CK325" s="236"/>
      <c r="CL325" s="236"/>
      <c r="CM325" s="236"/>
      <c r="CN325" s="236"/>
      <c r="CO325" s="236"/>
    </row>
    <row r="326" spans="5:93" s="230" customFormat="1">
      <c r="E326" s="234"/>
      <c r="F326" s="235"/>
      <c r="G326" s="235"/>
      <c r="H326" s="236"/>
      <c r="I326" s="235"/>
      <c r="J326" s="235"/>
      <c r="K326" s="235"/>
      <c r="L326" s="235"/>
      <c r="M326" s="236"/>
      <c r="N326" s="235"/>
      <c r="O326" s="235"/>
      <c r="P326" s="235"/>
      <c r="Q326" s="235"/>
      <c r="R326" s="235"/>
      <c r="S326" s="235"/>
      <c r="T326" s="235"/>
      <c r="U326" s="235"/>
      <c r="V326" s="235"/>
      <c r="W326" s="235"/>
      <c r="X326" s="235"/>
      <c r="Y326" s="235"/>
      <c r="Z326" s="235"/>
      <c r="AA326" s="235"/>
      <c r="AB326" s="235"/>
      <c r="AC326" s="235"/>
      <c r="AD326" s="235"/>
      <c r="AE326" s="236"/>
      <c r="AF326" s="235"/>
      <c r="AG326" s="235"/>
      <c r="AH326" s="235"/>
      <c r="AI326" s="235"/>
      <c r="AJ326" s="236"/>
      <c r="AK326" s="235"/>
      <c r="AL326" s="235"/>
      <c r="AM326" s="235"/>
      <c r="AN326" s="235"/>
      <c r="AO326" s="235"/>
      <c r="AP326" s="235"/>
      <c r="AQ326" s="235"/>
      <c r="AR326" s="235"/>
      <c r="AS326" s="235"/>
      <c r="AT326" s="235"/>
      <c r="AU326" s="236"/>
      <c r="AV326" s="235"/>
      <c r="AW326" s="235"/>
      <c r="AX326" s="235"/>
      <c r="AY326" s="235"/>
      <c r="AZ326" s="235"/>
      <c r="BA326" s="235"/>
      <c r="BB326" s="235"/>
      <c r="BC326" s="235"/>
      <c r="BD326" s="236"/>
      <c r="BE326" s="235"/>
      <c r="BF326" s="235"/>
      <c r="BG326" s="235"/>
      <c r="BH326" s="235"/>
      <c r="BI326" s="236"/>
      <c r="BJ326" s="236"/>
      <c r="BK326" s="238"/>
      <c r="BL326" s="239"/>
      <c r="BM326" s="239"/>
      <c r="BN326" s="239"/>
      <c r="BP326" s="236"/>
      <c r="BQ326" s="236"/>
      <c r="BR326" s="236"/>
      <c r="BS326" s="236"/>
      <c r="BT326" s="236"/>
      <c r="BU326" s="236"/>
      <c r="BV326" s="236"/>
      <c r="BW326" s="236"/>
      <c r="BX326" s="236"/>
      <c r="BY326" s="236"/>
      <c r="BZ326" s="236"/>
      <c r="CA326" s="236"/>
      <c r="CB326" s="236"/>
      <c r="CC326" s="236"/>
      <c r="CD326" s="236"/>
      <c r="CE326" s="236"/>
      <c r="CF326" s="236"/>
      <c r="CG326" s="236"/>
      <c r="CH326" s="236"/>
      <c r="CI326" s="236"/>
      <c r="CJ326" s="236"/>
      <c r="CK326" s="236"/>
      <c r="CL326" s="236"/>
      <c r="CM326" s="236"/>
      <c r="CN326" s="236"/>
      <c r="CO326" s="236"/>
    </row>
    <row r="327" spans="5:93" s="230" customFormat="1">
      <c r="E327" s="234"/>
      <c r="F327" s="235"/>
      <c r="G327" s="235"/>
      <c r="H327" s="236"/>
      <c r="I327" s="235"/>
      <c r="J327" s="235"/>
      <c r="K327" s="235"/>
      <c r="L327" s="235"/>
      <c r="M327" s="236"/>
      <c r="N327" s="235"/>
      <c r="O327" s="235"/>
      <c r="P327" s="235"/>
      <c r="Q327" s="235"/>
      <c r="R327" s="235"/>
      <c r="S327" s="235"/>
      <c r="T327" s="235"/>
      <c r="U327" s="235"/>
      <c r="V327" s="235"/>
      <c r="W327" s="235"/>
      <c r="X327" s="235"/>
      <c r="Y327" s="235"/>
      <c r="Z327" s="235"/>
      <c r="AA327" s="235"/>
      <c r="AB327" s="235"/>
      <c r="AC327" s="235"/>
      <c r="AD327" s="235"/>
      <c r="AE327" s="236"/>
      <c r="AF327" s="235"/>
      <c r="AG327" s="235"/>
      <c r="AH327" s="235"/>
      <c r="AI327" s="235"/>
      <c r="AJ327" s="236"/>
      <c r="AK327" s="235"/>
      <c r="AL327" s="235"/>
      <c r="AM327" s="235"/>
      <c r="AN327" s="235"/>
      <c r="AO327" s="235"/>
      <c r="AP327" s="235"/>
      <c r="AQ327" s="235"/>
      <c r="AR327" s="235"/>
      <c r="AS327" s="235"/>
      <c r="AT327" s="235"/>
      <c r="AU327" s="236"/>
      <c r="AV327" s="235"/>
      <c r="AW327" s="235"/>
      <c r="AX327" s="235"/>
      <c r="AY327" s="235"/>
      <c r="AZ327" s="235"/>
      <c r="BA327" s="235"/>
      <c r="BB327" s="235"/>
      <c r="BC327" s="235"/>
      <c r="BD327" s="236"/>
      <c r="BE327" s="235"/>
      <c r="BF327" s="235"/>
      <c r="BG327" s="235"/>
      <c r="BH327" s="235"/>
      <c r="BI327" s="236"/>
      <c r="BJ327" s="236"/>
      <c r="BK327" s="238"/>
      <c r="BL327" s="239"/>
      <c r="BM327" s="239"/>
      <c r="BN327" s="239"/>
      <c r="BP327" s="236"/>
      <c r="BQ327" s="236"/>
      <c r="BR327" s="236"/>
      <c r="BS327" s="236"/>
      <c r="BT327" s="236"/>
      <c r="BU327" s="236"/>
      <c r="BV327" s="236"/>
      <c r="BW327" s="236"/>
      <c r="BX327" s="236"/>
      <c r="BY327" s="236"/>
      <c r="BZ327" s="236"/>
      <c r="CA327" s="236"/>
      <c r="CB327" s="236"/>
      <c r="CC327" s="236"/>
      <c r="CD327" s="236"/>
      <c r="CE327" s="236"/>
      <c r="CF327" s="236"/>
      <c r="CG327" s="236"/>
      <c r="CH327" s="236"/>
      <c r="CI327" s="236"/>
      <c r="CJ327" s="236"/>
      <c r="CK327" s="236"/>
      <c r="CL327" s="236"/>
      <c r="CM327" s="236"/>
      <c r="CN327" s="236"/>
      <c r="CO327" s="236"/>
    </row>
    <row r="328" spans="5:93" s="230" customFormat="1">
      <c r="E328" s="234"/>
      <c r="F328" s="235"/>
      <c r="G328" s="235"/>
      <c r="H328" s="236"/>
      <c r="I328" s="235"/>
      <c r="J328" s="235"/>
      <c r="K328" s="235"/>
      <c r="L328" s="235"/>
      <c r="M328" s="236"/>
      <c r="N328" s="235"/>
      <c r="O328" s="235"/>
      <c r="P328" s="235"/>
      <c r="Q328" s="235"/>
      <c r="R328" s="235"/>
      <c r="S328" s="235"/>
      <c r="T328" s="235"/>
      <c r="U328" s="235"/>
      <c r="V328" s="235"/>
      <c r="W328" s="235"/>
      <c r="X328" s="235"/>
      <c r="Y328" s="235"/>
      <c r="Z328" s="235"/>
      <c r="AA328" s="235"/>
      <c r="AB328" s="235"/>
      <c r="AC328" s="235"/>
      <c r="AD328" s="235"/>
      <c r="AE328" s="236"/>
      <c r="AF328" s="235"/>
      <c r="AG328" s="235"/>
      <c r="AH328" s="235"/>
      <c r="AI328" s="235"/>
      <c r="AJ328" s="236"/>
      <c r="AK328" s="235"/>
      <c r="AL328" s="235"/>
      <c r="AM328" s="235"/>
      <c r="AN328" s="235"/>
      <c r="AO328" s="235"/>
      <c r="AP328" s="235"/>
      <c r="AQ328" s="235"/>
      <c r="AR328" s="235"/>
      <c r="AS328" s="235"/>
      <c r="AT328" s="235"/>
      <c r="AU328" s="236"/>
      <c r="AV328" s="235"/>
      <c r="AW328" s="235"/>
      <c r="AX328" s="235"/>
      <c r="AY328" s="235"/>
      <c r="AZ328" s="235"/>
      <c r="BA328" s="235"/>
      <c r="BB328" s="235"/>
      <c r="BC328" s="235"/>
      <c r="BD328" s="236"/>
      <c r="BE328" s="235"/>
      <c r="BF328" s="235"/>
      <c r="BG328" s="235"/>
      <c r="BH328" s="235"/>
      <c r="BI328" s="236"/>
      <c r="BJ328" s="236"/>
      <c r="BK328" s="238"/>
      <c r="BL328" s="239"/>
      <c r="BM328" s="239"/>
      <c r="BN328" s="239"/>
      <c r="BP328" s="236"/>
      <c r="BQ328" s="236"/>
      <c r="BR328" s="236"/>
      <c r="BS328" s="236"/>
      <c r="BT328" s="236"/>
      <c r="BU328" s="236"/>
      <c r="BV328" s="236"/>
      <c r="BW328" s="236"/>
      <c r="BX328" s="236"/>
      <c r="BY328" s="236"/>
      <c r="BZ328" s="236"/>
      <c r="CA328" s="236"/>
      <c r="CB328" s="236"/>
      <c r="CC328" s="236"/>
      <c r="CD328" s="236"/>
      <c r="CE328" s="236"/>
      <c r="CF328" s="236"/>
      <c r="CG328" s="236"/>
      <c r="CH328" s="236"/>
      <c r="CI328" s="236"/>
      <c r="CJ328" s="236"/>
      <c r="CK328" s="236"/>
      <c r="CL328" s="236"/>
      <c r="CM328" s="236"/>
      <c r="CN328" s="236"/>
      <c r="CO328" s="236"/>
    </row>
    <row r="329" spans="5:93" s="230" customFormat="1">
      <c r="E329" s="234"/>
      <c r="F329" s="235"/>
      <c r="G329" s="235"/>
      <c r="H329" s="236"/>
      <c r="I329" s="235"/>
      <c r="J329" s="235"/>
      <c r="K329" s="235"/>
      <c r="L329" s="235"/>
      <c r="M329" s="236"/>
      <c r="N329" s="235"/>
      <c r="O329" s="235"/>
      <c r="P329" s="235"/>
      <c r="Q329" s="235"/>
      <c r="R329" s="235"/>
      <c r="S329" s="235"/>
      <c r="T329" s="235"/>
      <c r="U329" s="235"/>
      <c r="V329" s="235"/>
      <c r="W329" s="235"/>
      <c r="X329" s="235"/>
      <c r="Y329" s="235"/>
      <c r="Z329" s="235"/>
      <c r="AA329" s="235"/>
      <c r="AB329" s="235"/>
      <c r="AC329" s="235"/>
      <c r="AD329" s="235"/>
      <c r="AE329" s="236"/>
      <c r="AF329" s="235"/>
      <c r="AG329" s="235"/>
      <c r="AH329" s="235"/>
      <c r="AI329" s="235"/>
      <c r="AJ329" s="236"/>
      <c r="AK329" s="235"/>
      <c r="AL329" s="235"/>
      <c r="AM329" s="235"/>
      <c r="AN329" s="235"/>
      <c r="AO329" s="235"/>
      <c r="AP329" s="235"/>
      <c r="AQ329" s="235"/>
      <c r="AR329" s="235"/>
      <c r="AS329" s="235"/>
      <c r="AT329" s="235"/>
      <c r="AU329" s="236"/>
      <c r="AV329" s="235"/>
      <c r="AW329" s="235"/>
      <c r="AX329" s="235"/>
      <c r="AY329" s="235"/>
      <c r="AZ329" s="235"/>
      <c r="BA329" s="235"/>
      <c r="BB329" s="235"/>
      <c r="BC329" s="235"/>
      <c r="BD329" s="236"/>
      <c r="BE329" s="235"/>
      <c r="BF329" s="235"/>
      <c r="BG329" s="235"/>
      <c r="BH329" s="235"/>
      <c r="BI329" s="236"/>
      <c r="BJ329" s="236"/>
      <c r="BK329" s="238"/>
      <c r="BL329" s="239"/>
      <c r="BM329" s="239"/>
      <c r="BN329" s="239"/>
      <c r="BP329" s="236"/>
      <c r="BQ329" s="236"/>
      <c r="BR329" s="236"/>
      <c r="BS329" s="236"/>
      <c r="BT329" s="236"/>
      <c r="BU329" s="236"/>
      <c r="BV329" s="236"/>
      <c r="BW329" s="236"/>
      <c r="BX329" s="236"/>
      <c r="BY329" s="236"/>
      <c r="BZ329" s="236"/>
      <c r="CA329" s="236"/>
      <c r="CB329" s="236"/>
      <c r="CC329" s="236"/>
      <c r="CD329" s="236"/>
      <c r="CE329" s="236"/>
      <c r="CF329" s="236"/>
      <c r="CG329" s="236"/>
      <c r="CH329" s="236"/>
      <c r="CI329" s="236"/>
      <c r="CJ329" s="236"/>
      <c r="CK329" s="236"/>
      <c r="CL329" s="236"/>
      <c r="CM329" s="236"/>
      <c r="CN329" s="236"/>
      <c r="CO329" s="236"/>
    </row>
    <row r="330" spans="5:93" s="230" customFormat="1">
      <c r="E330" s="234"/>
      <c r="F330" s="235"/>
      <c r="G330" s="235"/>
      <c r="H330" s="236"/>
      <c r="I330" s="235"/>
      <c r="J330" s="235"/>
      <c r="K330" s="235"/>
      <c r="L330" s="235"/>
      <c r="M330" s="236"/>
      <c r="N330" s="235"/>
      <c r="O330" s="235"/>
      <c r="P330" s="235"/>
      <c r="Q330" s="235"/>
      <c r="R330" s="235"/>
      <c r="S330" s="235"/>
      <c r="T330" s="235"/>
      <c r="U330" s="235"/>
      <c r="V330" s="235"/>
      <c r="W330" s="235"/>
      <c r="X330" s="235"/>
      <c r="Y330" s="235"/>
      <c r="Z330" s="235"/>
      <c r="AA330" s="235"/>
      <c r="AB330" s="235"/>
      <c r="AC330" s="235"/>
      <c r="AD330" s="235"/>
      <c r="AE330" s="236"/>
      <c r="AF330" s="235"/>
      <c r="AG330" s="235"/>
      <c r="AH330" s="235"/>
      <c r="AI330" s="235"/>
      <c r="AJ330" s="236"/>
      <c r="AK330" s="235"/>
      <c r="AL330" s="235"/>
      <c r="AM330" s="235"/>
      <c r="AN330" s="235"/>
      <c r="AO330" s="235"/>
      <c r="AP330" s="235"/>
      <c r="AQ330" s="235"/>
      <c r="AR330" s="235"/>
      <c r="AS330" s="235"/>
      <c r="AT330" s="235"/>
      <c r="AU330" s="236"/>
      <c r="AV330" s="235"/>
      <c r="AW330" s="235"/>
      <c r="AX330" s="235"/>
      <c r="AY330" s="235"/>
      <c r="AZ330" s="235"/>
      <c r="BA330" s="235"/>
      <c r="BB330" s="235"/>
      <c r="BC330" s="235"/>
      <c r="BD330" s="236"/>
      <c r="BE330" s="235"/>
      <c r="BF330" s="235"/>
      <c r="BG330" s="235"/>
      <c r="BH330" s="235"/>
      <c r="BI330" s="236"/>
      <c r="BJ330" s="236"/>
      <c r="BK330" s="238"/>
      <c r="BL330" s="239"/>
      <c r="BM330" s="239"/>
      <c r="BN330" s="239"/>
      <c r="BP330" s="236"/>
      <c r="BQ330" s="236"/>
      <c r="BR330" s="236"/>
      <c r="BS330" s="236"/>
      <c r="BT330" s="236"/>
      <c r="BU330" s="236"/>
      <c r="BV330" s="236"/>
      <c r="BW330" s="236"/>
      <c r="BX330" s="236"/>
      <c r="BY330" s="236"/>
      <c r="BZ330" s="236"/>
      <c r="CA330" s="236"/>
      <c r="CB330" s="236"/>
      <c r="CC330" s="236"/>
      <c r="CD330" s="236"/>
      <c r="CE330" s="236"/>
      <c r="CF330" s="236"/>
      <c r="CG330" s="236"/>
      <c r="CH330" s="236"/>
      <c r="CI330" s="236"/>
      <c r="CJ330" s="236"/>
      <c r="CK330" s="236"/>
      <c r="CL330" s="236"/>
      <c r="CM330" s="236"/>
      <c r="CN330" s="236"/>
      <c r="CO330" s="236"/>
    </row>
    <row r="331" spans="5:93" s="230" customFormat="1">
      <c r="E331" s="234"/>
      <c r="F331" s="235"/>
      <c r="G331" s="235"/>
      <c r="H331" s="236"/>
      <c r="I331" s="235"/>
      <c r="J331" s="235"/>
      <c r="K331" s="235"/>
      <c r="L331" s="235"/>
      <c r="M331" s="236"/>
      <c r="N331" s="235"/>
      <c r="O331" s="235"/>
      <c r="P331" s="235"/>
      <c r="Q331" s="235"/>
      <c r="R331" s="235"/>
      <c r="S331" s="235"/>
      <c r="T331" s="235"/>
      <c r="U331" s="235"/>
      <c r="V331" s="235"/>
      <c r="W331" s="235"/>
      <c r="X331" s="235"/>
      <c r="Y331" s="235"/>
      <c r="Z331" s="235"/>
      <c r="AA331" s="235"/>
      <c r="AB331" s="235"/>
      <c r="AC331" s="235"/>
      <c r="AD331" s="235"/>
      <c r="AE331" s="236"/>
      <c r="AF331" s="235"/>
      <c r="AG331" s="235"/>
      <c r="AH331" s="235"/>
      <c r="AI331" s="235"/>
      <c r="AJ331" s="236"/>
      <c r="AK331" s="235"/>
      <c r="AL331" s="235"/>
      <c r="AM331" s="235"/>
      <c r="AN331" s="235"/>
      <c r="AO331" s="235"/>
      <c r="AP331" s="235"/>
      <c r="AQ331" s="235"/>
      <c r="AR331" s="235"/>
      <c r="AS331" s="235"/>
      <c r="AT331" s="235"/>
      <c r="AU331" s="236"/>
      <c r="AV331" s="235"/>
      <c r="AW331" s="235"/>
      <c r="AX331" s="235"/>
      <c r="AY331" s="235"/>
      <c r="AZ331" s="235"/>
      <c r="BA331" s="235"/>
      <c r="BB331" s="235"/>
      <c r="BC331" s="235"/>
      <c r="BD331" s="236"/>
      <c r="BE331" s="235"/>
      <c r="BF331" s="235"/>
      <c r="BG331" s="235"/>
      <c r="BH331" s="235"/>
      <c r="BI331" s="236"/>
      <c r="BJ331" s="236"/>
      <c r="BK331" s="238"/>
      <c r="BL331" s="239"/>
      <c r="BM331" s="239"/>
      <c r="BN331" s="239"/>
      <c r="BP331" s="236"/>
      <c r="BQ331" s="236"/>
      <c r="BR331" s="236"/>
      <c r="BS331" s="236"/>
      <c r="BT331" s="236"/>
      <c r="BU331" s="236"/>
      <c r="BV331" s="236"/>
      <c r="BW331" s="236"/>
      <c r="BX331" s="236"/>
      <c r="BY331" s="236"/>
      <c r="BZ331" s="236"/>
      <c r="CA331" s="236"/>
      <c r="CB331" s="236"/>
      <c r="CC331" s="236"/>
      <c r="CD331" s="236"/>
      <c r="CE331" s="236"/>
      <c r="CF331" s="236"/>
      <c r="CG331" s="236"/>
      <c r="CH331" s="236"/>
      <c r="CI331" s="236"/>
      <c r="CJ331" s="236"/>
      <c r="CK331" s="236"/>
      <c r="CL331" s="236"/>
      <c r="CM331" s="236"/>
      <c r="CN331" s="236"/>
      <c r="CO331" s="236"/>
    </row>
    <row r="332" spans="5:93" s="230" customFormat="1">
      <c r="E332" s="234"/>
      <c r="F332" s="235"/>
      <c r="G332" s="235"/>
      <c r="H332" s="236"/>
      <c r="I332" s="235"/>
      <c r="J332" s="235"/>
      <c r="K332" s="235"/>
      <c r="L332" s="235"/>
      <c r="M332" s="236"/>
      <c r="N332" s="235"/>
      <c r="O332" s="235"/>
      <c r="P332" s="235"/>
      <c r="Q332" s="235"/>
      <c r="R332" s="235"/>
      <c r="S332" s="235"/>
      <c r="T332" s="235"/>
      <c r="U332" s="235"/>
      <c r="V332" s="235"/>
      <c r="W332" s="235"/>
      <c r="X332" s="235"/>
      <c r="Y332" s="235"/>
      <c r="Z332" s="235"/>
      <c r="AA332" s="235"/>
      <c r="AB332" s="235"/>
      <c r="AC332" s="235"/>
      <c r="AD332" s="235"/>
      <c r="AE332" s="236"/>
      <c r="AF332" s="235"/>
      <c r="AG332" s="235"/>
      <c r="AH332" s="235"/>
      <c r="AI332" s="235"/>
      <c r="AJ332" s="236"/>
      <c r="AK332" s="235"/>
      <c r="AL332" s="235"/>
      <c r="AM332" s="235"/>
      <c r="AN332" s="235"/>
      <c r="AO332" s="235"/>
      <c r="AP332" s="235"/>
      <c r="AQ332" s="235"/>
      <c r="AR332" s="235"/>
      <c r="AS332" s="235"/>
      <c r="AT332" s="235"/>
      <c r="AU332" s="236"/>
      <c r="AV332" s="235"/>
      <c r="AW332" s="235"/>
      <c r="AX332" s="235"/>
      <c r="AY332" s="235"/>
      <c r="AZ332" s="235"/>
      <c r="BA332" s="235"/>
      <c r="BB332" s="235"/>
      <c r="BC332" s="235"/>
      <c r="BD332" s="236"/>
      <c r="BE332" s="235"/>
      <c r="BF332" s="235"/>
      <c r="BG332" s="235"/>
      <c r="BH332" s="235"/>
      <c r="BI332" s="236"/>
      <c r="BJ332" s="236"/>
      <c r="BK332" s="238"/>
      <c r="BL332" s="239"/>
      <c r="BM332" s="239"/>
      <c r="BN332" s="239"/>
      <c r="BP332" s="236"/>
      <c r="BQ332" s="236"/>
      <c r="BR332" s="236"/>
      <c r="BS332" s="236"/>
      <c r="BT332" s="236"/>
      <c r="BU332" s="236"/>
      <c r="BV332" s="236"/>
      <c r="BW332" s="236"/>
      <c r="BX332" s="236"/>
      <c r="BY332" s="236"/>
      <c r="BZ332" s="236"/>
      <c r="CA332" s="236"/>
      <c r="CB332" s="236"/>
      <c r="CC332" s="236"/>
      <c r="CD332" s="236"/>
      <c r="CE332" s="236"/>
      <c r="CF332" s="236"/>
      <c r="CG332" s="236"/>
      <c r="CH332" s="236"/>
      <c r="CI332" s="236"/>
      <c r="CJ332" s="236"/>
      <c r="CK332" s="236"/>
      <c r="CL332" s="236"/>
      <c r="CM332" s="236"/>
      <c r="CN332" s="236"/>
      <c r="CO332" s="236"/>
    </row>
    <row r="333" spans="5:93" s="230" customFormat="1">
      <c r="E333" s="234"/>
      <c r="F333" s="235"/>
      <c r="G333" s="235"/>
      <c r="H333" s="236"/>
      <c r="I333" s="235"/>
      <c r="J333" s="235"/>
      <c r="K333" s="235"/>
      <c r="L333" s="235"/>
      <c r="M333" s="236"/>
      <c r="N333" s="235"/>
      <c r="O333" s="235"/>
      <c r="P333" s="235"/>
      <c r="Q333" s="235"/>
      <c r="R333" s="235"/>
      <c r="S333" s="235"/>
      <c r="T333" s="235"/>
      <c r="U333" s="235"/>
      <c r="V333" s="235"/>
      <c r="W333" s="235"/>
      <c r="X333" s="235"/>
      <c r="Y333" s="235"/>
      <c r="Z333" s="235"/>
      <c r="AA333" s="235"/>
      <c r="AB333" s="235"/>
      <c r="AC333" s="235"/>
      <c r="AD333" s="235"/>
      <c r="AE333" s="236"/>
      <c r="AF333" s="235"/>
      <c r="AG333" s="235"/>
      <c r="AH333" s="235"/>
      <c r="AI333" s="235"/>
      <c r="AJ333" s="236"/>
      <c r="AK333" s="235"/>
      <c r="AL333" s="235"/>
      <c r="AM333" s="235"/>
      <c r="AN333" s="235"/>
      <c r="AO333" s="235"/>
      <c r="AP333" s="235"/>
      <c r="AQ333" s="235"/>
      <c r="AR333" s="235"/>
      <c r="AS333" s="235"/>
      <c r="AT333" s="235"/>
      <c r="AU333" s="236"/>
      <c r="AV333" s="235"/>
      <c r="AW333" s="235"/>
      <c r="AX333" s="235"/>
      <c r="AY333" s="235"/>
      <c r="AZ333" s="235"/>
      <c r="BA333" s="235"/>
      <c r="BB333" s="235"/>
      <c r="BC333" s="235"/>
      <c r="BD333" s="236"/>
      <c r="BE333" s="235"/>
      <c r="BF333" s="235"/>
      <c r="BG333" s="235"/>
      <c r="BH333" s="235"/>
      <c r="BI333" s="236"/>
      <c r="BJ333" s="236"/>
      <c r="BK333" s="238"/>
      <c r="BL333" s="239"/>
      <c r="BM333" s="239"/>
      <c r="BN333" s="239"/>
      <c r="BP333" s="236"/>
      <c r="BQ333" s="236"/>
      <c r="BR333" s="236"/>
      <c r="BS333" s="236"/>
      <c r="BT333" s="236"/>
      <c r="BU333" s="236"/>
      <c r="BV333" s="236"/>
      <c r="BW333" s="236"/>
      <c r="BX333" s="236"/>
      <c r="BY333" s="236"/>
      <c r="BZ333" s="236"/>
      <c r="CA333" s="236"/>
      <c r="CB333" s="236"/>
      <c r="CC333" s="236"/>
      <c r="CD333" s="236"/>
      <c r="CE333" s="236"/>
      <c r="CF333" s="236"/>
      <c r="CG333" s="236"/>
      <c r="CH333" s="236"/>
      <c r="CI333" s="236"/>
      <c r="CJ333" s="236"/>
      <c r="CK333" s="236"/>
      <c r="CL333" s="236"/>
      <c r="CM333" s="236"/>
      <c r="CN333" s="236"/>
      <c r="CO333" s="236"/>
    </row>
    <row r="334" spans="5:93" s="230" customFormat="1">
      <c r="E334" s="234"/>
      <c r="F334" s="235"/>
      <c r="G334" s="235"/>
      <c r="H334" s="236"/>
      <c r="I334" s="235"/>
      <c r="J334" s="235"/>
      <c r="K334" s="235"/>
      <c r="L334" s="235"/>
      <c r="M334" s="236"/>
      <c r="N334" s="235"/>
      <c r="O334" s="235"/>
      <c r="P334" s="235"/>
      <c r="Q334" s="235"/>
      <c r="R334" s="235"/>
      <c r="S334" s="235"/>
      <c r="T334" s="235"/>
      <c r="U334" s="235"/>
      <c r="V334" s="235"/>
      <c r="W334" s="235"/>
      <c r="X334" s="235"/>
      <c r="Y334" s="235"/>
      <c r="Z334" s="235"/>
      <c r="AA334" s="235"/>
      <c r="AB334" s="235"/>
      <c r="AC334" s="235"/>
      <c r="AD334" s="235"/>
      <c r="AE334" s="236"/>
      <c r="AF334" s="235"/>
      <c r="AG334" s="235"/>
      <c r="AH334" s="235"/>
      <c r="AI334" s="235"/>
      <c r="AJ334" s="236"/>
      <c r="AK334" s="235"/>
      <c r="AL334" s="235"/>
      <c r="AM334" s="235"/>
      <c r="AN334" s="235"/>
      <c r="AO334" s="235"/>
      <c r="AP334" s="235"/>
      <c r="AQ334" s="235"/>
      <c r="AR334" s="235"/>
      <c r="AS334" s="235"/>
      <c r="AT334" s="235"/>
      <c r="AU334" s="236"/>
      <c r="AV334" s="235"/>
      <c r="AW334" s="235"/>
      <c r="AX334" s="235"/>
      <c r="AY334" s="235"/>
      <c r="AZ334" s="235"/>
      <c r="BA334" s="235"/>
      <c r="BB334" s="235"/>
      <c r="BC334" s="235"/>
      <c r="BD334" s="236"/>
      <c r="BE334" s="235"/>
      <c r="BF334" s="235"/>
      <c r="BG334" s="235"/>
      <c r="BH334" s="235"/>
      <c r="BI334" s="236"/>
      <c r="BJ334" s="236"/>
      <c r="BK334" s="238"/>
      <c r="BL334" s="239"/>
      <c r="BM334" s="239"/>
      <c r="BN334" s="239"/>
      <c r="BP334" s="236"/>
      <c r="BQ334" s="236"/>
      <c r="BR334" s="236"/>
      <c r="BS334" s="236"/>
      <c r="BT334" s="236"/>
      <c r="BU334" s="236"/>
      <c r="BV334" s="236"/>
      <c r="BW334" s="236"/>
      <c r="BX334" s="236"/>
      <c r="BY334" s="236"/>
      <c r="BZ334" s="236"/>
      <c r="CA334" s="236"/>
      <c r="CB334" s="236"/>
      <c r="CC334" s="236"/>
      <c r="CD334" s="236"/>
      <c r="CE334" s="236"/>
      <c r="CF334" s="236"/>
      <c r="CG334" s="236"/>
      <c r="CH334" s="236"/>
      <c r="CI334" s="236"/>
      <c r="CJ334" s="236"/>
      <c r="CK334" s="236"/>
      <c r="CL334" s="236"/>
      <c r="CM334" s="236"/>
      <c r="CN334" s="236"/>
      <c r="CO334" s="236"/>
    </row>
    <row r="335" spans="5:93" s="230" customFormat="1">
      <c r="E335" s="234"/>
      <c r="F335" s="235"/>
      <c r="G335" s="235"/>
      <c r="H335" s="236"/>
      <c r="I335" s="235"/>
      <c r="J335" s="235"/>
      <c r="K335" s="235"/>
      <c r="L335" s="235"/>
      <c r="M335" s="236"/>
      <c r="N335" s="235"/>
      <c r="O335" s="235"/>
      <c r="P335" s="235"/>
      <c r="Q335" s="235"/>
      <c r="R335" s="235"/>
      <c r="S335" s="235"/>
      <c r="T335" s="235"/>
      <c r="U335" s="235"/>
      <c r="V335" s="235"/>
      <c r="W335" s="235"/>
      <c r="X335" s="235"/>
      <c r="Y335" s="235"/>
      <c r="Z335" s="235"/>
      <c r="AA335" s="235"/>
      <c r="AB335" s="235"/>
      <c r="AC335" s="235"/>
      <c r="AD335" s="235"/>
      <c r="AE335" s="236"/>
      <c r="AF335" s="235"/>
      <c r="AG335" s="235"/>
      <c r="AH335" s="235"/>
      <c r="AI335" s="235"/>
      <c r="AJ335" s="236"/>
      <c r="AK335" s="235"/>
      <c r="AL335" s="235"/>
      <c r="AM335" s="235"/>
      <c r="AN335" s="235"/>
      <c r="AO335" s="235"/>
      <c r="AP335" s="235"/>
      <c r="AQ335" s="235"/>
      <c r="AR335" s="235"/>
      <c r="AS335" s="235"/>
      <c r="AT335" s="235"/>
      <c r="AU335" s="236"/>
      <c r="AV335" s="235"/>
      <c r="AW335" s="235"/>
      <c r="AX335" s="235"/>
      <c r="AY335" s="235"/>
      <c r="AZ335" s="235"/>
      <c r="BA335" s="235"/>
      <c r="BB335" s="235"/>
      <c r="BC335" s="235"/>
      <c r="BD335" s="236"/>
      <c r="BE335" s="235"/>
      <c r="BF335" s="235"/>
      <c r="BG335" s="235"/>
      <c r="BH335" s="235"/>
      <c r="BI335" s="236"/>
      <c r="BJ335" s="236"/>
      <c r="BK335" s="238"/>
      <c r="BL335" s="239"/>
      <c r="BM335" s="239"/>
      <c r="BN335" s="239"/>
      <c r="BP335" s="236"/>
      <c r="BQ335" s="236"/>
      <c r="BR335" s="236"/>
      <c r="BS335" s="236"/>
      <c r="BT335" s="236"/>
      <c r="BU335" s="236"/>
      <c r="BV335" s="236"/>
      <c r="BW335" s="236"/>
      <c r="BX335" s="236"/>
      <c r="BY335" s="236"/>
      <c r="BZ335" s="236"/>
      <c r="CA335" s="236"/>
      <c r="CB335" s="236"/>
      <c r="CC335" s="236"/>
      <c r="CD335" s="236"/>
      <c r="CE335" s="236"/>
      <c r="CF335" s="236"/>
      <c r="CG335" s="236"/>
      <c r="CH335" s="236"/>
      <c r="CI335" s="236"/>
      <c r="CJ335" s="236"/>
      <c r="CK335" s="236"/>
      <c r="CL335" s="236"/>
      <c r="CM335" s="236"/>
      <c r="CN335" s="236"/>
      <c r="CO335" s="236"/>
    </row>
    <row r="336" spans="5:93" s="230" customFormat="1">
      <c r="E336" s="234"/>
      <c r="F336" s="235"/>
      <c r="G336" s="235"/>
      <c r="H336" s="236"/>
      <c r="I336" s="235"/>
      <c r="J336" s="235"/>
      <c r="K336" s="235"/>
      <c r="L336" s="235"/>
      <c r="M336" s="236"/>
      <c r="N336" s="235"/>
      <c r="O336" s="235"/>
      <c r="P336" s="235"/>
      <c r="Q336" s="235"/>
      <c r="R336" s="235"/>
      <c r="S336" s="235"/>
      <c r="T336" s="235"/>
      <c r="U336" s="235"/>
      <c r="V336" s="235"/>
      <c r="W336" s="235"/>
      <c r="X336" s="235"/>
      <c r="Y336" s="235"/>
      <c r="Z336" s="235"/>
      <c r="AA336" s="235"/>
      <c r="AB336" s="235"/>
      <c r="AC336" s="235"/>
      <c r="AD336" s="235"/>
      <c r="AE336" s="236"/>
      <c r="AF336" s="235"/>
      <c r="AG336" s="235"/>
      <c r="AH336" s="235"/>
      <c r="AI336" s="235"/>
      <c r="AJ336" s="236"/>
      <c r="AK336" s="235"/>
      <c r="AL336" s="235"/>
      <c r="AM336" s="235"/>
      <c r="AN336" s="235"/>
      <c r="AO336" s="235"/>
      <c r="AP336" s="235"/>
      <c r="AQ336" s="235"/>
      <c r="AR336" s="235"/>
      <c r="AS336" s="235"/>
      <c r="AT336" s="235"/>
      <c r="AU336" s="236"/>
      <c r="AV336" s="235"/>
      <c r="AW336" s="235"/>
      <c r="AX336" s="235"/>
      <c r="AY336" s="235"/>
      <c r="AZ336" s="235"/>
      <c r="BA336" s="235"/>
      <c r="BB336" s="235"/>
      <c r="BC336" s="235"/>
      <c r="BD336" s="236"/>
      <c r="BE336" s="235"/>
      <c r="BF336" s="235"/>
      <c r="BG336" s="235"/>
      <c r="BH336" s="235"/>
      <c r="BI336" s="236"/>
      <c r="BJ336" s="236"/>
      <c r="BK336" s="238"/>
      <c r="BL336" s="239"/>
      <c r="BM336" s="239"/>
      <c r="BN336" s="239"/>
      <c r="BP336" s="236"/>
      <c r="BQ336" s="236"/>
      <c r="BR336" s="236"/>
      <c r="BS336" s="236"/>
      <c r="BT336" s="236"/>
      <c r="BU336" s="236"/>
      <c r="BV336" s="236"/>
      <c r="BW336" s="236"/>
      <c r="BX336" s="236"/>
      <c r="BY336" s="236"/>
      <c r="BZ336" s="236"/>
      <c r="CA336" s="236"/>
      <c r="CB336" s="236"/>
      <c r="CC336" s="236"/>
      <c r="CD336" s="236"/>
      <c r="CE336" s="236"/>
      <c r="CF336" s="236"/>
      <c r="CG336" s="236"/>
      <c r="CH336" s="236"/>
      <c r="CI336" s="236"/>
      <c r="CJ336" s="236"/>
      <c r="CK336" s="236"/>
      <c r="CL336" s="236"/>
      <c r="CM336" s="236"/>
      <c r="CN336" s="236"/>
      <c r="CO336" s="236"/>
    </row>
    <row r="337" spans="5:93" s="230" customFormat="1">
      <c r="E337" s="234"/>
      <c r="F337" s="235"/>
      <c r="G337" s="235"/>
      <c r="H337" s="236"/>
      <c r="I337" s="235"/>
      <c r="J337" s="235"/>
      <c r="K337" s="235"/>
      <c r="L337" s="235"/>
      <c r="M337" s="236"/>
      <c r="N337" s="235"/>
      <c r="O337" s="235"/>
      <c r="P337" s="235"/>
      <c r="Q337" s="235"/>
      <c r="R337" s="235"/>
      <c r="S337" s="235"/>
      <c r="T337" s="235"/>
      <c r="U337" s="235"/>
      <c r="V337" s="235"/>
      <c r="W337" s="235"/>
      <c r="X337" s="235"/>
      <c r="Y337" s="235"/>
      <c r="Z337" s="235"/>
      <c r="AA337" s="235"/>
      <c r="AB337" s="235"/>
      <c r="AC337" s="235"/>
      <c r="AD337" s="235"/>
      <c r="AE337" s="236"/>
      <c r="AF337" s="235"/>
      <c r="AG337" s="235"/>
      <c r="AH337" s="235"/>
      <c r="AI337" s="235"/>
      <c r="AJ337" s="236"/>
      <c r="AK337" s="235"/>
      <c r="AL337" s="235"/>
      <c r="AM337" s="235"/>
      <c r="AN337" s="235"/>
      <c r="AO337" s="235"/>
      <c r="AP337" s="235"/>
      <c r="AQ337" s="235"/>
      <c r="AR337" s="235"/>
      <c r="AS337" s="235"/>
      <c r="AT337" s="235"/>
      <c r="AU337" s="236"/>
      <c r="AV337" s="235"/>
      <c r="AW337" s="235"/>
      <c r="AX337" s="235"/>
      <c r="AY337" s="235"/>
      <c r="AZ337" s="235"/>
      <c r="BA337" s="235"/>
      <c r="BB337" s="235"/>
      <c r="BC337" s="235"/>
      <c r="BD337" s="236"/>
      <c r="BE337" s="235"/>
      <c r="BF337" s="235"/>
      <c r="BG337" s="235"/>
      <c r="BH337" s="235"/>
      <c r="BI337" s="236"/>
      <c r="BJ337" s="236"/>
      <c r="BK337" s="238"/>
      <c r="BL337" s="239"/>
      <c r="BM337" s="239"/>
      <c r="BN337" s="239"/>
      <c r="BP337" s="236"/>
      <c r="BQ337" s="236"/>
      <c r="BR337" s="236"/>
      <c r="BS337" s="236"/>
      <c r="BT337" s="236"/>
      <c r="BU337" s="236"/>
      <c r="BV337" s="236"/>
      <c r="BW337" s="236"/>
      <c r="BX337" s="236"/>
      <c r="BY337" s="236"/>
      <c r="BZ337" s="236"/>
      <c r="CA337" s="236"/>
      <c r="CB337" s="236"/>
      <c r="CC337" s="236"/>
      <c r="CD337" s="236"/>
      <c r="CE337" s="236"/>
      <c r="CF337" s="236"/>
      <c r="CG337" s="236"/>
      <c r="CH337" s="236"/>
      <c r="CI337" s="236"/>
      <c r="CJ337" s="236"/>
      <c r="CK337" s="236"/>
      <c r="CL337" s="236"/>
      <c r="CM337" s="236"/>
      <c r="CN337" s="236"/>
      <c r="CO337" s="236"/>
    </row>
    <row r="338" spans="5:93" s="230" customFormat="1">
      <c r="E338" s="234"/>
      <c r="F338" s="235"/>
      <c r="G338" s="235"/>
      <c r="H338" s="236"/>
      <c r="I338" s="235"/>
      <c r="J338" s="235"/>
      <c r="K338" s="235"/>
      <c r="L338" s="235"/>
      <c r="M338" s="236"/>
      <c r="N338" s="235"/>
      <c r="O338" s="235"/>
      <c r="P338" s="235"/>
      <c r="Q338" s="235"/>
      <c r="R338" s="235"/>
      <c r="S338" s="235"/>
      <c r="T338" s="235"/>
      <c r="U338" s="235"/>
      <c r="V338" s="235"/>
      <c r="W338" s="235"/>
      <c r="X338" s="235"/>
      <c r="Y338" s="235"/>
      <c r="Z338" s="235"/>
      <c r="AA338" s="235"/>
      <c r="AB338" s="235"/>
      <c r="AC338" s="235"/>
      <c r="AD338" s="235"/>
      <c r="AE338" s="236"/>
      <c r="AF338" s="235"/>
      <c r="AG338" s="235"/>
      <c r="AH338" s="235"/>
      <c r="AI338" s="235"/>
      <c r="AJ338" s="236"/>
      <c r="AK338" s="235"/>
      <c r="AL338" s="235"/>
      <c r="AM338" s="235"/>
      <c r="AN338" s="235"/>
      <c r="AO338" s="235"/>
      <c r="AP338" s="235"/>
      <c r="AQ338" s="235"/>
      <c r="AR338" s="235"/>
      <c r="AS338" s="235"/>
      <c r="AT338" s="235"/>
      <c r="AU338" s="236"/>
      <c r="AV338" s="235"/>
      <c r="AW338" s="235"/>
      <c r="AX338" s="235"/>
      <c r="AY338" s="235"/>
      <c r="AZ338" s="235"/>
      <c r="BA338" s="235"/>
      <c r="BB338" s="235"/>
      <c r="BC338" s="235"/>
      <c r="BD338" s="236"/>
      <c r="BE338" s="235"/>
      <c r="BF338" s="235"/>
      <c r="BG338" s="235"/>
      <c r="BH338" s="235"/>
      <c r="BI338" s="236"/>
      <c r="BJ338" s="236"/>
      <c r="BK338" s="238"/>
      <c r="BL338" s="239"/>
      <c r="BM338" s="239"/>
      <c r="BN338" s="239"/>
      <c r="BP338" s="236"/>
      <c r="BQ338" s="236"/>
      <c r="BR338" s="236"/>
      <c r="BS338" s="236"/>
      <c r="BT338" s="236"/>
      <c r="BU338" s="236"/>
      <c r="BV338" s="236"/>
      <c r="BW338" s="236"/>
      <c r="BX338" s="236"/>
      <c r="BY338" s="236"/>
      <c r="BZ338" s="236"/>
      <c r="CA338" s="236"/>
      <c r="CB338" s="236"/>
      <c r="CC338" s="236"/>
      <c r="CD338" s="236"/>
      <c r="CE338" s="236"/>
      <c r="CF338" s="236"/>
      <c r="CG338" s="236"/>
      <c r="CH338" s="236"/>
      <c r="CI338" s="236"/>
      <c r="CJ338" s="236"/>
      <c r="CK338" s="236"/>
      <c r="CL338" s="236"/>
      <c r="CM338" s="236"/>
      <c r="CN338" s="236"/>
      <c r="CO338" s="236"/>
    </row>
    <row r="339" spans="5:93" s="230" customFormat="1">
      <c r="E339" s="234"/>
      <c r="F339" s="235"/>
      <c r="G339" s="235"/>
      <c r="H339" s="236"/>
      <c r="I339" s="235"/>
      <c r="J339" s="235"/>
      <c r="K339" s="235"/>
      <c r="L339" s="235"/>
      <c r="M339" s="236"/>
      <c r="N339" s="235"/>
      <c r="O339" s="235"/>
      <c r="P339" s="235"/>
      <c r="Q339" s="235"/>
      <c r="R339" s="235"/>
      <c r="S339" s="235"/>
      <c r="T339" s="235"/>
      <c r="U339" s="235"/>
      <c r="V339" s="235"/>
      <c r="W339" s="235"/>
      <c r="X339" s="235"/>
      <c r="Y339" s="235"/>
      <c r="Z339" s="235"/>
      <c r="AA339" s="235"/>
      <c r="AB339" s="235"/>
      <c r="AC339" s="235"/>
      <c r="AD339" s="235"/>
      <c r="AE339" s="236"/>
      <c r="AF339" s="235"/>
      <c r="AG339" s="235"/>
      <c r="AH339" s="235"/>
      <c r="AI339" s="235"/>
      <c r="AJ339" s="236"/>
      <c r="AK339" s="235"/>
      <c r="AL339" s="235"/>
      <c r="AM339" s="235"/>
      <c r="AN339" s="235"/>
      <c r="AO339" s="235"/>
      <c r="AP339" s="235"/>
      <c r="AQ339" s="235"/>
      <c r="AR339" s="235"/>
      <c r="AS339" s="235"/>
      <c r="AT339" s="235"/>
      <c r="AU339" s="236"/>
      <c r="AV339" s="235"/>
      <c r="AW339" s="235"/>
      <c r="AX339" s="235"/>
      <c r="AY339" s="235"/>
      <c r="AZ339" s="235"/>
      <c r="BA339" s="235"/>
      <c r="BB339" s="235"/>
      <c r="BC339" s="235"/>
      <c r="BD339" s="236"/>
      <c r="BE339" s="235"/>
      <c r="BF339" s="235"/>
      <c r="BG339" s="235"/>
      <c r="BH339" s="235"/>
      <c r="BI339" s="236"/>
      <c r="BJ339" s="236"/>
      <c r="BK339" s="238"/>
      <c r="BL339" s="239"/>
      <c r="BM339" s="239"/>
      <c r="BN339" s="239"/>
      <c r="BP339" s="236"/>
      <c r="BQ339" s="236"/>
      <c r="BR339" s="236"/>
      <c r="BS339" s="236"/>
      <c r="BT339" s="236"/>
      <c r="BU339" s="236"/>
      <c r="BV339" s="236"/>
      <c r="BW339" s="236"/>
      <c r="BX339" s="236"/>
      <c r="BY339" s="236"/>
      <c r="BZ339" s="236"/>
      <c r="CA339" s="236"/>
      <c r="CB339" s="236"/>
      <c r="CC339" s="236"/>
      <c r="CD339" s="236"/>
      <c r="CE339" s="236"/>
      <c r="CF339" s="236"/>
      <c r="CG339" s="236"/>
      <c r="CH339" s="236"/>
      <c r="CI339" s="236"/>
      <c r="CJ339" s="236"/>
      <c r="CK339" s="236"/>
      <c r="CL339" s="236"/>
      <c r="CM339" s="236"/>
      <c r="CN339" s="236"/>
      <c r="CO339" s="236"/>
    </row>
    <row r="340" spans="5:93" s="230" customFormat="1">
      <c r="E340" s="234"/>
      <c r="F340" s="235"/>
      <c r="G340" s="235"/>
      <c r="H340" s="236"/>
      <c r="I340" s="235"/>
      <c r="J340" s="235"/>
      <c r="K340" s="235"/>
      <c r="L340" s="235"/>
      <c r="M340" s="236"/>
      <c r="N340" s="235"/>
      <c r="O340" s="235"/>
      <c r="P340" s="235"/>
      <c r="Q340" s="235"/>
      <c r="R340" s="235"/>
      <c r="S340" s="235"/>
      <c r="T340" s="235"/>
      <c r="U340" s="235"/>
      <c r="V340" s="235"/>
      <c r="W340" s="235"/>
      <c r="X340" s="235"/>
      <c r="Y340" s="235"/>
      <c r="Z340" s="235"/>
      <c r="AA340" s="235"/>
      <c r="AB340" s="235"/>
      <c r="AC340" s="235"/>
      <c r="AD340" s="235"/>
      <c r="AE340" s="236"/>
      <c r="AF340" s="235"/>
      <c r="AG340" s="235"/>
      <c r="AH340" s="235"/>
      <c r="AI340" s="235"/>
      <c r="AJ340" s="236"/>
      <c r="AK340" s="235"/>
      <c r="AL340" s="235"/>
      <c r="AM340" s="235"/>
      <c r="AN340" s="235"/>
      <c r="AO340" s="235"/>
      <c r="AP340" s="235"/>
      <c r="AQ340" s="235"/>
      <c r="AR340" s="235"/>
      <c r="AS340" s="235"/>
      <c r="AT340" s="235"/>
      <c r="AU340" s="236"/>
      <c r="AV340" s="235"/>
      <c r="AW340" s="235"/>
      <c r="AX340" s="235"/>
      <c r="AY340" s="235"/>
      <c r="AZ340" s="235"/>
      <c r="BA340" s="235"/>
      <c r="BB340" s="235"/>
      <c r="BC340" s="235"/>
      <c r="BD340" s="236"/>
      <c r="BE340" s="235"/>
      <c r="BF340" s="235"/>
      <c r="BG340" s="235"/>
      <c r="BH340" s="235"/>
      <c r="BI340" s="236"/>
      <c r="BJ340" s="236"/>
      <c r="BK340" s="238"/>
      <c r="BL340" s="239"/>
      <c r="BM340" s="239"/>
      <c r="BN340" s="239"/>
      <c r="BP340" s="236"/>
      <c r="BQ340" s="236"/>
      <c r="BR340" s="236"/>
      <c r="BS340" s="236"/>
      <c r="BT340" s="236"/>
      <c r="BU340" s="236"/>
      <c r="BV340" s="236"/>
      <c r="BW340" s="236"/>
      <c r="BX340" s="236"/>
      <c r="BY340" s="236"/>
      <c r="BZ340" s="236"/>
      <c r="CA340" s="236"/>
      <c r="CB340" s="236"/>
      <c r="CC340" s="236"/>
      <c r="CD340" s="236"/>
      <c r="CE340" s="236"/>
      <c r="CF340" s="236"/>
      <c r="CG340" s="236"/>
      <c r="CH340" s="236"/>
      <c r="CI340" s="236"/>
      <c r="CJ340" s="236"/>
      <c r="CK340" s="236"/>
      <c r="CL340" s="236"/>
      <c r="CM340" s="236"/>
      <c r="CN340" s="236"/>
      <c r="CO340" s="236"/>
    </row>
    <row r="341" spans="5:93" s="230" customFormat="1">
      <c r="E341" s="234"/>
      <c r="F341" s="235"/>
      <c r="G341" s="235"/>
      <c r="H341" s="236"/>
      <c r="I341" s="235"/>
      <c r="J341" s="235"/>
      <c r="K341" s="235"/>
      <c r="L341" s="235"/>
      <c r="M341" s="236"/>
      <c r="N341" s="235"/>
      <c r="O341" s="235"/>
      <c r="P341" s="235"/>
      <c r="Q341" s="235"/>
      <c r="R341" s="235"/>
      <c r="S341" s="235"/>
      <c r="T341" s="235"/>
      <c r="U341" s="235"/>
      <c r="V341" s="235"/>
      <c r="W341" s="235"/>
      <c r="X341" s="235"/>
      <c r="Y341" s="235"/>
      <c r="Z341" s="235"/>
      <c r="AA341" s="235"/>
      <c r="AB341" s="235"/>
      <c r="AC341" s="235"/>
      <c r="AD341" s="235"/>
      <c r="AE341" s="236"/>
      <c r="AF341" s="235"/>
      <c r="AG341" s="235"/>
      <c r="AH341" s="235"/>
      <c r="AI341" s="235"/>
      <c r="AJ341" s="236"/>
      <c r="AK341" s="235"/>
      <c r="AL341" s="235"/>
      <c r="AM341" s="235"/>
      <c r="AN341" s="235"/>
      <c r="AO341" s="235"/>
      <c r="AP341" s="235"/>
      <c r="AQ341" s="235"/>
      <c r="AR341" s="235"/>
      <c r="AS341" s="235"/>
      <c r="AT341" s="235"/>
      <c r="AU341" s="236"/>
      <c r="AV341" s="235"/>
      <c r="AW341" s="235"/>
      <c r="AX341" s="235"/>
      <c r="AY341" s="235"/>
      <c r="AZ341" s="235"/>
      <c r="BA341" s="235"/>
      <c r="BB341" s="235"/>
      <c r="BC341" s="235"/>
      <c r="BD341" s="236"/>
      <c r="BE341" s="235"/>
      <c r="BF341" s="235"/>
      <c r="BG341" s="235"/>
      <c r="BH341" s="235"/>
      <c r="BI341" s="236"/>
      <c r="BJ341" s="236"/>
      <c r="BK341" s="238"/>
      <c r="BL341" s="239"/>
      <c r="BM341" s="239"/>
      <c r="BN341" s="239"/>
      <c r="BP341" s="236"/>
      <c r="BQ341" s="236"/>
      <c r="BR341" s="236"/>
      <c r="BS341" s="236"/>
      <c r="BT341" s="236"/>
      <c r="BU341" s="236"/>
      <c r="BV341" s="236"/>
      <c r="BW341" s="236"/>
      <c r="BX341" s="236"/>
      <c r="BY341" s="236"/>
      <c r="BZ341" s="236"/>
      <c r="CA341" s="236"/>
      <c r="CB341" s="236"/>
      <c r="CC341" s="236"/>
      <c r="CD341" s="236"/>
      <c r="CE341" s="236"/>
      <c r="CF341" s="236"/>
      <c r="CG341" s="236"/>
      <c r="CH341" s="236"/>
      <c r="CI341" s="236"/>
      <c r="CJ341" s="236"/>
      <c r="CK341" s="236"/>
      <c r="CL341" s="236"/>
      <c r="CM341" s="236"/>
      <c r="CN341" s="236"/>
      <c r="CO341" s="236"/>
    </row>
    <row r="342" spans="5:93" s="230" customFormat="1">
      <c r="E342" s="234"/>
      <c r="F342" s="235"/>
      <c r="G342" s="235"/>
      <c r="H342" s="236"/>
      <c r="I342" s="235"/>
      <c r="J342" s="235"/>
      <c r="K342" s="235"/>
      <c r="L342" s="235"/>
      <c r="M342" s="236"/>
      <c r="N342" s="235"/>
      <c r="O342" s="235"/>
      <c r="P342" s="235"/>
      <c r="Q342" s="235"/>
      <c r="R342" s="235"/>
      <c r="S342" s="235"/>
      <c r="T342" s="235"/>
      <c r="U342" s="235"/>
      <c r="V342" s="235"/>
      <c r="W342" s="235"/>
      <c r="X342" s="235"/>
      <c r="Y342" s="235"/>
      <c r="Z342" s="235"/>
      <c r="AA342" s="235"/>
      <c r="AB342" s="235"/>
      <c r="AC342" s="235"/>
      <c r="AD342" s="235"/>
      <c r="AE342" s="236"/>
      <c r="AF342" s="235"/>
      <c r="AG342" s="235"/>
      <c r="AH342" s="235"/>
      <c r="AI342" s="235"/>
      <c r="AJ342" s="236"/>
      <c r="AK342" s="235"/>
      <c r="AL342" s="235"/>
      <c r="AM342" s="235"/>
      <c r="AN342" s="235"/>
      <c r="AO342" s="235"/>
      <c r="AP342" s="235"/>
      <c r="AQ342" s="235"/>
      <c r="AR342" s="235"/>
      <c r="AS342" s="235"/>
      <c r="AT342" s="235"/>
      <c r="AU342" s="236"/>
      <c r="AV342" s="235"/>
      <c r="AW342" s="235"/>
      <c r="AX342" s="235"/>
      <c r="AY342" s="235"/>
      <c r="AZ342" s="235"/>
      <c r="BA342" s="235"/>
      <c r="BB342" s="235"/>
      <c r="BC342" s="235"/>
      <c r="BD342" s="236"/>
      <c r="BE342" s="235"/>
      <c r="BF342" s="235"/>
      <c r="BG342" s="235"/>
      <c r="BH342" s="235"/>
      <c r="BI342" s="236"/>
      <c r="BJ342" s="236"/>
      <c r="BK342" s="238"/>
      <c r="BL342" s="239"/>
      <c r="BM342" s="239"/>
      <c r="BN342" s="239"/>
      <c r="BP342" s="236"/>
      <c r="BQ342" s="236"/>
      <c r="BR342" s="236"/>
      <c r="BS342" s="236"/>
      <c r="BT342" s="236"/>
      <c r="BU342" s="236"/>
      <c r="BV342" s="236"/>
      <c r="BW342" s="236"/>
      <c r="BX342" s="236"/>
      <c r="BY342" s="236"/>
      <c r="BZ342" s="236"/>
      <c r="CA342" s="236"/>
      <c r="CB342" s="236"/>
      <c r="CC342" s="236"/>
      <c r="CD342" s="236"/>
      <c r="CE342" s="236"/>
      <c r="CF342" s="236"/>
      <c r="CG342" s="236"/>
      <c r="CH342" s="236"/>
      <c r="CI342" s="236"/>
      <c r="CJ342" s="236"/>
      <c r="CK342" s="236"/>
      <c r="CL342" s="236"/>
      <c r="CM342" s="236"/>
      <c r="CN342" s="236"/>
      <c r="CO342" s="236"/>
    </row>
    <row r="343" spans="5:93" s="230" customFormat="1">
      <c r="E343" s="234"/>
      <c r="F343" s="235"/>
      <c r="G343" s="235"/>
      <c r="H343" s="236"/>
      <c r="I343" s="235"/>
      <c r="J343" s="235"/>
      <c r="K343" s="235"/>
      <c r="L343" s="235"/>
      <c r="M343" s="236"/>
      <c r="N343" s="235"/>
      <c r="O343" s="235"/>
      <c r="P343" s="235"/>
      <c r="Q343" s="235"/>
      <c r="R343" s="235"/>
      <c r="S343" s="235"/>
      <c r="T343" s="235"/>
      <c r="U343" s="235"/>
      <c r="V343" s="235"/>
      <c r="W343" s="235"/>
      <c r="X343" s="235"/>
      <c r="Y343" s="235"/>
      <c r="Z343" s="235"/>
      <c r="AA343" s="235"/>
      <c r="AB343" s="235"/>
      <c r="AC343" s="235"/>
      <c r="AD343" s="235"/>
      <c r="AE343" s="236"/>
      <c r="AF343" s="235"/>
      <c r="AG343" s="235"/>
      <c r="AH343" s="235"/>
      <c r="AI343" s="235"/>
      <c r="AJ343" s="236"/>
      <c r="AK343" s="235"/>
      <c r="AL343" s="235"/>
      <c r="AM343" s="235"/>
      <c r="AN343" s="235"/>
      <c r="AO343" s="235"/>
      <c r="AP343" s="235"/>
      <c r="AQ343" s="235"/>
      <c r="AR343" s="235"/>
      <c r="AS343" s="235"/>
      <c r="AT343" s="235"/>
      <c r="AU343" s="236"/>
      <c r="AV343" s="235"/>
      <c r="AW343" s="235"/>
      <c r="AX343" s="235"/>
      <c r="AY343" s="235"/>
      <c r="AZ343" s="235"/>
      <c r="BA343" s="235"/>
      <c r="BB343" s="235"/>
      <c r="BC343" s="235"/>
      <c r="BD343" s="236"/>
      <c r="BE343" s="235"/>
      <c r="BF343" s="235"/>
      <c r="BG343" s="235"/>
      <c r="BH343" s="235"/>
      <c r="BI343" s="236"/>
      <c r="BJ343" s="236"/>
      <c r="BK343" s="238"/>
      <c r="BL343" s="239"/>
      <c r="BM343" s="239"/>
      <c r="BN343" s="239"/>
      <c r="BP343" s="236"/>
      <c r="BQ343" s="236"/>
      <c r="BR343" s="236"/>
      <c r="BS343" s="236"/>
      <c r="BT343" s="236"/>
      <c r="BU343" s="236"/>
      <c r="BV343" s="236"/>
      <c r="BW343" s="236"/>
      <c r="BX343" s="236"/>
      <c r="BY343" s="236"/>
      <c r="BZ343" s="236"/>
      <c r="CA343" s="236"/>
      <c r="CB343" s="236"/>
      <c r="CC343" s="236"/>
      <c r="CD343" s="236"/>
      <c r="CE343" s="236"/>
      <c r="CF343" s="236"/>
      <c r="CG343" s="236"/>
      <c r="CH343" s="236"/>
      <c r="CI343" s="236"/>
      <c r="CJ343" s="236"/>
      <c r="CK343" s="236"/>
      <c r="CL343" s="236"/>
      <c r="CM343" s="236"/>
      <c r="CN343" s="236"/>
      <c r="CO343" s="236"/>
    </row>
    <row r="344" spans="5:93" s="230" customFormat="1">
      <c r="E344" s="234"/>
      <c r="F344" s="235"/>
      <c r="G344" s="235"/>
      <c r="H344" s="236"/>
      <c r="I344" s="235"/>
      <c r="J344" s="235"/>
      <c r="K344" s="235"/>
      <c r="L344" s="235"/>
      <c r="M344" s="236"/>
      <c r="N344" s="235"/>
      <c r="O344" s="235"/>
      <c r="P344" s="235"/>
      <c r="Q344" s="235"/>
      <c r="R344" s="235"/>
      <c r="S344" s="235"/>
      <c r="T344" s="235"/>
      <c r="U344" s="235"/>
      <c r="V344" s="235"/>
      <c r="W344" s="235"/>
      <c r="X344" s="235"/>
      <c r="Y344" s="235"/>
      <c r="Z344" s="235"/>
      <c r="AA344" s="235"/>
      <c r="AB344" s="235"/>
      <c r="AC344" s="235"/>
      <c r="AD344" s="235"/>
      <c r="AE344" s="236"/>
      <c r="AF344" s="235"/>
      <c r="AG344" s="235"/>
      <c r="AH344" s="235"/>
      <c r="AI344" s="235"/>
      <c r="AJ344" s="236"/>
      <c r="AK344" s="235"/>
      <c r="AL344" s="235"/>
      <c r="AM344" s="235"/>
      <c r="AN344" s="235"/>
      <c r="AO344" s="235"/>
      <c r="AP344" s="235"/>
      <c r="AQ344" s="235"/>
      <c r="AR344" s="235"/>
      <c r="AS344" s="235"/>
      <c r="AT344" s="235"/>
      <c r="AU344" s="236"/>
      <c r="AV344" s="235"/>
      <c r="AW344" s="235"/>
      <c r="AX344" s="235"/>
      <c r="AY344" s="235"/>
      <c r="AZ344" s="235"/>
      <c r="BA344" s="235"/>
      <c r="BB344" s="235"/>
      <c r="BC344" s="235"/>
      <c r="BD344" s="236"/>
      <c r="BE344" s="235"/>
      <c r="BF344" s="235"/>
      <c r="BG344" s="235"/>
      <c r="BH344" s="235"/>
      <c r="BI344" s="236"/>
      <c r="BJ344" s="236"/>
      <c r="BK344" s="238"/>
      <c r="BL344" s="239"/>
      <c r="BM344" s="239"/>
      <c r="BN344" s="239"/>
      <c r="BP344" s="236"/>
      <c r="BQ344" s="236"/>
      <c r="BR344" s="236"/>
      <c r="BS344" s="236"/>
      <c r="BT344" s="236"/>
      <c r="BU344" s="236"/>
      <c r="BV344" s="236"/>
      <c r="BW344" s="236"/>
      <c r="BX344" s="236"/>
      <c r="BY344" s="236"/>
      <c r="BZ344" s="236"/>
      <c r="CA344" s="236"/>
      <c r="CB344" s="236"/>
      <c r="CC344" s="236"/>
      <c r="CD344" s="236"/>
      <c r="CE344" s="236"/>
      <c r="CF344" s="236"/>
      <c r="CG344" s="236"/>
      <c r="CH344" s="236"/>
      <c r="CI344" s="236"/>
      <c r="CJ344" s="236"/>
      <c r="CK344" s="236"/>
      <c r="CL344" s="236"/>
      <c r="CM344" s="236"/>
      <c r="CN344" s="236"/>
      <c r="CO344" s="236"/>
    </row>
    <row r="345" spans="5:93" s="230" customFormat="1">
      <c r="E345" s="234"/>
      <c r="F345" s="235"/>
      <c r="G345" s="235"/>
      <c r="H345" s="236"/>
      <c r="I345" s="235"/>
      <c r="J345" s="235"/>
      <c r="K345" s="235"/>
      <c r="L345" s="235"/>
      <c r="M345" s="236"/>
      <c r="N345" s="235"/>
      <c r="O345" s="235"/>
      <c r="P345" s="235"/>
      <c r="Q345" s="235"/>
      <c r="R345" s="235"/>
      <c r="S345" s="235"/>
      <c r="T345" s="235"/>
      <c r="U345" s="235"/>
      <c r="V345" s="235"/>
      <c r="W345" s="235"/>
      <c r="X345" s="235"/>
      <c r="Y345" s="235"/>
      <c r="Z345" s="235"/>
      <c r="AA345" s="235"/>
      <c r="AB345" s="235"/>
      <c r="AC345" s="235"/>
      <c r="AD345" s="235"/>
      <c r="AE345" s="236"/>
      <c r="AF345" s="235"/>
      <c r="AG345" s="235"/>
      <c r="AH345" s="235"/>
      <c r="AI345" s="235"/>
      <c r="AJ345" s="236"/>
      <c r="AK345" s="235"/>
      <c r="AL345" s="235"/>
      <c r="AM345" s="235"/>
      <c r="AN345" s="235"/>
      <c r="AO345" s="235"/>
      <c r="AP345" s="235"/>
      <c r="AQ345" s="235"/>
      <c r="AR345" s="235"/>
      <c r="AS345" s="235"/>
      <c r="AT345" s="235"/>
      <c r="AU345" s="236"/>
      <c r="AV345" s="235"/>
      <c r="AW345" s="235"/>
      <c r="AX345" s="235"/>
      <c r="AY345" s="235"/>
      <c r="AZ345" s="235"/>
      <c r="BA345" s="235"/>
      <c r="BB345" s="235"/>
      <c r="BC345" s="235"/>
      <c r="BD345" s="236"/>
      <c r="BE345" s="235"/>
      <c r="BF345" s="235"/>
      <c r="BG345" s="235"/>
      <c r="BH345" s="235"/>
      <c r="BI345" s="236"/>
      <c r="BJ345" s="236"/>
      <c r="BK345" s="238"/>
      <c r="BL345" s="239"/>
      <c r="BM345" s="239"/>
      <c r="BN345" s="239"/>
      <c r="BP345" s="236"/>
      <c r="BQ345" s="236"/>
      <c r="BR345" s="236"/>
      <c r="BS345" s="236"/>
      <c r="BT345" s="236"/>
      <c r="BU345" s="236"/>
      <c r="BV345" s="236"/>
      <c r="BW345" s="236"/>
      <c r="BX345" s="236"/>
      <c r="BY345" s="236"/>
      <c r="BZ345" s="236"/>
      <c r="CA345" s="236"/>
      <c r="CB345" s="236"/>
      <c r="CC345" s="236"/>
      <c r="CD345" s="236"/>
      <c r="CE345" s="236"/>
      <c r="CF345" s="236"/>
      <c r="CG345" s="236"/>
      <c r="CH345" s="236"/>
      <c r="CI345" s="236"/>
      <c r="CJ345" s="236"/>
      <c r="CK345" s="236"/>
      <c r="CL345" s="236"/>
      <c r="CM345" s="236"/>
      <c r="CN345" s="236"/>
      <c r="CO345" s="236"/>
    </row>
    <row r="346" spans="5:93" s="230" customFormat="1">
      <c r="E346" s="234"/>
      <c r="F346" s="235"/>
      <c r="G346" s="235"/>
      <c r="H346" s="236"/>
      <c r="I346" s="235"/>
      <c r="J346" s="235"/>
      <c r="K346" s="235"/>
      <c r="L346" s="235"/>
      <c r="M346" s="236"/>
      <c r="N346" s="235"/>
      <c r="O346" s="235"/>
      <c r="P346" s="235"/>
      <c r="Q346" s="235"/>
      <c r="R346" s="235"/>
      <c r="S346" s="235"/>
      <c r="T346" s="235"/>
      <c r="U346" s="235"/>
      <c r="V346" s="235"/>
      <c r="W346" s="235"/>
      <c r="X346" s="235"/>
      <c r="Y346" s="235"/>
      <c r="Z346" s="235"/>
      <c r="AA346" s="235"/>
      <c r="AB346" s="235"/>
      <c r="AC346" s="235"/>
      <c r="AD346" s="235"/>
      <c r="AE346" s="236"/>
      <c r="AF346" s="235"/>
      <c r="AG346" s="235"/>
      <c r="AH346" s="235"/>
      <c r="AI346" s="235"/>
      <c r="AJ346" s="236"/>
      <c r="AK346" s="235"/>
      <c r="AL346" s="235"/>
      <c r="AM346" s="235"/>
      <c r="AN346" s="235"/>
      <c r="AO346" s="235"/>
      <c r="AP346" s="235"/>
      <c r="AQ346" s="235"/>
      <c r="AR346" s="235"/>
      <c r="AS346" s="235"/>
      <c r="AT346" s="235"/>
      <c r="AU346" s="236"/>
      <c r="AV346" s="235"/>
      <c r="AW346" s="235"/>
      <c r="AX346" s="235"/>
      <c r="AY346" s="235"/>
      <c r="AZ346" s="235"/>
      <c r="BA346" s="235"/>
      <c r="BB346" s="235"/>
      <c r="BC346" s="235"/>
      <c r="BD346" s="236"/>
      <c r="BE346" s="235"/>
      <c r="BF346" s="235"/>
      <c r="BG346" s="235"/>
      <c r="BH346" s="235"/>
      <c r="BI346" s="236"/>
      <c r="BJ346" s="236"/>
      <c r="BK346" s="238"/>
      <c r="BL346" s="239"/>
      <c r="BM346" s="239"/>
      <c r="BN346" s="239"/>
      <c r="BP346" s="236"/>
      <c r="BQ346" s="236"/>
      <c r="BR346" s="236"/>
      <c r="BS346" s="236"/>
      <c r="BT346" s="236"/>
      <c r="BU346" s="236"/>
      <c r="BV346" s="236"/>
      <c r="BW346" s="236"/>
      <c r="BX346" s="236"/>
      <c r="BY346" s="236"/>
      <c r="BZ346" s="236"/>
      <c r="CA346" s="236"/>
      <c r="CB346" s="236"/>
      <c r="CC346" s="236"/>
      <c r="CD346" s="236"/>
      <c r="CE346" s="236"/>
      <c r="CF346" s="236"/>
      <c r="CG346" s="236"/>
      <c r="CH346" s="236"/>
      <c r="CI346" s="236"/>
      <c r="CJ346" s="236"/>
      <c r="CK346" s="236"/>
      <c r="CL346" s="236"/>
      <c r="CM346" s="236"/>
      <c r="CN346" s="236"/>
      <c r="CO346" s="236"/>
    </row>
    <row r="347" spans="5:93" s="230" customFormat="1">
      <c r="E347" s="234"/>
      <c r="F347" s="235"/>
      <c r="G347" s="235"/>
      <c r="H347" s="236"/>
      <c r="I347" s="235"/>
      <c r="J347" s="235"/>
      <c r="K347" s="235"/>
      <c r="L347" s="235"/>
      <c r="M347" s="236"/>
      <c r="N347" s="235"/>
      <c r="O347" s="235"/>
      <c r="P347" s="235"/>
      <c r="Q347" s="235"/>
      <c r="R347" s="235"/>
      <c r="S347" s="235"/>
      <c r="T347" s="235"/>
      <c r="U347" s="235"/>
      <c r="V347" s="235"/>
      <c r="W347" s="235"/>
      <c r="X347" s="235"/>
      <c r="Y347" s="235"/>
      <c r="Z347" s="235"/>
      <c r="AA347" s="235"/>
      <c r="AB347" s="235"/>
      <c r="AC347" s="235"/>
      <c r="AD347" s="235"/>
      <c r="AE347" s="236"/>
      <c r="AF347" s="235"/>
      <c r="AG347" s="235"/>
      <c r="AH347" s="235"/>
      <c r="AI347" s="235"/>
      <c r="AJ347" s="236"/>
      <c r="AK347" s="235"/>
      <c r="AL347" s="235"/>
      <c r="AM347" s="235"/>
      <c r="AN347" s="235"/>
      <c r="AO347" s="235"/>
      <c r="AP347" s="235"/>
      <c r="AQ347" s="235"/>
      <c r="AR347" s="235"/>
      <c r="AS347" s="235"/>
      <c r="AT347" s="235"/>
      <c r="AU347" s="236"/>
      <c r="AV347" s="235"/>
      <c r="AW347" s="235"/>
      <c r="AX347" s="235"/>
      <c r="AY347" s="235"/>
      <c r="AZ347" s="235"/>
      <c r="BA347" s="235"/>
      <c r="BB347" s="235"/>
      <c r="BC347" s="235"/>
      <c r="BD347" s="236"/>
      <c r="BE347" s="235"/>
      <c r="BF347" s="235"/>
      <c r="BG347" s="235"/>
      <c r="BH347" s="235"/>
      <c r="BI347" s="236"/>
      <c r="BJ347" s="236"/>
      <c r="BK347" s="238"/>
      <c r="BL347" s="239"/>
      <c r="BM347" s="239"/>
      <c r="BN347" s="239"/>
      <c r="BP347" s="236"/>
      <c r="BQ347" s="236"/>
      <c r="BR347" s="236"/>
      <c r="BS347" s="236"/>
      <c r="BT347" s="236"/>
      <c r="BU347" s="236"/>
      <c r="BV347" s="236"/>
      <c r="BW347" s="236"/>
      <c r="BX347" s="236"/>
      <c r="BY347" s="236"/>
      <c r="BZ347" s="236"/>
      <c r="CA347" s="236"/>
      <c r="CB347" s="236"/>
      <c r="CC347" s="236"/>
      <c r="CD347" s="236"/>
      <c r="CE347" s="236"/>
      <c r="CF347" s="236"/>
      <c r="CG347" s="236"/>
      <c r="CH347" s="236"/>
      <c r="CI347" s="236"/>
      <c r="CJ347" s="236"/>
      <c r="CK347" s="236"/>
      <c r="CL347" s="236"/>
      <c r="CM347" s="236"/>
      <c r="CN347" s="236"/>
      <c r="CO347" s="236"/>
    </row>
    <row r="348" spans="5:93" s="230" customFormat="1">
      <c r="E348" s="234"/>
      <c r="F348" s="235"/>
      <c r="G348" s="235"/>
      <c r="H348" s="236"/>
      <c r="I348" s="235"/>
      <c r="J348" s="235"/>
      <c r="K348" s="235"/>
      <c r="L348" s="235"/>
      <c r="M348" s="236"/>
      <c r="N348" s="235"/>
      <c r="O348" s="235"/>
      <c r="P348" s="235"/>
      <c r="Q348" s="235"/>
      <c r="R348" s="235"/>
      <c r="S348" s="235"/>
      <c r="T348" s="235"/>
      <c r="U348" s="235"/>
      <c r="V348" s="235"/>
      <c r="W348" s="235"/>
      <c r="X348" s="235"/>
      <c r="Y348" s="235"/>
      <c r="Z348" s="235"/>
      <c r="AA348" s="235"/>
      <c r="AB348" s="235"/>
      <c r="AC348" s="235"/>
      <c r="AD348" s="235"/>
      <c r="AE348" s="236"/>
      <c r="AF348" s="235"/>
      <c r="AG348" s="235"/>
      <c r="AH348" s="235"/>
      <c r="AI348" s="235"/>
      <c r="AJ348" s="236"/>
      <c r="AK348" s="235"/>
      <c r="AL348" s="235"/>
      <c r="AM348" s="235"/>
      <c r="AN348" s="235"/>
      <c r="AO348" s="235"/>
      <c r="AP348" s="235"/>
      <c r="AQ348" s="235"/>
      <c r="AR348" s="235"/>
      <c r="AS348" s="235"/>
      <c r="AT348" s="235"/>
      <c r="AU348" s="236"/>
      <c r="AV348" s="235"/>
      <c r="AW348" s="235"/>
      <c r="AX348" s="235"/>
      <c r="AY348" s="235"/>
      <c r="AZ348" s="235"/>
      <c r="BA348" s="235"/>
      <c r="BB348" s="235"/>
      <c r="BC348" s="235"/>
      <c r="BD348" s="236"/>
      <c r="BE348" s="235"/>
      <c r="BF348" s="235"/>
      <c r="BG348" s="235"/>
      <c r="BH348" s="235"/>
      <c r="BI348" s="236"/>
      <c r="BJ348" s="236"/>
      <c r="BK348" s="238"/>
      <c r="BL348" s="239"/>
      <c r="BM348" s="239"/>
      <c r="BN348" s="239"/>
      <c r="BP348" s="236"/>
      <c r="BQ348" s="236"/>
      <c r="BR348" s="236"/>
      <c r="BS348" s="236"/>
      <c r="BT348" s="236"/>
      <c r="BU348" s="236"/>
      <c r="BV348" s="236"/>
      <c r="BW348" s="236"/>
      <c r="BX348" s="236"/>
      <c r="BY348" s="236"/>
      <c r="BZ348" s="236"/>
      <c r="CA348" s="236"/>
      <c r="CB348" s="236"/>
      <c r="CC348" s="236"/>
      <c r="CD348" s="236"/>
      <c r="CE348" s="236"/>
      <c r="CF348" s="236"/>
      <c r="CG348" s="236"/>
      <c r="CH348" s="236"/>
      <c r="CI348" s="236"/>
      <c r="CJ348" s="236"/>
      <c r="CK348" s="236"/>
      <c r="CL348" s="236"/>
      <c r="CM348" s="236"/>
      <c r="CN348" s="236"/>
      <c r="CO348" s="236"/>
    </row>
    <row r="349" spans="5:93" s="230" customFormat="1">
      <c r="E349" s="234"/>
      <c r="F349" s="235"/>
      <c r="G349" s="235"/>
      <c r="H349" s="236"/>
      <c r="I349" s="235"/>
      <c r="J349" s="235"/>
      <c r="K349" s="235"/>
      <c r="L349" s="235"/>
      <c r="M349" s="236"/>
      <c r="N349" s="235"/>
      <c r="O349" s="235"/>
      <c r="P349" s="235"/>
      <c r="Q349" s="235"/>
      <c r="R349" s="235"/>
      <c r="S349" s="235"/>
      <c r="T349" s="235"/>
      <c r="U349" s="235"/>
      <c r="V349" s="235"/>
      <c r="W349" s="235"/>
      <c r="X349" s="235"/>
      <c r="Y349" s="235"/>
      <c r="Z349" s="235"/>
      <c r="AA349" s="235"/>
      <c r="AB349" s="235"/>
      <c r="AC349" s="235"/>
      <c r="AD349" s="235"/>
      <c r="AE349" s="236"/>
      <c r="AF349" s="235"/>
      <c r="AG349" s="235"/>
      <c r="AH349" s="235"/>
      <c r="AI349" s="235"/>
      <c r="AJ349" s="236"/>
      <c r="AK349" s="235"/>
      <c r="AL349" s="235"/>
      <c r="AM349" s="235"/>
      <c r="AN349" s="235"/>
      <c r="AO349" s="235"/>
      <c r="AP349" s="235"/>
      <c r="AQ349" s="235"/>
      <c r="AR349" s="235"/>
      <c r="AS349" s="235"/>
      <c r="AT349" s="235"/>
      <c r="AU349" s="236"/>
      <c r="AV349" s="235"/>
      <c r="AW349" s="235"/>
      <c r="AX349" s="235"/>
      <c r="AY349" s="235"/>
      <c r="AZ349" s="235"/>
      <c r="BA349" s="235"/>
      <c r="BB349" s="235"/>
      <c r="BC349" s="235"/>
      <c r="BD349" s="236"/>
      <c r="BE349" s="235"/>
      <c r="BF349" s="235"/>
      <c r="BG349" s="235"/>
      <c r="BH349" s="235"/>
      <c r="BI349" s="236"/>
      <c r="BJ349" s="236"/>
      <c r="BK349" s="238"/>
      <c r="BL349" s="239"/>
      <c r="BM349" s="239"/>
      <c r="BN349" s="239"/>
      <c r="BP349" s="236"/>
      <c r="BQ349" s="236"/>
      <c r="BR349" s="236"/>
      <c r="BS349" s="236"/>
      <c r="BT349" s="236"/>
      <c r="BU349" s="236"/>
      <c r="BV349" s="236"/>
      <c r="BW349" s="236"/>
      <c r="BX349" s="236"/>
      <c r="BY349" s="236"/>
      <c r="BZ349" s="236"/>
      <c r="CA349" s="236"/>
      <c r="CB349" s="236"/>
      <c r="CC349" s="236"/>
      <c r="CD349" s="236"/>
      <c r="CE349" s="236"/>
      <c r="CF349" s="236"/>
      <c r="CG349" s="236"/>
      <c r="CH349" s="236"/>
      <c r="CI349" s="236"/>
      <c r="CJ349" s="236"/>
      <c r="CK349" s="236"/>
      <c r="CL349" s="236"/>
      <c r="CM349" s="236"/>
      <c r="CN349" s="236"/>
      <c r="CO349" s="236"/>
    </row>
    <row r="350" spans="5:93" s="230" customFormat="1">
      <c r="E350" s="234"/>
      <c r="F350" s="235"/>
      <c r="G350" s="235"/>
      <c r="H350" s="236"/>
      <c r="I350" s="235"/>
      <c r="J350" s="235"/>
      <c r="K350" s="235"/>
      <c r="L350" s="235"/>
      <c r="M350" s="236"/>
      <c r="N350" s="235"/>
      <c r="O350" s="235"/>
      <c r="P350" s="235"/>
      <c r="Q350" s="235"/>
      <c r="R350" s="235"/>
      <c r="S350" s="235"/>
      <c r="T350" s="235"/>
      <c r="U350" s="235"/>
      <c r="V350" s="235"/>
      <c r="W350" s="235"/>
      <c r="X350" s="235"/>
      <c r="Y350" s="235"/>
      <c r="Z350" s="235"/>
      <c r="AA350" s="235"/>
      <c r="AB350" s="235"/>
      <c r="AC350" s="235"/>
      <c r="AD350" s="235"/>
      <c r="AE350" s="236"/>
      <c r="AF350" s="235"/>
      <c r="AG350" s="235"/>
      <c r="AH350" s="235"/>
      <c r="AI350" s="235"/>
      <c r="AJ350" s="236"/>
      <c r="AK350" s="235"/>
      <c r="AL350" s="235"/>
      <c r="AM350" s="235"/>
      <c r="AN350" s="235"/>
      <c r="AO350" s="235"/>
      <c r="AP350" s="235"/>
      <c r="AQ350" s="235"/>
      <c r="AR350" s="235"/>
      <c r="AS350" s="235"/>
      <c r="AT350" s="235"/>
      <c r="AU350" s="236"/>
      <c r="AV350" s="235"/>
      <c r="AW350" s="235"/>
      <c r="AX350" s="235"/>
      <c r="AY350" s="235"/>
      <c r="AZ350" s="235"/>
      <c r="BA350" s="235"/>
      <c r="BB350" s="235"/>
      <c r="BC350" s="235"/>
      <c r="BD350" s="236"/>
      <c r="BE350" s="235"/>
      <c r="BF350" s="235"/>
      <c r="BG350" s="235"/>
      <c r="BH350" s="235"/>
      <c r="BI350" s="236"/>
      <c r="BJ350" s="236"/>
      <c r="BK350" s="238"/>
      <c r="BL350" s="239"/>
      <c r="BM350" s="239"/>
      <c r="BN350" s="239"/>
      <c r="BP350" s="236"/>
      <c r="BQ350" s="236"/>
      <c r="BR350" s="236"/>
      <c r="BS350" s="236"/>
      <c r="BT350" s="236"/>
      <c r="BU350" s="236"/>
      <c r="BV350" s="236"/>
      <c r="BW350" s="236"/>
      <c r="BX350" s="236"/>
      <c r="BY350" s="236"/>
      <c r="BZ350" s="236"/>
      <c r="CA350" s="236"/>
      <c r="CB350" s="236"/>
      <c r="CC350" s="236"/>
      <c r="CD350" s="236"/>
      <c r="CE350" s="236"/>
      <c r="CF350" s="236"/>
      <c r="CG350" s="236"/>
      <c r="CH350" s="236"/>
      <c r="CI350" s="236"/>
      <c r="CJ350" s="236"/>
      <c r="CK350" s="236"/>
      <c r="CL350" s="236"/>
      <c r="CM350" s="236"/>
      <c r="CN350" s="236"/>
      <c r="CO350" s="236"/>
    </row>
    <row r="351" spans="5:93" s="230" customFormat="1">
      <c r="E351" s="234"/>
      <c r="F351" s="235"/>
      <c r="G351" s="235"/>
      <c r="H351" s="236"/>
      <c r="I351" s="235"/>
      <c r="J351" s="235"/>
      <c r="K351" s="235"/>
      <c r="L351" s="235"/>
      <c r="M351" s="236"/>
      <c r="N351" s="235"/>
      <c r="O351" s="235"/>
      <c r="P351" s="235"/>
      <c r="Q351" s="235"/>
      <c r="R351" s="235"/>
      <c r="S351" s="235"/>
      <c r="T351" s="235"/>
      <c r="U351" s="235"/>
      <c r="V351" s="235"/>
      <c r="W351" s="235"/>
      <c r="X351" s="235"/>
      <c r="Y351" s="235"/>
      <c r="Z351" s="235"/>
      <c r="AA351" s="235"/>
      <c r="AB351" s="235"/>
      <c r="AC351" s="235"/>
      <c r="AD351" s="235"/>
      <c r="AE351" s="236"/>
      <c r="AF351" s="235"/>
      <c r="AG351" s="235"/>
      <c r="AH351" s="235"/>
      <c r="AI351" s="235"/>
      <c r="AJ351" s="236"/>
      <c r="AK351" s="235"/>
      <c r="AL351" s="235"/>
      <c r="AM351" s="235"/>
      <c r="AN351" s="235"/>
      <c r="AO351" s="235"/>
      <c r="AP351" s="235"/>
      <c r="AQ351" s="235"/>
      <c r="AR351" s="235"/>
      <c r="AS351" s="235"/>
      <c r="AT351" s="235"/>
      <c r="AU351" s="236"/>
      <c r="AV351" s="235"/>
      <c r="AW351" s="235"/>
      <c r="AX351" s="235"/>
      <c r="AY351" s="235"/>
      <c r="AZ351" s="235"/>
      <c r="BA351" s="235"/>
      <c r="BB351" s="235"/>
      <c r="BC351" s="235"/>
      <c r="BD351" s="236"/>
      <c r="BE351" s="235"/>
      <c r="BF351" s="235"/>
      <c r="BG351" s="235"/>
      <c r="BH351" s="235"/>
      <c r="BI351" s="236"/>
      <c r="BJ351" s="236"/>
      <c r="BK351" s="238"/>
      <c r="BL351" s="239"/>
      <c r="BM351" s="239"/>
      <c r="BN351" s="239"/>
      <c r="BP351" s="236"/>
      <c r="BQ351" s="236"/>
      <c r="BR351" s="236"/>
      <c r="BS351" s="236"/>
      <c r="BT351" s="236"/>
      <c r="BU351" s="236"/>
      <c r="BV351" s="236"/>
      <c r="BW351" s="236"/>
      <c r="BX351" s="236"/>
      <c r="BY351" s="236"/>
      <c r="BZ351" s="236"/>
      <c r="CA351" s="236"/>
      <c r="CB351" s="236"/>
      <c r="CC351" s="236"/>
      <c r="CD351" s="236"/>
      <c r="CE351" s="236"/>
      <c r="CF351" s="236"/>
      <c r="CG351" s="236"/>
      <c r="CH351" s="236"/>
      <c r="CI351" s="236"/>
      <c r="CJ351" s="236"/>
      <c r="CK351" s="236"/>
      <c r="CL351" s="236"/>
      <c r="CM351" s="236"/>
      <c r="CN351" s="236"/>
      <c r="CO351" s="236"/>
    </row>
    <row r="352" spans="5:93" s="230" customFormat="1">
      <c r="E352" s="234"/>
      <c r="F352" s="235"/>
      <c r="G352" s="235"/>
      <c r="H352" s="236"/>
      <c r="I352" s="235"/>
      <c r="J352" s="235"/>
      <c r="K352" s="235"/>
      <c r="L352" s="235"/>
      <c r="M352" s="236"/>
      <c r="N352" s="235"/>
      <c r="O352" s="235"/>
      <c r="P352" s="235"/>
      <c r="Q352" s="235"/>
      <c r="R352" s="235"/>
      <c r="S352" s="235"/>
      <c r="T352" s="235"/>
      <c r="U352" s="235"/>
      <c r="V352" s="235"/>
      <c r="W352" s="235"/>
      <c r="X352" s="235"/>
      <c r="Y352" s="235"/>
      <c r="Z352" s="235"/>
      <c r="AA352" s="235"/>
      <c r="AB352" s="235"/>
      <c r="AC352" s="235"/>
      <c r="AD352" s="235"/>
      <c r="AE352" s="236"/>
      <c r="AF352" s="235"/>
      <c r="AG352" s="235"/>
      <c r="AH352" s="235"/>
      <c r="AI352" s="235"/>
      <c r="AJ352" s="236"/>
      <c r="AK352" s="235"/>
      <c r="AL352" s="235"/>
      <c r="AM352" s="235"/>
      <c r="AN352" s="235"/>
      <c r="AO352" s="235"/>
      <c r="AP352" s="235"/>
      <c r="AQ352" s="235"/>
      <c r="AR352" s="235"/>
      <c r="AS352" s="235"/>
      <c r="AT352" s="235"/>
      <c r="AU352" s="236"/>
      <c r="AV352" s="235"/>
      <c r="AW352" s="235"/>
      <c r="AX352" s="235"/>
      <c r="AY352" s="235"/>
      <c r="AZ352" s="235"/>
      <c r="BA352" s="235"/>
      <c r="BB352" s="235"/>
      <c r="BC352" s="235"/>
      <c r="BD352" s="236"/>
      <c r="BE352" s="235"/>
      <c r="BF352" s="235"/>
      <c r="BG352" s="235"/>
      <c r="BH352" s="235"/>
      <c r="BI352" s="236"/>
      <c r="BJ352" s="236"/>
      <c r="BK352" s="238"/>
      <c r="BL352" s="239"/>
      <c r="BM352" s="239"/>
      <c r="BN352" s="239"/>
      <c r="BP352" s="236"/>
      <c r="BQ352" s="236"/>
      <c r="BR352" s="236"/>
      <c r="BS352" s="236"/>
      <c r="BT352" s="236"/>
      <c r="BU352" s="236"/>
      <c r="BV352" s="236"/>
      <c r="BW352" s="236"/>
      <c r="BX352" s="236"/>
      <c r="BY352" s="236"/>
      <c r="BZ352" s="236"/>
      <c r="CA352" s="236"/>
      <c r="CB352" s="236"/>
      <c r="CC352" s="236"/>
      <c r="CD352" s="236"/>
      <c r="CE352" s="236"/>
      <c r="CF352" s="236"/>
      <c r="CG352" s="236"/>
      <c r="CH352" s="236"/>
      <c r="CI352" s="236"/>
      <c r="CJ352" s="236"/>
      <c r="CK352" s="236"/>
      <c r="CL352" s="236"/>
      <c r="CM352" s="236"/>
      <c r="CN352" s="236"/>
      <c r="CO352" s="236"/>
    </row>
    <row r="353" spans="5:93" s="230" customFormat="1">
      <c r="E353" s="234"/>
      <c r="F353" s="235"/>
      <c r="G353" s="235"/>
      <c r="H353" s="236"/>
      <c r="I353" s="235"/>
      <c r="J353" s="235"/>
      <c r="K353" s="235"/>
      <c r="L353" s="235"/>
      <c r="M353" s="236"/>
      <c r="N353" s="235"/>
      <c r="O353" s="235"/>
      <c r="P353" s="235"/>
      <c r="Q353" s="235"/>
      <c r="R353" s="235"/>
      <c r="S353" s="235"/>
      <c r="T353" s="235"/>
      <c r="U353" s="235"/>
      <c r="V353" s="235"/>
      <c r="W353" s="235"/>
      <c r="X353" s="235"/>
      <c r="Y353" s="235"/>
      <c r="Z353" s="235"/>
      <c r="AA353" s="235"/>
      <c r="AB353" s="235"/>
      <c r="AC353" s="235"/>
      <c r="AD353" s="235"/>
      <c r="AE353" s="236"/>
      <c r="AF353" s="235"/>
      <c r="AG353" s="235"/>
      <c r="AH353" s="235"/>
      <c r="AI353" s="235"/>
      <c r="AJ353" s="236"/>
      <c r="AK353" s="235"/>
      <c r="AL353" s="235"/>
      <c r="AM353" s="235"/>
      <c r="AN353" s="235"/>
      <c r="AO353" s="235"/>
      <c r="AP353" s="235"/>
      <c r="AQ353" s="235"/>
      <c r="AR353" s="235"/>
      <c r="AS353" s="235"/>
      <c r="AT353" s="235"/>
      <c r="AU353" s="236"/>
      <c r="AV353" s="235"/>
      <c r="AW353" s="235"/>
      <c r="AX353" s="235"/>
      <c r="AY353" s="235"/>
      <c r="AZ353" s="235"/>
      <c r="BA353" s="235"/>
      <c r="BB353" s="235"/>
      <c r="BC353" s="235"/>
      <c r="BD353" s="236"/>
      <c r="BE353" s="235"/>
      <c r="BF353" s="235"/>
      <c r="BG353" s="235"/>
      <c r="BH353" s="235"/>
      <c r="BI353" s="236"/>
      <c r="BJ353" s="236"/>
      <c r="BK353" s="238"/>
      <c r="BL353" s="239"/>
      <c r="BM353" s="239"/>
      <c r="BN353" s="239"/>
      <c r="BP353" s="236"/>
      <c r="BQ353" s="236"/>
      <c r="BR353" s="236"/>
      <c r="BS353" s="236"/>
      <c r="BT353" s="236"/>
      <c r="BU353" s="236"/>
      <c r="BV353" s="236"/>
      <c r="BW353" s="236"/>
      <c r="BX353" s="236"/>
      <c r="BY353" s="236"/>
      <c r="BZ353" s="236"/>
      <c r="CA353" s="236"/>
      <c r="CB353" s="236"/>
      <c r="CC353" s="236"/>
      <c r="CD353" s="236"/>
      <c r="CE353" s="236"/>
      <c r="CF353" s="236"/>
      <c r="CG353" s="236"/>
      <c r="CH353" s="236"/>
      <c r="CI353" s="236"/>
      <c r="CJ353" s="236"/>
      <c r="CK353" s="236"/>
      <c r="CL353" s="236"/>
      <c r="CM353" s="236"/>
      <c r="CN353" s="236"/>
      <c r="CO353" s="236"/>
    </row>
    <row r="354" spans="5:93" s="230" customFormat="1">
      <c r="E354" s="234"/>
      <c r="F354" s="235"/>
      <c r="G354" s="235"/>
      <c r="H354" s="236"/>
      <c r="I354" s="235"/>
      <c r="J354" s="235"/>
      <c r="K354" s="235"/>
      <c r="L354" s="235"/>
      <c r="M354" s="236"/>
      <c r="N354" s="235"/>
      <c r="O354" s="235"/>
      <c r="P354" s="235"/>
      <c r="Q354" s="235"/>
      <c r="R354" s="235"/>
      <c r="S354" s="235"/>
      <c r="T354" s="235"/>
      <c r="U354" s="235"/>
      <c r="V354" s="235"/>
      <c r="W354" s="235"/>
      <c r="X354" s="235"/>
      <c r="Y354" s="235"/>
      <c r="Z354" s="235"/>
      <c r="AA354" s="235"/>
      <c r="AB354" s="235"/>
      <c r="AC354" s="235"/>
      <c r="AD354" s="235"/>
      <c r="AE354" s="236"/>
      <c r="AF354" s="235"/>
      <c r="AG354" s="235"/>
      <c r="AH354" s="235"/>
      <c r="AI354" s="235"/>
      <c r="AJ354" s="236"/>
      <c r="AK354" s="235"/>
      <c r="AL354" s="235"/>
      <c r="AM354" s="235"/>
      <c r="AN354" s="235"/>
      <c r="AO354" s="235"/>
      <c r="AP354" s="235"/>
      <c r="AQ354" s="235"/>
      <c r="AR354" s="235"/>
      <c r="AS354" s="235"/>
      <c r="AT354" s="235"/>
      <c r="AU354" s="236"/>
      <c r="AV354" s="235"/>
      <c r="AW354" s="235"/>
      <c r="AX354" s="235"/>
      <c r="AY354" s="235"/>
      <c r="AZ354" s="235"/>
      <c r="BA354" s="235"/>
      <c r="BB354" s="235"/>
      <c r="BC354" s="235"/>
      <c r="BD354" s="236"/>
      <c r="BE354" s="235"/>
      <c r="BF354" s="235"/>
      <c r="BG354" s="235"/>
      <c r="BH354" s="235"/>
      <c r="BI354" s="236"/>
      <c r="BJ354" s="236"/>
      <c r="BK354" s="238"/>
      <c r="BL354" s="239"/>
      <c r="BM354" s="239"/>
      <c r="BN354" s="239"/>
      <c r="BP354" s="236"/>
      <c r="BQ354" s="236"/>
      <c r="BR354" s="236"/>
      <c r="BS354" s="236"/>
      <c r="BT354" s="236"/>
      <c r="BU354" s="236"/>
      <c r="BV354" s="236"/>
      <c r="BW354" s="236"/>
      <c r="BX354" s="236"/>
      <c r="BY354" s="236"/>
      <c r="BZ354" s="236"/>
      <c r="CA354" s="236"/>
      <c r="CB354" s="236"/>
      <c r="CC354" s="236"/>
      <c r="CD354" s="236"/>
      <c r="CE354" s="236"/>
      <c r="CF354" s="236"/>
      <c r="CG354" s="236"/>
      <c r="CH354" s="236"/>
      <c r="CI354" s="236"/>
      <c r="CJ354" s="236"/>
      <c r="CK354" s="236"/>
      <c r="CL354" s="236"/>
      <c r="CM354" s="236"/>
      <c r="CN354" s="236"/>
      <c r="CO354" s="236"/>
    </row>
    <row r="355" spans="5:93" s="230" customFormat="1">
      <c r="E355" s="234"/>
      <c r="F355" s="235"/>
      <c r="G355" s="235"/>
      <c r="H355" s="236"/>
      <c r="I355" s="235"/>
      <c r="J355" s="235"/>
      <c r="K355" s="235"/>
      <c r="L355" s="235"/>
      <c r="M355" s="236"/>
      <c r="N355" s="235"/>
      <c r="O355" s="235"/>
      <c r="P355" s="235"/>
      <c r="Q355" s="235"/>
      <c r="R355" s="235"/>
      <c r="S355" s="235"/>
      <c r="T355" s="235"/>
      <c r="U355" s="235"/>
      <c r="V355" s="235"/>
      <c r="W355" s="235"/>
      <c r="X355" s="235"/>
      <c r="Y355" s="235"/>
      <c r="Z355" s="235"/>
      <c r="AA355" s="235"/>
      <c r="AB355" s="235"/>
      <c r="AC355" s="235"/>
      <c r="AD355" s="235"/>
      <c r="AE355" s="236"/>
      <c r="AF355" s="235"/>
      <c r="AG355" s="235"/>
      <c r="AH355" s="235"/>
      <c r="AI355" s="235"/>
      <c r="AJ355" s="236"/>
      <c r="AK355" s="235"/>
      <c r="AL355" s="235"/>
      <c r="AM355" s="235"/>
      <c r="AN355" s="235"/>
      <c r="AO355" s="235"/>
      <c r="AP355" s="235"/>
      <c r="AQ355" s="235"/>
      <c r="AR355" s="235"/>
      <c r="AS355" s="235"/>
      <c r="AT355" s="235"/>
      <c r="AU355" s="236"/>
      <c r="AV355" s="235"/>
      <c r="AW355" s="235"/>
      <c r="AX355" s="235"/>
      <c r="AY355" s="235"/>
      <c r="AZ355" s="235"/>
      <c r="BA355" s="235"/>
      <c r="BB355" s="235"/>
      <c r="BC355" s="235"/>
      <c r="BD355" s="236"/>
      <c r="BE355" s="235"/>
      <c r="BF355" s="235"/>
      <c r="BG355" s="235"/>
      <c r="BH355" s="235"/>
      <c r="BI355" s="236"/>
      <c r="BJ355" s="236"/>
      <c r="BK355" s="238"/>
      <c r="BL355" s="239"/>
      <c r="BM355" s="239"/>
      <c r="BN355" s="239"/>
      <c r="BP355" s="236"/>
      <c r="BQ355" s="236"/>
      <c r="BR355" s="236"/>
      <c r="BS355" s="236"/>
      <c r="BT355" s="236"/>
      <c r="BU355" s="236"/>
      <c r="BV355" s="236"/>
      <c r="BW355" s="236"/>
      <c r="BX355" s="236"/>
      <c r="BY355" s="236"/>
      <c r="BZ355" s="236"/>
      <c r="CA355" s="236"/>
      <c r="CB355" s="236"/>
      <c r="CC355" s="236"/>
      <c r="CD355" s="236"/>
      <c r="CE355" s="236"/>
      <c r="CF355" s="236"/>
      <c r="CG355" s="236"/>
      <c r="CH355" s="236"/>
      <c r="CI355" s="236"/>
      <c r="CJ355" s="236"/>
      <c r="CK355" s="236"/>
      <c r="CL355" s="236"/>
      <c r="CM355" s="236"/>
      <c r="CN355" s="236"/>
      <c r="CO355" s="236"/>
    </row>
    <row r="356" spans="5:93" s="230" customFormat="1">
      <c r="E356" s="234"/>
      <c r="F356" s="235"/>
      <c r="G356" s="235"/>
      <c r="H356" s="236"/>
      <c r="I356" s="235"/>
      <c r="J356" s="235"/>
      <c r="K356" s="235"/>
      <c r="L356" s="235"/>
      <c r="M356" s="236"/>
      <c r="N356" s="235"/>
      <c r="O356" s="235"/>
      <c r="P356" s="235"/>
      <c r="Q356" s="235"/>
      <c r="R356" s="235"/>
      <c r="S356" s="235"/>
      <c r="T356" s="235"/>
      <c r="U356" s="235"/>
      <c r="V356" s="235"/>
      <c r="W356" s="235"/>
      <c r="X356" s="235"/>
      <c r="Y356" s="235"/>
      <c r="Z356" s="235"/>
      <c r="AA356" s="235"/>
      <c r="AB356" s="235"/>
      <c r="AC356" s="235"/>
      <c r="AD356" s="235"/>
      <c r="AE356" s="236"/>
      <c r="AF356" s="235"/>
      <c r="AG356" s="235"/>
      <c r="AH356" s="235"/>
      <c r="AI356" s="235"/>
      <c r="AJ356" s="236"/>
      <c r="AK356" s="235"/>
      <c r="AL356" s="235"/>
      <c r="AM356" s="235"/>
      <c r="AN356" s="235"/>
      <c r="AO356" s="235"/>
      <c r="AP356" s="235"/>
      <c r="AQ356" s="235"/>
      <c r="AR356" s="235"/>
      <c r="AS356" s="235"/>
      <c r="AT356" s="235"/>
      <c r="AU356" s="236"/>
      <c r="AV356" s="235"/>
      <c r="AW356" s="235"/>
      <c r="AX356" s="235"/>
      <c r="AY356" s="235"/>
      <c r="AZ356" s="235"/>
      <c r="BA356" s="235"/>
      <c r="BB356" s="235"/>
      <c r="BC356" s="235"/>
      <c r="BD356" s="236"/>
      <c r="BE356" s="235"/>
      <c r="BF356" s="235"/>
      <c r="BG356" s="235"/>
      <c r="BH356" s="235"/>
      <c r="BI356" s="236"/>
      <c r="BJ356" s="236"/>
      <c r="BK356" s="238"/>
      <c r="BL356" s="239"/>
      <c r="BM356" s="239"/>
      <c r="BN356" s="239"/>
      <c r="BP356" s="236"/>
      <c r="BQ356" s="236"/>
      <c r="BR356" s="236"/>
      <c r="BS356" s="236"/>
      <c r="BT356" s="236"/>
      <c r="BU356" s="236"/>
      <c r="BV356" s="236"/>
      <c r="BW356" s="236"/>
      <c r="BX356" s="236"/>
      <c r="BY356" s="236"/>
      <c r="BZ356" s="236"/>
      <c r="CA356" s="236"/>
      <c r="CB356" s="236"/>
      <c r="CC356" s="236"/>
      <c r="CD356" s="236"/>
      <c r="CE356" s="236"/>
      <c r="CF356" s="236"/>
      <c r="CG356" s="236"/>
      <c r="CH356" s="236"/>
      <c r="CI356" s="236"/>
      <c r="CJ356" s="236"/>
      <c r="CK356" s="236"/>
      <c r="CL356" s="236"/>
      <c r="CM356" s="236"/>
      <c r="CN356" s="236"/>
      <c r="CO356" s="236"/>
    </row>
    <row r="357" spans="5:93" s="230" customFormat="1">
      <c r="E357" s="234"/>
      <c r="F357" s="235"/>
      <c r="G357" s="235"/>
      <c r="H357" s="236"/>
      <c r="I357" s="235"/>
      <c r="J357" s="235"/>
      <c r="K357" s="235"/>
      <c r="L357" s="235"/>
      <c r="M357" s="236"/>
      <c r="N357" s="235"/>
      <c r="O357" s="235"/>
      <c r="P357" s="235"/>
      <c r="Q357" s="235"/>
      <c r="R357" s="235"/>
      <c r="S357" s="235"/>
      <c r="T357" s="235"/>
      <c r="U357" s="235"/>
      <c r="V357" s="235"/>
      <c r="W357" s="235"/>
      <c r="X357" s="235"/>
      <c r="Y357" s="235"/>
      <c r="Z357" s="235"/>
      <c r="AA357" s="235"/>
      <c r="AB357" s="235"/>
      <c r="AC357" s="235"/>
      <c r="AD357" s="235"/>
      <c r="AE357" s="236"/>
      <c r="AF357" s="235"/>
      <c r="AG357" s="235"/>
      <c r="AH357" s="235"/>
      <c r="AI357" s="235"/>
      <c r="AJ357" s="236"/>
      <c r="AK357" s="235"/>
      <c r="AL357" s="235"/>
      <c r="AM357" s="235"/>
      <c r="AN357" s="235"/>
      <c r="AO357" s="235"/>
      <c r="AP357" s="235"/>
      <c r="AQ357" s="235"/>
      <c r="AR357" s="235"/>
      <c r="AS357" s="235"/>
      <c r="AT357" s="235"/>
      <c r="AU357" s="236"/>
      <c r="AV357" s="235"/>
      <c r="AW357" s="235"/>
      <c r="AX357" s="235"/>
      <c r="AY357" s="235"/>
      <c r="AZ357" s="235"/>
      <c r="BA357" s="235"/>
      <c r="BB357" s="235"/>
      <c r="BC357" s="235"/>
      <c r="BD357" s="236"/>
      <c r="BE357" s="235"/>
      <c r="BF357" s="235"/>
      <c r="BG357" s="235"/>
      <c r="BH357" s="235"/>
      <c r="BI357" s="236"/>
      <c r="BJ357" s="236"/>
      <c r="BK357" s="238"/>
      <c r="BL357" s="239"/>
      <c r="BM357" s="239"/>
      <c r="BN357" s="239"/>
      <c r="BP357" s="236"/>
      <c r="BQ357" s="236"/>
      <c r="BR357" s="236"/>
      <c r="BS357" s="236"/>
      <c r="BT357" s="236"/>
      <c r="BU357" s="236"/>
      <c r="BV357" s="236"/>
      <c r="BW357" s="236"/>
      <c r="BX357" s="236"/>
      <c r="BY357" s="236"/>
      <c r="BZ357" s="236"/>
      <c r="CA357" s="236"/>
      <c r="CB357" s="236"/>
      <c r="CC357" s="236"/>
      <c r="CD357" s="236"/>
      <c r="CE357" s="236"/>
      <c r="CF357" s="236"/>
      <c r="CG357" s="236"/>
      <c r="CH357" s="236"/>
      <c r="CI357" s="236"/>
      <c r="CJ357" s="236"/>
      <c r="CK357" s="236"/>
      <c r="CL357" s="236"/>
      <c r="CM357" s="236"/>
      <c r="CN357" s="236"/>
      <c r="CO357" s="236"/>
    </row>
    <row r="358" spans="5:93" s="230" customFormat="1">
      <c r="E358" s="234"/>
      <c r="F358" s="235"/>
      <c r="G358" s="235"/>
      <c r="H358" s="236"/>
      <c r="I358" s="235"/>
      <c r="J358" s="235"/>
      <c r="K358" s="235"/>
      <c r="L358" s="235"/>
      <c r="M358" s="236"/>
      <c r="N358" s="235"/>
      <c r="O358" s="235"/>
      <c r="P358" s="235"/>
      <c r="Q358" s="235"/>
      <c r="R358" s="235"/>
      <c r="S358" s="235"/>
      <c r="T358" s="235"/>
      <c r="U358" s="235"/>
      <c r="V358" s="235"/>
      <c r="W358" s="235"/>
      <c r="X358" s="235"/>
      <c r="Y358" s="235"/>
      <c r="Z358" s="235"/>
      <c r="AA358" s="235"/>
      <c r="AB358" s="235"/>
      <c r="AC358" s="235"/>
      <c r="AD358" s="235"/>
      <c r="AE358" s="236"/>
      <c r="AF358" s="235"/>
      <c r="AG358" s="235"/>
      <c r="AH358" s="235"/>
      <c r="AI358" s="235"/>
      <c r="AJ358" s="236"/>
      <c r="AK358" s="235"/>
      <c r="AL358" s="235"/>
      <c r="AM358" s="235"/>
      <c r="AN358" s="235"/>
      <c r="AO358" s="235"/>
      <c r="AP358" s="235"/>
      <c r="AQ358" s="235"/>
      <c r="AR358" s="235"/>
      <c r="AS358" s="235"/>
      <c r="AT358" s="235"/>
      <c r="AU358" s="236"/>
      <c r="AV358" s="235"/>
      <c r="AW358" s="235"/>
      <c r="AX358" s="235"/>
      <c r="AY358" s="235"/>
      <c r="AZ358" s="235"/>
      <c r="BA358" s="235"/>
      <c r="BB358" s="235"/>
      <c r="BC358" s="235"/>
      <c r="BD358" s="236"/>
      <c r="BE358" s="235"/>
      <c r="BF358" s="235"/>
      <c r="BG358" s="235"/>
      <c r="BH358" s="235"/>
      <c r="BI358" s="236"/>
      <c r="BJ358" s="236"/>
      <c r="BK358" s="238"/>
      <c r="BL358" s="239"/>
      <c r="BM358" s="239"/>
      <c r="BN358" s="239"/>
      <c r="BP358" s="236"/>
      <c r="BQ358" s="236"/>
      <c r="BR358" s="236"/>
      <c r="BS358" s="236"/>
      <c r="BT358" s="236"/>
      <c r="BU358" s="236"/>
      <c r="BV358" s="236"/>
      <c r="BW358" s="236"/>
      <c r="BX358" s="236"/>
      <c r="BY358" s="236"/>
      <c r="BZ358" s="236"/>
      <c r="CA358" s="236"/>
      <c r="CB358" s="236"/>
      <c r="CC358" s="236"/>
      <c r="CD358" s="236"/>
      <c r="CE358" s="236"/>
      <c r="CF358" s="236"/>
      <c r="CG358" s="236"/>
      <c r="CH358" s="236"/>
      <c r="CI358" s="236"/>
      <c r="CJ358" s="236"/>
      <c r="CK358" s="236"/>
      <c r="CL358" s="236"/>
      <c r="CM358" s="236"/>
      <c r="CN358" s="236"/>
      <c r="CO358" s="236"/>
    </row>
    <row r="359" spans="5:93" s="230" customFormat="1">
      <c r="E359" s="234"/>
      <c r="F359" s="235"/>
      <c r="G359" s="235"/>
      <c r="H359" s="236"/>
      <c r="I359" s="235"/>
      <c r="J359" s="235"/>
      <c r="K359" s="235"/>
      <c r="L359" s="235"/>
      <c r="M359" s="236"/>
      <c r="N359" s="235"/>
      <c r="O359" s="235"/>
      <c r="P359" s="235"/>
      <c r="Q359" s="235"/>
      <c r="R359" s="235"/>
      <c r="S359" s="235"/>
      <c r="T359" s="235"/>
      <c r="U359" s="235"/>
      <c r="V359" s="235"/>
      <c r="W359" s="235"/>
      <c r="X359" s="235"/>
      <c r="Y359" s="235"/>
      <c r="Z359" s="235"/>
      <c r="AA359" s="235"/>
      <c r="AB359" s="235"/>
      <c r="AC359" s="235"/>
      <c r="AD359" s="235"/>
      <c r="AE359" s="236"/>
      <c r="AF359" s="235"/>
      <c r="AG359" s="235"/>
      <c r="AH359" s="235"/>
      <c r="AI359" s="235"/>
      <c r="AJ359" s="236"/>
      <c r="AK359" s="235"/>
      <c r="AL359" s="235"/>
      <c r="AM359" s="235"/>
      <c r="AN359" s="235"/>
      <c r="AO359" s="235"/>
      <c r="AP359" s="235"/>
      <c r="AQ359" s="235"/>
      <c r="AR359" s="235"/>
      <c r="AS359" s="235"/>
      <c r="AT359" s="235"/>
      <c r="AU359" s="236"/>
      <c r="AV359" s="235"/>
      <c r="AW359" s="235"/>
      <c r="AX359" s="235"/>
      <c r="AY359" s="235"/>
      <c r="AZ359" s="235"/>
      <c r="BA359" s="235"/>
      <c r="BB359" s="235"/>
      <c r="BC359" s="235"/>
      <c r="BD359" s="236"/>
      <c r="BE359" s="235"/>
      <c r="BF359" s="235"/>
      <c r="BG359" s="235"/>
      <c r="BH359" s="235"/>
      <c r="BI359" s="236"/>
      <c r="BJ359" s="236"/>
      <c r="BK359" s="238"/>
      <c r="BL359" s="239"/>
      <c r="BM359" s="239"/>
      <c r="BN359" s="239"/>
      <c r="BP359" s="236"/>
      <c r="BQ359" s="236"/>
      <c r="BR359" s="236"/>
      <c r="BS359" s="236"/>
      <c r="BT359" s="236"/>
      <c r="BU359" s="236"/>
      <c r="BV359" s="236"/>
      <c r="BW359" s="236"/>
      <c r="BX359" s="236"/>
      <c r="BY359" s="236"/>
      <c r="BZ359" s="236"/>
      <c r="CA359" s="236"/>
      <c r="CB359" s="236"/>
      <c r="CC359" s="236"/>
      <c r="CD359" s="236"/>
      <c r="CE359" s="236"/>
      <c r="CF359" s="236"/>
      <c r="CG359" s="236"/>
      <c r="CH359" s="236"/>
      <c r="CI359" s="236"/>
      <c r="CJ359" s="236"/>
      <c r="CK359" s="236"/>
      <c r="CL359" s="236"/>
      <c r="CM359" s="236"/>
      <c r="CN359" s="236"/>
      <c r="CO359" s="236"/>
    </row>
    <row r="360" spans="5:93" s="230" customFormat="1">
      <c r="E360" s="234"/>
      <c r="F360" s="235"/>
      <c r="G360" s="235"/>
      <c r="H360" s="236"/>
      <c r="I360" s="235"/>
      <c r="J360" s="235"/>
      <c r="K360" s="235"/>
      <c r="L360" s="235"/>
      <c r="M360" s="236"/>
      <c r="N360" s="235"/>
      <c r="O360" s="235"/>
      <c r="P360" s="235"/>
      <c r="Q360" s="235"/>
      <c r="R360" s="235"/>
      <c r="S360" s="235"/>
      <c r="T360" s="235"/>
      <c r="U360" s="235"/>
      <c r="V360" s="235"/>
      <c r="W360" s="235"/>
      <c r="X360" s="235"/>
      <c r="Y360" s="235"/>
      <c r="Z360" s="235"/>
      <c r="AA360" s="235"/>
      <c r="AB360" s="235"/>
      <c r="AC360" s="235"/>
      <c r="AD360" s="235"/>
      <c r="AE360" s="236"/>
      <c r="AF360" s="235"/>
      <c r="AG360" s="235"/>
      <c r="AH360" s="235"/>
      <c r="AI360" s="235"/>
      <c r="AJ360" s="236"/>
      <c r="AK360" s="235"/>
      <c r="AL360" s="235"/>
      <c r="AM360" s="235"/>
      <c r="AN360" s="235"/>
      <c r="AO360" s="235"/>
      <c r="AP360" s="235"/>
      <c r="AQ360" s="235"/>
      <c r="AR360" s="235"/>
      <c r="AS360" s="235"/>
      <c r="AT360" s="235"/>
      <c r="AU360" s="236"/>
      <c r="AV360" s="235"/>
      <c r="AW360" s="235"/>
      <c r="AX360" s="235"/>
      <c r="AY360" s="235"/>
      <c r="AZ360" s="235"/>
      <c r="BA360" s="235"/>
      <c r="BB360" s="235"/>
      <c r="BC360" s="235"/>
      <c r="BD360" s="236"/>
      <c r="BE360" s="235"/>
      <c r="BF360" s="235"/>
      <c r="BG360" s="235"/>
      <c r="BH360" s="235"/>
      <c r="BI360" s="236"/>
      <c r="BJ360" s="236"/>
      <c r="BK360" s="238"/>
      <c r="BL360" s="239"/>
      <c r="BM360" s="239"/>
      <c r="BN360" s="239"/>
      <c r="BP360" s="236"/>
      <c r="BQ360" s="236"/>
      <c r="BR360" s="236"/>
      <c r="BS360" s="236"/>
      <c r="BT360" s="236"/>
      <c r="BU360" s="236"/>
      <c r="BV360" s="236"/>
      <c r="BW360" s="236"/>
      <c r="BX360" s="236"/>
      <c r="BY360" s="236"/>
      <c r="BZ360" s="236"/>
      <c r="CA360" s="236"/>
      <c r="CB360" s="236"/>
      <c r="CC360" s="236"/>
      <c r="CD360" s="236"/>
      <c r="CE360" s="236"/>
      <c r="CF360" s="236"/>
      <c r="CG360" s="236"/>
      <c r="CH360" s="236"/>
      <c r="CI360" s="236"/>
      <c r="CJ360" s="236"/>
      <c r="CK360" s="236"/>
      <c r="CL360" s="236"/>
      <c r="CM360" s="236"/>
      <c r="CN360" s="236"/>
      <c r="CO360" s="236"/>
    </row>
    <row r="361" spans="5:93" s="230" customFormat="1">
      <c r="E361" s="234"/>
      <c r="F361" s="235"/>
      <c r="G361" s="235"/>
      <c r="H361" s="236"/>
      <c r="I361" s="235"/>
      <c r="J361" s="235"/>
      <c r="K361" s="235"/>
      <c r="L361" s="235"/>
      <c r="M361" s="236"/>
      <c r="N361" s="235"/>
      <c r="O361" s="235"/>
      <c r="P361" s="235"/>
      <c r="Q361" s="235"/>
      <c r="R361" s="235"/>
      <c r="S361" s="235"/>
      <c r="T361" s="235"/>
      <c r="U361" s="235"/>
      <c r="V361" s="235"/>
      <c r="W361" s="235"/>
      <c r="X361" s="235"/>
      <c r="Y361" s="235"/>
      <c r="Z361" s="235"/>
      <c r="AA361" s="235"/>
      <c r="AB361" s="235"/>
      <c r="AC361" s="235"/>
      <c r="AD361" s="235"/>
      <c r="AE361" s="236"/>
      <c r="AF361" s="235"/>
      <c r="AG361" s="235"/>
      <c r="AH361" s="235"/>
      <c r="AI361" s="235"/>
      <c r="AJ361" s="236"/>
      <c r="AK361" s="235"/>
      <c r="AL361" s="235"/>
      <c r="AM361" s="235"/>
      <c r="AN361" s="235"/>
      <c r="AO361" s="235"/>
      <c r="AP361" s="235"/>
      <c r="AQ361" s="235"/>
      <c r="AR361" s="235"/>
      <c r="AS361" s="235"/>
      <c r="AT361" s="235"/>
      <c r="AU361" s="236"/>
      <c r="AV361" s="235"/>
      <c r="AW361" s="235"/>
      <c r="AX361" s="235"/>
      <c r="AY361" s="235"/>
      <c r="AZ361" s="235"/>
      <c r="BA361" s="235"/>
      <c r="BB361" s="235"/>
      <c r="BC361" s="235"/>
      <c r="BD361" s="236"/>
      <c r="BE361" s="235"/>
      <c r="BF361" s="235"/>
      <c r="BG361" s="235"/>
      <c r="BH361" s="235"/>
      <c r="BI361" s="236"/>
      <c r="BJ361" s="236"/>
      <c r="BK361" s="238"/>
      <c r="BL361" s="239"/>
      <c r="BM361" s="239"/>
      <c r="BN361" s="239"/>
      <c r="BP361" s="236"/>
      <c r="BQ361" s="236"/>
      <c r="BR361" s="236"/>
      <c r="BS361" s="236"/>
      <c r="BT361" s="236"/>
      <c r="BU361" s="236"/>
      <c r="BV361" s="236"/>
      <c r="BW361" s="236"/>
      <c r="BX361" s="236"/>
      <c r="BY361" s="236"/>
      <c r="BZ361" s="236"/>
      <c r="CA361" s="236"/>
      <c r="CB361" s="236"/>
      <c r="CC361" s="236"/>
      <c r="CD361" s="236"/>
      <c r="CE361" s="236"/>
      <c r="CF361" s="236"/>
      <c r="CG361" s="236"/>
      <c r="CH361" s="236"/>
      <c r="CI361" s="236"/>
      <c r="CJ361" s="236"/>
      <c r="CK361" s="236"/>
      <c r="CL361" s="236"/>
      <c r="CM361" s="236"/>
      <c r="CN361" s="236"/>
      <c r="CO361" s="236"/>
    </row>
    <row r="362" spans="5:93" s="230" customFormat="1">
      <c r="E362" s="234"/>
      <c r="F362" s="235"/>
      <c r="G362" s="235"/>
      <c r="H362" s="236"/>
      <c r="I362" s="235"/>
      <c r="J362" s="235"/>
      <c r="K362" s="235"/>
      <c r="L362" s="235"/>
      <c r="M362" s="236"/>
      <c r="N362" s="235"/>
      <c r="O362" s="235"/>
      <c r="P362" s="235"/>
      <c r="Q362" s="235"/>
      <c r="R362" s="235"/>
      <c r="S362" s="235"/>
      <c r="T362" s="235"/>
      <c r="U362" s="235"/>
      <c r="V362" s="235"/>
      <c r="W362" s="235"/>
      <c r="X362" s="235"/>
      <c r="Y362" s="235"/>
      <c r="Z362" s="235"/>
      <c r="AA362" s="235"/>
      <c r="AB362" s="235"/>
      <c r="AC362" s="235"/>
      <c r="AD362" s="235"/>
      <c r="AE362" s="236"/>
      <c r="AF362" s="235"/>
      <c r="AG362" s="235"/>
      <c r="AH362" s="235"/>
      <c r="AI362" s="235"/>
      <c r="AJ362" s="236"/>
      <c r="AK362" s="235"/>
      <c r="AL362" s="235"/>
      <c r="AM362" s="235"/>
      <c r="AN362" s="235"/>
      <c r="AO362" s="235"/>
      <c r="AP362" s="235"/>
      <c r="AQ362" s="235"/>
      <c r="AR362" s="235"/>
      <c r="AS362" s="235"/>
      <c r="AT362" s="235"/>
      <c r="AU362" s="236"/>
      <c r="AV362" s="235"/>
      <c r="AW362" s="235"/>
      <c r="AX362" s="235"/>
      <c r="AY362" s="235"/>
      <c r="AZ362" s="235"/>
      <c r="BA362" s="235"/>
      <c r="BB362" s="235"/>
      <c r="BC362" s="235"/>
      <c r="BD362" s="236"/>
      <c r="BE362" s="235"/>
      <c r="BF362" s="235"/>
      <c r="BG362" s="235"/>
      <c r="BH362" s="235"/>
      <c r="BI362" s="236"/>
      <c r="BJ362" s="236"/>
      <c r="BK362" s="238"/>
      <c r="BL362" s="239"/>
      <c r="BM362" s="239"/>
      <c r="BN362" s="239"/>
      <c r="BP362" s="236"/>
      <c r="BQ362" s="236"/>
      <c r="BR362" s="236"/>
      <c r="BS362" s="236"/>
      <c r="BT362" s="236"/>
      <c r="BU362" s="236"/>
      <c r="BV362" s="236"/>
      <c r="BW362" s="236"/>
      <c r="BX362" s="236"/>
      <c r="BY362" s="236"/>
      <c r="BZ362" s="236"/>
      <c r="CA362" s="236"/>
      <c r="CB362" s="236"/>
      <c r="CC362" s="236"/>
      <c r="CD362" s="236"/>
      <c r="CE362" s="236"/>
      <c r="CF362" s="236"/>
      <c r="CG362" s="236"/>
      <c r="CH362" s="236"/>
      <c r="CI362" s="236"/>
      <c r="CJ362" s="236"/>
      <c r="CK362" s="236"/>
      <c r="CL362" s="236"/>
      <c r="CM362" s="236"/>
      <c r="CN362" s="236"/>
      <c r="CO362" s="236"/>
    </row>
    <row r="363" spans="5:93" s="230" customFormat="1">
      <c r="E363" s="234"/>
      <c r="F363" s="235"/>
      <c r="G363" s="235"/>
      <c r="H363" s="236"/>
      <c r="I363" s="235"/>
      <c r="J363" s="235"/>
      <c r="K363" s="235"/>
      <c r="L363" s="235"/>
      <c r="M363" s="236"/>
      <c r="N363" s="235"/>
      <c r="O363" s="235"/>
      <c r="P363" s="235"/>
      <c r="Q363" s="235"/>
      <c r="R363" s="235"/>
      <c r="S363" s="235"/>
      <c r="T363" s="235"/>
      <c r="U363" s="235"/>
      <c r="V363" s="235"/>
      <c r="W363" s="235"/>
      <c r="X363" s="235"/>
      <c r="Y363" s="235"/>
      <c r="Z363" s="235"/>
      <c r="AA363" s="235"/>
      <c r="AB363" s="235"/>
      <c r="AC363" s="235"/>
      <c r="AD363" s="235"/>
      <c r="AE363" s="236"/>
      <c r="AF363" s="235"/>
      <c r="AG363" s="235"/>
      <c r="AH363" s="235"/>
      <c r="AI363" s="235"/>
      <c r="AJ363" s="236"/>
      <c r="AK363" s="235"/>
      <c r="AL363" s="235"/>
      <c r="AM363" s="235"/>
      <c r="AN363" s="235"/>
      <c r="AO363" s="235"/>
      <c r="AP363" s="235"/>
      <c r="AQ363" s="235"/>
      <c r="AR363" s="235"/>
      <c r="AS363" s="235"/>
      <c r="AT363" s="235"/>
      <c r="AU363" s="236"/>
      <c r="AV363" s="235"/>
      <c r="AW363" s="235"/>
      <c r="AX363" s="235"/>
      <c r="AY363" s="235"/>
      <c r="AZ363" s="235"/>
      <c r="BA363" s="235"/>
      <c r="BB363" s="235"/>
      <c r="BC363" s="235"/>
      <c r="BD363" s="236"/>
      <c r="BE363" s="235"/>
      <c r="BF363" s="235"/>
      <c r="BG363" s="235"/>
      <c r="BH363" s="235"/>
      <c r="BI363" s="236"/>
      <c r="BJ363" s="236"/>
      <c r="BK363" s="238"/>
      <c r="BL363" s="239"/>
      <c r="BM363" s="239"/>
      <c r="BN363" s="239"/>
      <c r="BP363" s="236"/>
      <c r="BQ363" s="236"/>
      <c r="BR363" s="236"/>
      <c r="BS363" s="236"/>
      <c r="BT363" s="236"/>
      <c r="BU363" s="236"/>
      <c r="BV363" s="236"/>
      <c r="BW363" s="236"/>
      <c r="BX363" s="236"/>
      <c r="BY363" s="236"/>
      <c r="BZ363" s="236"/>
      <c r="CA363" s="236"/>
      <c r="CB363" s="236"/>
      <c r="CC363" s="236"/>
      <c r="CD363" s="236"/>
      <c r="CE363" s="236"/>
      <c r="CF363" s="236"/>
      <c r="CG363" s="236"/>
      <c r="CH363" s="236"/>
      <c r="CI363" s="236"/>
      <c r="CJ363" s="236"/>
      <c r="CK363" s="236"/>
      <c r="CL363" s="236"/>
      <c r="CM363" s="236"/>
      <c r="CN363" s="236"/>
      <c r="CO363" s="236"/>
    </row>
    <row r="364" spans="5:93" s="230" customFormat="1">
      <c r="E364" s="234"/>
      <c r="F364" s="235"/>
      <c r="G364" s="235"/>
      <c r="H364" s="236"/>
      <c r="I364" s="235"/>
      <c r="J364" s="235"/>
      <c r="K364" s="235"/>
      <c r="L364" s="235"/>
      <c r="M364" s="236"/>
      <c r="N364" s="235"/>
      <c r="O364" s="235"/>
      <c r="P364" s="235"/>
      <c r="Q364" s="235"/>
      <c r="R364" s="235"/>
      <c r="S364" s="235"/>
      <c r="T364" s="235"/>
      <c r="U364" s="235"/>
      <c r="V364" s="235"/>
      <c r="W364" s="235"/>
      <c r="X364" s="235"/>
      <c r="Y364" s="235"/>
      <c r="Z364" s="235"/>
      <c r="AA364" s="235"/>
      <c r="AB364" s="235"/>
      <c r="AC364" s="235"/>
      <c r="AD364" s="235"/>
      <c r="AE364" s="236"/>
      <c r="AF364" s="235"/>
      <c r="AG364" s="235"/>
      <c r="AH364" s="235"/>
      <c r="AI364" s="235"/>
      <c r="AJ364" s="236"/>
      <c r="AK364" s="235"/>
      <c r="AL364" s="235"/>
      <c r="AM364" s="235"/>
      <c r="AN364" s="235"/>
      <c r="AO364" s="235"/>
      <c r="AP364" s="235"/>
      <c r="AQ364" s="235"/>
      <c r="AR364" s="235"/>
      <c r="AS364" s="235"/>
      <c r="AT364" s="235"/>
      <c r="AU364" s="236"/>
      <c r="AV364" s="235"/>
      <c r="AW364" s="235"/>
      <c r="AX364" s="235"/>
      <c r="AY364" s="235"/>
      <c r="AZ364" s="235"/>
      <c r="BA364" s="235"/>
      <c r="BB364" s="235"/>
      <c r="BC364" s="235"/>
      <c r="BD364" s="236"/>
      <c r="BE364" s="235"/>
      <c r="BF364" s="235"/>
      <c r="BG364" s="235"/>
      <c r="BH364" s="235"/>
      <c r="BI364" s="236"/>
      <c r="BJ364" s="236"/>
      <c r="BK364" s="238"/>
      <c r="BL364" s="239"/>
      <c r="BM364" s="239"/>
      <c r="BN364" s="239"/>
      <c r="BP364" s="236"/>
      <c r="BQ364" s="236"/>
      <c r="BR364" s="236"/>
      <c r="BS364" s="236"/>
      <c r="BT364" s="236"/>
      <c r="BU364" s="236"/>
      <c r="BV364" s="236"/>
      <c r="BW364" s="236"/>
      <c r="BX364" s="236"/>
      <c r="BY364" s="236"/>
      <c r="BZ364" s="236"/>
      <c r="CA364" s="236"/>
      <c r="CB364" s="236"/>
      <c r="CC364" s="236"/>
      <c r="CD364" s="236"/>
      <c r="CE364" s="236"/>
      <c r="CF364" s="236"/>
      <c r="CG364" s="236"/>
      <c r="CH364" s="236"/>
      <c r="CI364" s="236"/>
      <c r="CJ364" s="236"/>
      <c r="CK364" s="236"/>
      <c r="CL364" s="236"/>
      <c r="CM364" s="236"/>
      <c r="CN364" s="236"/>
      <c r="CO364" s="236"/>
    </row>
    <row r="365" spans="5:93" s="230" customFormat="1">
      <c r="E365" s="234"/>
      <c r="F365" s="235"/>
      <c r="G365" s="235"/>
      <c r="H365" s="236"/>
      <c r="I365" s="235"/>
      <c r="J365" s="235"/>
      <c r="K365" s="235"/>
      <c r="L365" s="235"/>
      <c r="M365" s="236"/>
      <c r="N365" s="235"/>
      <c r="O365" s="235"/>
      <c r="P365" s="235"/>
      <c r="Q365" s="235"/>
      <c r="R365" s="235"/>
      <c r="S365" s="235"/>
      <c r="T365" s="235"/>
      <c r="U365" s="235"/>
      <c r="V365" s="235"/>
      <c r="W365" s="235"/>
      <c r="X365" s="235"/>
      <c r="Y365" s="235"/>
      <c r="Z365" s="235"/>
      <c r="AA365" s="235"/>
      <c r="AB365" s="235"/>
      <c r="AC365" s="235"/>
      <c r="AD365" s="235"/>
      <c r="AE365" s="236"/>
      <c r="AF365" s="235"/>
      <c r="AG365" s="235"/>
      <c r="AH365" s="235"/>
      <c r="AI365" s="235"/>
      <c r="AJ365" s="236"/>
      <c r="AK365" s="235"/>
      <c r="AL365" s="235"/>
      <c r="AM365" s="235"/>
      <c r="AN365" s="235"/>
      <c r="AO365" s="235"/>
      <c r="AP365" s="235"/>
      <c r="AQ365" s="235"/>
      <c r="AR365" s="235"/>
      <c r="AS365" s="235"/>
      <c r="AT365" s="235"/>
      <c r="AU365" s="236"/>
      <c r="AV365" s="235"/>
      <c r="AW365" s="235"/>
      <c r="AX365" s="235"/>
      <c r="AY365" s="235"/>
      <c r="AZ365" s="235"/>
      <c r="BA365" s="235"/>
      <c r="BB365" s="235"/>
      <c r="BC365" s="235"/>
      <c r="BD365" s="236"/>
      <c r="BE365" s="235"/>
      <c r="BF365" s="235"/>
      <c r="BG365" s="235"/>
      <c r="BH365" s="235"/>
      <c r="BI365" s="236"/>
      <c r="BJ365" s="236"/>
      <c r="BK365" s="238"/>
      <c r="BL365" s="239"/>
      <c r="BM365" s="239"/>
      <c r="BN365" s="239"/>
      <c r="BP365" s="236"/>
      <c r="BQ365" s="236"/>
      <c r="BR365" s="236"/>
      <c r="BS365" s="236"/>
      <c r="BT365" s="236"/>
      <c r="BU365" s="236"/>
      <c r="BV365" s="236"/>
      <c r="BW365" s="236"/>
      <c r="BX365" s="236"/>
      <c r="BY365" s="236"/>
      <c r="BZ365" s="236"/>
      <c r="CA365" s="236"/>
      <c r="CB365" s="236"/>
      <c r="CC365" s="236"/>
      <c r="CD365" s="236"/>
      <c r="CE365" s="236"/>
      <c r="CF365" s="236"/>
      <c r="CG365" s="236"/>
      <c r="CH365" s="236"/>
      <c r="CI365" s="236"/>
      <c r="CJ365" s="236"/>
      <c r="CK365" s="236"/>
      <c r="CL365" s="236"/>
      <c r="CM365" s="236"/>
      <c r="CN365" s="236"/>
      <c r="CO365" s="236"/>
    </row>
    <row r="366" spans="5:93" s="230" customFormat="1">
      <c r="E366" s="234"/>
      <c r="F366" s="235"/>
      <c r="G366" s="235"/>
      <c r="H366" s="236"/>
      <c r="I366" s="235"/>
      <c r="J366" s="235"/>
      <c r="K366" s="235"/>
      <c r="L366" s="235"/>
      <c r="M366" s="236"/>
      <c r="N366" s="235"/>
      <c r="O366" s="235"/>
      <c r="P366" s="235"/>
      <c r="Q366" s="235"/>
      <c r="R366" s="235"/>
      <c r="S366" s="235"/>
      <c r="T366" s="235"/>
      <c r="U366" s="235"/>
      <c r="V366" s="235"/>
      <c r="W366" s="235"/>
      <c r="X366" s="235"/>
      <c r="Y366" s="235"/>
      <c r="Z366" s="235"/>
      <c r="AA366" s="235"/>
      <c r="AB366" s="235"/>
      <c r="AC366" s="235"/>
      <c r="AD366" s="235"/>
      <c r="AE366" s="236"/>
      <c r="AF366" s="235"/>
      <c r="AG366" s="235"/>
      <c r="AH366" s="235"/>
      <c r="AI366" s="235"/>
      <c r="AJ366" s="236"/>
      <c r="AK366" s="235"/>
      <c r="AL366" s="235"/>
      <c r="AM366" s="235"/>
      <c r="AN366" s="235"/>
      <c r="AO366" s="235"/>
      <c r="AP366" s="235"/>
      <c r="AQ366" s="235"/>
      <c r="AR366" s="235"/>
      <c r="AS366" s="235"/>
      <c r="AT366" s="235"/>
      <c r="AU366" s="236"/>
      <c r="AV366" s="235"/>
      <c r="AW366" s="235"/>
      <c r="AX366" s="235"/>
      <c r="AY366" s="235"/>
      <c r="AZ366" s="235"/>
      <c r="BA366" s="235"/>
      <c r="BB366" s="235"/>
      <c r="BC366" s="235"/>
      <c r="BD366" s="236"/>
      <c r="BE366" s="235"/>
      <c r="BF366" s="235"/>
      <c r="BG366" s="235"/>
      <c r="BH366" s="235"/>
      <c r="BI366" s="236"/>
      <c r="BJ366" s="236"/>
      <c r="BK366" s="238"/>
      <c r="BL366" s="239"/>
      <c r="BM366" s="239"/>
      <c r="BN366" s="239"/>
      <c r="BP366" s="236"/>
      <c r="BQ366" s="236"/>
      <c r="BR366" s="236"/>
      <c r="BS366" s="236"/>
      <c r="BT366" s="236"/>
      <c r="BU366" s="236"/>
      <c r="BV366" s="236"/>
      <c r="BW366" s="236"/>
      <c r="BX366" s="236"/>
      <c r="BY366" s="236"/>
      <c r="BZ366" s="236"/>
      <c r="CA366" s="236"/>
      <c r="CB366" s="236"/>
      <c r="CC366" s="236"/>
      <c r="CD366" s="236"/>
      <c r="CE366" s="236"/>
      <c r="CF366" s="236"/>
      <c r="CG366" s="236"/>
      <c r="CH366" s="236"/>
      <c r="CI366" s="236"/>
      <c r="CJ366" s="236"/>
      <c r="CK366" s="236"/>
      <c r="CL366" s="236"/>
      <c r="CM366" s="236"/>
      <c r="CN366" s="236"/>
      <c r="CO366" s="236"/>
    </row>
    <row r="367" spans="5:93" s="230" customFormat="1">
      <c r="E367" s="234"/>
      <c r="F367" s="235"/>
      <c r="G367" s="235"/>
      <c r="H367" s="236"/>
      <c r="I367" s="235"/>
      <c r="J367" s="235"/>
      <c r="K367" s="235"/>
      <c r="L367" s="235"/>
      <c r="M367" s="236"/>
      <c r="N367" s="235"/>
      <c r="O367" s="235"/>
      <c r="P367" s="235"/>
      <c r="Q367" s="235"/>
      <c r="R367" s="235"/>
      <c r="S367" s="235"/>
      <c r="T367" s="235"/>
      <c r="U367" s="235"/>
      <c r="V367" s="235"/>
      <c r="W367" s="235"/>
      <c r="X367" s="235"/>
      <c r="Y367" s="235"/>
      <c r="Z367" s="235"/>
      <c r="AA367" s="235"/>
      <c r="AB367" s="235"/>
      <c r="AC367" s="235"/>
      <c r="AD367" s="235"/>
      <c r="AE367" s="236"/>
      <c r="AF367" s="235"/>
      <c r="AG367" s="235"/>
      <c r="AH367" s="235"/>
      <c r="AI367" s="235"/>
      <c r="AJ367" s="236"/>
      <c r="AK367" s="235"/>
      <c r="AL367" s="235"/>
      <c r="AM367" s="235"/>
      <c r="AN367" s="235"/>
      <c r="AO367" s="235"/>
      <c r="AP367" s="235"/>
      <c r="AQ367" s="235"/>
      <c r="AR367" s="235"/>
      <c r="AS367" s="235"/>
      <c r="AT367" s="235"/>
      <c r="AU367" s="236"/>
      <c r="AV367" s="235"/>
      <c r="AW367" s="235"/>
      <c r="AX367" s="235"/>
      <c r="AY367" s="235"/>
      <c r="AZ367" s="235"/>
      <c r="BA367" s="235"/>
      <c r="BB367" s="235"/>
      <c r="BC367" s="235"/>
      <c r="BD367" s="236"/>
      <c r="BE367" s="235"/>
      <c r="BF367" s="235"/>
      <c r="BG367" s="235"/>
      <c r="BH367" s="235"/>
      <c r="BI367" s="236"/>
      <c r="BJ367" s="236"/>
      <c r="BK367" s="238"/>
      <c r="BL367" s="239"/>
      <c r="BM367" s="239"/>
      <c r="BN367" s="239"/>
      <c r="BP367" s="236"/>
      <c r="BQ367" s="236"/>
      <c r="BR367" s="236"/>
      <c r="BS367" s="236"/>
      <c r="BT367" s="236"/>
      <c r="BU367" s="236"/>
      <c r="BV367" s="236"/>
      <c r="BW367" s="236"/>
      <c r="BX367" s="236"/>
      <c r="BY367" s="236"/>
      <c r="BZ367" s="236"/>
      <c r="CA367" s="236"/>
      <c r="CB367" s="236"/>
      <c r="CC367" s="236"/>
      <c r="CD367" s="236"/>
      <c r="CE367" s="236"/>
      <c r="CF367" s="236"/>
      <c r="CG367" s="236"/>
      <c r="CH367" s="236"/>
      <c r="CI367" s="236"/>
      <c r="CJ367" s="236"/>
      <c r="CK367" s="236"/>
      <c r="CL367" s="236"/>
      <c r="CM367" s="236"/>
      <c r="CN367" s="236"/>
      <c r="CO367" s="236"/>
    </row>
    <row r="368" spans="5:93" s="230" customFormat="1">
      <c r="E368" s="234"/>
      <c r="F368" s="235"/>
      <c r="G368" s="235"/>
      <c r="H368" s="236"/>
      <c r="I368" s="235"/>
      <c r="J368" s="235"/>
      <c r="K368" s="235"/>
      <c r="L368" s="235"/>
      <c r="M368" s="236"/>
      <c r="N368" s="235"/>
      <c r="O368" s="235"/>
      <c r="P368" s="235"/>
      <c r="Q368" s="235"/>
      <c r="R368" s="235"/>
      <c r="S368" s="235"/>
      <c r="T368" s="235"/>
      <c r="U368" s="235"/>
      <c r="V368" s="235"/>
      <c r="W368" s="235"/>
      <c r="X368" s="235"/>
      <c r="Y368" s="235"/>
      <c r="Z368" s="235"/>
      <c r="AA368" s="235"/>
      <c r="AB368" s="235"/>
      <c r="AC368" s="235"/>
      <c r="AD368" s="235"/>
      <c r="AE368" s="236"/>
      <c r="AF368" s="235"/>
      <c r="AG368" s="235"/>
      <c r="AH368" s="235"/>
      <c r="AI368" s="235"/>
      <c r="AJ368" s="236"/>
      <c r="AK368" s="235"/>
      <c r="AL368" s="235"/>
      <c r="AM368" s="235"/>
      <c r="AN368" s="235"/>
      <c r="AO368" s="235"/>
      <c r="AP368" s="235"/>
      <c r="AQ368" s="235"/>
      <c r="AR368" s="235"/>
      <c r="AS368" s="235"/>
      <c r="AT368" s="235"/>
      <c r="AU368" s="236"/>
      <c r="AV368" s="235"/>
      <c r="AW368" s="235"/>
      <c r="AX368" s="235"/>
      <c r="AY368" s="235"/>
      <c r="AZ368" s="235"/>
      <c r="BA368" s="235"/>
      <c r="BB368" s="235"/>
      <c r="BC368" s="235"/>
      <c r="BD368" s="236"/>
      <c r="BE368" s="235"/>
      <c r="BF368" s="235"/>
      <c r="BG368" s="235"/>
      <c r="BH368" s="235"/>
      <c r="BI368" s="236"/>
      <c r="BJ368" s="236"/>
      <c r="BK368" s="238"/>
      <c r="BL368" s="239"/>
      <c r="BM368" s="239"/>
      <c r="BN368" s="239"/>
      <c r="BP368" s="236"/>
      <c r="BQ368" s="236"/>
      <c r="BR368" s="236"/>
      <c r="BS368" s="236"/>
      <c r="BT368" s="236"/>
      <c r="BU368" s="236"/>
      <c r="BV368" s="236"/>
      <c r="BW368" s="236"/>
      <c r="BX368" s="236"/>
      <c r="BY368" s="236"/>
      <c r="BZ368" s="236"/>
      <c r="CA368" s="236"/>
      <c r="CB368" s="236"/>
      <c r="CC368" s="236"/>
      <c r="CD368" s="236"/>
      <c r="CE368" s="236"/>
      <c r="CF368" s="236"/>
      <c r="CG368" s="236"/>
      <c r="CH368" s="236"/>
      <c r="CI368" s="236"/>
      <c r="CJ368" s="236"/>
      <c r="CK368" s="236"/>
      <c r="CL368" s="236"/>
      <c r="CM368" s="236"/>
      <c r="CN368" s="236"/>
      <c r="CO368" s="236"/>
    </row>
    <row r="369" spans="5:93" s="230" customFormat="1">
      <c r="E369" s="234"/>
      <c r="F369" s="235"/>
      <c r="G369" s="235"/>
      <c r="H369" s="236"/>
      <c r="I369" s="235"/>
      <c r="J369" s="235"/>
      <c r="K369" s="235"/>
      <c r="L369" s="235"/>
      <c r="M369" s="236"/>
      <c r="N369" s="235"/>
      <c r="O369" s="235"/>
      <c r="P369" s="235"/>
      <c r="Q369" s="235"/>
      <c r="R369" s="235"/>
      <c r="S369" s="235"/>
      <c r="T369" s="235"/>
      <c r="U369" s="235"/>
      <c r="V369" s="235"/>
      <c r="W369" s="235"/>
      <c r="X369" s="235"/>
      <c r="Y369" s="235"/>
      <c r="Z369" s="235"/>
      <c r="AA369" s="235"/>
      <c r="AB369" s="235"/>
      <c r="AC369" s="235"/>
      <c r="AD369" s="235"/>
      <c r="AE369" s="236"/>
      <c r="AF369" s="235"/>
      <c r="AG369" s="235"/>
      <c r="AH369" s="235"/>
      <c r="AI369" s="235"/>
      <c r="AJ369" s="236"/>
      <c r="AK369" s="235"/>
      <c r="AL369" s="235"/>
      <c r="AM369" s="235"/>
      <c r="AN369" s="235"/>
      <c r="AO369" s="235"/>
      <c r="AP369" s="235"/>
      <c r="AQ369" s="235"/>
      <c r="AR369" s="235"/>
      <c r="AS369" s="235"/>
      <c r="AT369" s="235"/>
      <c r="AU369" s="236"/>
      <c r="AV369" s="235"/>
      <c r="AW369" s="235"/>
      <c r="AX369" s="235"/>
      <c r="AY369" s="235"/>
      <c r="AZ369" s="235"/>
      <c r="BA369" s="235"/>
      <c r="BB369" s="235"/>
      <c r="BC369" s="235"/>
      <c r="BD369" s="236"/>
      <c r="BE369" s="235"/>
      <c r="BF369" s="235"/>
      <c r="BG369" s="235"/>
      <c r="BH369" s="235"/>
      <c r="BI369" s="236"/>
      <c r="BJ369" s="236"/>
      <c r="BK369" s="238"/>
      <c r="BL369" s="239"/>
      <c r="BM369" s="239"/>
      <c r="BN369" s="239"/>
      <c r="BP369" s="236"/>
      <c r="BQ369" s="236"/>
      <c r="BR369" s="236"/>
      <c r="BS369" s="236"/>
      <c r="BT369" s="236"/>
      <c r="BU369" s="236"/>
      <c r="BV369" s="236"/>
      <c r="BW369" s="236"/>
      <c r="BX369" s="236"/>
      <c r="BY369" s="236"/>
      <c r="BZ369" s="236"/>
      <c r="CA369" s="236"/>
      <c r="CB369" s="236"/>
      <c r="CC369" s="236"/>
      <c r="CD369" s="236"/>
      <c r="CE369" s="236"/>
      <c r="CF369" s="236"/>
      <c r="CG369" s="236"/>
      <c r="CH369" s="236"/>
      <c r="CI369" s="236"/>
      <c r="CJ369" s="236"/>
      <c r="CK369" s="236"/>
      <c r="CL369" s="236"/>
      <c r="CM369" s="236"/>
      <c r="CN369" s="236"/>
      <c r="CO369" s="236"/>
    </row>
    <row r="370" spans="5:93" s="230" customFormat="1">
      <c r="E370" s="234"/>
      <c r="F370" s="235"/>
      <c r="G370" s="235"/>
      <c r="H370" s="236"/>
      <c r="I370" s="235"/>
      <c r="J370" s="235"/>
      <c r="K370" s="235"/>
      <c r="L370" s="235"/>
      <c r="M370" s="236"/>
      <c r="N370" s="235"/>
      <c r="O370" s="235"/>
      <c r="P370" s="235"/>
      <c r="Q370" s="235"/>
      <c r="R370" s="235"/>
      <c r="S370" s="235"/>
      <c r="T370" s="235"/>
      <c r="U370" s="235"/>
      <c r="V370" s="235"/>
      <c r="W370" s="235"/>
      <c r="X370" s="235"/>
      <c r="Y370" s="235"/>
      <c r="Z370" s="235"/>
      <c r="AA370" s="235"/>
      <c r="AB370" s="235"/>
      <c r="AC370" s="235"/>
      <c r="AD370" s="235"/>
      <c r="AE370" s="236"/>
      <c r="AF370" s="235"/>
      <c r="AG370" s="235"/>
      <c r="AH370" s="235"/>
      <c r="AI370" s="235"/>
      <c r="AJ370" s="236"/>
      <c r="AK370" s="235"/>
      <c r="AL370" s="235"/>
      <c r="AM370" s="235"/>
      <c r="AN370" s="235"/>
      <c r="AO370" s="235"/>
      <c r="AP370" s="235"/>
      <c r="AQ370" s="235"/>
      <c r="AR370" s="235"/>
      <c r="AS370" s="235"/>
      <c r="AT370" s="235"/>
      <c r="AU370" s="236"/>
      <c r="AV370" s="235"/>
      <c r="AW370" s="235"/>
      <c r="AX370" s="235"/>
      <c r="AY370" s="235"/>
      <c r="AZ370" s="235"/>
      <c r="BA370" s="235"/>
      <c r="BB370" s="235"/>
      <c r="BC370" s="235"/>
      <c r="BD370" s="236"/>
      <c r="BE370" s="235"/>
      <c r="BF370" s="235"/>
      <c r="BG370" s="235"/>
      <c r="BH370" s="235"/>
      <c r="BI370" s="236"/>
      <c r="BJ370" s="236"/>
      <c r="BK370" s="238"/>
      <c r="BL370" s="239"/>
      <c r="BM370" s="239"/>
      <c r="BN370" s="239"/>
      <c r="BP370" s="236"/>
      <c r="BQ370" s="236"/>
      <c r="BR370" s="236"/>
      <c r="BS370" s="236"/>
      <c r="BT370" s="236"/>
      <c r="BU370" s="236"/>
      <c r="BV370" s="236"/>
      <c r="BW370" s="236"/>
      <c r="BX370" s="236"/>
      <c r="BY370" s="236"/>
      <c r="BZ370" s="236"/>
      <c r="CA370" s="236"/>
      <c r="CB370" s="236"/>
      <c r="CC370" s="236"/>
      <c r="CD370" s="236"/>
      <c r="CE370" s="236"/>
      <c r="CF370" s="236"/>
      <c r="CG370" s="236"/>
      <c r="CH370" s="236"/>
      <c r="CI370" s="236"/>
      <c r="CJ370" s="236"/>
      <c r="CK370" s="236"/>
      <c r="CL370" s="236"/>
      <c r="CM370" s="236"/>
      <c r="CN370" s="236"/>
      <c r="CO370" s="236"/>
    </row>
    <row r="371" spans="5:93" s="230" customFormat="1">
      <c r="E371" s="234"/>
      <c r="F371" s="235"/>
      <c r="G371" s="235"/>
      <c r="H371" s="236"/>
      <c r="I371" s="235"/>
      <c r="J371" s="235"/>
      <c r="K371" s="235"/>
      <c r="L371" s="235"/>
      <c r="M371" s="236"/>
      <c r="N371" s="235"/>
      <c r="O371" s="235"/>
      <c r="P371" s="235"/>
      <c r="Q371" s="235"/>
      <c r="R371" s="235"/>
      <c r="S371" s="235"/>
      <c r="T371" s="235"/>
      <c r="U371" s="235"/>
      <c r="V371" s="235"/>
      <c r="W371" s="235"/>
      <c r="X371" s="235"/>
      <c r="Y371" s="235"/>
      <c r="Z371" s="235"/>
      <c r="AA371" s="235"/>
      <c r="AB371" s="235"/>
      <c r="AC371" s="235"/>
      <c r="AD371" s="235"/>
      <c r="AE371" s="236"/>
      <c r="AF371" s="235"/>
      <c r="AG371" s="235"/>
      <c r="AH371" s="235"/>
      <c r="AI371" s="235"/>
      <c r="AJ371" s="236"/>
      <c r="AK371" s="235"/>
      <c r="AL371" s="235"/>
      <c r="AM371" s="235"/>
      <c r="AN371" s="235"/>
      <c r="AO371" s="235"/>
      <c r="AP371" s="235"/>
      <c r="AQ371" s="235"/>
      <c r="AR371" s="235"/>
      <c r="AS371" s="235"/>
      <c r="AT371" s="235"/>
      <c r="AU371" s="236"/>
      <c r="AV371" s="235"/>
      <c r="AW371" s="235"/>
      <c r="AX371" s="235"/>
      <c r="AY371" s="235"/>
      <c r="AZ371" s="235"/>
      <c r="BA371" s="235"/>
      <c r="BB371" s="235"/>
      <c r="BC371" s="235"/>
      <c r="BD371" s="236"/>
      <c r="BE371" s="235"/>
      <c r="BF371" s="235"/>
      <c r="BG371" s="235"/>
      <c r="BH371" s="235"/>
      <c r="BI371" s="236"/>
      <c r="BJ371" s="236"/>
      <c r="BK371" s="238"/>
      <c r="BL371" s="239"/>
      <c r="BM371" s="239"/>
      <c r="BN371" s="239"/>
      <c r="BP371" s="236"/>
      <c r="BQ371" s="236"/>
      <c r="BR371" s="236"/>
      <c r="BS371" s="236"/>
      <c r="BT371" s="236"/>
      <c r="BU371" s="236"/>
      <c r="BV371" s="236"/>
      <c r="BW371" s="236"/>
      <c r="BX371" s="236"/>
      <c r="BY371" s="236"/>
      <c r="BZ371" s="236"/>
      <c r="CA371" s="236"/>
      <c r="CB371" s="236"/>
      <c r="CC371" s="236"/>
      <c r="CD371" s="236"/>
      <c r="CE371" s="236"/>
      <c r="CF371" s="236"/>
      <c r="CG371" s="236"/>
      <c r="CH371" s="236"/>
      <c r="CI371" s="236"/>
      <c r="CJ371" s="236"/>
      <c r="CK371" s="236"/>
      <c r="CL371" s="236"/>
      <c r="CM371" s="236"/>
      <c r="CN371" s="236"/>
      <c r="CO371" s="236"/>
    </row>
    <row r="372" spans="5:93" s="230" customFormat="1">
      <c r="E372" s="234"/>
      <c r="F372" s="235"/>
      <c r="G372" s="235"/>
      <c r="H372" s="236"/>
      <c r="I372" s="235"/>
      <c r="J372" s="235"/>
      <c r="K372" s="235"/>
      <c r="L372" s="235"/>
      <c r="M372" s="236"/>
      <c r="N372" s="235"/>
      <c r="O372" s="235"/>
      <c r="P372" s="235"/>
      <c r="Q372" s="235"/>
      <c r="R372" s="235"/>
      <c r="S372" s="235"/>
      <c r="T372" s="235"/>
      <c r="U372" s="235"/>
      <c r="V372" s="235"/>
      <c r="W372" s="235"/>
      <c r="X372" s="235"/>
      <c r="Y372" s="235"/>
      <c r="Z372" s="235"/>
      <c r="AA372" s="235"/>
      <c r="AB372" s="235"/>
      <c r="AC372" s="235"/>
      <c r="AD372" s="235"/>
      <c r="AE372" s="236"/>
      <c r="AF372" s="235"/>
      <c r="AG372" s="235"/>
      <c r="AH372" s="235"/>
      <c r="AI372" s="235"/>
      <c r="AJ372" s="236"/>
      <c r="AK372" s="235"/>
      <c r="AL372" s="235"/>
      <c r="AM372" s="235"/>
      <c r="AN372" s="235"/>
      <c r="AO372" s="235"/>
      <c r="AP372" s="235"/>
      <c r="AQ372" s="235"/>
      <c r="AR372" s="235"/>
      <c r="AS372" s="235"/>
      <c r="AT372" s="235"/>
      <c r="AU372" s="236"/>
      <c r="AV372" s="235"/>
      <c r="AW372" s="235"/>
      <c r="AX372" s="235"/>
      <c r="AY372" s="235"/>
      <c r="AZ372" s="235"/>
      <c r="BA372" s="235"/>
      <c r="BB372" s="235"/>
      <c r="BC372" s="235"/>
      <c r="BD372" s="236"/>
      <c r="BE372" s="235"/>
      <c r="BF372" s="235"/>
      <c r="BG372" s="235"/>
      <c r="BH372" s="235"/>
      <c r="BI372" s="236"/>
      <c r="BJ372" s="236"/>
      <c r="BK372" s="238"/>
      <c r="BL372" s="239"/>
      <c r="BM372" s="239"/>
      <c r="BN372" s="239"/>
      <c r="BP372" s="236"/>
      <c r="BQ372" s="236"/>
      <c r="BR372" s="236"/>
      <c r="BS372" s="236"/>
      <c r="BT372" s="236"/>
      <c r="BU372" s="236"/>
      <c r="BV372" s="236"/>
      <c r="BW372" s="236"/>
      <c r="BX372" s="236"/>
      <c r="BY372" s="236"/>
      <c r="BZ372" s="236"/>
      <c r="CA372" s="236"/>
      <c r="CB372" s="236"/>
      <c r="CC372" s="236"/>
      <c r="CD372" s="236"/>
      <c r="CE372" s="236"/>
      <c r="CF372" s="236"/>
      <c r="CG372" s="236"/>
      <c r="CH372" s="236"/>
      <c r="CI372" s="236"/>
      <c r="CJ372" s="236"/>
      <c r="CK372" s="236"/>
      <c r="CL372" s="236"/>
      <c r="CM372" s="236"/>
      <c r="CN372" s="236"/>
      <c r="CO372" s="236"/>
    </row>
    <row r="373" spans="5:93" s="230" customFormat="1">
      <c r="E373" s="234"/>
      <c r="F373" s="235"/>
      <c r="G373" s="235"/>
      <c r="H373" s="236"/>
      <c r="I373" s="235"/>
      <c r="J373" s="235"/>
      <c r="K373" s="235"/>
      <c r="L373" s="235"/>
      <c r="M373" s="236"/>
      <c r="N373" s="235"/>
      <c r="O373" s="235"/>
      <c r="P373" s="235"/>
      <c r="Q373" s="235"/>
      <c r="R373" s="235"/>
      <c r="S373" s="235"/>
      <c r="T373" s="235"/>
      <c r="U373" s="235"/>
      <c r="V373" s="235"/>
      <c r="W373" s="235"/>
      <c r="X373" s="235"/>
      <c r="Y373" s="235"/>
      <c r="Z373" s="235"/>
      <c r="AA373" s="235"/>
      <c r="AB373" s="235"/>
      <c r="AC373" s="235"/>
      <c r="AD373" s="235"/>
      <c r="AE373" s="236"/>
      <c r="AF373" s="235"/>
      <c r="AG373" s="235"/>
      <c r="AH373" s="235"/>
      <c r="AI373" s="235"/>
      <c r="AJ373" s="236"/>
      <c r="AK373" s="235"/>
      <c r="AL373" s="235"/>
      <c r="AM373" s="235"/>
      <c r="AN373" s="235"/>
      <c r="AO373" s="235"/>
      <c r="AP373" s="235"/>
      <c r="AQ373" s="235"/>
      <c r="AR373" s="235"/>
      <c r="AS373" s="235"/>
      <c r="AT373" s="235"/>
      <c r="AU373" s="236"/>
      <c r="AV373" s="235"/>
      <c r="AW373" s="235"/>
      <c r="AX373" s="235"/>
      <c r="AY373" s="235"/>
      <c r="AZ373" s="235"/>
      <c r="BA373" s="235"/>
      <c r="BB373" s="235"/>
      <c r="BC373" s="235"/>
      <c r="BD373" s="236"/>
      <c r="BE373" s="235"/>
      <c r="BF373" s="235"/>
      <c r="BG373" s="235"/>
      <c r="BH373" s="235"/>
      <c r="BI373" s="236"/>
      <c r="BJ373" s="236"/>
      <c r="BK373" s="238"/>
      <c r="BL373" s="239"/>
      <c r="BM373" s="239"/>
      <c r="BN373" s="239"/>
      <c r="BP373" s="236"/>
      <c r="BQ373" s="236"/>
      <c r="BR373" s="236"/>
      <c r="BS373" s="236"/>
      <c r="BT373" s="236"/>
      <c r="BU373" s="236"/>
      <c r="BV373" s="236"/>
      <c r="BW373" s="236"/>
      <c r="BX373" s="236"/>
      <c r="BY373" s="236"/>
      <c r="BZ373" s="236"/>
      <c r="CA373" s="236"/>
      <c r="CB373" s="236"/>
      <c r="CC373" s="236"/>
      <c r="CD373" s="236"/>
      <c r="CE373" s="236"/>
      <c r="CF373" s="236"/>
      <c r="CG373" s="236"/>
      <c r="CH373" s="236"/>
      <c r="CI373" s="236"/>
      <c r="CJ373" s="236"/>
      <c r="CK373" s="236"/>
      <c r="CL373" s="236"/>
      <c r="CM373" s="236"/>
      <c r="CN373" s="236"/>
      <c r="CO373" s="236"/>
    </row>
    <row r="374" spans="5:93" s="230" customFormat="1">
      <c r="E374" s="234"/>
      <c r="F374" s="235"/>
      <c r="G374" s="235"/>
      <c r="H374" s="236"/>
      <c r="I374" s="235"/>
      <c r="J374" s="235"/>
      <c r="K374" s="235"/>
      <c r="L374" s="235"/>
      <c r="M374" s="236"/>
      <c r="N374" s="235"/>
      <c r="O374" s="235"/>
      <c r="P374" s="235"/>
      <c r="Q374" s="235"/>
      <c r="R374" s="235"/>
      <c r="S374" s="235"/>
      <c r="T374" s="235"/>
      <c r="U374" s="235"/>
      <c r="V374" s="235"/>
      <c r="W374" s="235"/>
      <c r="X374" s="235"/>
      <c r="Y374" s="235"/>
      <c r="Z374" s="235"/>
      <c r="AA374" s="235"/>
      <c r="AB374" s="235"/>
      <c r="AC374" s="235"/>
      <c r="AD374" s="235"/>
      <c r="AE374" s="236"/>
      <c r="AF374" s="235"/>
      <c r="AG374" s="235"/>
      <c r="AH374" s="235"/>
      <c r="AI374" s="235"/>
      <c r="AJ374" s="236"/>
      <c r="AK374" s="235"/>
      <c r="AL374" s="235"/>
      <c r="AM374" s="235"/>
      <c r="AN374" s="235"/>
      <c r="AO374" s="235"/>
      <c r="AP374" s="235"/>
      <c r="AQ374" s="235"/>
      <c r="AR374" s="235"/>
      <c r="AS374" s="235"/>
      <c r="AT374" s="235"/>
      <c r="AU374" s="236"/>
      <c r="AV374" s="235"/>
      <c r="AW374" s="235"/>
      <c r="AX374" s="235"/>
      <c r="AY374" s="235"/>
      <c r="AZ374" s="235"/>
      <c r="BA374" s="235"/>
      <c r="BB374" s="235"/>
      <c r="BC374" s="235"/>
      <c r="BD374" s="236"/>
      <c r="BE374" s="235"/>
      <c r="BF374" s="235"/>
      <c r="BG374" s="235"/>
      <c r="BH374" s="235"/>
      <c r="BI374" s="236"/>
      <c r="BJ374" s="236"/>
      <c r="BK374" s="238"/>
      <c r="BL374" s="239"/>
      <c r="BM374" s="239"/>
      <c r="BN374" s="239"/>
      <c r="BP374" s="236"/>
      <c r="BQ374" s="236"/>
      <c r="BR374" s="236"/>
      <c r="BS374" s="236"/>
      <c r="BT374" s="236"/>
      <c r="BU374" s="236"/>
      <c r="BV374" s="236"/>
      <c r="BW374" s="236"/>
      <c r="BX374" s="236"/>
      <c r="BY374" s="236"/>
      <c r="BZ374" s="236"/>
      <c r="CA374" s="236"/>
      <c r="CB374" s="236"/>
      <c r="CC374" s="236"/>
      <c r="CD374" s="236"/>
      <c r="CE374" s="236"/>
      <c r="CF374" s="236"/>
      <c r="CG374" s="236"/>
      <c r="CH374" s="236"/>
      <c r="CI374" s="236"/>
      <c r="CJ374" s="236"/>
      <c r="CK374" s="236"/>
      <c r="CL374" s="236"/>
      <c r="CM374" s="236"/>
      <c r="CN374" s="236"/>
      <c r="CO374" s="236"/>
    </row>
    <row r="375" spans="5:93" s="230" customFormat="1">
      <c r="E375" s="234"/>
      <c r="F375" s="235"/>
      <c r="G375" s="235"/>
      <c r="H375" s="236"/>
      <c r="I375" s="235"/>
      <c r="J375" s="235"/>
      <c r="K375" s="235"/>
      <c r="L375" s="235"/>
      <c r="M375" s="236"/>
      <c r="N375" s="235"/>
      <c r="O375" s="235"/>
      <c r="P375" s="235"/>
      <c r="Q375" s="235"/>
      <c r="R375" s="235"/>
      <c r="S375" s="235"/>
      <c r="T375" s="235"/>
      <c r="U375" s="235"/>
      <c r="V375" s="235"/>
      <c r="W375" s="235"/>
      <c r="X375" s="235"/>
      <c r="Y375" s="235"/>
      <c r="Z375" s="235"/>
      <c r="AA375" s="235"/>
      <c r="AB375" s="235"/>
      <c r="AC375" s="235"/>
      <c r="AD375" s="235"/>
      <c r="AE375" s="236"/>
      <c r="AF375" s="235"/>
      <c r="AG375" s="235"/>
      <c r="AH375" s="235"/>
      <c r="AI375" s="235"/>
      <c r="AJ375" s="236"/>
      <c r="AK375" s="235"/>
      <c r="AL375" s="235"/>
      <c r="AM375" s="235"/>
      <c r="AN375" s="235"/>
      <c r="AO375" s="235"/>
      <c r="AP375" s="235"/>
      <c r="AQ375" s="235"/>
      <c r="AR375" s="235"/>
      <c r="AS375" s="235"/>
      <c r="AT375" s="235"/>
      <c r="AU375" s="236"/>
      <c r="AV375" s="235"/>
      <c r="AW375" s="235"/>
      <c r="AX375" s="235"/>
      <c r="AY375" s="235"/>
      <c r="AZ375" s="235"/>
      <c r="BA375" s="235"/>
      <c r="BB375" s="235"/>
      <c r="BC375" s="235"/>
      <c r="BD375" s="236"/>
      <c r="BE375" s="235"/>
      <c r="BF375" s="235"/>
      <c r="BG375" s="235"/>
      <c r="BH375" s="235"/>
      <c r="BI375" s="236"/>
      <c r="BJ375" s="236"/>
      <c r="BK375" s="238"/>
      <c r="BL375" s="239"/>
      <c r="BM375" s="239"/>
      <c r="BN375" s="239"/>
      <c r="BP375" s="236"/>
      <c r="BQ375" s="236"/>
      <c r="BR375" s="236"/>
      <c r="BS375" s="236"/>
      <c r="BT375" s="236"/>
      <c r="BU375" s="236"/>
      <c r="BV375" s="236"/>
      <c r="BW375" s="236"/>
      <c r="BX375" s="236"/>
      <c r="BY375" s="236"/>
      <c r="BZ375" s="236"/>
      <c r="CA375" s="236"/>
      <c r="CB375" s="236"/>
      <c r="CC375" s="236"/>
      <c r="CD375" s="236"/>
      <c r="CE375" s="236"/>
      <c r="CF375" s="236"/>
      <c r="CG375" s="236"/>
      <c r="CH375" s="236"/>
      <c r="CI375" s="236"/>
      <c r="CJ375" s="236"/>
      <c r="CK375" s="236"/>
      <c r="CL375" s="236"/>
      <c r="CM375" s="236"/>
      <c r="CN375" s="236"/>
      <c r="CO375" s="236"/>
    </row>
    <row r="376" spans="5:93" s="230" customFormat="1">
      <c r="E376" s="234"/>
      <c r="F376" s="235"/>
      <c r="G376" s="235"/>
      <c r="H376" s="236"/>
      <c r="I376" s="235"/>
      <c r="J376" s="235"/>
      <c r="K376" s="235"/>
      <c r="L376" s="235"/>
      <c r="M376" s="236"/>
      <c r="N376" s="235"/>
      <c r="O376" s="235"/>
      <c r="P376" s="235"/>
      <c r="Q376" s="235"/>
      <c r="R376" s="235"/>
      <c r="S376" s="235"/>
      <c r="T376" s="235"/>
      <c r="U376" s="235"/>
      <c r="V376" s="235"/>
      <c r="W376" s="235"/>
      <c r="X376" s="235"/>
      <c r="Y376" s="235"/>
      <c r="Z376" s="235"/>
      <c r="AA376" s="235"/>
      <c r="AB376" s="235"/>
      <c r="AC376" s="235"/>
      <c r="AD376" s="235"/>
      <c r="AE376" s="236"/>
      <c r="AF376" s="235"/>
      <c r="AG376" s="235"/>
      <c r="AH376" s="235"/>
      <c r="AI376" s="235"/>
      <c r="AJ376" s="236"/>
      <c r="AK376" s="235"/>
      <c r="AL376" s="235"/>
      <c r="AM376" s="235"/>
      <c r="AN376" s="235"/>
      <c r="AO376" s="235"/>
      <c r="AP376" s="235"/>
      <c r="AQ376" s="235"/>
      <c r="AR376" s="235"/>
      <c r="AS376" s="235"/>
      <c r="AT376" s="235"/>
      <c r="AU376" s="236"/>
      <c r="AV376" s="235"/>
      <c r="AW376" s="235"/>
      <c r="AX376" s="235"/>
      <c r="AY376" s="235"/>
      <c r="AZ376" s="235"/>
      <c r="BA376" s="235"/>
      <c r="BB376" s="235"/>
      <c r="BC376" s="235"/>
      <c r="BD376" s="236"/>
      <c r="BE376" s="235"/>
      <c r="BF376" s="235"/>
      <c r="BG376" s="235"/>
      <c r="BH376" s="235"/>
      <c r="BI376" s="236"/>
      <c r="BJ376" s="236"/>
      <c r="BK376" s="238"/>
      <c r="BL376" s="239"/>
      <c r="BM376" s="239"/>
      <c r="BN376" s="239"/>
      <c r="BP376" s="236"/>
      <c r="BQ376" s="236"/>
      <c r="BR376" s="236"/>
      <c r="BS376" s="236"/>
      <c r="BT376" s="236"/>
      <c r="BU376" s="236"/>
      <c r="BV376" s="236"/>
      <c r="BW376" s="236"/>
      <c r="BX376" s="236"/>
      <c r="BY376" s="236"/>
      <c r="BZ376" s="236"/>
      <c r="CA376" s="236"/>
      <c r="CB376" s="236"/>
      <c r="CC376" s="236"/>
      <c r="CD376" s="236"/>
      <c r="CE376" s="236"/>
      <c r="CF376" s="236"/>
      <c r="CG376" s="236"/>
      <c r="CH376" s="236"/>
      <c r="CI376" s="236"/>
      <c r="CJ376" s="236"/>
      <c r="CK376" s="236"/>
      <c r="CL376" s="236"/>
      <c r="CM376" s="236"/>
      <c r="CN376" s="236"/>
      <c r="CO376" s="236"/>
    </row>
    <row r="377" spans="5:93" s="230" customFormat="1">
      <c r="E377" s="234"/>
      <c r="F377" s="235"/>
      <c r="G377" s="235"/>
      <c r="H377" s="236"/>
      <c r="I377" s="235"/>
      <c r="J377" s="235"/>
      <c r="K377" s="235"/>
      <c r="L377" s="235"/>
      <c r="M377" s="236"/>
      <c r="N377" s="235"/>
      <c r="O377" s="235"/>
      <c r="P377" s="235"/>
      <c r="Q377" s="235"/>
      <c r="R377" s="235"/>
      <c r="S377" s="235"/>
      <c r="T377" s="235"/>
      <c r="U377" s="235"/>
      <c r="V377" s="235"/>
      <c r="W377" s="235"/>
      <c r="X377" s="235"/>
      <c r="Y377" s="235"/>
      <c r="Z377" s="235"/>
      <c r="AA377" s="235"/>
      <c r="AB377" s="235"/>
      <c r="AC377" s="235"/>
      <c r="AD377" s="235"/>
      <c r="AE377" s="236"/>
      <c r="AF377" s="235"/>
      <c r="AG377" s="235"/>
      <c r="AH377" s="235"/>
      <c r="AI377" s="235"/>
      <c r="AJ377" s="236"/>
      <c r="AK377" s="235"/>
      <c r="AL377" s="235"/>
      <c r="AM377" s="235"/>
      <c r="AN377" s="235"/>
      <c r="AO377" s="235"/>
      <c r="AP377" s="235"/>
      <c r="AQ377" s="235"/>
      <c r="AR377" s="235"/>
      <c r="AS377" s="235"/>
      <c r="AT377" s="235"/>
      <c r="AU377" s="236"/>
      <c r="AV377" s="235"/>
      <c r="AW377" s="235"/>
      <c r="AX377" s="235"/>
      <c r="AY377" s="235"/>
      <c r="AZ377" s="235"/>
      <c r="BA377" s="235"/>
      <c r="BB377" s="235"/>
      <c r="BC377" s="235"/>
      <c r="BD377" s="236"/>
      <c r="BE377" s="235"/>
      <c r="BF377" s="235"/>
      <c r="BG377" s="235"/>
      <c r="BH377" s="235"/>
      <c r="BI377" s="236"/>
      <c r="BJ377" s="236"/>
      <c r="BK377" s="238"/>
      <c r="BL377" s="239"/>
      <c r="BM377" s="239"/>
      <c r="BN377" s="239"/>
      <c r="BP377" s="236"/>
      <c r="BQ377" s="236"/>
      <c r="BR377" s="236"/>
      <c r="BS377" s="236"/>
      <c r="BT377" s="236"/>
      <c r="BU377" s="236"/>
      <c r="BV377" s="236"/>
      <c r="BW377" s="236"/>
      <c r="BX377" s="236"/>
      <c r="BY377" s="236"/>
      <c r="BZ377" s="236"/>
      <c r="CA377" s="236"/>
      <c r="CB377" s="236"/>
      <c r="CC377" s="236"/>
      <c r="CD377" s="236"/>
      <c r="CE377" s="236"/>
      <c r="CF377" s="236"/>
      <c r="CG377" s="236"/>
      <c r="CH377" s="236"/>
      <c r="CI377" s="236"/>
      <c r="CJ377" s="236"/>
      <c r="CK377" s="236"/>
      <c r="CL377" s="236"/>
      <c r="CM377" s="236"/>
      <c r="CN377" s="236"/>
      <c r="CO377" s="236"/>
    </row>
    <row r="378" spans="5:93" s="230" customFormat="1">
      <c r="E378" s="234"/>
      <c r="F378" s="235"/>
      <c r="G378" s="235"/>
      <c r="H378" s="236"/>
      <c r="I378" s="235"/>
      <c r="J378" s="235"/>
      <c r="K378" s="235"/>
      <c r="L378" s="235"/>
      <c r="M378" s="236"/>
      <c r="N378" s="235"/>
      <c r="O378" s="235"/>
      <c r="P378" s="235"/>
      <c r="Q378" s="235"/>
      <c r="R378" s="235"/>
      <c r="S378" s="235"/>
      <c r="T378" s="235"/>
      <c r="U378" s="235"/>
      <c r="V378" s="235"/>
      <c r="W378" s="235"/>
      <c r="X378" s="235"/>
      <c r="Y378" s="235"/>
      <c r="Z378" s="235"/>
      <c r="AA378" s="235"/>
      <c r="AB378" s="235"/>
      <c r="AC378" s="235"/>
      <c r="AD378" s="235"/>
      <c r="AE378" s="236"/>
      <c r="AF378" s="235"/>
      <c r="AG378" s="235"/>
      <c r="AH378" s="235"/>
      <c r="AI378" s="235"/>
      <c r="AJ378" s="236"/>
      <c r="AK378" s="235"/>
      <c r="AL378" s="235"/>
      <c r="AM378" s="235"/>
      <c r="AN378" s="235"/>
      <c r="AO378" s="235"/>
      <c r="AP378" s="235"/>
      <c r="AQ378" s="235"/>
      <c r="AR378" s="235"/>
      <c r="AS378" s="235"/>
      <c r="AT378" s="235"/>
      <c r="AU378" s="236"/>
      <c r="AV378" s="235"/>
      <c r="AW378" s="235"/>
      <c r="AX378" s="235"/>
      <c r="AY378" s="235"/>
      <c r="AZ378" s="235"/>
      <c r="BA378" s="235"/>
      <c r="BB378" s="235"/>
      <c r="BC378" s="235"/>
      <c r="BD378" s="236"/>
      <c r="BE378" s="235"/>
      <c r="BF378" s="235"/>
      <c r="BG378" s="235"/>
      <c r="BH378" s="235"/>
      <c r="BI378" s="236"/>
      <c r="BJ378" s="236"/>
      <c r="BK378" s="238"/>
      <c r="BL378" s="239"/>
      <c r="BM378" s="239"/>
      <c r="BN378" s="239"/>
      <c r="BP378" s="236"/>
      <c r="BQ378" s="236"/>
      <c r="BR378" s="236"/>
      <c r="BS378" s="236"/>
      <c r="BT378" s="236"/>
      <c r="BU378" s="236"/>
      <c r="BV378" s="236"/>
      <c r="BW378" s="236"/>
      <c r="BX378" s="236"/>
      <c r="BY378" s="236"/>
      <c r="BZ378" s="236"/>
      <c r="CA378" s="236"/>
      <c r="CB378" s="236"/>
      <c r="CC378" s="236"/>
      <c r="CD378" s="236"/>
      <c r="CE378" s="236"/>
      <c r="CF378" s="236"/>
      <c r="CG378" s="236"/>
      <c r="CH378" s="236"/>
      <c r="CI378" s="236"/>
      <c r="CJ378" s="236"/>
      <c r="CK378" s="236"/>
      <c r="CL378" s="236"/>
      <c r="CM378" s="236"/>
      <c r="CN378" s="236"/>
      <c r="CO378" s="236"/>
    </row>
    <row r="379" spans="5:93" s="230" customFormat="1">
      <c r="E379" s="234"/>
      <c r="F379" s="235"/>
      <c r="G379" s="235"/>
      <c r="H379" s="236"/>
      <c r="I379" s="235"/>
      <c r="J379" s="235"/>
      <c r="K379" s="235"/>
      <c r="L379" s="235"/>
      <c r="M379" s="236"/>
      <c r="N379" s="235"/>
      <c r="O379" s="235"/>
      <c r="P379" s="235"/>
      <c r="Q379" s="235"/>
      <c r="R379" s="235"/>
      <c r="S379" s="235"/>
      <c r="T379" s="235"/>
      <c r="U379" s="235"/>
      <c r="V379" s="235"/>
      <c r="W379" s="235"/>
      <c r="X379" s="235"/>
      <c r="Y379" s="235"/>
      <c r="Z379" s="235"/>
      <c r="AA379" s="235"/>
      <c r="AB379" s="235"/>
      <c r="AC379" s="235"/>
      <c r="AD379" s="235"/>
      <c r="AE379" s="236"/>
      <c r="AF379" s="235"/>
      <c r="AG379" s="235"/>
      <c r="AH379" s="235"/>
      <c r="AI379" s="235"/>
      <c r="AJ379" s="236"/>
      <c r="AK379" s="235"/>
      <c r="AL379" s="235"/>
      <c r="AM379" s="235"/>
      <c r="AN379" s="235"/>
      <c r="AO379" s="235"/>
      <c r="AP379" s="235"/>
      <c r="AQ379" s="235"/>
      <c r="AR379" s="235"/>
      <c r="AS379" s="235"/>
      <c r="AT379" s="235"/>
      <c r="AU379" s="236"/>
      <c r="AV379" s="235"/>
      <c r="AW379" s="235"/>
      <c r="AX379" s="235"/>
      <c r="AY379" s="235"/>
      <c r="AZ379" s="235"/>
      <c r="BA379" s="235"/>
      <c r="BB379" s="235"/>
      <c r="BC379" s="235"/>
      <c r="BD379" s="236"/>
      <c r="BE379" s="235"/>
      <c r="BF379" s="235"/>
      <c r="BG379" s="235"/>
      <c r="BH379" s="235"/>
      <c r="BI379" s="236"/>
      <c r="BJ379" s="236"/>
      <c r="BK379" s="238"/>
      <c r="BL379" s="239"/>
      <c r="BM379" s="239"/>
      <c r="BN379" s="239"/>
      <c r="BP379" s="236"/>
      <c r="BQ379" s="236"/>
      <c r="BR379" s="236"/>
      <c r="BS379" s="236"/>
      <c r="BT379" s="236"/>
      <c r="BU379" s="236"/>
      <c r="BV379" s="236"/>
      <c r="BW379" s="236"/>
      <c r="BX379" s="236"/>
      <c r="BY379" s="236"/>
      <c r="BZ379" s="236"/>
      <c r="CA379" s="236"/>
      <c r="CB379" s="236"/>
      <c r="CC379" s="236"/>
      <c r="CD379" s="236"/>
      <c r="CE379" s="236"/>
      <c r="CF379" s="236"/>
      <c r="CG379" s="236"/>
      <c r="CH379" s="236"/>
      <c r="CI379" s="236"/>
      <c r="CJ379" s="236"/>
      <c r="CK379" s="236"/>
      <c r="CL379" s="236"/>
      <c r="CM379" s="236"/>
      <c r="CN379" s="236"/>
      <c r="CO379" s="236"/>
    </row>
    <row r="380" spans="5:93" s="230" customFormat="1">
      <c r="E380" s="234"/>
      <c r="F380" s="235"/>
      <c r="G380" s="235"/>
      <c r="H380" s="236"/>
      <c r="I380" s="235"/>
      <c r="J380" s="235"/>
      <c r="K380" s="235"/>
      <c r="L380" s="235"/>
      <c r="M380" s="236"/>
      <c r="N380" s="235"/>
      <c r="O380" s="235"/>
      <c r="P380" s="235"/>
      <c r="Q380" s="235"/>
      <c r="R380" s="235"/>
      <c r="S380" s="235"/>
      <c r="T380" s="235"/>
      <c r="U380" s="235"/>
      <c r="V380" s="235"/>
      <c r="W380" s="235"/>
      <c r="X380" s="235"/>
      <c r="Y380" s="235"/>
      <c r="Z380" s="235"/>
      <c r="AA380" s="235"/>
      <c r="AB380" s="235"/>
      <c r="AC380" s="235"/>
      <c r="AD380" s="235"/>
      <c r="AE380" s="236"/>
      <c r="AF380" s="235"/>
      <c r="AG380" s="235"/>
      <c r="AH380" s="235"/>
      <c r="AI380" s="235"/>
      <c r="AJ380" s="236"/>
      <c r="AK380" s="235"/>
      <c r="AL380" s="235"/>
      <c r="AM380" s="235"/>
      <c r="AN380" s="235"/>
      <c r="AO380" s="235"/>
      <c r="AP380" s="235"/>
      <c r="AQ380" s="235"/>
      <c r="AR380" s="235"/>
      <c r="AS380" s="235"/>
      <c r="AT380" s="235"/>
      <c r="AU380" s="236"/>
      <c r="AV380" s="235"/>
      <c r="AW380" s="235"/>
      <c r="AX380" s="235"/>
      <c r="AY380" s="235"/>
      <c r="AZ380" s="235"/>
      <c r="BA380" s="235"/>
      <c r="BB380" s="235"/>
      <c r="BC380" s="235"/>
      <c r="BD380" s="236"/>
      <c r="BE380" s="235"/>
      <c r="BF380" s="235"/>
      <c r="BG380" s="235"/>
      <c r="BH380" s="235"/>
      <c r="BI380" s="236"/>
      <c r="BJ380" s="236"/>
      <c r="BK380" s="238"/>
      <c r="BL380" s="239"/>
      <c r="BM380" s="239"/>
      <c r="BN380" s="239"/>
      <c r="BP380" s="236"/>
      <c r="BQ380" s="236"/>
      <c r="BR380" s="236"/>
      <c r="BS380" s="236"/>
      <c r="BT380" s="236"/>
      <c r="BU380" s="236"/>
      <c r="BV380" s="236"/>
      <c r="BW380" s="236"/>
      <c r="BX380" s="236"/>
      <c r="BY380" s="236"/>
      <c r="BZ380" s="236"/>
      <c r="CA380" s="236"/>
      <c r="CB380" s="236"/>
      <c r="CC380" s="236"/>
      <c r="CD380" s="236"/>
      <c r="CE380" s="236"/>
      <c r="CF380" s="236"/>
      <c r="CG380" s="236"/>
      <c r="CH380" s="236"/>
      <c r="CI380" s="236"/>
      <c r="CJ380" s="236"/>
      <c r="CK380" s="236"/>
      <c r="CL380" s="236"/>
      <c r="CM380" s="236"/>
      <c r="CN380" s="236"/>
      <c r="CO380" s="236"/>
    </row>
    <row r="381" spans="5:93" s="230" customFormat="1">
      <c r="E381" s="234"/>
      <c r="F381" s="235"/>
      <c r="G381" s="235"/>
      <c r="H381" s="236"/>
      <c r="I381" s="235"/>
      <c r="J381" s="235"/>
      <c r="K381" s="235"/>
      <c r="L381" s="235"/>
      <c r="M381" s="236"/>
      <c r="N381" s="235"/>
      <c r="O381" s="235"/>
      <c r="P381" s="235"/>
      <c r="Q381" s="235"/>
      <c r="R381" s="235"/>
      <c r="S381" s="235"/>
      <c r="T381" s="235"/>
      <c r="U381" s="235"/>
      <c r="V381" s="235"/>
      <c r="W381" s="235"/>
      <c r="X381" s="235"/>
      <c r="Y381" s="235"/>
      <c r="Z381" s="235"/>
      <c r="AA381" s="235"/>
      <c r="AB381" s="235"/>
      <c r="AC381" s="235"/>
      <c r="AD381" s="235"/>
      <c r="AE381" s="236"/>
      <c r="AF381" s="235"/>
      <c r="AG381" s="235"/>
      <c r="AH381" s="235"/>
      <c r="AI381" s="235"/>
      <c r="AJ381" s="236"/>
      <c r="AK381" s="235"/>
      <c r="AL381" s="235"/>
      <c r="AM381" s="235"/>
      <c r="AN381" s="235"/>
      <c r="AO381" s="235"/>
      <c r="AP381" s="235"/>
      <c r="AQ381" s="235"/>
      <c r="AR381" s="235"/>
      <c r="AS381" s="235"/>
      <c r="AT381" s="235"/>
      <c r="AU381" s="236"/>
      <c r="AV381" s="235"/>
      <c r="AW381" s="235"/>
      <c r="AX381" s="235"/>
      <c r="AY381" s="235"/>
      <c r="AZ381" s="235"/>
      <c r="BA381" s="235"/>
      <c r="BB381" s="235"/>
      <c r="BC381" s="235"/>
      <c r="BD381" s="236"/>
      <c r="BE381" s="235"/>
      <c r="BF381" s="235"/>
      <c r="BG381" s="235"/>
      <c r="BH381" s="235"/>
      <c r="BI381" s="236"/>
      <c r="BJ381" s="236"/>
      <c r="BK381" s="238"/>
      <c r="BL381" s="239"/>
      <c r="BM381" s="239"/>
      <c r="BN381" s="239"/>
      <c r="BP381" s="236"/>
      <c r="BQ381" s="236"/>
      <c r="BR381" s="236"/>
      <c r="BS381" s="236"/>
      <c r="BT381" s="236"/>
      <c r="BU381" s="236"/>
      <c r="BV381" s="236"/>
      <c r="BW381" s="236"/>
      <c r="BX381" s="236"/>
      <c r="BY381" s="236"/>
      <c r="BZ381" s="236"/>
      <c r="CA381" s="236"/>
      <c r="CB381" s="236"/>
      <c r="CC381" s="236"/>
      <c r="CD381" s="236"/>
      <c r="CE381" s="236"/>
      <c r="CF381" s="236"/>
      <c r="CG381" s="236"/>
      <c r="CH381" s="236"/>
      <c r="CI381" s="236"/>
      <c r="CJ381" s="236"/>
      <c r="CK381" s="236"/>
      <c r="CL381" s="236"/>
      <c r="CM381" s="236"/>
      <c r="CN381" s="236"/>
      <c r="CO381" s="236"/>
    </row>
    <row r="382" spans="5:93" s="230" customFormat="1">
      <c r="E382" s="234"/>
      <c r="F382" s="235"/>
      <c r="G382" s="235"/>
      <c r="H382" s="236"/>
      <c r="I382" s="235"/>
      <c r="J382" s="235"/>
      <c r="K382" s="235"/>
      <c r="L382" s="235"/>
      <c r="M382" s="236"/>
      <c r="N382" s="235"/>
      <c r="O382" s="235"/>
      <c r="P382" s="235"/>
      <c r="Q382" s="235"/>
      <c r="R382" s="235"/>
      <c r="S382" s="235"/>
      <c r="T382" s="235"/>
      <c r="U382" s="235"/>
      <c r="V382" s="235"/>
      <c r="W382" s="235"/>
      <c r="X382" s="235"/>
      <c r="Y382" s="235"/>
      <c r="Z382" s="235"/>
      <c r="AA382" s="235"/>
      <c r="AB382" s="235"/>
      <c r="AC382" s="235"/>
      <c r="AD382" s="235"/>
      <c r="AE382" s="236"/>
      <c r="AF382" s="235"/>
      <c r="AG382" s="235"/>
      <c r="AH382" s="235"/>
      <c r="AI382" s="235"/>
      <c r="AJ382" s="236"/>
      <c r="AK382" s="235"/>
      <c r="AL382" s="235"/>
      <c r="AM382" s="235"/>
      <c r="AN382" s="235"/>
      <c r="AO382" s="235"/>
      <c r="AP382" s="235"/>
      <c r="AQ382" s="235"/>
      <c r="AR382" s="235"/>
      <c r="AS382" s="235"/>
      <c r="AT382" s="235"/>
      <c r="AU382" s="236"/>
      <c r="AV382" s="235"/>
      <c r="AW382" s="235"/>
      <c r="AX382" s="235"/>
      <c r="AY382" s="235"/>
      <c r="AZ382" s="235"/>
      <c r="BA382" s="235"/>
      <c r="BB382" s="235"/>
      <c r="BC382" s="235"/>
      <c r="BD382" s="236"/>
      <c r="BE382" s="235"/>
      <c r="BF382" s="235"/>
      <c r="BG382" s="235"/>
      <c r="BH382" s="235"/>
      <c r="BI382" s="236"/>
      <c r="BJ382" s="236"/>
      <c r="BK382" s="238"/>
      <c r="BL382" s="239"/>
      <c r="BM382" s="239"/>
      <c r="BN382" s="239"/>
      <c r="BP382" s="236"/>
      <c r="BQ382" s="236"/>
      <c r="BR382" s="236"/>
      <c r="BS382" s="236"/>
      <c r="BT382" s="236"/>
      <c r="BU382" s="236"/>
      <c r="BV382" s="236"/>
      <c r="BW382" s="236"/>
      <c r="BX382" s="236"/>
      <c r="BY382" s="236"/>
      <c r="BZ382" s="236"/>
      <c r="CA382" s="236"/>
      <c r="CB382" s="236"/>
      <c r="CC382" s="236"/>
      <c r="CD382" s="236"/>
      <c r="CE382" s="236"/>
      <c r="CF382" s="236"/>
      <c r="CG382" s="236"/>
      <c r="CH382" s="236"/>
      <c r="CI382" s="236"/>
      <c r="CJ382" s="236"/>
      <c r="CK382" s="236"/>
      <c r="CL382" s="236"/>
      <c r="CM382" s="236"/>
      <c r="CN382" s="236"/>
      <c r="CO382" s="236"/>
    </row>
    <row r="383" spans="5:93" s="230" customFormat="1">
      <c r="E383" s="234"/>
      <c r="F383" s="235"/>
      <c r="G383" s="235"/>
      <c r="H383" s="236"/>
      <c r="I383" s="235"/>
      <c r="J383" s="235"/>
      <c r="K383" s="235"/>
      <c r="L383" s="235"/>
      <c r="M383" s="236"/>
      <c r="N383" s="235"/>
      <c r="O383" s="235"/>
      <c r="P383" s="235"/>
      <c r="Q383" s="235"/>
      <c r="R383" s="235"/>
      <c r="S383" s="235"/>
      <c r="T383" s="235"/>
      <c r="U383" s="235"/>
      <c r="V383" s="235"/>
      <c r="W383" s="235"/>
      <c r="X383" s="235"/>
      <c r="Y383" s="235"/>
      <c r="Z383" s="235"/>
      <c r="AA383" s="235"/>
      <c r="AB383" s="235"/>
      <c r="AC383" s="235"/>
      <c r="AD383" s="235"/>
      <c r="AE383" s="236"/>
      <c r="AF383" s="235"/>
      <c r="AG383" s="235"/>
      <c r="AH383" s="235"/>
      <c r="AI383" s="235"/>
      <c r="AJ383" s="236"/>
      <c r="AK383" s="235"/>
      <c r="AL383" s="235"/>
      <c r="AM383" s="235"/>
      <c r="AN383" s="235"/>
      <c r="AO383" s="235"/>
      <c r="AP383" s="235"/>
      <c r="AQ383" s="235"/>
      <c r="AR383" s="235"/>
      <c r="AS383" s="235"/>
      <c r="AT383" s="235"/>
      <c r="AU383" s="236"/>
      <c r="AV383" s="235"/>
      <c r="AW383" s="235"/>
      <c r="AX383" s="235"/>
      <c r="AY383" s="235"/>
      <c r="AZ383" s="235"/>
      <c r="BA383" s="235"/>
      <c r="BB383" s="235"/>
      <c r="BC383" s="235"/>
      <c r="BD383" s="236"/>
      <c r="BE383" s="235"/>
      <c r="BF383" s="235"/>
      <c r="BG383" s="235"/>
      <c r="BH383" s="235"/>
      <c r="BI383" s="236"/>
      <c r="BJ383" s="236"/>
      <c r="BK383" s="238"/>
      <c r="BL383" s="239"/>
      <c r="BM383" s="239"/>
      <c r="BN383" s="239"/>
      <c r="BP383" s="236"/>
      <c r="BQ383" s="236"/>
      <c r="BR383" s="236"/>
      <c r="BS383" s="236"/>
      <c r="BT383" s="236"/>
      <c r="BU383" s="236"/>
      <c r="BV383" s="236"/>
      <c r="BW383" s="236"/>
      <c r="BX383" s="236"/>
      <c r="BY383" s="236"/>
      <c r="BZ383" s="236"/>
      <c r="CA383" s="236"/>
      <c r="CB383" s="236"/>
      <c r="CC383" s="236"/>
      <c r="CD383" s="236"/>
      <c r="CE383" s="236"/>
      <c r="CF383" s="236"/>
      <c r="CG383" s="236"/>
      <c r="CH383" s="236"/>
      <c r="CI383" s="236"/>
      <c r="CJ383" s="236"/>
      <c r="CK383" s="236"/>
      <c r="CL383" s="236"/>
      <c r="CM383" s="236"/>
      <c r="CN383" s="236"/>
      <c r="CO383" s="236"/>
    </row>
    <row r="384" spans="5:93" s="230" customFormat="1">
      <c r="E384" s="234"/>
      <c r="F384" s="235"/>
      <c r="G384" s="235"/>
      <c r="H384" s="236"/>
      <c r="I384" s="235"/>
      <c r="J384" s="235"/>
      <c r="K384" s="235"/>
      <c r="L384" s="235"/>
      <c r="M384" s="236"/>
      <c r="N384" s="235"/>
      <c r="O384" s="235"/>
      <c r="P384" s="235"/>
      <c r="Q384" s="235"/>
      <c r="R384" s="235"/>
      <c r="S384" s="235"/>
      <c r="T384" s="235"/>
      <c r="U384" s="235"/>
      <c r="V384" s="235"/>
      <c r="W384" s="235"/>
      <c r="X384" s="235"/>
      <c r="Y384" s="235"/>
      <c r="Z384" s="235"/>
      <c r="AA384" s="235"/>
      <c r="AB384" s="235"/>
      <c r="AC384" s="235"/>
      <c r="AD384" s="235"/>
      <c r="AE384" s="236"/>
      <c r="AF384" s="235"/>
      <c r="AG384" s="235"/>
      <c r="AH384" s="235"/>
      <c r="AI384" s="235"/>
      <c r="AJ384" s="236"/>
      <c r="AK384" s="235"/>
      <c r="AL384" s="235"/>
      <c r="AM384" s="235"/>
      <c r="AN384" s="235"/>
      <c r="AO384" s="235"/>
      <c r="AP384" s="235"/>
      <c r="AQ384" s="235"/>
      <c r="AR384" s="235"/>
      <c r="AS384" s="235"/>
      <c r="AT384" s="235"/>
      <c r="AU384" s="236"/>
      <c r="AV384" s="235"/>
      <c r="AW384" s="235"/>
      <c r="AX384" s="235"/>
      <c r="AY384" s="235"/>
      <c r="AZ384" s="235"/>
      <c r="BA384" s="235"/>
      <c r="BB384" s="235"/>
      <c r="BC384" s="235"/>
      <c r="BD384" s="236"/>
      <c r="BE384" s="235"/>
      <c r="BF384" s="235"/>
      <c r="BG384" s="235"/>
      <c r="BH384" s="235"/>
      <c r="BI384" s="236"/>
      <c r="BJ384" s="236"/>
      <c r="BK384" s="238"/>
      <c r="BL384" s="239"/>
      <c r="BM384" s="239"/>
      <c r="BN384" s="239"/>
      <c r="BP384" s="236"/>
      <c r="BQ384" s="236"/>
      <c r="BR384" s="236"/>
      <c r="BS384" s="236"/>
      <c r="BT384" s="236"/>
      <c r="BU384" s="236"/>
      <c r="BV384" s="236"/>
      <c r="BW384" s="236"/>
      <c r="BX384" s="236"/>
      <c r="BY384" s="236"/>
      <c r="BZ384" s="236"/>
      <c r="CA384" s="236"/>
      <c r="CB384" s="236"/>
      <c r="CC384" s="236"/>
      <c r="CD384" s="236"/>
      <c r="CE384" s="236"/>
      <c r="CF384" s="236"/>
      <c r="CG384" s="236"/>
      <c r="CH384" s="236"/>
      <c r="CI384" s="236"/>
      <c r="CJ384" s="236"/>
      <c r="CK384" s="236"/>
      <c r="CL384" s="236"/>
      <c r="CM384" s="236"/>
      <c r="CN384" s="236"/>
      <c r="CO384" s="236"/>
    </row>
    <row r="385" spans="5:93" s="230" customFormat="1">
      <c r="E385" s="234"/>
      <c r="F385" s="235"/>
      <c r="G385" s="235"/>
      <c r="H385" s="236"/>
      <c r="I385" s="235"/>
      <c r="J385" s="235"/>
      <c r="K385" s="235"/>
      <c r="L385" s="235"/>
      <c r="M385" s="236"/>
      <c r="N385" s="235"/>
      <c r="O385" s="235"/>
      <c r="P385" s="235"/>
      <c r="Q385" s="235"/>
      <c r="R385" s="235"/>
      <c r="S385" s="235"/>
      <c r="T385" s="235"/>
      <c r="U385" s="235"/>
      <c r="V385" s="235"/>
      <c r="W385" s="235"/>
      <c r="X385" s="235"/>
      <c r="Y385" s="235"/>
      <c r="Z385" s="235"/>
      <c r="AA385" s="235"/>
      <c r="AB385" s="235"/>
      <c r="AC385" s="235"/>
      <c r="AD385" s="235"/>
      <c r="AE385" s="236"/>
      <c r="AF385" s="235"/>
      <c r="AG385" s="235"/>
      <c r="AH385" s="235"/>
      <c r="AI385" s="235"/>
      <c r="AJ385" s="236"/>
      <c r="AK385" s="235"/>
      <c r="AL385" s="235"/>
      <c r="AM385" s="235"/>
      <c r="AN385" s="235"/>
      <c r="AO385" s="235"/>
      <c r="AP385" s="235"/>
      <c r="AQ385" s="235"/>
      <c r="AR385" s="235"/>
      <c r="AS385" s="235"/>
      <c r="AT385" s="235"/>
      <c r="AU385" s="236"/>
      <c r="AV385" s="235"/>
      <c r="AW385" s="235"/>
      <c r="AX385" s="235"/>
      <c r="AY385" s="235"/>
      <c r="AZ385" s="235"/>
      <c r="BA385" s="235"/>
      <c r="BB385" s="235"/>
      <c r="BC385" s="235"/>
      <c r="BD385" s="236"/>
      <c r="BE385" s="235"/>
      <c r="BF385" s="235"/>
      <c r="BG385" s="235"/>
      <c r="BH385" s="235"/>
      <c r="BI385" s="236"/>
      <c r="BJ385" s="236"/>
      <c r="BK385" s="238"/>
      <c r="BL385" s="239"/>
      <c r="BM385" s="239"/>
      <c r="BN385" s="239"/>
      <c r="BP385" s="236"/>
      <c r="BQ385" s="236"/>
      <c r="BR385" s="236"/>
      <c r="BS385" s="236"/>
      <c r="BT385" s="236"/>
      <c r="BU385" s="236"/>
      <c r="BV385" s="236"/>
      <c r="BW385" s="236"/>
      <c r="BX385" s="236"/>
      <c r="BY385" s="236"/>
      <c r="BZ385" s="236"/>
      <c r="CA385" s="236"/>
      <c r="CB385" s="236"/>
      <c r="CC385" s="236"/>
      <c r="CD385" s="236"/>
      <c r="CE385" s="236"/>
      <c r="CF385" s="236"/>
      <c r="CG385" s="236"/>
      <c r="CH385" s="236"/>
      <c r="CI385" s="236"/>
      <c r="CJ385" s="236"/>
      <c r="CK385" s="236"/>
      <c r="CL385" s="236"/>
      <c r="CM385" s="236"/>
      <c r="CN385" s="236"/>
      <c r="CO385" s="236"/>
    </row>
    <row r="386" spans="5:93" s="230" customFormat="1">
      <c r="E386" s="234"/>
      <c r="F386" s="235"/>
      <c r="G386" s="235"/>
      <c r="H386" s="236"/>
      <c r="I386" s="235"/>
      <c r="J386" s="235"/>
      <c r="K386" s="235"/>
      <c r="L386" s="235"/>
      <c r="M386" s="236"/>
      <c r="N386" s="235"/>
      <c r="O386" s="235"/>
      <c r="P386" s="235"/>
      <c r="Q386" s="235"/>
      <c r="R386" s="235"/>
      <c r="S386" s="235"/>
      <c r="T386" s="235"/>
      <c r="U386" s="235"/>
      <c r="V386" s="235"/>
      <c r="W386" s="235"/>
      <c r="X386" s="235"/>
      <c r="Y386" s="235"/>
      <c r="Z386" s="235"/>
      <c r="AA386" s="235"/>
      <c r="AB386" s="235"/>
      <c r="AC386" s="235"/>
      <c r="AD386" s="235"/>
      <c r="AE386" s="236"/>
      <c r="AF386" s="235"/>
      <c r="AG386" s="235"/>
      <c r="AH386" s="235"/>
      <c r="AI386" s="235"/>
      <c r="AJ386" s="236"/>
      <c r="AK386" s="235"/>
      <c r="AL386" s="235"/>
      <c r="AM386" s="235"/>
      <c r="AN386" s="235"/>
      <c r="AO386" s="235"/>
      <c r="AP386" s="235"/>
      <c r="AQ386" s="235"/>
      <c r="AR386" s="235"/>
      <c r="AS386" s="235"/>
      <c r="AT386" s="235"/>
      <c r="AU386" s="236"/>
      <c r="AV386" s="235"/>
      <c r="AW386" s="235"/>
      <c r="AX386" s="235"/>
      <c r="AY386" s="235"/>
      <c r="AZ386" s="235"/>
      <c r="BA386" s="235"/>
      <c r="BB386" s="235"/>
      <c r="BC386" s="235"/>
      <c r="BD386" s="236"/>
      <c r="BE386" s="235"/>
      <c r="BF386" s="235"/>
      <c r="BG386" s="235"/>
      <c r="BH386" s="235"/>
      <c r="BI386" s="236"/>
      <c r="BJ386" s="236"/>
      <c r="BK386" s="238"/>
      <c r="BL386" s="239"/>
      <c r="BM386" s="239"/>
      <c r="BN386" s="239"/>
      <c r="BP386" s="236"/>
      <c r="BQ386" s="236"/>
      <c r="BR386" s="236"/>
      <c r="BS386" s="236"/>
      <c r="BT386" s="236"/>
      <c r="BU386" s="236"/>
      <c r="BV386" s="236"/>
      <c r="BW386" s="236"/>
      <c r="BX386" s="236"/>
      <c r="BY386" s="236"/>
      <c r="BZ386" s="236"/>
      <c r="CA386" s="236"/>
      <c r="CB386" s="236"/>
      <c r="CC386" s="236"/>
      <c r="CD386" s="236"/>
      <c r="CE386" s="236"/>
      <c r="CF386" s="236"/>
      <c r="CG386" s="236"/>
      <c r="CH386" s="236"/>
      <c r="CI386" s="236"/>
      <c r="CJ386" s="236"/>
      <c r="CK386" s="236"/>
      <c r="CL386" s="236"/>
      <c r="CM386" s="236"/>
      <c r="CN386" s="236"/>
      <c r="CO386" s="236"/>
    </row>
    <row r="387" spans="5:93" s="230" customFormat="1">
      <c r="E387" s="234"/>
      <c r="F387" s="235"/>
      <c r="G387" s="235"/>
      <c r="H387" s="236"/>
      <c r="I387" s="235"/>
      <c r="J387" s="235"/>
      <c r="K387" s="235"/>
      <c r="L387" s="235"/>
      <c r="M387" s="236"/>
      <c r="N387" s="235"/>
      <c r="O387" s="235"/>
      <c r="P387" s="235"/>
      <c r="Q387" s="235"/>
      <c r="R387" s="235"/>
      <c r="S387" s="235"/>
      <c r="T387" s="235"/>
      <c r="U387" s="235"/>
      <c r="V387" s="235"/>
      <c r="W387" s="235"/>
      <c r="X387" s="235"/>
      <c r="Y387" s="235"/>
      <c r="Z387" s="235"/>
      <c r="AA387" s="235"/>
      <c r="AB387" s="235"/>
      <c r="AC387" s="235"/>
      <c r="AD387" s="235"/>
      <c r="AE387" s="236"/>
      <c r="AF387" s="235"/>
      <c r="AG387" s="235"/>
      <c r="AH387" s="235"/>
      <c r="AI387" s="235"/>
      <c r="AJ387" s="236"/>
      <c r="AK387" s="235"/>
      <c r="AL387" s="235"/>
      <c r="AM387" s="235"/>
      <c r="AN387" s="235"/>
      <c r="AO387" s="235"/>
      <c r="AP387" s="235"/>
      <c r="AQ387" s="235"/>
      <c r="AR387" s="235"/>
      <c r="AS387" s="235"/>
      <c r="AT387" s="235"/>
      <c r="AU387" s="236"/>
      <c r="AV387" s="235"/>
      <c r="AW387" s="235"/>
      <c r="AX387" s="235"/>
      <c r="AY387" s="235"/>
      <c r="AZ387" s="235"/>
      <c r="BA387" s="235"/>
      <c r="BB387" s="235"/>
      <c r="BC387" s="235"/>
      <c r="BD387" s="236"/>
      <c r="BE387" s="235"/>
      <c r="BF387" s="235"/>
      <c r="BG387" s="235"/>
      <c r="BH387" s="235"/>
      <c r="BI387" s="236"/>
      <c r="BJ387" s="236"/>
      <c r="BK387" s="238"/>
      <c r="BL387" s="239"/>
      <c r="BM387" s="239"/>
      <c r="BN387" s="239"/>
      <c r="BP387" s="236"/>
      <c r="BQ387" s="236"/>
      <c r="BR387" s="236"/>
      <c r="BS387" s="236"/>
      <c r="BT387" s="236"/>
      <c r="BU387" s="236"/>
      <c r="BV387" s="236"/>
      <c r="BW387" s="236"/>
      <c r="BX387" s="236"/>
      <c r="BY387" s="236"/>
      <c r="BZ387" s="236"/>
      <c r="CA387" s="236"/>
      <c r="CB387" s="236"/>
      <c r="CC387" s="236"/>
      <c r="CD387" s="236"/>
      <c r="CE387" s="236"/>
      <c r="CF387" s="236"/>
      <c r="CG387" s="236"/>
      <c r="CH387" s="236"/>
      <c r="CI387" s="236"/>
      <c r="CJ387" s="236"/>
      <c r="CK387" s="236"/>
      <c r="CL387" s="236"/>
      <c r="CM387" s="236"/>
      <c r="CN387" s="236"/>
      <c r="CO387" s="236"/>
    </row>
    <row r="388" spans="5:93" s="230" customFormat="1">
      <c r="E388" s="234"/>
      <c r="F388" s="235"/>
      <c r="G388" s="235"/>
      <c r="H388" s="236"/>
      <c r="I388" s="235"/>
      <c r="J388" s="235"/>
      <c r="K388" s="235"/>
      <c r="L388" s="235"/>
      <c r="M388" s="236"/>
      <c r="N388" s="235"/>
      <c r="O388" s="235"/>
      <c r="P388" s="235"/>
      <c r="Q388" s="235"/>
      <c r="R388" s="235"/>
      <c r="S388" s="235"/>
      <c r="T388" s="235"/>
      <c r="U388" s="235"/>
      <c r="V388" s="235"/>
      <c r="W388" s="235"/>
      <c r="X388" s="235"/>
      <c r="Y388" s="235"/>
      <c r="Z388" s="235"/>
      <c r="AA388" s="235"/>
      <c r="AB388" s="235"/>
      <c r="AC388" s="235"/>
      <c r="AD388" s="235"/>
      <c r="AE388" s="236"/>
      <c r="AF388" s="235"/>
      <c r="AG388" s="235"/>
      <c r="AH388" s="235"/>
      <c r="AI388" s="235"/>
      <c r="AJ388" s="236"/>
      <c r="AK388" s="235"/>
      <c r="AL388" s="235"/>
      <c r="AM388" s="235"/>
      <c r="AN388" s="235"/>
      <c r="AO388" s="235"/>
      <c r="AP388" s="235"/>
      <c r="AQ388" s="235"/>
      <c r="AR388" s="235"/>
      <c r="AS388" s="235"/>
      <c r="AT388" s="235"/>
      <c r="AU388" s="236"/>
      <c r="AV388" s="235"/>
      <c r="AW388" s="235"/>
      <c r="AX388" s="235"/>
      <c r="AY388" s="235"/>
      <c r="AZ388" s="235"/>
      <c r="BA388" s="235"/>
      <c r="BB388" s="235"/>
      <c r="BC388" s="235"/>
      <c r="BD388" s="236"/>
      <c r="BE388" s="235"/>
      <c r="BF388" s="235"/>
      <c r="BG388" s="235"/>
      <c r="BH388" s="235"/>
      <c r="BI388" s="236"/>
      <c r="BJ388" s="236"/>
      <c r="BK388" s="238"/>
      <c r="BL388" s="239"/>
      <c r="BM388" s="239"/>
      <c r="BN388" s="239"/>
      <c r="BP388" s="236"/>
      <c r="BQ388" s="236"/>
      <c r="BR388" s="236"/>
      <c r="BS388" s="236"/>
      <c r="BT388" s="236"/>
      <c r="BU388" s="236"/>
      <c r="BV388" s="236"/>
      <c r="BW388" s="236"/>
      <c r="BX388" s="236"/>
      <c r="BY388" s="236"/>
      <c r="BZ388" s="236"/>
      <c r="CA388" s="236"/>
      <c r="CB388" s="236"/>
      <c r="CC388" s="236"/>
      <c r="CD388" s="236"/>
      <c r="CE388" s="236"/>
      <c r="CF388" s="236"/>
      <c r="CG388" s="236"/>
      <c r="CH388" s="236"/>
      <c r="CI388" s="236"/>
      <c r="CJ388" s="236"/>
      <c r="CK388" s="236"/>
      <c r="CL388" s="236"/>
      <c r="CM388" s="236"/>
      <c r="CN388" s="236"/>
      <c r="CO388" s="236"/>
    </row>
    <row r="389" spans="5:93" s="230" customFormat="1">
      <c r="E389" s="234"/>
      <c r="F389" s="235"/>
      <c r="G389" s="235"/>
      <c r="H389" s="236"/>
      <c r="I389" s="235"/>
      <c r="J389" s="235"/>
      <c r="K389" s="235"/>
      <c r="L389" s="235"/>
      <c r="M389" s="236"/>
      <c r="N389" s="235"/>
      <c r="O389" s="235"/>
      <c r="P389" s="235"/>
      <c r="Q389" s="235"/>
      <c r="R389" s="235"/>
      <c r="S389" s="235"/>
      <c r="T389" s="235"/>
      <c r="U389" s="235"/>
      <c r="V389" s="235"/>
      <c r="W389" s="235"/>
      <c r="X389" s="235"/>
      <c r="Y389" s="235"/>
      <c r="Z389" s="235"/>
      <c r="AA389" s="235"/>
      <c r="AB389" s="235"/>
      <c r="AC389" s="235"/>
      <c r="AD389" s="235"/>
      <c r="AE389" s="236"/>
      <c r="AF389" s="235"/>
      <c r="AG389" s="235"/>
      <c r="AH389" s="235"/>
      <c r="AI389" s="235"/>
      <c r="AJ389" s="236"/>
      <c r="AK389" s="235"/>
      <c r="AL389" s="235"/>
      <c r="AM389" s="235"/>
      <c r="AN389" s="235"/>
      <c r="AO389" s="235"/>
      <c r="AP389" s="235"/>
      <c r="AQ389" s="235"/>
      <c r="AR389" s="235"/>
      <c r="AS389" s="235"/>
      <c r="AT389" s="235"/>
      <c r="AU389" s="236"/>
      <c r="AV389" s="235"/>
      <c r="AW389" s="235"/>
      <c r="AX389" s="235"/>
      <c r="AY389" s="235"/>
      <c r="AZ389" s="235"/>
      <c r="BA389" s="235"/>
      <c r="BB389" s="235"/>
      <c r="BC389" s="235"/>
      <c r="BD389" s="236"/>
      <c r="BE389" s="235"/>
      <c r="BF389" s="235"/>
      <c r="BG389" s="235"/>
      <c r="BH389" s="235"/>
      <c r="BI389" s="236"/>
      <c r="BJ389" s="236"/>
      <c r="BK389" s="238"/>
      <c r="BL389" s="239"/>
      <c r="BM389" s="239"/>
      <c r="BN389" s="239"/>
      <c r="BP389" s="236"/>
      <c r="BQ389" s="236"/>
      <c r="BR389" s="236"/>
      <c r="BS389" s="236"/>
      <c r="BT389" s="236"/>
      <c r="BU389" s="236"/>
      <c r="BV389" s="236"/>
      <c r="BW389" s="236"/>
      <c r="BX389" s="236"/>
      <c r="BY389" s="236"/>
      <c r="BZ389" s="236"/>
      <c r="CA389" s="236"/>
      <c r="CB389" s="236"/>
      <c r="CC389" s="236"/>
      <c r="CD389" s="236"/>
      <c r="CE389" s="236"/>
      <c r="CF389" s="236"/>
      <c r="CG389" s="236"/>
      <c r="CH389" s="236"/>
      <c r="CI389" s="236"/>
      <c r="CJ389" s="236"/>
      <c r="CK389" s="236"/>
      <c r="CL389" s="236"/>
      <c r="CM389" s="236"/>
      <c r="CN389" s="236"/>
      <c r="CO389" s="236"/>
    </row>
    <row r="390" spans="5:93" s="230" customFormat="1">
      <c r="E390" s="234"/>
      <c r="F390" s="235"/>
      <c r="G390" s="235"/>
      <c r="H390" s="236"/>
      <c r="I390" s="235"/>
      <c r="J390" s="235"/>
      <c r="K390" s="235"/>
      <c r="L390" s="235"/>
      <c r="M390" s="236"/>
      <c r="N390" s="235"/>
      <c r="O390" s="235"/>
      <c r="P390" s="235"/>
      <c r="Q390" s="235"/>
      <c r="R390" s="235"/>
      <c r="S390" s="235"/>
      <c r="T390" s="235"/>
      <c r="U390" s="235"/>
      <c r="V390" s="235"/>
      <c r="W390" s="235"/>
      <c r="X390" s="235"/>
      <c r="Y390" s="235"/>
      <c r="Z390" s="235"/>
      <c r="AA390" s="235"/>
      <c r="AB390" s="235"/>
      <c r="AC390" s="235"/>
      <c r="AD390" s="235"/>
      <c r="AE390" s="236"/>
      <c r="AF390" s="235"/>
      <c r="AG390" s="235"/>
      <c r="AH390" s="235"/>
      <c r="AI390" s="235"/>
      <c r="AJ390" s="236"/>
      <c r="AK390" s="235"/>
      <c r="AL390" s="235"/>
      <c r="AM390" s="235"/>
      <c r="AN390" s="235"/>
      <c r="AO390" s="235"/>
      <c r="AP390" s="235"/>
      <c r="AQ390" s="235"/>
      <c r="AR390" s="235"/>
      <c r="AS390" s="235"/>
      <c r="AT390" s="235"/>
      <c r="AU390" s="236"/>
      <c r="AV390" s="235"/>
      <c r="AW390" s="235"/>
      <c r="AX390" s="235"/>
      <c r="AY390" s="235"/>
      <c r="AZ390" s="235"/>
      <c r="BA390" s="235"/>
      <c r="BB390" s="235"/>
      <c r="BC390" s="235"/>
      <c r="BD390" s="236"/>
      <c r="BE390" s="235"/>
      <c r="BF390" s="235"/>
      <c r="BG390" s="235"/>
      <c r="BH390" s="235"/>
      <c r="BI390" s="236"/>
      <c r="BJ390" s="236"/>
      <c r="BK390" s="238"/>
      <c r="BL390" s="239"/>
      <c r="BM390" s="239"/>
      <c r="BN390" s="239"/>
      <c r="BP390" s="236"/>
      <c r="BQ390" s="236"/>
      <c r="BR390" s="236"/>
      <c r="BS390" s="236"/>
      <c r="BT390" s="236"/>
      <c r="BU390" s="236"/>
      <c r="BV390" s="236"/>
      <c r="BW390" s="236"/>
      <c r="BX390" s="236"/>
      <c r="BY390" s="236"/>
      <c r="BZ390" s="236"/>
      <c r="CA390" s="236"/>
      <c r="CB390" s="236"/>
      <c r="CC390" s="236"/>
      <c r="CD390" s="236"/>
      <c r="CE390" s="236"/>
      <c r="CF390" s="236"/>
      <c r="CG390" s="236"/>
      <c r="CH390" s="236"/>
      <c r="CI390" s="236"/>
      <c r="CJ390" s="236"/>
      <c r="CK390" s="236"/>
      <c r="CL390" s="236"/>
      <c r="CM390" s="236"/>
      <c r="CN390" s="236"/>
      <c r="CO390" s="236"/>
    </row>
    <row r="391" spans="5:93" s="230" customFormat="1">
      <c r="E391" s="234"/>
      <c r="F391" s="235"/>
      <c r="G391" s="235"/>
      <c r="H391" s="236"/>
      <c r="I391" s="235"/>
      <c r="J391" s="235"/>
      <c r="K391" s="235"/>
      <c r="L391" s="235"/>
      <c r="M391" s="236"/>
      <c r="N391" s="235"/>
      <c r="O391" s="235"/>
      <c r="P391" s="235"/>
      <c r="Q391" s="235"/>
      <c r="R391" s="235"/>
      <c r="S391" s="235"/>
      <c r="T391" s="235"/>
      <c r="U391" s="235"/>
      <c r="V391" s="235"/>
      <c r="W391" s="235"/>
      <c r="X391" s="235"/>
      <c r="Y391" s="235"/>
      <c r="Z391" s="235"/>
      <c r="AA391" s="235"/>
      <c r="AB391" s="235"/>
      <c r="AC391" s="235"/>
      <c r="AD391" s="235"/>
      <c r="AE391" s="236"/>
      <c r="AF391" s="235"/>
      <c r="AG391" s="235"/>
      <c r="AH391" s="235"/>
      <c r="AI391" s="235"/>
      <c r="AJ391" s="236"/>
      <c r="AK391" s="235"/>
      <c r="AL391" s="235"/>
      <c r="AM391" s="235"/>
      <c r="AN391" s="235"/>
      <c r="AO391" s="235"/>
      <c r="AP391" s="235"/>
      <c r="AQ391" s="235"/>
      <c r="AR391" s="235"/>
      <c r="AS391" s="235"/>
      <c r="AT391" s="235"/>
      <c r="AU391" s="236"/>
      <c r="AV391" s="235"/>
      <c r="AW391" s="235"/>
      <c r="AX391" s="235"/>
      <c r="AY391" s="235"/>
      <c r="AZ391" s="235"/>
      <c r="BA391" s="235"/>
      <c r="BB391" s="235"/>
      <c r="BC391" s="235"/>
      <c r="BD391" s="236"/>
      <c r="BE391" s="235"/>
      <c r="BF391" s="235"/>
      <c r="BG391" s="235"/>
      <c r="BH391" s="235"/>
      <c r="BI391" s="236"/>
      <c r="BJ391" s="236"/>
      <c r="BK391" s="238"/>
      <c r="BL391" s="239"/>
      <c r="BM391" s="239"/>
      <c r="BN391" s="239"/>
      <c r="BP391" s="236"/>
      <c r="BQ391" s="236"/>
      <c r="BR391" s="236"/>
      <c r="BS391" s="236"/>
      <c r="BT391" s="236"/>
      <c r="BU391" s="236"/>
      <c r="BV391" s="236"/>
      <c r="BW391" s="236"/>
      <c r="BX391" s="236"/>
      <c r="BY391" s="236"/>
      <c r="BZ391" s="236"/>
      <c r="CA391" s="236"/>
      <c r="CB391" s="236"/>
      <c r="CC391" s="236"/>
      <c r="CD391" s="236"/>
      <c r="CE391" s="236"/>
      <c r="CF391" s="236"/>
      <c r="CG391" s="236"/>
      <c r="CH391" s="236"/>
      <c r="CI391" s="236"/>
      <c r="CJ391" s="236"/>
      <c r="CK391" s="236"/>
      <c r="CL391" s="236"/>
      <c r="CM391" s="236"/>
      <c r="CN391" s="236"/>
      <c r="CO391" s="236"/>
    </row>
    <row r="392" spans="5:93" s="230" customFormat="1">
      <c r="E392" s="234"/>
      <c r="F392" s="235"/>
      <c r="G392" s="235"/>
      <c r="H392" s="236"/>
      <c r="I392" s="235"/>
      <c r="J392" s="235"/>
      <c r="K392" s="235"/>
      <c r="L392" s="235"/>
      <c r="M392" s="236"/>
      <c r="N392" s="235"/>
      <c r="O392" s="235"/>
      <c r="P392" s="235"/>
      <c r="Q392" s="235"/>
      <c r="R392" s="235"/>
      <c r="S392" s="235"/>
      <c r="T392" s="235"/>
      <c r="U392" s="235"/>
      <c r="V392" s="235"/>
      <c r="W392" s="235"/>
      <c r="X392" s="235"/>
      <c r="Y392" s="235"/>
      <c r="Z392" s="235"/>
      <c r="AA392" s="235"/>
      <c r="AB392" s="235"/>
      <c r="AC392" s="235"/>
      <c r="AD392" s="235"/>
      <c r="AE392" s="236"/>
      <c r="AF392" s="235"/>
      <c r="AG392" s="235"/>
      <c r="AH392" s="235"/>
      <c r="AI392" s="235"/>
      <c r="AJ392" s="236"/>
      <c r="AK392" s="235"/>
      <c r="AL392" s="235"/>
      <c r="AM392" s="235"/>
      <c r="AN392" s="235"/>
      <c r="AO392" s="235"/>
      <c r="AP392" s="235"/>
      <c r="AQ392" s="235"/>
      <c r="AR392" s="235"/>
      <c r="AS392" s="235"/>
      <c r="AT392" s="235"/>
      <c r="AU392" s="236"/>
      <c r="AV392" s="235"/>
      <c r="AW392" s="235"/>
      <c r="AX392" s="235"/>
      <c r="AY392" s="235"/>
      <c r="AZ392" s="235"/>
      <c r="BA392" s="235"/>
      <c r="BB392" s="235"/>
      <c r="BC392" s="235"/>
      <c r="BD392" s="236"/>
      <c r="BE392" s="235"/>
      <c r="BF392" s="235"/>
      <c r="BG392" s="235"/>
      <c r="BH392" s="235"/>
      <c r="BI392" s="236"/>
      <c r="BJ392" s="236"/>
      <c r="BK392" s="238"/>
      <c r="BL392" s="239"/>
      <c r="BM392" s="239"/>
      <c r="BN392" s="239"/>
      <c r="BP392" s="236"/>
      <c r="BQ392" s="236"/>
      <c r="BR392" s="236"/>
      <c r="BS392" s="236"/>
      <c r="BT392" s="236"/>
      <c r="BU392" s="236"/>
      <c r="BV392" s="236"/>
      <c r="BW392" s="236"/>
      <c r="BX392" s="236"/>
      <c r="BY392" s="236"/>
      <c r="BZ392" s="236"/>
      <c r="CA392" s="236"/>
      <c r="CB392" s="236"/>
      <c r="CC392" s="236"/>
      <c r="CD392" s="236"/>
      <c r="CE392" s="236"/>
      <c r="CF392" s="236"/>
      <c r="CG392" s="236"/>
      <c r="CH392" s="236"/>
      <c r="CI392" s="236"/>
      <c r="CJ392" s="236"/>
      <c r="CK392" s="236"/>
      <c r="CL392" s="236"/>
      <c r="CM392" s="236"/>
      <c r="CN392" s="236"/>
      <c r="CO392" s="236"/>
    </row>
    <row r="393" spans="5:93" s="230" customFormat="1">
      <c r="E393" s="234"/>
      <c r="F393" s="235"/>
      <c r="G393" s="235"/>
      <c r="H393" s="236"/>
      <c r="I393" s="235"/>
      <c r="J393" s="235"/>
      <c r="K393" s="235"/>
      <c r="L393" s="235"/>
      <c r="M393" s="236"/>
      <c r="N393" s="235"/>
      <c r="O393" s="235"/>
      <c r="P393" s="235"/>
      <c r="Q393" s="235"/>
      <c r="R393" s="235"/>
      <c r="S393" s="235"/>
      <c r="T393" s="235"/>
      <c r="U393" s="235"/>
      <c r="V393" s="235"/>
      <c r="W393" s="235"/>
      <c r="X393" s="235"/>
      <c r="Y393" s="235"/>
      <c r="Z393" s="235"/>
      <c r="AA393" s="235"/>
      <c r="AB393" s="235"/>
      <c r="AC393" s="235"/>
      <c r="AD393" s="235"/>
      <c r="AE393" s="236"/>
      <c r="AF393" s="235"/>
      <c r="AG393" s="235"/>
      <c r="AH393" s="235"/>
      <c r="AI393" s="235"/>
      <c r="AJ393" s="236"/>
      <c r="AK393" s="235"/>
      <c r="AL393" s="235"/>
      <c r="AM393" s="235"/>
      <c r="AN393" s="235"/>
      <c r="AO393" s="235"/>
      <c r="AP393" s="235"/>
      <c r="AQ393" s="235"/>
      <c r="AR393" s="235"/>
      <c r="AS393" s="235"/>
      <c r="AT393" s="235"/>
      <c r="AU393" s="236"/>
      <c r="AV393" s="235"/>
      <c r="AW393" s="235"/>
      <c r="AX393" s="235"/>
      <c r="AY393" s="235"/>
      <c r="AZ393" s="235"/>
      <c r="BA393" s="235"/>
      <c r="BB393" s="235"/>
      <c r="BC393" s="235"/>
      <c r="BD393" s="236"/>
      <c r="BE393" s="235"/>
      <c r="BF393" s="235"/>
      <c r="BG393" s="235"/>
      <c r="BH393" s="235"/>
      <c r="BI393" s="236"/>
      <c r="BJ393" s="236"/>
      <c r="BK393" s="238"/>
      <c r="BL393" s="239"/>
      <c r="BM393" s="239"/>
      <c r="BN393" s="239"/>
      <c r="BP393" s="236"/>
      <c r="BQ393" s="236"/>
      <c r="BR393" s="236"/>
      <c r="BS393" s="236"/>
      <c r="BT393" s="236"/>
      <c r="BU393" s="236"/>
      <c r="BV393" s="236"/>
      <c r="BW393" s="236"/>
      <c r="BX393" s="236"/>
      <c r="BY393" s="236"/>
      <c r="BZ393" s="236"/>
      <c r="CA393" s="236"/>
      <c r="CB393" s="236"/>
      <c r="CC393" s="236"/>
      <c r="CD393" s="236"/>
      <c r="CE393" s="236"/>
      <c r="CF393" s="236"/>
      <c r="CG393" s="236"/>
      <c r="CH393" s="236"/>
      <c r="CI393" s="236"/>
      <c r="CJ393" s="236"/>
      <c r="CK393" s="236"/>
      <c r="CL393" s="236"/>
      <c r="CM393" s="236"/>
      <c r="CN393" s="236"/>
      <c r="CO393" s="236"/>
    </row>
    <row r="394" spans="5:93" s="230" customFormat="1">
      <c r="E394" s="234"/>
      <c r="F394" s="235"/>
      <c r="G394" s="235"/>
      <c r="H394" s="236"/>
      <c r="I394" s="235"/>
      <c r="J394" s="235"/>
      <c r="K394" s="235"/>
      <c r="L394" s="235"/>
      <c r="M394" s="236"/>
      <c r="N394" s="235"/>
      <c r="O394" s="235"/>
      <c r="P394" s="235"/>
      <c r="Q394" s="235"/>
      <c r="R394" s="235"/>
      <c r="S394" s="235"/>
      <c r="T394" s="235"/>
      <c r="U394" s="235"/>
      <c r="V394" s="235"/>
      <c r="W394" s="235"/>
      <c r="X394" s="235"/>
      <c r="Y394" s="235"/>
      <c r="Z394" s="235"/>
      <c r="AA394" s="235"/>
      <c r="AB394" s="235"/>
      <c r="AC394" s="235"/>
      <c r="AD394" s="235"/>
      <c r="AE394" s="236"/>
      <c r="AF394" s="235"/>
      <c r="AG394" s="235"/>
      <c r="AH394" s="235"/>
      <c r="AI394" s="235"/>
      <c r="AJ394" s="236"/>
      <c r="AK394" s="235"/>
      <c r="AL394" s="235"/>
      <c r="AM394" s="235"/>
      <c r="AN394" s="235"/>
      <c r="AO394" s="235"/>
      <c r="AP394" s="235"/>
      <c r="AQ394" s="235"/>
      <c r="AR394" s="235"/>
      <c r="AS394" s="235"/>
      <c r="AT394" s="235"/>
      <c r="AU394" s="236"/>
      <c r="AV394" s="235"/>
      <c r="AW394" s="235"/>
      <c r="AX394" s="235"/>
      <c r="AY394" s="235"/>
      <c r="AZ394" s="235"/>
      <c r="BA394" s="235"/>
      <c r="BB394" s="235"/>
      <c r="BC394" s="235"/>
      <c r="BD394" s="236"/>
      <c r="BE394" s="235"/>
      <c r="BF394" s="235"/>
      <c r="BG394" s="235"/>
      <c r="BH394" s="235"/>
      <c r="BI394" s="236"/>
      <c r="BJ394" s="236"/>
      <c r="BK394" s="238"/>
      <c r="BL394" s="239"/>
      <c r="BM394" s="239"/>
      <c r="BN394" s="239"/>
      <c r="BP394" s="236"/>
      <c r="BQ394" s="236"/>
      <c r="BR394" s="236"/>
      <c r="BS394" s="236"/>
      <c r="BT394" s="236"/>
      <c r="BU394" s="236"/>
      <c r="BV394" s="236"/>
      <c r="BW394" s="236"/>
      <c r="BX394" s="236"/>
      <c r="BY394" s="236"/>
      <c r="BZ394" s="236"/>
      <c r="CA394" s="236"/>
      <c r="CB394" s="236"/>
      <c r="CC394" s="236"/>
      <c r="CD394" s="236"/>
      <c r="CE394" s="236"/>
      <c r="CF394" s="236"/>
      <c r="CG394" s="236"/>
      <c r="CH394" s="236"/>
      <c r="CI394" s="236"/>
      <c r="CJ394" s="236"/>
      <c r="CK394" s="236"/>
      <c r="CL394" s="236"/>
      <c r="CM394" s="236"/>
      <c r="CN394" s="236"/>
      <c r="CO394" s="236"/>
    </row>
    <row r="395" spans="5:93" s="230" customFormat="1">
      <c r="E395" s="234"/>
      <c r="F395" s="235"/>
      <c r="G395" s="235"/>
      <c r="H395" s="236"/>
      <c r="I395" s="235"/>
      <c r="J395" s="235"/>
      <c r="K395" s="235"/>
      <c r="L395" s="235"/>
      <c r="M395" s="236"/>
      <c r="N395" s="235"/>
      <c r="O395" s="235"/>
      <c r="P395" s="235"/>
      <c r="Q395" s="235"/>
      <c r="R395" s="235"/>
      <c r="S395" s="235"/>
      <c r="T395" s="235"/>
      <c r="U395" s="235"/>
      <c r="V395" s="235"/>
      <c r="W395" s="235"/>
      <c r="X395" s="235"/>
      <c r="Y395" s="235"/>
      <c r="Z395" s="235"/>
      <c r="AA395" s="235"/>
      <c r="AB395" s="235"/>
      <c r="AC395" s="235"/>
      <c r="AD395" s="235"/>
      <c r="AE395" s="236"/>
      <c r="AF395" s="235"/>
      <c r="AG395" s="235"/>
      <c r="AH395" s="235"/>
      <c r="AI395" s="235"/>
      <c r="AJ395" s="236"/>
      <c r="AK395" s="235"/>
      <c r="AL395" s="235"/>
      <c r="AM395" s="235"/>
      <c r="AN395" s="235"/>
      <c r="AO395" s="235"/>
      <c r="AP395" s="235"/>
      <c r="AQ395" s="235"/>
      <c r="AR395" s="235"/>
      <c r="AS395" s="235"/>
      <c r="AT395" s="235"/>
      <c r="AU395" s="236"/>
      <c r="AV395" s="235"/>
      <c r="AW395" s="235"/>
      <c r="AX395" s="235"/>
      <c r="AY395" s="235"/>
      <c r="AZ395" s="235"/>
      <c r="BA395" s="235"/>
      <c r="BB395" s="235"/>
      <c r="BC395" s="235"/>
      <c r="BD395" s="236"/>
      <c r="BE395" s="235"/>
      <c r="BF395" s="235"/>
      <c r="BG395" s="235"/>
      <c r="BH395" s="235"/>
      <c r="BI395" s="236"/>
      <c r="BJ395" s="236"/>
      <c r="BK395" s="238"/>
      <c r="BL395" s="239"/>
      <c r="BM395" s="239"/>
      <c r="BN395" s="239"/>
      <c r="BP395" s="236"/>
      <c r="BQ395" s="236"/>
      <c r="BR395" s="236"/>
      <c r="BS395" s="236"/>
      <c r="BT395" s="236"/>
      <c r="BU395" s="236"/>
      <c r="BV395" s="236"/>
      <c r="BW395" s="236"/>
      <c r="BX395" s="236"/>
      <c r="BY395" s="236"/>
      <c r="BZ395" s="236"/>
      <c r="CA395" s="236"/>
      <c r="CB395" s="236"/>
      <c r="CC395" s="236"/>
      <c r="CD395" s="236"/>
      <c r="CE395" s="236"/>
      <c r="CF395" s="236"/>
      <c r="CG395" s="236"/>
      <c r="CH395" s="236"/>
      <c r="CI395" s="236"/>
      <c r="CJ395" s="236"/>
      <c r="CK395" s="236"/>
      <c r="CL395" s="236"/>
      <c r="CM395" s="236"/>
      <c r="CN395" s="236"/>
      <c r="CO395" s="236"/>
    </row>
    <row r="396" spans="5:93" s="230" customFormat="1">
      <c r="E396" s="234"/>
      <c r="F396" s="235"/>
      <c r="G396" s="235"/>
      <c r="H396" s="236"/>
      <c r="I396" s="235"/>
      <c r="J396" s="235"/>
      <c r="K396" s="235"/>
      <c r="L396" s="235"/>
      <c r="M396" s="236"/>
      <c r="N396" s="235"/>
      <c r="O396" s="235"/>
      <c r="P396" s="235"/>
      <c r="Q396" s="235"/>
      <c r="R396" s="235"/>
      <c r="S396" s="235"/>
      <c r="T396" s="235"/>
      <c r="U396" s="235"/>
      <c r="V396" s="235"/>
      <c r="W396" s="235"/>
      <c r="X396" s="235"/>
      <c r="Y396" s="235"/>
      <c r="Z396" s="235"/>
      <c r="AA396" s="235"/>
      <c r="AB396" s="235"/>
      <c r="AC396" s="235"/>
      <c r="AD396" s="235"/>
      <c r="AE396" s="236"/>
      <c r="AF396" s="235"/>
      <c r="AG396" s="235"/>
      <c r="AH396" s="235"/>
      <c r="AI396" s="235"/>
      <c r="AJ396" s="236"/>
      <c r="AK396" s="235"/>
      <c r="AL396" s="235"/>
      <c r="AM396" s="235"/>
      <c r="AN396" s="235"/>
      <c r="AO396" s="235"/>
      <c r="AP396" s="235"/>
      <c r="AQ396" s="235"/>
      <c r="AR396" s="235"/>
      <c r="AS396" s="235"/>
      <c r="AT396" s="235"/>
      <c r="AU396" s="236"/>
      <c r="AV396" s="235"/>
      <c r="AW396" s="235"/>
      <c r="AX396" s="235"/>
      <c r="AY396" s="235"/>
      <c r="AZ396" s="235"/>
      <c r="BA396" s="235"/>
      <c r="BB396" s="235"/>
      <c r="BC396" s="235"/>
      <c r="BD396" s="236"/>
      <c r="BE396" s="235"/>
      <c r="BF396" s="235"/>
      <c r="BG396" s="235"/>
      <c r="BH396" s="235"/>
      <c r="BI396" s="236"/>
      <c r="BJ396" s="236"/>
      <c r="BK396" s="238"/>
      <c r="BL396" s="239"/>
      <c r="BM396" s="239"/>
      <c r="BN396" s="239"/>
      <c r="BP396" s="236"/>
      <c r="BQ396" s="236"/>
      <c r="BR396" s="236"/>
      <c r="BS396" s="236"/>
      <c r="BT396" s="236"/>
      <c r="BU396" s="236"/>
      <c r="BV396" s="236"/>
      <c r="BW396" s="236"/>
      <c r="BX396" s="236"/>
      <c r="BY396" s="236"/>
      <c r="BZ396" s="236"/>
      <c r="CA396" s="236"/>
      <c r="CB396" s="236"/>
      <c r="CC396" s="236"/>
      <c r="CD396" s="236"/>
      <c r="CE396" s="236"/>
      <c r="CF396" s="236"/>
      <c r="CG396" s="236"/>
      <c r="CH396" s="236"/>
      <c r="CI396" s="236"/>
      <c r="CJ396" s="236"/>
      <c r="CK396" s="236"/>
      <c r="CL396" s="236"/>
      <c r="CM396" s="236"/>
      <c r="CN396" s="236"/>
      <c r="CO396" s="236"/>
    </row>
    <row r="397" spans="5:93" s="230" customFormat="1">
      <c r="E397" s="234"/>
      <c r="F397" s="235"/>
      <c r="G397" s="235"/>
      <c r="H397" s="236"/>
      <c r="I397" s="235"/>
      <c r="J397" s="235"/>
      <c r="K397" s="235"/>
      <c r="L397" s="235"/>
      <c r="M397" s="236"/>
      <c r="N397" s="235"/>
      <c r="O397" s="235"/>
      <c r="P397" s="235"/>
      <c r="Q397" s="235"/>
      <c r="R397" s="235"/>
      <c r="S397" s="235"/>
      <c r="T397" s="235"/>
      <c r="U397" s="235"/>
      <c r="V397" s="235"/>
      <c r="W397" s="235"/>
      <c r="X397" s="235"/>
      <c r="Y397" s="235"/>
      <c r="Z397" s="235"/>
      <c r="AA397" s="235"/>
      <c r="AB397" s="235"/>
      <c r="AC397" s="235"/>
      <c r="AD397" s="235"/>
      <c r="AE397" s="236"/>
      <c r="AF397" s="235"/>
      <c r="AG397" s="235"/>
      <c r="AH397" s="235"/>
      <c r="AI397" s="235"/>
      <c r="AJ397" s="236"/>
      <c r="AK397" s="235"/>
      <c r="AL397" s="235"/>
      <c r="AM397" s="235"/>
      <c r="AN397" s="235"/>
      <c r="AO397" s="235"/>
      <c r="AP397" s="235"/>
      <c r="AQ397" s="235"/>
      <c r="AR397" s="235"/>
      <c r="AS397" s="235"/>
      <c r="AT397" s="235"/>
      <c r="AU397" s="236"/>
      <c r="AV397" s="235"/>
      <c r="AW397" s="235"/>
      <c r="AX397" s="235"/>
      <c r="AY397" s="235"/>
      <c r="AZ397" s="235"/>
      <c r="BA397" s="235"/>
      <c r="BB397" s="235"/>
      <c r="BC397" s="235"/>
      <c r="BD397" s="236"/>
      <c r="BE397" s="235"/>
      <c r="BF397" s="235"/>
      <c r="BG397" s="235"/>
      <c r="BH397" s="235"/>
      <c r="BI397" s="236"/>
      <c r="BJ397" s="236"/>
      <c r="BK397" s="238"/>
      <c r="BL397" s="239"/>
      <c r="BM397" s="239"/>
      <c r="BN397" s="239"/>
      <c r="BP397" s="236"/>
      <c r="BQ397" s="236"/>
      <c r="BR397" s="236"/>
      <c r="BS397" s="236"/>
      <c r="BT397" s="236"/>
      <c r="BU397" s="236"/>
      <c r="BV397" s="236"/>
      <c r="BW397" s="236"/>
      <c r="BX397" s="236"/>
      <c r="BY397" s="236"/>
      <c r="BZ397" s="236"/>
      <c r="CA397" s="236"/>
      <c r="CB397" s="236"/>
      <c r="CC397" s="236"/>
      <c r="CD397" s="236"/>
      <c r="CE397" s="236"/>
      <c r="CF397" s="236"/>
      <c r="CG397" s="236"/>
      <c r="CH397" s="236"/>
      <c r="CI397" s="236"/>
      <c r="CJ397" s="236"/>
      <c r="CK397" s="236"/>
      <c r="CL397" s="236"/>
      <c r="CM397" s="236"/>
      <c r="CN397" s="236"/>
      <c r="CO397" s="236"/>
    </row>
    <row r="398" spans="5:93" s="230" customFormat="1">
      <c r="E398" s="234"/>
      <c r="F398" s="235"/>
      <c r="G398" s="235"/>
      <c r="H398" s="236"/>
      <c r="I398" s="235"/>
      <c r="J398" s="235"/>
      <c r="K398" s="235"/>
      <c r="L398" s="235"/>
      <c r="M398" s="236"/>
      <c r="N398" s="235"/>
      <c r="O398" s="235"/>
      <c r="P398" s="235"/>
      <c r="Q398" s="235"/>
      <c r="R398" s="235"/>
      <c r="S398" s="235"/>
      <c r="T398" s="235"/>
      <c r="U398" s="235"/>
      <c r="V398" s="235"/>
      <c r="W398" s="235"/>
      <c r="X398" s="235"/>
      <c r="Y398" s="235"/>
      <c r="Z398" s="235"/>
      <c r="AA398" s="235"/>
      <c r="AB398" s="235"/>
      <c r="AC398" s="235"/>
      <c r="AD398" s="235"/>
      <c r="AE398" s="236"/>
      <c r="AF398" s="235"/>
      <c r="AG398" s="235"/>
      <c r="AH398" s="235"/>
      <c r="AI398" s="235"/>
      <c r="AJ398" s="236"/>
      <c r="AK398" s="235"/>
      <c r="AL398" s="235"/>
      <c r="AM398" s="235"/>
      <c r="AN398" s="235"/>
      <c r="AO398" s="235"/>
      <c r="AP398" s="235"/>
      <c r="AQ398" s="235"/>
      <c r="AR398" s="235"/>
      <c r="AS398" s="235"/>
      <c r="AT398" s="235"/>
      <c r="AU398" s="236"/>
      <c r="AV398" s="235"/>
      <c r="AW398" s="235"/>
      <c r="AX398" s="235"/>
      <c r="AY398" s="235"/>
      <c r="AZ398" s="235"/>
      <c r="BA398" s="235"/>
      <c r="BB398" s="235"/>
      <c r="BC398" s="235"/>
      <c r="BD398" s="236"/>
      <c r="BE398" s="235"/>
      <c r="BF398" s="235"/>
      <c r="BG398" s="235"/>
      <c r="BH398" s="235"/>
      <c r="BI398" s="236"/>
      <c r="BJ398" s="236"/>
      <c r="BK398" s="238"/>
      <c r="BL398" s="239"/>
      <c r="BM398" s="239"/>
      <c r="BN398" s="239"/>
      <c r="BP398" s="236"/>
      <c r="BQ398" s="236"/>
      <c r="BR398" s="236"/>
      <c r="BS398" s="236"/>
      <c r="BT398" s="236"/>
      <c r="BU398" s="236"/>
      <c r="BV398" s="236"/>
      <c r="BW398" s="236"/>
      <c r="BX398" s="236"/>
      <c r="BY398" s="236"/>
      <c r="BZ398" s="236"/>
      <c r="CA398" s="236"/>
      <c r="CB398" s="236"/>
      <c r="CC398" s="236"/>
      <c r="CD398" s="236"/>
      <c r="CE398" s="236"/>
      <c r="CF398" s="236"/>
      <c r="CG398" s="236"/>
      <c r="CH398" s="236"/>
      <c r="CI398" s="236"/>
      <c r="CJ398" s="236"/>
      <c r="CK398" s="236"/>
      <c r="CL398" s="236"/>
      <c r="CM398" s="236"/>
      <c r="CN398" s="236"/>
      <c r="CO398" s="236"/>
    </row>
    <row r="399" spans="5:93" s="230" customFormat="1">
      <c r="E399" s="234"/>
      <c r="F399" s="235"/>
      <c r="G399" s="235"/>
      <c r="H399" s="236"/>
      <c r="I399" s="235"/>
      <c r="J399" s="235"/>
      <c r="K399" s="235"/>
      <c r="L399" s="235"/>
      <c r="M399" s="236"/>
      <c r="N399" s="235"/>
      <c r="O399" s="235"/>
      <c r="P399" s="235"/>
      <c r="Q399" s="235"/>
      <c r="R399" s="235"/>
      <c r="S399" s="235"/>
      <c r="T399" s="235"/>
      <c r="U399" s="235"/>
      <c r="V399" s="235"/>
      <c r="W399" s="235"/>
      <c r="X399" s="235"/>
      <c r="Y399" s="235"/>
      <c r="Z399" s="235"/>
      <c r="AA399" s="235"/>
      <c r="AB399" s="235"/>
      <c r="AC399" s="235"/>
      <c r="AD399" s="235"/>
      <c r="AE399" s="236"/>
      <c r="AF399" s="235"/>
      <c r="AG399" s="235"/>
      <c r="AH399" s="235"/>
      <c r="AI399" s="235"/>
      <c r="AJ399" s="236"/>
      <c r="AK399" s="235"/>
      <c r="AL399" s="235"/>
      <c r="AM399" s="235"/>
      <c r="AN399" s="235"/>
      <c r="AO399" s="235"/>
      <c r="AP399" s="235"/>
      <c r="AQ399" s="235"/>
      <c r="AR399" s="235"/>
      <c r="AS399" s="235"/>
      <c r="AT399" s="235"/>
      <c r="AU399" s="236"/>
      <c r="AV399" s="235"/>
      <c r="AW399" s="235"/>
      <c r="AX399" s="235"/>
      <c r="AY399" s="235"/>
      <c r="AZ399" s="235"/>
      <c r="BA399" s="235"/>
      <c r="BB399" s="235"/>
      <c r="BC399" s="235"/>
      <c r="BD399" s="236"/>
      <c r="BE399" s="235"/>
      <c r="BF399" s="235"/>
      <c r="BG399" s="235"/>
      <c r="BH399" s="235"/>
      <c r="BI399" s="236"/>
      <c r="BJ399" s="236"/>
      <c r="BK399" s="238"/>
      <c r="BL399" s="239"/>
      <c r="BM399" s="239"/>
      <c r="BN399" s="239"/>
      <c r="BP399" s="236"/>
      <c r="BQ399" s="236"/>
      <c r="BR399" s="236"/>
      <c r="BS399" s="236"/>
      <c r="BT399" s="236"/>
      <c r="BU399" s="236"/>
      <c r="BV399" s="236"/>
      <c r="BW399" s="236"/>
      <c r="BX399" s="236"/>
      <c r="BY399" s="236"/>
      <c r="BZ399" s="236"/>
      <c r="CA399" s="236"/>
      <c r="CB399" s="236"/>
      <c r="CC399" s="236"/>
      <c r="CD399" s="236"/>
      <c r="CE399" s="236"/>
      <c r="CF399" s="236"/>
      <c r="CG399" s="236"/>
      <c r="CH399" s="236"/>
      <c r="CI399" s="236"/>
      <c r="CJ399" s="236"/>
      <c r="CK399" s="236"/>
      <c r="CL399" s="236"/>
      <c r="CM399" s="236"/>
      <c r="CN399" s="236"/>
      <c r="CO399" s="236"/>
    </row>
    <row r="400" spans="5:93" s="230" customFormat="1">
      <c r="E400" s="234"/>
      <c r="F400" s="235"/>
      <c r="G400" s="235"/>
      <c r="H400" s="236"/>
      <c r="I400" s="235"/>
      <c r="J400" s="235"/>
      <c r="K400" s="235"/>
      <c r="L400" s="235"/>
      <c r="M400" s="236"/>
      <c r="N400" s="235"/>
      <c r="O400" s="235"/>
      <c r="P400" s="235"/>
      <c r="Q400" s="235"/>
      <c r="R400" s="235"/>
      <c r="S400" s="235"/>
      <c r="T400" s="235"/>
      <c r="U400" s="235"/>
      <c r="V400" s="235"/>
      <c r="W400" s="235"/>
      <c r="X400" s="235"/>
      <c r="Y400" s="235"/>
      <c r="Z400" s="235"/>
      <c r="AA400" s="235"/>
      <c r="AB400" s="235"/>
      <c r="AC400" s="235"/>
      <c r="AD400" s="235"/>
      <c r="AE400" s="236"/>
      <c r="AF400" s="235"/>
      <c r="AG400" s="235"/>
      <c r="AH400" s="235"/>
      <c r="AI400" s="235"/>
      <c r="AJ400" s="236"/>
      <c r="AK400" s="235"/>
      <c r="AL400" s="235"/>
      <c r="AM400" s="235"/>
      <c r="AN400" s="235"/>
      <c r="AO400" s="235"/>
      <c r="AP400" s="235"/>
      <c r="AQ400" s="235"/>
      <c r="AR400" s="235"/>
      <c r="AS400" s="235"/>
      <c r="AT400" s="235"/>
      <c r="AU400" s="236"/>
      <c r="AV400" s="235"/>
      <c r="AW400" s="235"/>
      <c r="AX400" s="235"/>
      <c r="AY400" s="235"/>
      <c r="AZ400" s="235"/>
      <c r="BA400" s="235"/>
      <c r="BB400" s="235"/>
      <c r="BC400" s="235"/>
      <c r="BD400" s="236"/>
      <c r="BE400" s="235"/>
      <c r="BF400" s="235"/>
      <c r="BG400" s="235"/>
      <c r="BH400" s="235"/>
      <c r="BI400" s="236"/>
      <c r="BJ400" s="236"/>
      <c r="BK400" s="238"/>
      <c r="BL400" s="239"/>
      <c r="BM400" s="239"/>
      <c r="BN400" s="239"/>
      <c r="BP400" s="236"/>
      <c r="BQ400" s="236"/>
      <c r="BR400" s="236"/>
      <c r="BS400" s="236"/>
      <c r="BT400" s="236"/>
      <c r="BU400" s="236"/>
      <c r="BV400" s="236"/>
      <c r="BW400" s="236"/>
      <c r="BX400" s="236"/>
      <c r="BY400" s="236"/>
      <c r="BZ400" s="236"/>
      <c r="CA400" s="236"/>
      <c r="CB400" s="236"/>
      <c r="CC400" s="236"/>
      <c r="CD400" s="236"/>
      <c r="CE400" s="236"/>
      <c r="CF400" s="236"/>
      <c r="CG400" s="236"/>
      <c r="CH400" s="236"/>
      <c r="CI400" s="236"/>
      <c r="CJ400" s="236"/>
      <c r="CK400" s="236"/>
      <c r="CL400" s="236"/>
      <c r="CM400" s="236"/>
      <c r="CN400" s="236"/>
      <c r="CO400" s="236"/>
    </row>
    <row r="401" spans="5:93" s="230" customFormat="1">
      <c r="E401" s="234"/>
      <c r="F401" s="235"/>
      <c r="G401" s="235"/>
      <c r="H401" s="236"/>
      <c r="I401" s="235"/>
      <c r="J401" s="235"/>
      <c r="K401" s="235"/>
      <c r="L401" s="235"/>
      <c r="M401" s="236"/>
      <c r="N401" s="235"/>
      <c r="O401" s="235"/>
      <c r="P401" s="235"/>
      <c r="Q401" s="235"/>
      <c r="R401" s="235"/>
      <c r="S401" s="235"/>
      <c r="T401" s="235"/>
      <c r="U401" s="235"/>
      <c r="V401" s="235"/>
      <c r="W401" s="235"/>
      <c r="X401" s="235"/>
      <c r="Y401" s="235"/>
      <c r="Z401" s="235"/>
      <c r="AA401" s="235"/>
      <c r="AB401" s="235"/>
      <c r="AC401" s="235"/>
      <c r="AD401" s="235"/>
      <c r="AE401" s="236"/>
      <c r="AF401" s="235"/>
      <c r="AG401" s="235"/>
      <c r="AH401" s="235"/>
      <c r="AI401" s="235"/>
      <c r="AJ401" s="236"/>
      <c r="AK401" s="235"/>
      <c r="AL401" s="235"/>
      <c r="AM401" s="235"/>
      <c r="AN401" s="235"/>
      <c r="AO401" s="235"/>
      <c r="AP401" s="235"/>
      <c r="AQ401" s="235"/>
      <c r="AR401" s="235"/>
      <c r="AS401" s="235"/>
      <c r="AT401" s="235"/>
      <c r="AU401" s="236"/>
      <c r="AV401" s="235"/>
      <c r="AW401" s="235"/>
      <c r="AX401" s="235"/>
      <c r="AY401" s="235"/>
      <c r="AZ401" s="235"/>
      <c r="BA401" s="235"/>
      <c r="BB401" s="235"/>
      <c r="BC401" s="235"/>
      <c r="BD401" s="236"/>
      <c r="BE401" s="235"/>
      <c r="BF401" s="235"/>
      <c r="BG401" s="235"/>
      <c r="BH401" s="235"/>
      <c r="BI401" s="236"/>
      <c r="BJ401" s="236"/>
      <c r="BK401" s="238"/>
      <c r="BL401" s="239"/>
      <c r="BM401" s="239"/>
      <c r="BN401" s="239"/>
      <c r="BP401" s="236"/>
      <c r="BQ401" s="236"/>
      <c r="BR401" s="236"/>
      <c r="BS401" s="236"/>
      <c r="BT401" s="236"/>
      <c r="BU401" s="236"/>
      <c r="BV401" s="236"/>
      <c r="BW401" s="236"/>
      <c r="BX401" s="236"/>
      <c r="BY401" s="236"/>
      <c r="BZ401" s="236"/>
      <c r="CA401" s="236"/>
      <c r="CB401" s="236"/>
      <c r="CC401" s="236"/>
      <c r="CD401" s="236"/>
      <c r="CE401" s="236"/>
      <c r="CF401" s="236"/>
      <c r="CG401" s="236"/>
      <c r="CH401" s="236"/>
      <c r="CI401" s="236"/>
      <c r="CJ401" s="236"/>
      <c r="CK401" s="236"/>
      <c r="CL401" s="236"/>
      <c r="CM401" s="236"/>
      <c r="CN401" s="236"/>
      <c r="CO401" s="236"/>
    </row>
    <row r="402" spans="5:93" s="230" customFormat="1">
      <c r="E402" s="234"/>
      <c r="F402" s="235"/>
      <c r="G402" s="235"/>
      <c r="H402" s="236"/>
      <c r="I402" s="235"/>
      <c r="J402" s="235"/>
      <c r="K402" s="235"/>
      <c r="L402" s="235"/>
      <c r="M402" s="236"/>
      <c r="N402" s="235"/>
      <c r="O402" s="235"/>
      <c r="P402" s="235"/>
      <c r="Q402" s="235"/>
      <c r="R402" s="235"/>
      <c r="S402" s="235"/>
      <c r="T402" s="235"/>
      <c r="U402" s="235"/>
      <c r="V402" s="235"/>
      <c r="W402" s="235"/>
      <c r="X402" s="235"/>
      <c r="Y402" s="235"/>
      <c r="Z402" s="235"/>
      <c r="AA402" s="235"/>
      <c r="AB402" s="235"/>
      <c r="AC402" s="235"/>
      <c r="AD402" s="235"/>
      <c r="AE402" s="236"/>
      <c r="AF402" s="235"/>
      <c r="AG402" s="235"/>
      <c r="AH402" s="235"/>
      <c r="AI402" s="235"/>
      <c r="AJ402" s="236"/>
      <c r="AK402" s="235"/>
      <c r="AL402" s="235"/>
      <c r="AM402" s="235"/>
      <c r="AN402" s="235"/>
      <c r="AO402" s="235"/>
      <c r="AP402" s="235"/>
      <c r="AQ402" s="235"/>
      <c r="AR402" s="235"/>
      <c r="AS402" s="235"/>
      <c r="AT402" s="235"/>
      <c r="AU402" s="236"/>
      <c r="AV402" s="235"/>
      <c r="AW402" s="235"/>
      <c r="AX402" s="235"/>
      <c r="AY402" s="235"/>
      <c r="AZ402" s="235"/>
      <c r="BA402" s="235"/>
      <c r="BB402" s="235"/>
      <c r="BC402" s="235"/>
      <c r="BD402" s="236"/>
      <c r="BE402" s="235"/>
      <c r="BF402" s="235"/>
      <c r="BG402" s="235"/>
      <c r="BH402" s="235"/>
      <c r="BI402" s="236"/>
      <c r="BJ402" s="236"/>
      <c r="BK402" s="238"/>
      <c r="BL402" s="239"/>
      <c r="BM402" s="239"/>
      <c r="BN402" s="239"/>
      <c r="BP402" s="236"/>
      <c r="BQ402" s="236"/>
      <c r="BR402" s="236"/>
      <c r="BS402" s="236"/>
      <c r="BT402" s="236"/>
      <c r="BU402" s="236"/>
      <c r="BV402" s="236"/>
      <c r="BW402" s="236"/>
      <c r="BX402" s="236"/>
      <c r="BY402" s="236"/>
      <c r="BZ402" s="236"/>
      <c r="CA402" s="236"/>
      <c r="CB402" s="236"/>
      <c r="CC402" s="236"/>
      <c r="CD402" s="236"/>
      <c r="CE402" s="236"/>
      <c r="CF402" s="236"/>
      <c r="CG402" s="236"/>
      <c r="CH402" s="236"/>
      <c r="CI402" s="236"/>
      <c r="CJ402" s="236"/>
      <c r="CK402" s="236"/>
      <c r="CL402" s="236"/>
      <c r="CM402" s="236"/>
      <c r="CN402" s="236"/>
      <c r="CO402" s="236"/>
    </row>
    <row r="403" spans="5:93" s="230" customFormat="1">
      <c r="E403" s="234"/>
      <c r="F403" s="235"/>
      <c r="G403" s="235"/>
      <c r="H403" s="236"/>
      <c r="I403" s="235"/>
      <c r="J403" s="235"/>
      <c r="K403" s="235"/>
      <c r="L403" s="235"/>
      <c r="M403" s="236"/>
      <c r="N403" s="235"/>
      <c r="O403" s="235"/>
      <c r="P403" s="235"/>
      <c r="Q403" s="235"/>
      <c r="R403" s="235"/>
      <c r="S403" s="235"/>
      <c r="T403" s="235"/>
      <c r="U403" s="235"/>
      <c r="V403" s="235"/>
      <c r="W403" s="235"/>
      <c r="X403" s="235"/>
      <c r="Y403" s="235"/>
      <c r="Z403" s="235"/>
      <c r="AA403" s="235"/>
      <c r="AB403" s="235"/>
      <c r="AC403" s="235"/>
      <c r="AD403" s="235"/>
      <c r="AE403" s="236"/>
      <c r="AF403" s="235"/>
      <c r="AG403" s="235"/>
      <c r="AH403" s="235"/>
      <c r="AI403" s="235"/>
      <c r="AJ403" s="236"/>
      <c r="AK403" s="235"/>
      <c r="AL403" s="235"/>
      <c r="AM403" s="235"/>
      <c r="AN403" s="235"/>
      <c r="AO403" s="235"/>
      <c r="AP403" s="235"/>
      <c r="AQ403" s="235"/>
      <c r="AR403" s="235"/>
      <c r="AS403" s="235"/>
      <c r="AT403" s="235"/>
      <c r="AU403" s="236"/>
      <c r="AV403" s="235"/>
      <c r="AW403" s="235"/>
      <c r="AX403" s="235"/>
      <c r="AY403" s="235"/>
      <c r="AZ403" s="235"/>
      <c r="BA403" s="235"/>
      <c r="BB403" s="235"/>
      <c r="BC403" s="235"/>
      <c r="BD403" s="236"/>
      <c r="BE403" s="235"/>
      <c r="BF403" s="235"/>
      <c r="BG403" s="235"/>
      <c r="BH403" s="235"/>
      <c r="BI403" s="236"/>
      <c r="BJ403" s="236"/>
      <c r="BK403" s="238"/>
      <c r="BL403" s="239"/>
      <c r="BM403" s="239"/>
      <c r="BN403" s="239"/>
      <c r="BP403" s="236"/>
      <c r="BQ403" s="236"/>
      <c r="BR403" s="236"/>
      <c r="BS403" s="236"/>
      <c r="BT403" s="236"/>
      <c r="BU403" s="236"/>
      <c r="BV403" s="236"/>
      <c r="BW403" s="236"/>
      <c r="BX403" s="236"/>
      <c r="BY403" s="236"/>
      <c r="BZ403" s="236"/>
      <c r="CA403" s="236"/>
      <c r="CB403" s="236"/>
      <c r="CC403" s="236"/>
      <c r="CD403" s="236"/>
      <c r="CE403" s="236"/>
      <c r="CF403" s="236"/>
      <c r="CG403" s="236"/>
      <c r="CH403" s="236"/>
      <c r="CI403" s="236"/>
      <c r="CJ403" s="236"/>
      <c r="CK403" s="236"/>
      <c r="CL403" s="236"/>
      <c r="CM403" s="236"/>
      <c r="CN403" s="236"/>
      <c r="CO403" s="236"/>
    </row>
    <row r="404" spans="5:93" s="230" customFormat="1">
      <c r="E404" s="234"/>
      <c r="F404" s="235"/>
      <c r="G404" s="235"/>
      <c r="H404" s="236"/>
      <c r="I404" s="235"/>
      <c r="J404" s="235"/>
      <c r="K404" s="235"/>
      <c r="L404" s="235"/>
      <c r="M404" s="236"/>
      <c r="N404" s="235"/>
      <c r="O404" s="235"/>
      <c r="P404" s="235"/>
      <c r="Q404" s="235"/>
      <c r="R404" s="235"/>
      <c r="S404" s="235"/>
      <c r="T404" s="235"/>
      <c r="U404" s="235"/>
      <c r="V404" s="235"/>
      <c r="W404" s="235"/>
      <c r="X404" s="235"/>
      <c r="Y404" s="235"/>
      <c r="Z404" s="235"/>
      <c r="AA404" s="235"/>
      <c r="AB404" s="235"/>
      <c r="AC404" s="235"/>
      <c r="AD404" s="235"/>
      <c r="AE404" s="236"/>
      <c r="AF404" s="235"/>
      <c r="AG404" s="235"/>
      <c r="AH404" s="235"/>
      <c r="AI404" s="235"/>
      <c r="AJ404" s="236"/>
      <c r="AK404" s="235"/>
      <c r="AL404" s="235"/>
      <c r="AM404" s="235"/>
      <c r="AN404" s="235"/>
      <c r="AO404" s="235"/>
      <c r="AP404" s="235"/>
      <c r="AQ404" s="235"/>
      <c r="AR404" s="235"/>
      <c r="AS404" s="235"/>
      <c r="AT404" s="235"/>
      <c r="AU404" s="236"/>
      <c r="AV404" s="235"/>
      <c r="AW404" s="235"/>
      <c r="AX404" s="235"/>
      <c r="AY404" s="235"/>
      <c r="AZ404" s="235"/>
      <c r="BA404" s="235"/>
      <c r="BB404" s="235"/>
      <c r="BC404" s="235"/>
      <c r="BD404" s="236"/>
      <c r="BE404" s="235"/>
      <c r="BF404" s="235"/>
      <c r="BG404" s="235"/>
      <c r="BH404" s="235"/>
      <c r="BI404" s="236"/>
      <c r="BJ404" s="236"/>
      <c r="BK404" s="238"/>
      <c r="BL404" s="239"/>
      <c r="BM404" s="239"/>
      <c r="BN404" s="239"/>
      <c r="BP404" s="236"/>
      <c r="BQ404" s="236"/>
      <c r="BR404" s="236"/>
      <c r="BS404" s="236"/>
      <c r="BT404" s="236"/>
      <c r="BU404" s="236"/>
      <c r="BV404" s="236"/>
      <c r="BW404" s="236"/>
      <c r="BX404" s="236"/>
      <c r="BY404" s="236"/>
      <c r="BZ404" s="236"/>
      <c r="CA404" s="236"/>
      <c r="CB404" s="236"/>
      <c r="CC404" s="236"/>
      <c r="CD404" s="236"/>
      <c r="CE404" s="236"/>
      <c r="CF404" s="236"/>
      <c r="CG404" s="236"/>
      <c r="CH404" s="236"/>
      <c r="CI404" s="236"/>
      <c r="CJ404" s="236"/>
      <c r="CK404" s="236"/>
      <c r="CL404" s="236"/>
      <c r="CM404" s="236"/>
      <c r="CN404" s="236"/>
      <c r="CO404" s="236"/>
    </row>
    <row r="405" spans="5:93" s="230" customFormat="1">
      <c r="E405" s="234"/>
      <c r="F405" s="235"/>
      <c r="G405" s="235"/>
      <c r="H405" s="236"/>
      <c r="I405" s="235"/>
      <c r="J405" s="235"/>
      <c r="K405" s="235"/>
      <c r="L405" s="235"/>
      <c r="M405" s="236"/>
      <c r="N405" s="235"/>
      <c r="O405" s="235"/>
      <c r="P405" s="235"/>
      <c r="Q405" s="235"/>
      <c r="R405" s="235"/>
      <c r="S405" s="235"/>
      <c r="T405" s="235"/>
      <c r="U405" s="235"/>
      <c r="V405" s="235"/>
      <c r="W405" s="235"/>
      <c r="X405" s="235"/>
      <c r="Y405" s="235"/>
      <c r="Z405" s="235"/>
      <c r="AA405" s="235"/>
      <c r="AB405" s="235"/>
      <c r="AC405" s="235"/>
      <c r="AD405" s="235"/>
      <c r="AE405" s="236"/>
      <c r="AF405" s="235"/>
      <c r="AG405" s="235"/>
      <c r="AH405" s="235"/>
      <c r="AI405" s="235"/>
      <c r="AJ405" s="236"/>
      <c r="AK405" s="235"/>
      <c r="AL405" s="235"/>
      <c r="AM405" s="235"/>
      <c r="AN405" s="235"/>
      <c r="AO405" s="235"/>
      <c r="AP405" s="235"/>
      <c r="AQ405" s="235"/>
      <c r="AR405" s="235"/>
      <c r="AS405" s="235"/>
      <c r="AT405" s="235"/>
      <c r="AU405" s="236"/>
      <c r="AV405" s="235"/>
      <c r="AW405" s="235"/>
      <c r="AX405" s="235"/>
      <c r="AY405" s="235"/>
      <c r="AZ405" s="235"/>
      <c r="BA405" s="235"/>
      <c r="BB405" s="235"/>
      <c r="BC405" s="235"/>
      <c r="BD405" s="236"/>
      <c r="BE405" s="235"/>
      <c r="BF405" s="235"/>
      <c r="BG405" s="235"/>
      <c r="BH405" s="235"/>
      <c r="BI405" s="236"/>
      <c r="BJ405" s="236"/>
      <c r="BK405" s="238"/>
      <c r="BL405" s="239"/>
      <c r="BM405" s="239"/>
      <c r="BN405" s="239"/>
      <c r="BP405" s="236"/>
      <c r="BQ405" s="236"/>
      <c r="BR405" s="236"/>
      <c r="BS405" s="236"/>
      <c r="BT405" s="236"/>
      <c r="BU405" s="236"/>
      <c r="BV405" s="236"/>
      <c r="BW405" s="236"/>
      <c r="BX405" s="236"/>
      <c r="BY405" s="236"/>
      <c r="BZ405" s="236"/>
      <c r="CA405" s="236"/>
      <c r="CB405" s="236"/>
      <c r="CC405" s="236"/>
      <c r="CD405" s="236"/>
      <c r="CE405" s="236"/>
      <c r="CF405" s="236"/>
      <c r="CG405" s="236"/>
      <c r="CH405" s="236"/>
      <c r="CI405" s="236"/>
      <c r="CJ405" s="236"/>
      <c r="CK405" s="236"/>
      <c r="CL405" s="236"/>
      <c r="CM405" s="236"/>
      <c r="CN405" s="236"/>
      <c r="CO405" s="236"/>
    </row>
    <row r="406" spans="5:93" s="230" customFormat="1">
      <c r="E406" s="234"/>
      <c r="F406" s="235"/>
      <c r="G406" s="235"/>
      <c r="H406" s="236"/>
      <c r="I406" s="235"/>
      <c r="J406" s="235"/>
      <c r="K406" s="235"/>
      <c r="L406" s="235"/>
      <c r="M406" s="236"/>
      <c r="N406" s="235"/>
      <c r="O406" s="235"/>
      <c r="P406" s="235"/>
      <c r="Q406" s="235"/>
      <c r="R406" s="235"/>
      <c r="S406" s="235"/>
      <c r="T406" s="235"/>
      <c r="U406" s="235"/>
      <c r="V406" s="235"/>
      <c r="W406" s="235"/>
      <c r="X406" s="235"/>
      <c r="Y406" s="235"/>
      <c r="Z406" s="235"/>
      <c r="AA406" s="235"/>
      <c r="AB406" s="235"/>
      <c r="AC406" s="235"/>
      <c r="AD406" s="235"/>
      <c r="AE406" s="236"/>
      <c r="AF406" s="235"/>
      <c r="AG406" s="235"/>
      <c r="AH406" s="235"/>
      <c r="AI406" s="235"/>
      <c r="AJ406" s="236"/>
      <c r="AK406" s="235"/>
      <c r="AL406" s="235"/>
      <c r="AM406" s="235"/>
      <c r="AN406" s="235"/>
      <c r="AO406" s="235"/>
      <c r="AP406" s="235"/>
      <c r="AQ406" s="235"/>
      <c r="AR406" s="235"/>
      <c r="AS406" s="235"/>
      <c r="AT406" s="235"/>
      <c r="AU406" s="236"/>
      <c r="AV406" s="235"/>
      <c r="AW406" s="235"/>
      <c r="AX406" s="235"/>
      <c r="AY406" s="235"/>
      <c r="AZ406" s="235"/>
      <c r="BA406" s="235"/>
      <c r="BB406" s="235"/>
      <c r="BC406" s="235"/>
      <c r="BD406" s="236"/>
      <c r="BE406" s="235"/>
      <c r="BF406" s="235"/>
      <c r="BG406" s="235"/>
      <c r="BH406" s="235"/>
      <c r="BI406" s="236"/>
      <c r="BJ406" s="236"/>
      <c r="BK406" s="238"/>
      <c r="BL406" s="239"/>
      <c r="BM406" s="239"/>
      <c r="BN406" s="239"/>
      <c r="BP406" s="236"/>
      <c r="BQ406" s="236"/>
      <c r="BR406" s="236"/>
      <c r="BS406" s="236"/>
      <c r="BT406" s="236"/>
      <c r="BU406" s="236"/>
      <c r="BV406" s="236"/>
      <c r="BW406" s="236"/>
      <c r="BX406" s="236"/>
      <c r="BY406" s="236"/>
      <c r="BZ406" s="236"/>
      <c r="CA406" s="236"/>
      <c r="CB406" s="236"/>
      <c r="CC406" s="236"/>
      <c r="CD406" s="236"/>
      <c r="CE406" s="236"/>
      <c r="CF406" s="236"/>
      <c r="CG406" s="236"/>
      <c r="CH406" s="236"/>
      <c r="CI406" s="236"/>
      <c r="CJ406" s="236"/>
      <c r="CK406" s="236"/>
      <c r="CL406" s="236"/>
      <c r="CM406" s="236"/>
      <c r="CN406" s="236"/>
      <c r="CO406" s="236"/>
    </row>
    <row r="407" spans="5:93" s="230" customFormat="1">
      <c r="E407" s="234"/>
      <c r="F407" s="235"/>
      <c r="G407" s="235"/>
      <c r="H407" s="236"/>
      <c r="I407" s="235"/>
      <c r="J407" s="235"/>
      <c r="K407" s="235"/>
      <c r="L407" s="235"/>
      <c r="M407" s="236"/>
      <c r="N407" s="235"/>
      <c r="O407" s="235"/>
      <c r="P407" s="235"/>
      <c r="Q407" s="235"/>
      <c r="R407" s="235"/>
      <c r="S407" s="235"/>
      <c r="T407" s="235"/>
      <c r="U407" s="235"/>
      <c r="V407" s="235"/>
      <c r="W407" s="235"/>
      <c r="X407" s="235"/>
      <c r="Y407" s="235"/>
      <c r="Z407" s="235"/>
      <c r="AA407" s="235"/>
      <c r="AB407" s="235"/>
      <c r="AC407" s="235"/>
      <c r="AD407" s="235"/>
      <c r="AE407" s="236"/>
      <c r="AF407" s="235"/>
      <c r="AG407" s="235"/>
      <c r="AH407" s="235"/>
      <c r="AI407" s="235"/>
      <c r="AJ407" s="236"/>
      <c r="AK407" s="235"/>
      <c r="AL407" s="235"/>
      <c r="AM407" s="235"/>
      <c r="AN407" s="235"/>
      <c r="AO407" s="235"/>
      <c r="AP407" s="235"/>
      <c r="AQ407" s="235"/>
      <c r="AR407" s="235"/>
      <c r="AS407" s="235"/>
      <c r="AT407" s="235"/>
      <c r="AU407" s="236"/>
      <c r="AV407" s="235"/>
      <c r="AW407" s="235"/>
      <c r="AX407" s="235"/>
      <c r="AY407" s="235"/>
      <c r="AZ407" s="235"/>
      <c r="BA407" s="235"/>
      <c r="BB407" s="235"/>
      <c r="BC407" s="235"/>
      <c r="BD407" s="236"/>
      <c r="BE407" s="235"/>
      <c r="BF407" s="235"/>
      <c r="BG407" s="235"/>
      <c r="BH407" s="235"/>
      <c r="BI407" s="236"/>
      <c r="BJ407" s="236"/>
      <c r="BK407" s="238"/>
      <c r="BL407" s="239"/>
      <c r="BM407" s="239"/>
      <c r="BN407" s="239"/>
      <c r="BP407" s="236"/>
      <c r="BQ407" s="236"/>
      <c r="BR407" s="236"/>
      <c r="BS407" s="236"/>
      <c r="BT407" s="236"/>
      <c r="BU407" s="236"/>
      <c r="BV407" s="236"/>
      <c r="BW407" s="236"/>
      <c r="BX407" s="236"/>
      <c r="BY407" s="236"/>
      <c r="BZ407" s="236"/>
      <c r="CA407" s="236"/>
      <c r="CB407" s="236"/>
      <c r="CC407" s="236"/>
      <c r="CD407" s="236"/>
      <c r="CE407" s="236"/>
      <c r="CF407" s="236"/>
      <c r="CG407" s="236"/>
      <c r="CH407" s="236"/>
      <c r="CI407" s="236"/>
      <c r="CJ407" s="236"/>
      <c r="CK407" s="236"/>
      <c r="CL407" s="236"/>
      <c r="CM407" s="236"/>
      <c r="CN407" s="236"/>
      <c r="CO407" s="236"/>
    </row>
    <row r="408" spans="5:93" s="230" customFormat="1">
      <c r="E408" s="234"/>
      <c r="F408" s="235"/>
      <c r="G408" s="235"/>
      <c r="H408" s="236"/>
      <c r="I408" s="235"/>
      <c r="J408" s="235"/>
      <c r="K408" s="235"/>
      <c r="L408" s="235"/>
      <c r="M408" s="236"/>
      <c r="N408" s="235"/>
      <c r="O408" s="235"/>
      <c r="P408" s="235"/>
      <c r="Q408" s="235"/>
      <c r="R408" s="235"/>
      <c r="S408" s="235"/>
      <c r="T408" s="235"/>
      <c r="U408" s="235"/>
      <c r="V408" s="235"/>
      <c r="W408" s="235"/>
      <c r="X408" s="235"/>
      <c r="Y408" s="235"/>
      <c r="Z408" s="235"/>
      <c r="AA408" s="235"/>
      <c r="AB408" s="235"/>
      <c r="AC408" s="235"/>
      <c r="AD408" s="235"/>
      <c r="AE408" s="236"/>
      <c r="AF408" s="235"/>
      <c r="AG408" s="235"/>
      <c r="AH408" s="235"/>
      <c r="AI408" s="235"/>
      <c r="AJ408" s="236"/>
      <c r="AK408" s="235"/>
      <c r="AL408" s="235"/>
      <c r="AM408" s="235"/>
      <c r="AN408" s="235"/>
      <c r="AO408" s="235"/>
      <c r="AP408" s="235"/>
      <c r="AQ408" s="235"/>
      <c r="AR408" s="235"/>
      <c r="AS408" s="235"/>
      <c r="AT408" s="235"/>
      <c r="AU408" s="236"/>
      <c r="AV408" s="235"/>
      <c r="AW408" s="235"/>
      <c r="AX408" s="235"/>
      <c r="AY408" s="235"/>
      <c r="AZ408" s="235"/>
      <c r="BA408" s="235"/>
      <c r="BB408" s="235"/>
      <c r="BC408" s="235"/>
      <c r="BD408" s="236"/>
      <c r="BE408" s="235"/>
      <c r="BF408" s="235"/>
      <c r="BG408" s="235"/>
      <c r="BH408" s="235"/>
      <c r="BI408" s="236"/>
      <c r="BJ408" s="236"/>
      <c r="BK408" s="238"/>
      <c r="BL408" s="239"/>
      <c r="BM408" s="239"/>
      <c r="BN408" s="239"/>
      <c r="BP408" s="236"/>
      <c r="BQ408" s="236"/>
      <c r="BR408" s="236"/>
      <c r="BS408" s="236"/>
      <c r="BT408" s="236"/>
      <c r="BU408" s="236"/>
      <c r="BV408" s="236"/>
      <c r="BW408" s="236"/>
      <c r="BX408" s="236"/>
      <c r="BY408" s="236"/>
      <c r="BZ408" s="236"/>
      <c r="CA408" s="236"/>
      <c r="CB408" s="236"/>
      <c r="CC408" s="236"/>
      <c r="CD408" s="236"/>
      <c r="CE408" s="236"/>
      <c r="CF408" s="236"/>
      <c r="CG408" s="236"/>
      <c r="CH408" s="236"/>
      <c r="CI408" s="236"/>
      <c r="CJ408" s="236"/>
      <c r="CK408" s="236"/>
      <c r="CL408" s="236"/>
      <c r="CM408" s="236"/>
      <c r="CN408" s="236"/>
      <c r="CO408" s="236"/>
    </row>
    <row r="409" spans="5:93" s="230" customFormat="1">
      <c r="E409" s="234"/>
      <c r="F409" s="235"/>
      <c r="G409" s="235"/>
      <c r="H409" s="236"/>
      <c r="I409" s="235"/>
      <c r="J409" s="235"/>
      <c r="K409" s="235"/>
      <c r="L409" s="235"/>
      <c r="M409" s="236"/>
      <c r="N409" s="235"/>
      <c r="O409" s="235"/>
      <c r="P409" s="235"/>
      <c r="Q409" s="235"/>
      <c r="R409" s="235"/>
      <c r="S409" s="235"/>
      <c r="T409" s="235"/>
      <c r="U409" s="235"/>
      <c r="V409" s="235"/>
      <c r="W409" s="235"/>
      <c r="X409" s="235"/>
      <c r="Y409" s="235"/>
      <c r="Z409" s="235"/>
      <c r="AA409" s="235"/>
      <c r="AB409" s="235"/>
      <c r="AC409" s="235"/>
      <c r="AD409" s="235"/>
      <c r="AE409" s="236"/>
      <c r="AF409" s="235"/>
      <c r="AG409" s="235"/>
      <c r="AH409" s="235"/>
      <c r="AI409" s="235"/>
      <c r="AJ409" s="236"/>
      <c r="AK409" s="235"/>
      <c r="AL409" s="235"/>
      <c r="AM409" s="235"/>
      <c r="AN409" s="235"/>
      <c r="AO409" s="235"/>
      <c r="AP409" s="235"/>
      <c r="AQ409" s="235"/>
      <c r="AR409" s="235"/>
      <c r="AS409" s="235"/>
      <c r="AT409" s="235"/>
      <c r="AU409" s="236"/>
      <c r="AV409" s="235"/>
      <c r="AW409" s="235"/>
      <c r="AX409" s="235"/>
      <c r="AY409" s="235"/>
      <c r="AZ409" s="235"/>
      <c r="BA409" s="235"/>
      <c r="BB409" s="235"/>
      <c r="BC409" s="235"/>
      <c r="BD409" s="236"/>
      <c r="BE409" s="235"/>
      <c r="BF409" s="235"/>
      <c r="BG409" s="235"/>
      <c r="BH409" s="235"/>
      <c r="BI409" s="236"/>
      <c r="BJ409" s="236"/>
      <c r="BK409" s="238"/>
      <c r="BL409" s="239"/>
      <c r="BM409" s="239"/>
      <c r="BN409" s="239"/>
      <c r="BP409" s="236"/>
      <c r="BQ409" s="236"/>
      <c r="BR409" s="236"/>
      <c r="BS409" s="236"/>
      <c r="BT409" s="236"/>
      <c r="BU409" s="236"/>
      <c r="BV409" s="236"/>
      <c r="BW409" s="236"/>
      <c r="BX409" s="236"/>
      <c r="BY409" s="236"/>
      <c r="BZ409" s="236"/>
      <c r="CA409" s="236"/>
      <c r="CB409" s="236"/>
      <c r="CC409" s="236"/>
      <c r="CD409" s="236"/>
      <c r="CE409" s="236"/>
      <c r="CF409" s="236"/>
      <c r="CG409" s="236"/>
      <c r="CH409" s="236"/>
      <c r="CI409" s="236"/>
      <c r="CJ409" s="236"/>
      <c r="CK409" s="236"/>
      <c r="CL409" s="236"/>
      <c r="CM409" s="236"/>
      <c r="CN409" s="236"/>
      <c r="CO409" s="236"/>
    </row>
    <row r="410" spans="5:93" s="230" customFormat="1">
      <c r="E410" s="234"/>
      <c r="F410" s="235"/>
      <c r="G410" s="235"/>
      <c r="H410" s="236"/>
      <c r="I410" s="235"/>
      <c r="J410" s="235"/>
      <c r="K410" s="235"/>
      <c r="L410" s="235"/>
      <c r="M410" s="236"/>
      <c r="N410" s="235"/>
      <c r="O410" s="235"/>
      <c r="P410" s="235"/>
      <c r="Q410" s="235"/>
      <c r="R410" s="235"/>
      <c r="S410" s="235"/>
      <c r="T410" s="235"/>
      <c r="U410" s="235"/>
      <c r="V410" s="235"/>
      <c r="W410" s="235"/>
      <c r="X410" s="235"/>
      <c r="Y410" s="235"/>
      <c r="Z410" s="235"/>
      <c r="AA410" s="235"/>
      <c r="AB410" s="235"/>
      <c r="AC410" s="235"/>
      <c r="AD410" s="235"/>
      <c r="AE410" s="236"/>
      <c r="AF410" s="235"/>
      <c r="AG410" s="235"/>
      <c r="AH410" s="235"/>
      <c r="AI410" s="235"/>
      <c r="AJ410" s="236"/>
      <c r="AK410" s="235"/>
      <c r="AL410" s="235"/>
      <c r="AM410" s="235"/>
      <c r="AN410" s="235"/>
      <c r="AO410" s="235"/>
      <c r="AP410" s="235"/>
      <c r="AQ410" s="235"/>
      <c r="AR410" s="235"/>
      <c r="AS410" s="235"/>
      <c r="AT410" s="235"/>
      <c r="AU410" s="236"/>
      <c r="AV410" s="235"/>
      <c r="AW410" s="235"/>
      <c r="AX410" s="235"/>
      <c r="AY410" s="235"/>
      <c r="AZ410" s="235"/>
      <c r="BA410" s="235"/>
      <c r="BB410" s="235"/>
      <c r="BC410" s="235"/>
      <c r="BD410" s="236"/>
      <c r="BE410" s="235"/>
      <c r="BF410" s="235"/>
      <c r="BG410" s="235"/>
      <c r="BH410" s="235"/>
      <c r="BI410" s="236"/>
      <c r="BJ410" s="236"/>
      <c r="BK410" s="238"/>
      <c r="BL410" s="239"/>
      <c r="BM410" s="239"/>
      <c r="BN410" s="239"/>
      <c r="BP410" s="236"/>
      <c r="BQ410" s="236"/>
      <c r="BR410" s="236"/>
      <c r="BS410" s="236"/>
      <c r="BT410" s="236"/>
      <c r="BU410" s="236"/>
      <c r="BV410" s="236"/>
      <c r="BW410" s="236"/>
      <c r="BX410" s="236"/>
      <c r="BY410" s="236"/>
      <c r="BZ410" s="236"/>
      <c r="CA410" s="236"/>
      <c r="CB410" s="236"/>
      <c r="CC410" s="236"/>
      <c r="CD410" s="236"/>
      <c r="CE410" s="236"/>
      <c r="CF410" s="236"/>
      <c r="CG410" s="236"/>
      <c r="CH410" s="236"/>
      <c r="CI410" s="236"/>
      <c r="CJ410" s="236"/>
      <c r="CK410" s="236"/>
      <c r="CL410" s="236"/>
      <c r="CM410" s="236"/>
      <c r="CN410" s="236"/>
      <c r="CO410" s="236"/>
    </row>
    <row r="411" spans="5:93" s="230" customFormat="1">
      <c r="E411" s="234"/>
      <c r="F411" s="235"/>
      <c r="G411" s="235"/>
      <c r="H411" s="236"/>
      <c r="I411" s="235"/>
      <c r="J411" s="235"/>
      <c r="K411" s="235"/>
      <c r="L411" s="235"/>
      <c r="M411" s="236"/>
      <c r="N411" s="235"/>
      <c r="O411" s="235"/>
      <c r="P411" s="235"/>
      <c r="Q411" s="235"/>
      <c r="R411" s="235"/>
      <c r="S411" s="235"/>
      <c r="T411" s="235"/>
      <c r="U411" s="235"/>
      <c r="V411" s="235"/>
      <c r="W411" s="235"/>
      <c r="X411" s="235"/>
      <c r="Y411" s="235"/>
      <c r="Z411" s="235"/>
      <c r="AA411" s="235"/>
      <c r="AB411" s="235"/>
      <c r="AC411" s="235"/>
      <c r="AD411" s="235"/>
      <c r="AE411" s="236"/>
      <c r="AF411" s="235"/>
      <c r="AG411" s="235"/>
      <c r="AH411" s="235"/>
      <c r="AI411" s="235"/>
      <c r="AJ411" s="236"/>
      <c r="AK411" s="235"/>
      <c r="AL411" s="235"/>
      <c r="AM411" s="235"/>
      <c r="AN411" s="235"/>
      <c r="AO411" s="235"/>
      <c r="AP411" s="235"/>
      <c r="AQ411" s="235"/>
      <c r="AR411" s="235"/>
      <c r="AS411" s="235"/>
      <c r="AT411" s="235"/>
      <c r="AU411" s="236"/>
      <c r="AV411" s="235"/>
      <c r="AW411" s="235"/>
      <c r="AX411" s="235"/>
      <c r="AY411" s="235"/>
      <c r="AZ411" s="235"/>
      <c r="BA411" s="235"/>
      <c r="BB411" s="235"/>
      <c r="BC411" s="235"/>
      <c r="BD411" s="236"/>
      <c r="BE411" s="235"/>
      <c r="BF411" s="235"/>
      <c r="BG411" s="235"/>
      <c r="BH411" s="235"/>
      <c r="BI411" s="236"/>
      <c r="BJ411" s="236"/>
      <c r="BK411" s="238"/>
      <c r="BL411" s="239"/>
      <c r="BM411" s="239"/>
      <c r="BN411" s="239"/>
      <c r="BP411" s="236"/>
      <c r="BQ411" s="236"/>
      <c r="BR411" s="236"/>
      <c r="BS411" s="236"/>
      <c r="BT411" s="236"/>
      <c r="BU411" s="236"/>
      <c r="BV411" s="236"/>
      <c r="BW411" s="236"/>
      <c r="BX411" s="236"/>
      <c r="BY411" s="236"/>
      <c r="BZ411" s="236"/>
      <c r="CA411" s="236"/>
      <c r="CB411" s="236"/>
      <c r="CC411" s="236"/>
      <c r="CD411" s="236"/>
      <c r="CE411" s="236"/>
      <c r="CF411" s="236"/>
      <c r="CG411" s="236"/>
      <c r="CH411" s="236"/>
      <c r="CI411" s="236"/>
      <c r="CJ411" s="236"/>
      <c r="CK411" s="236"/>
      <c r="CL411" s="236"/>
      <c r="CM411" s="236"/>
      <c r="CN411" s="236"/>
      <c r="CO411" s="236"/>
    </row>
    <row r="412" spans="5:93" s="230" customFormat="1">
      <c r="E412" s="234"/>
      <c r="F412" s="235"/>
      <c r="G412" s="235"/>
      <c r="H412" s="236"/>
      <c r="I412" s="235"/>
      <c r="J412" s="235"/>
      <c r="K412" s="235"/>
      <c r="L412" s="235"/>
      <c r="M412" s="236"/>
      <c r="N412" s="235"/>
      <c r="O412" s="235"/>
      <c r="P412" s="235"/>
      <c r="Q412" s="235"/>
      <c r="R412" s="235"/>
      <c r="S412" s="235"/>
      <c r="T412" s="235"/>
      <c r="U412" s="235"/>
      <c r="V412" s="235"/>
      <c r="W412" s="235"/>
      <c r="X412" s="235"/>
      <c r="Y412" s="235"/>
      <c r="Z412" s="235"/>
      <c r="AA412" s="235"/>
      <c r="AB412" s="235"/>
      <c r="AC412" s="235"/>
      <c r="AD412" s="235"/>
      <c r="AE412" s="236"/>
      <c r="AF412" s="235"/>
      <c r="AG412" s="235"/>
      <c r="AH412" s="235"/>
      <c r="AI412" s="235"/>
      <c r="AJ412" s="236"/>
      <c r="AK412" s="235"/>
      <c r="AL412" s="235"/>
      <c r="AM412" s="235"/>
      <c r="AN412" s="235"/>
      <c r="AO412" s="235"/>
      <c r="AP412" s="235"/>
      <c r="AQ412" s="235"/>
      <c r="AR412" s="235"/>
      <c r="AS412" s="235"/>
      <c r="AT412" s="235"/>
      <c r="AU412" s="236"/>
      <c r="AV412" s="235"/>
      <c r="AW412" s="235"/>
      <c r="AX412" s="235"/>
      <c r="AY412" s="235"/>
      <c r="AZ412" s="235"/>
      <c r="BA412" s="235"/>
      <c r="BB412" s="235"/>
      <c r="BC412" s="235"/>
      <c r="BD412" s="236"/>
      <c r="BE412" s="235"/>
      <c r="BF412" s="235"/>
      <c r="BG412" s="235"/>
      <c r="BH412" s="235"/>
      <c r="BI412" s="236"/>
      <c r="BJ412" s="236"/>
      <c r="BK412" s="238"/>
      <c r="BL412" s="239"/>
      <c r="BM412" s="239"/>
      <c r="BN412" s="239"/>
      <c r="BP412" s="236"/>
      <c r="BQ412" s="236"/>
      <c r="BR412" s="236"/>
      <c r="BS412" s="236"/>
      <c r="BT412" s="236"/>
      <c r="BU412" s="236"/>
      <c r="BV412" s="236"/>
      <c r="BW412" s="236"/>
      <c r="BX412" s="236"/>
      <c r="BY412" s="236"/>
      <c r="BZ412" s="236"/>
      <c r="CA412" s="236"/>
      <c r="CB412" s="236"/>
      <c r="CC412" s="236"/>
      <c r="CD412" s="236"/>
      <c r="CE412" s="236"/>
      <c r="CF412" s="236"/>
      <c r="CG412" s="236"/>
      <c r="CH412" s="236"/>
      <c r="CI412" s="236"/>
      <c r="CJ412" s="236"/>
      <c r="CK412" s="236"/>
      <c r="CL412" s="236"/>
      <c r="CM412" s="236"/>
      <c r="CN412" s="236"/>
      <c r="CO412" s="236"/>
    </row>
    <row r="413" spans="5:93" s="230" customFormat="1">
      <c r="E413" s="234"/>
      <c r="F413" s="235"/>
      <c r="G413" s="235"/>
      <c r="H413" s="236"/>
      <c r="I413" s="235"/>
      <c r="J413" s="235"/>
      <c r="K413" s="235"/>
      <c r="L413" s="235"/>
      <c r="M413" s="236"/>
      <c r="N413" s="235"/>
      <c r="O413" s="235"/>
      <c r="P413" s="235"/>
      <c r="Q413" s="235"/>
      <c r="R413" s="235"/>
      <c r="S413" s="235"/>
      <c r="T413" s="235"/>
      <c r="U413" s="235"/>
      <c r="V413" s="235"/>
      <c r="W413" s="235"/>
      <c r="X413" s="235"/>
      <c r="Y413" s="235"/>
      <c r="Z413" s="235"/>
      <c r="AA413" s="235"/>
      <c r="AB413" s="235"/>
      <c r="AC413" s="235"/>
      <c r="AD413" s="235"/>
      <c r="AE413" s="236"/>
      <c r="AF413" s="235"/>
      <c r="AG413" s="235"/>
      <c r="AH413" s="235"/>
      <c r="AI413" s="235"/>
      <c r="AJ413" s="236"/>
      <c r="AK413" s="235"/>
      <c r="AL413" s="235"/>
      <c r="AM413" s="235"/>
      <c r="AN413" s="235"/>
      <c r="AO413" s="235"/>
      <c r="AP413" s="235"/>
      <c r="AQ413" s="235"/>
      <c r="AR413" s="235"/>
      <c r="AS413" s="235"/>
      <c r="AT413" s="235"/>
      <c r="AU413" s="236"/>
      <c r="AV413" s="235"/>
      <c r="AW413" s="235"/>
      <c r="AX413" s="235"/>
      <c r="AY413" s="235"/>
      <c r="AZ413" s="235"/>
      <c r="BA413" s="235"/>
      <c r="BB413" s="235"/>
      <c r="BC413" s="235"/>
      <c r="BD413" s="236"/>
      <c r="BE413" s="235"/>
      <c r="BF413" s="235"/>
      <c r="BG413" s="235"/>
      <c r="BH413" s="235"/>
      <c r="BI413" s="236"/>
      <c r="BJ413" s="236"/>
      <c r="BK413" s="238"/>
      <c r="BL413" s="239"/>
      <c r="BM413" s="239"/>
      <c r="BN413" s="239"/>
      <c r="BP413" s="236"/>
      <c r="BQ413" s="236"/>
      <c r="BR413" s="236"/>
      <c r="BS413" s="236"/>
      <c r="BT413" s="236"/>
      <c r="BU413" s="236"/>
      <c r="BV413" s="236"/>
      <c r="BW413" s="236"/>
      <c r="BX413" s="236"/>
      <c r="BY413" s="236"/>
      <c r="BZ413" s="236"/>
      <c r="CA413" s="236"/>
      <c r="CB413" s="236"/>
      <c r="CC413" s="236"/>
      <c r="CD413" s="236"/>
      <c r="CE413" s="236"/>
      <c r="CF413" s="236"/>
      <c r="CG413" s="236"/>
      <c r="CH413" s="236"/>
      <c r="CI413" s="236"/>
      <c r="CJ413" s="236"/>
      <c r="CK413" s="236"/>
      <c r="CL413" s="236"/>
      <c r="CM413" s="236"/>
      <c r="CN413" s="236"/>
      <c r="CO413" s="236"/>
    </row>
    <row r="414" spans="5:93" s="230" customFormat="1">
      <c r="E414" s="234"/>
      <c r="F414" s="235"/>
      <c r="G414" s="235"/>
      <c r="H414" s="236"/>
      <c r="I414" s="235"/>
      <c r="J414" s="235"/>
      <c r="K414" s="235"/>
      <c r="L414" s="235"/>
      <c r="M414" s="236"/>
      <c r="N414" s="235"/>
      <c r="O414" s="235"/>
      <c r="P414" s="235"/>
      <c r="Q414" s="235"/>
      <c r="R414" s="235"/>
      <c r="S414" s="235"/>
      <c r="T414" s="235"/>
      <c r="U414" s="235"/>
      <c r="V414" s="235"/>
      <c r="W414" s="235"/>
      <c r="X414" s="235"/>
      <c r="Y414" s="235"/>
      <c r="Z414" s="235"/>
      <c r="AA414" s="235"/>
      <c r="AB414" s="235"/>
      <c r="AC414" s="235"/>
      <c r="AD414" s="235"/>
      <c r="AE414" s="236"/>
      <c r="AF414" s="235"/>
      <c r="AG414" s="235"/>
      <c r="AH414" s="235"/>
      <c r="AI414" s="235"/>
      <c r="AJ414" s="236"/>
      <c r="AK414" s="235"/>
      <c r="AL414" s="235"/>
      <c r="AM414" s="235"/>
      <c r="AN414" s="235"/>
      <c r="AO414" s="235"/>
      <c r="AP414" s="235"/>
      <c r="AQ414" s="235"/>
      <c r="AR414" s="235"/>
      <c r="AS414" s="235"/>
      <c r="AT414" s="235"/>
      <c r="AU414" s="236"/>
      <c r="AV414" s="235"/>
      <c r="AW414" s="235"/>
      <c r="AX414" s="235"/>
      <c r="AY414" s="235"/>
      <c r="AZ414" s="235"/>
      <c r="BA414" s="235"/>
      <c r="BB414" s="235"/>
      <c r="BC414" s="235"/>
      <c r="BD414" s="236"/>
      <c r="BE414" s="235"/>
      <c r="BF414" s="235"/>
      <c r="BG414" s="235"/>
      <c r="BH414" s="235"/>
      <c r="BI414" s="236"/>
      <c r="BJ414" s="236"/>
      <c r="BK414" s="238"/>
      <c r="BL414" s="239"/>
      <c r="BM414" s="239"/>
      <c r="BN414" s="239"/>
      <c r="BP414" s="236"/>
      <c r="BQ414" s="236"/>
      <c r="BR414" s="236"/>
      <c r="BS414" s="236"/>
      <c r="BT414" s="236"/>
      <c r="BU414" s="236"/>
      <c r="BV414" s="236"/>
      <c r="BW414" s="236"/>
      <c r="BX414" s="236"/>
      <c r="BY414" s="236"/>
      <c r="BZ414" s="236"/>
      <c r="CA414" s="236"/>
      <c r="CB414" s="236"/>
      <c r="CC414" s="236"/>
      <c r="CD414" s="236"/>
      <c r="CE414" s="236"/>
      <c r="CF414" s="236"/>
      <c r="CG414" s="236"/>
      <c r="CH414" s="236"/>
      <c r="CI414" s="236"/>
      <c r="CJ414" s="236"/>
      <c r="CK414" s="236"/>
      <c r="CL414" s="236"/>
      <c r="CM414" s="236"/>
      <c r="CN414" s="236"/>
      <c r="CO414" s="236"/>
    </row>
    <row r="415" spans="5:93" s="230" customFormat="1">
      <c r="E415" s="234"/>
      <c r="F415" s="235"/>
      <c r="G415" s="235"/>
      <c r="H415" s="236"/>
      <c r="I415" s="235"/>
      <c r="J415" s="235"/>
      <c r="K415" s="235"/>
      <c r="L415" s="235"/>
      <c r="M415" s="236"/>
      <c r="N415" s="235"/>
      <c r="O415" s="235"/>
      <c r="P415" s="235"/>
      <c r="Q415" s="235"/>
      <c r="R415" s="235"/>
      <c r="S415" s="235"/>
      <c r="T415" s="235"/>
      <c r="U415" s="235"/>
      <c r="V415" s="235"/>
      <c r="W415" s="235"/>
      <c r="X415" s="235"/>
      <c r="Y415" s="235"/>
      <c r="Z415" s="235"/>
      <c r="AA415" s="235"/>
      <c r="AB415" s="235"/>
      <c r="AC415" s="235"/>
      <c r="AD415" s="235"/>
      <c r="AE415" s="236"/>
      <c r="AF415" s="235"/>
      <c r="AG415" s="235"/>
      <c r="AH415" s="235"/>
      <c r="AI415" s="235"/>
      <c r="AJ415" s="236"/>
      <c r="AK415" s="235"/>
      <c r="AL415" s="235"/>
      <c r="AM415" s="235"/>
      <c r="AN415" s="235"/>
      <c r="AO415" s="235"/>
      <c r="AP415" s="235"/>
      <c r="AQ415" s="235"/>
      <c r="AR415" s="235"/>
      <c r="AS415" s="235"/>
      <c r="AT415" s="235"/>
      <c r="AU415" s="236"/>
      <c r="AV415" s="235"/>
      <c r="AW415" s="235"/>
      <c r="AX415" s="235"/>
      <c r="AY415" s="235"/>
      <c r="AZ415" s="235"/>
      <c r="BA415" s="235"/>
      <c r="BB415" s="235"/>
      <c r="BC415" s="235"/>
      <c r="BD415" s="236"/>
      <c r="BE415" s="235"/>
      <c r="BF415" s="235"/>
      <c r="BG415" s="235"/>
      <c r="BH415" s="235"/>
      <c r="BI415" s="236"/>
      <c r="BJ415" s="236"/>
      <c r="BK415" s="238"/>
      <c r="BL415" s="239"/>
      <c r="BM415" s="239"/>
      <c r="BN415" s="239"/>
      <c r="BP415" s="236"/>
      <c r="BQ415" s="236"/>
      <c r="BR415" s="236"/>
      <c r="BS415" s="236"/>
      <c r="BT415" s="236"/>
      <c r="BU415" s="236"/>
      <c r="BV415" s="236"/>
      <c r="BW415" s="236"/>
      <c r="BX415" s="236"/>
      <c r="BY415" s="236"/>
      <c r="BZ415" s="236"/>
      <c r="CA415" s="236"/>
      <c r="CB415" s="236"/>
      <c r="CC415" s="236"/>
      <c r="CD415" s="236"/>
      <c r="CE415" s="236"/>
      <c r="CF415" s="236"/>
      <c r="CG415" s="236"/>
      <c r="CH415" s="236"/>
      <c r="CI415" s="236"/>
      <c r="CJ415" s="236"/>
      <c r="CK415" s="236"/>
      <c r="CL415" s="236"/>
      <c r="CM415" s="236"/>
      <c r="CN415" s="236"/>
      <c r="CO415" s="236"/>
    </row>
    <row r="416" spans="5:93" s="230" customFormat="1">
      <c r="E416" s="234"/>
      <c r="F416" s="235"/>
      <c r="G416" s="235"/>
      <c r="H416" s="236"/>
      <c r="I416" s="235"/>
      <c r="J416" s="235"/>
      <c r="K416" s="235"/>
      <c r="L416" s="235"/>
      <c r="M416" s="236"/>
      <c r="N416" s="235"/>
      <c r="O416" s="235"/>
      <c r="P416" s="235"/>
      <c r="Q416" s="235"/>
      <c r="R416" s="235"/>
      <c r="S416" s="235"/>
      <c r="T416" s="235"/>
      <c r="U416" s="235"/>
      <c r="V416" s="235"/>
      <c r="W416" s="235"/>
      <c r="X416" s="235"/>
      <c r="Y416" s="235"/>
      <c r="Z416" s="235"/>
      <c r="AA416" s="235"/>
      <c r="AB416" s="235"/>
      <c r="AC416" s="235"/>
      <c r="AD416" s="235"/>
      <c r="AE416" s="236"/>
      <c r="AF416" s="235"/>
      <c r="AG416" s="235"/>
      <c r="AH416" s="235"/>
      <c r="AI416" s="235"/>
      <c r="AJ416" s="236"/>
      <c r="AK416" s="235"/>
      <c r="AL416" s="235"/>
      <c r="AM416" s="235"/>
      <c r="AN416" s="235"/>
      <c r="AO416" s="235"/>
      <c r="AP416" s="235"/>
      <c r="AQ416" s="235"/>
      <c r="AR416" s="235"/>
      <c r="AS416" s="235"/>
      <c r="AT416" s="235"/>
      <c r="AU416" s="236"/>
      <c r="AV416" s="235"/>
      <c r="AW416" s="235"/>
      <c r="AX416" s="235"/>
      <c r="AY416" s="235"/>
      <c r="AZ416" s="235"/>
      <c r="BA416" s="235"/>
      <c r="BB416" s="235"/>
      <c r="BC416" s="235"/>
      <c r="BD416" s="236"/>
      <c r="BE416" s="235"/>
      <c r="BF416" s="235"/>
      <c r="BG416" s="235"/>
      <c r="BH416" s="235"/>
      <c r="BI416" s="236"/>
      <c r="BJ416" s="236"/>
      <c r="BK416" s="238"/>
      <c r="BL416" s="239"/>
      <c r="BM416" s="239"/>
      <c r="BN416" s="239"/>
      <c r="BP416" s="236"/>
      <c r="BQ416" s="236"/>
      <c r="BR416" s="236"/>
      <c r="BS416" s="236"/>
      <c r="BT416" s="236"/>
      <c r="BU416" s="236"/>
      <c r="BV416" s="236"/>
      <c r="BW416" s="236"/>
      <c r="BX416" s="236"/>
      <c r="BY416" s="236"/>
      <c r="BZ416" s="236"/>
      <c r="CA416" s="236"/>
      <c r="CB416" s="236"/>
      <c r="CC416" s="236"/>
      <c r="CD416" s="236"/>
      <c r="CE416" s="236"/>
      <c r="CF416" s="236"/>
      <c r="CG416" s="236"/>
      <c r="CH416" s="236"/>
      <c r="CI416" s="236"/>
      <c r="CJ416" s="236"/>
      <c r="CK416" s="236"/>
      <c r="CL416" s="236"/>
      <c r="CM416" s="236"/>
      <c r="CN416" s="236"/>
      <c r="CO416" s="236"/>
    </row>
    <row r="417" spans="5:93" s="230" customFormat="1">
      <c r="E417" s="234"/>
      <c r="F417" s="235"/>
      <c r="G417" s="235"/>
      <c r="H417" s="236"/>
      <c r="I417" s="235"/>
      <c r="J417" s="235"/>
      <c r="K417" s="235"/>
      <c r="L417" s="235"/>
      <c r="M417" s="236"/>
      <c r="N417" s="235"/>
      <c r="O417" s="235"/>
      <c r="P417" s="235"/>
      <c r="Q417" s="235"/>
      <c r="R417" s="235"/>
      <c r="S417" s="235"/>
      <c r="T417" s="235"/>
      <c r="U417" s="235"/>
      <c r="V417" s="235"/>
      <c r="W417" s="235"/>
      <c r="X417" s="235"/>
      <c r="Y417" s="235"/>
      <c r="Z417" s="235"/>
      <c r="AA417" s="235"/>
      <c r="AB417" s="235"/>
      <c r="AC417" s="235"/>
      <c r="AD417" s="235"/>
      <c r="AE417" s="236"/>
      <c r="AF417" s="235"/>
      <c r="AG417" s="235"/>
      <c r="AH417" s="235"/>
      <c r="AI417" s="235"/>
      <c r="AJ417" s="236"/>
      <c r="AK417" s="235"/>
      <c r="AL417" s="235"/>
      <c r="AM417" s="235"/>
      <c r="AN417" s="235"/>
      <c r="AO417" s="235"/>
      <c r="AP417" s="235"/>
      <c r="AQ417" s="235"/>
      <c r="AR417" s="235"/>
      <c r="AS417" s="235"/>
      <c r="AT417" s="235"/>
      <c r="AU417" s="236"/>
      <c r="AV417" s="235"/>
      <c r="AW417" s="235"/>
      <c r="AX417" s="235"/>
      <c r="AY417" s="235"/>
      <c r="AZ417" s="235"/>
      <c r="BA417" s="235"/>
      <c r="BB417" s="235"/>
      <c r="BC417" s="235"/>
      <c r="BD417" s="236"/>
      <c r="BE417" s="235"/>
      <c r="BF417" s="235"/>
      <c r="BG417" s="235"/>
      <c r="BH417" s="235"/>
      <c r="BI417" s="236"/>
      <c r="BJ417" s="236"/>
      <c r="BK417" s="238"/>
      <c r="BL417" s="239"/>
      <c r="BM417" s="239"/>
      <c r="BN417" s="239"/>
      <c r="BP417" s="236"/>
      <c r="BQ417" s="236"/>
      <c r="BR417" s="236"/>
      <c r="BS417" s="236"/>
      <c r="BT417" s="236"/>
      <c r="BU417" s="236"/>
      <c r="BV417" s="236"/>
      <c r="BW417" s="236"/>
      <c r="BX417" s="236"/>
      <c r="BY417" s="236"/>
      <c r="BZ417" s="236"/>
      <c r="CA417" s="236"/>
      <c r="CB417" s="236"/>
      <c r="CC417" s="236"/>
      <c r="CD417" s="236"/>
      <c r="CE417" s="236"/>
      <c r="CF417" s="236"/>
      <c r="CG417" s="236"/>
      <c r="CH417" s="236"/>
      <c r="CI417" s="236"/>
      <c r="CJ417" s="236"/>
      <c r="CK417" s="236"/>
      <c r="CL417" s="236"/>
      <c r="CM417" s="236"/>
      <c r="CN417" s="236"/>
      <c r="CO417" s="236"/>
    </row>
    <row r="418" spans="5:93" s="230" customFormat="1">
      <c r="E418" s="234"/>
      <c r="F418" s="235"/>
      <c r="G418" s="235"/>
      <c r="H418" s="236"/>
      <c r="I418" s="235"/>
      <c r="J418" s="235"/>
      <c r="K418" s="235"/>
      <c r="L418" s="235"/>
      <c r="M418" s="236"/>
      <c r="N418" s="235"/>
      <c r="O418" s="235"/>
      <c r="P418" s="235"/>
      <c r="Q418" s="235"/>
      <c r="R418" s="235"/>
      <c r="S418" s="235"/>
      <c r="T418" s="235"/>
      <c r="U418" s="235"/>
      <c r="V418" s="235"/>
      <c r="W418" s="235"/>
      <c r="X418" s="235"/>
      <c r="Y418" s="235"/>
      <c r="Z418" s="235"/>
      <c r="AA418" s="235"/>
      <c r="AB418" s="235"/>
      <c r="AC418" s="235"/>
      <c r="AD418" s="235"/>
      <c r="AE418" s="236"/>
      <c r="AF418" s="235"/>
      <c r="AG418" s="235"/>
      <c r="AH418" s="235"/>
      <c r="AI418" s="235"/>
      <c r="AJ418" s="236"/>
      <c r="AK418" s="235"/>
      <c r="AL418" s="235"/>
      <c r="AM418" s="235"/>
      <c r="AN418" s="235"/>
      <c r="AO418" s="235"/>
      <c r="AP418" s="235"/>
      <c r="AQ418" s="235"/>
      <c r="AR418" s="235"/>
      <c r="AS418" s="235"/>
      <c r="AT418" s="235"/>
      <c r="AU418" s="236"/>
      <c r="AV418" s="235"/>
      <c r="AW418" s="235"/>
      <c r="AX418" s="235"/>
      <c r="AY418" s="235"/>
      <c r="AZ418" s="235"/>
      <c r="BA418" s="235"/>
      <c r="BB418" s="235"/>
      <c r="BC418" s="235"/>
      <c r="BD418" s="236"/>
      <c r="BE418" s="235"/>
      <c r="BF418" s="235"/>
      <c r="BG418" s="235"/>
      <c r="BH418" s="235"/>
      <c r="BI418" s="236"/>
      <c r="BJ418" s="236"/>
      <c r="BK418" s="238"/>
      <c r="BL418" s="239"/>
      <c r="BM418" s="239"/>
      <c r="BN418" s="239"/>
      <c r="BP418" s="236"/>
      <c r="BQ418" s="236"/>
      <c r="BR418" s="236"/>
      <c r="BS418" s="236"/>
      <c r="BT418" s="236"/>
      <c r="BU418" s="236"/>
      <c r="BV418" s="236"/>
      <c r="BW418" s="236"/>
      <c r="BX418" s="236"/>
      <c r="BY418" s="236"/>
      <c r="BZ418" s="236"/>
      <c r="CA418" s="236"/>
      <c r="CB418" s="236"/>
      <c r="CC418" s="236"/>
      <c r="CD418" s="236"/>
      <c r="CE418" s="236"/>
      <c r="CF418" s="236"/>
      <c r="CG418" s="236"/>
      <c r="CH418" s="236"/>
      <c r="CI418" s="236"/>
      <c r="CJ418" s="236"/>
      <c r="CK418" s="236"/>
      <c r="CL418" s="236"/>
      <c r="CM418" s="236"/>
      <c r="CN418" s="236"/>
      <c r="CO418" s="236"/>
    </row>
    <row r="419" spans="5:93" s="230" customFormat="1">
      <c r="E419" s="234"/>
      <c r="F419" s="235"/>
      <c r="G419" s="235"/>
      <c r="H419" s="236"/>
      <c r="I419" s="235"/>
      <c r="J419" s="235"/>
      <c r="K419" s="235"/>
      <c r="L419" s="235"/>
      <c r="M419" s="236"/>
      <c r="N419" s="235"/>
      <c r="O419" s="235"/>
      <c r="P419" s="235"/>
      <c r="Q419" s="235"/>
      <c r="R419" s="235"/>
      <c r="S419" s="235"/>
      <c r="T419" s="235"/>
      <c r="U419" s="235"/>
      <c r="V419" s="235"/>
      <c r="W419" s="235"/>
      <c r="X419" s="235"/>
      <c r="Y419" s="235"/>
      <c r="Z419" s="235"/>
      <c r="AA419" s="235"/>
      <c r="AB419" s="235"/>
      <c r="AC419" s="235"/>
      <c r="AD419" s="235"/>
      <c r="AE419" s="236"/>
      <c r="AF419" s="235"/>
      <c r="AG419" s="235"/>
      <c r="AH419" s="235"/>
      <c r="AI419" s="235"/>
      <c r="AJ419" s="236"/>
      <c r="AK419" s="235"/>
      <c r="AL419" s="235"/>
      <c r="AM419" s="235"/>
      <c r="AN419" s="235"/>
      <c r="AO419" s="235"/>
      <c r="AP419" s="235"/>
      <c r="AQ419" s="235"/>
      <c r="AR419" s="235"/>
      <c r="AS419" s="235"/>
      <c r="AT419" s="235"/>
      <c r="AU419" s="236"/>
      <c r="AV419" s="235"/>
      <c r="AW419" s="235"/>
      <c r="AX419" s="235"/>
      <c r="AY419" s="235"/>
      <c r="AZ419" s="235"/>
      <c r="BA419" s="235"/>
      <c r="BB419" s="235"/>
      <c r="BC419" s="235"/>
      <c r="BD419" s="236"/>
      <c r="BE419" s="235"/>
      <c r="BF419" s="235"/>
      <c r="BG419" s="235"/>
      <c r="BH419" s="235"/>
      <c r="BI419" s="236"/>
      <c r="BJ419" s="236"/>
      <c r="BK419" s="238"/>
      <c r="BL419" s="239"/>
      <c r="BM419" s="239"/>
      <c r="BN419" s="239"/>
      <c r="BP419" s="236"/>
      <c r="BQ419" s="236"/>
      <c r="BR419" s="236"/>
      <c r="BS419" s="236"/>
      <c r="BT419" s="236"/>
      <c r="BU419" s="236"/>
      <c r="BV419" s="236"/>
      <c r="BW419" s="236"/>
      <c r="BX419" s="236"/>
      <c r="BY419" s="236"/>
      <c r="BZ419" s="236"/>
      <c r="CA419" s="236"/>
      <c r="CB419" s="236"/>
      <c r="CC419" s="236"/>
      <c r="CD419" s="236"/>
      <c r="CE419" s="236"/>
      <c r="CF419" s="236"/>
      <c r="CG419" s="236"/>
      <c r="CH419" s="236"/>
      <c r="CI419" s="236"/>
      <c r="CJ419" s="236"/>
      <c r="CK419" s="236"/>
      <c r="CL419" s="236"/>
      <c r="CM419" s="236"/>
      <c r="CN419" s="236"/>
      <c r="CO419" s="236"/>
    </row>
    <row r="420" spans="5:93" s="230" customFormat="1">
      <c r="E420" s="234"/>
      <c r="F420" s="235"/>
      <c r="G420" s="235"/>
      <c r="H420" s="236"/>
      <c r="I420" s="235"/>
      <c r="J420" s="235"/>
      <c r="K420" s="235"/>
      <c r="L420" s="235"/>
      <c r="M420" s="236"/>
      <c r="N420" s="235"/>
      <c r="O420" s="235"/>
      <c r="P420" s="235"/>
      <c r="Q420" s="235"/>
      <c r="R420" s="235"/>
      <c r="S420" s="235"/>
      <c r="T420" s="235"/>
      <c r="U420" s="235"/>
      <c r="V420" s="235"/>
      <c r="W420" s="235"/>
      <c r="X420" s="235"/>
      <c r="Y420" s="235"/>
      <c r="Z420" s="235"/>
      <c r="AA420" s="235"/>
      <c r="AB420" s="235"/>
      <c r="AC420" s="235"/>
      <c r="AD420" s="235"/>
      <c r="AE420" s="236"/>
      <c r="AF420" s="235"/>
      <c r="AG420" s="235"/>
      <c r="AH420" s="235"/>
      <c r="AI420" s="235"/>
      <c r="AJ420" s="236"/>
      <c r="AK420" s="235"/>
      <c r="AL420" s="235"/>
      <c r="AM420" s="235"/>
      <c r="AN420" s="235"/>
      <c r="AO420" s="235"/>
      <c r="AP420" s="235"/>
      <c r="AQ420" s="235"/>
      <c r="AR420" s="235"/>
      <c r="AS420" s="235"/>
      <c r="AT420" s="235"/>
      <c r="AU420" s="236"/>
      <c r="AV420" s="235"/>
      <c r="AW420" s="235"/>
      <c r="AX420" s="235"/>
      <c r="AY420" s="235"/>
      <c r="AZ420" s="235"/>
      <c r="BA420" s="235"/>
      <c r="BB420" s="235"/>
      <c r="BC420" s="235"/>
      <c r="BD420" s="236"/>
      <c r="BE420" s="235"/>
      <c r="BF420" s="235"/>
      <c r="BG420" s="235"/>
      <c r="BH420" s="235"/>
      <c r="BI420" s="236"/>
      <c r="BJ420" s="236"/>
      <c r="BK420" s="238"/>
      <c r="BL420" s="239"/>
      <c r="BM420" s="239"/>
      <c r="BN420" s="239"/>
      <c r="BP420" s="236"/>
      <c r="BQ420" s="236"/>
      <c r="BR420" s="236"/>
      <c r="BS420" s="236"/>
      <c r="BT420" s="236"/>
      <c r="BU420" s="236"/>
      <c r="BV420" s="236"/>
      <c r="BW420" s="236"/>
      <c r="BX420" s="236"/>
      <c r="BY420" s="236"/>
      <c r="BZ420" s="236"/>
      <c r="CA420" s="236"/>
      <c r="CB420" s="236"/>
      <c r="CC420" s="236"/>
      <c r="CD420" s="236"/>
      <c r="CE420" s="236"/>
      <c r="CF420" s="236"/>
      <c r="CG420" s="236"/>
      <c r="CH420" s="236"/>
      <c r="CI420" s="236"/>
      <c r="CJ420" s="236"/>
      <c r="CK420" s="236"/>
      <c r="CL420" s="236"/>
      <c r="CM420" s="236"/>
      <c r="CN420" s="236"/>
      <c r="CO420" s="236"/>
    </row>
    <row r="421" spans="5:93" s="230" customFormat="1">
      <c r="E421" s="234"/>
      <c r="F421" s="235"/>
      <c r="G421" s="235"/>
      <c r="H421" s="236"/>
      <c r="I421" s="235"/>
      <c r="J421" s="235"/>
      <c r="K421" s="235"/>
      <c r="L421" s="235"/>
      <c r="M421" s="236"/>
      <c r="N421" s="235"/>
      <c r="O421" s="235"/>
      <c r="P421" s="235"/>
      <c r="Q421" s="235"/>
      <c r="R421" s="235"/>
      <c r="S421" s="235"/>
      <c r="T421" s="235"/>
      <c r="U421" s="235"/>
      <c r="V421" s="235"/>
      <c r="W421" s="235"/>
      <c r="X421" s="235"/>
      <c r="Y421" s="235"/>
      <c r="Z421" s="235"/>
      <c r="AA421" s="235"/>
      <c r="AB421" s="235"/>
      <c r="AC421" s="235"/>
      <c r="AD421" s="235"/>
      <c r="AE421" s="236"/>
      <c r="AF421" s="235"/>
      <c r="AG421" s="235"/>
      <c r="AH421" s="235"/>
      <c r="AI421" s="235"/>
      <c r="AJ421" s="236"/>
      <c r="AK421" s="235"/>
      <c r="AL421" s="235"/>
      <c r="AM421" s="235"/>
      <c r="AN421" s="235"/>
      <c r="AO421" s="235"/>
      <c r="AP421" s="235"/>
      <c r="AQ421" s="235"/>
      <c r="AR421" s="235"/>
      <c r="AS421" s="235"/>
      <c r="AT421" s="235"/>
      <c r="AU421" s="236"/>
      <c r="AV421" s="235"/>
      <c r="AW421" s="235"/>
      <c r="AX421" s="235"/>
      <c r="AY421" s="235"/>
      <c r="AZ421" s="235"/>
      <c r="BA421" s="235"/>
      <c r="BB421" s="235"/>
      <c r="BC421" s="235"/>
      <c r="BD421" s="236"/>
      <c r="BE421" s="235"/>
      <c r="BF421" s="235"/>
      <c r="BG421" s="235"/>
      <c r="BH421" s="235"/>
      <c r="BI421" s="236"/>
      <c r="BJ421" s="236"/>
      <c r="BK421" s="238"/>
      <c r="BL421" s="239"/>
      <c r="BM421" s="239"/>
      <c r="BN421" s="239"/>
      <c r="BP421" s="236"/>
      <c r="BQ421" s="236"/>
      <c r="BR421" s="236"/>
      <c r="BS421" s="236"/>
      <c r="BT421" s="236"/>
      <c r="BU421" s="236"/>
      <c r="BV421" s="236"/>
      <c r="BW421" s="236"/>
      <c r="BX421" s="236"/>
      <c r="BY421" s="236"/>
      <c r="BZ421" s="236"/>
      <c r="CA421" s="236"/>
      <c r="CB421" s="236"/>
      <c r="CC421" s="236"/>
      <c r="CD421" s="236"/>
      <c r="CE421" s="236"/>
      <c r="CF421" s="236"/>
      <c r="CG421" s="236"/>
      <c r="CH421" s="236"/>
      <c r="CI421" s="236"/>
      <c r="CJ421" s="236"/>
      <c r="CK421" s="236"/>
      <c r="CL421" s="236"/>
      <c r="CM421" s="236"/>
      <c r="CN421" s="236"/>
      <c r="CO421" s="236"/>
    </row>
    <row r="422" spans="5:93" s="230" customFormat="1">
      <c r="E422" s="234"/>
      <c r="F422" s="235"/>
      <c r="G422" s="235"/>
      <c r="H422" s="236"/>
      <c r="I422" s="235"/>
      <c r="J422" s="235"/>
      <c r="K422" s="235"/>
      <c r="L422" s="235"/>
      <c r="M422" s="236"/>
      <c r="N422" s="235"/>
      <c r="O422" s="235"/>
      <c r="P422" s="235"/>
      <c r="Q422" s="235"/>
      <c r="R422" s="235"/>
      <c r="S422" s="235"/>
      <c r="T422" s="235"/>
      <c r="U422" s="235"/>
      <c r="V422" s="235"/>
      <c r="W422" s="235"/>
      <c r="X422" s="235"/>
      <c r="Y422" s="235"/>
      <c r="Z422" s="235"/>
      <c r="AA422" s="235"/>
      <c r="AB422" s="235"/>
      <c r="AC422" s="235"/>
      <c r="AD422" s="235"/>
      <c r="AE422" s="236"/>
      <c r="AF422" s="235"/>
      <c r="AG422" s="235"/>
      <c r="AH422" s="235"/>
      <c r="AI422" s="235"/>
      <c r="AJ422" s="236"/>
      <c r="AK422" s="235"/>
      <c r="AL422" s="235"/>
      <c r="AM422" s="235"/>
      <c r="AN422" s="235"/>
      <c r="AO422" s="235"/>
      <c r="AP422" s="235"/>
      <c r="AQ422" s="235"/>
      <c r="AR422" s="235"/>
      <c r="AS422" s="235"/>
      <c r="AT422" s="235"/>
      <c r="AU422" s="236"/>
      <c r="AV422" s="235"/>
      <c r="AW422" s="235"/>
      <c r="AX422" s="235"/>
      <c r="AY422" s="235"/>
      <c r="AZ422" s="235"/>
      <c r="BA422" s="235"/>
      <c r="BB422" s="235"/>
      <c r="BC422" s="235"/>
      <c r="BD422" s="236"/>
      <c r="BE422" s="235"/>
      <c r="BF422" s="235"/>
      <c r="BG422" s="235"/>
      <c r="BH422" s="235"/>
      <c r="BI422" s="236"/>
      <c r="BJ422" s="236"/>
      <c r="BK422" s="238"/>
      <c r="BL422" s="239"/>
      <c r="BM422" s="239"/>
      <c r="BN422" s="239"/>
      <c r="BP422" s="236"/>
      <c r="BQ422" s="236"/>
      <c r="BR422" s="236"/>
      <c r="BS422" s="236"/>
      <c r="BT422" s="236"/>
      <c r="BU422" s="236"/>
      <c r="BV422" s="236"/>
      <c r="BW422" s="236"/>
      <c r="BX422" s="236"/>
      <c r="BY422" s="236"/>
      <c r="BZ422" s="236"/>
      <c r="CA422" s="236"/>
      <c r="CB422" s="236"/>
      <c r="CC422" s="236"/>
      <c r="CD422" s="236"/>
      <c r="CE422" s="236"/>
      <c r="CF422" s="236"/>
      <c r="CG422" s="236"/>
      <c r="CH422" s="236"/>
      <c r="CI422" s="236"/>
      <c r="CJ422" s="236"/>
      <c r="CK422" s="236"/>
      <c r="CL422" s="236"/>
      <c r="CM422" s="236"/>
      <c r="CN422" s="236"/>
      <c r="CO422" s="236"/>
    </row>
    <row r="423" spans="5:93" s="230" customFormat="1">
      <c r="E423" s="234"/>
      <c r="F423" s="235"/>
      <c r="G423" s="235"/>
      <c r="H423" s="236"/>
      <c r="I423" s="235"/>
      <c r="J423" s="235"/>
      <c r="K423" s="235"/>
      <c r="L423" s="235"/>
      <c r="M423" s="236"/>
      <c r="N423" s="235"/>
      <c r="O423" s="235"/>
      <c r="P423" s="235"/>
      <c r="Q423" s="235"/>
      <c r="R423" s="235"/>
      <c r="S423" s="235"/>
      <c r="T423" s="235"/>
      <c r="U423" s="235"/>
      <c r="V423" s="235"/>
      <c r="W423" s="235"/>
      <c r="X423" s="235"/>
      <c r="Y423" s="235"/>
      <c r="Z423" s="235"/>
      <c r="AA423" s="235"/>
      <c r="AB423" s="235"/>
      <c r="AC423" s="235"/>
      <c r="AD423" s="235"/>
      <c r="AE423" s="236"/>
      <c r="AF423" s="235"/>
      <c r="AG423" s="235"/>
      <c r="AH423" s="235"/>
      <c r="AI423" s="235"/>
      <c r="AJ423" s="236"/>
      <c r="AK423" s="235"/>
      <c r="AL423" s="235"/>
      <c r="AM423" s="235"/>
      <c r="AN423" s="235"/>
      <c r="AO423" s="235"/>
      <c r="AP423" s="235"/>
      <c r="AQ423" s="235"/>
      <c r="AR423" s="235"/>
      <c r="AS423" s="235"/>
      <c r="AT423" s="235"/>
      <c r="AU423" s="236"/>
      <c r="AV423" s="235"/>
      <c r="AW423" s="235"/>
      <c r="AX423" s="235"/>
      <c r="AY423" s="235"/>
      <c r="AZ423" s="235"/>
      <c r="BA423" s="235"/>
      <c r="BB423" s="235"/>
      <c r="BC423" s="235"/>
      <c r="BD423" s="236"/>
      <c r="BE423" s="235"/>
      <c r="BF423" s="235"/>
      <c r="BG423" s="235"/>
      <c r="BH423" s="235"/>
      <c r="BI423" s="236"/>
      <c r="BJ423" s="236"/>
      <c r="BK423" s="238"/>
      <c r="BL423" s="239"/>
      <c r="BM423" s="239"/>
      <c r="BN423" s="239"/>
      <c r="BP423" s="236"/>
      <c r="BQ423" s="236"/>
      <c r="BR423" s="236"/>
      <c r="BS423" s="236"/>
      <c r="BT423" s="236"/>
      <c r="BU423" s="236"/>
      <c r="BV423" s="236"/>
      <c r="BW423" s="236"/>
      <c r="BX423" s="236"/>
      <c r="BY423" s="236"/>
      <c r="BZ423" s="236"/>
      <c r="CA423" s="236"/>
      <c r="CB423" s="236"/>
      <c r="CC423" s="236"/>
      <c r="CD423" s="236"/>
      <c r="CE423" s="236"/>
      <c r="CF423" s="236"/>
      <c r="CG423" s="236"/>
      <c r="CH423" s="236"/>
      <c r="CI423" s="236"/>
      <c r="CJ423" s="236"/>
      <c r="CK423" s="236"/>
      <c r="CL423" s="236"/>
      <c r="CM423" s="236"/>
      <c r="CN423" s="236"/>
      <c r="CO423" s="236"/>
    </row>
    <row r="424" spans="5:93" s="230" customFormat="1">
      <c r="E424" s="234"/>
      <c r="F424" s="235"/>
      <c r="G424" s="235"/>
      <c r="H424" s="236"/>
      <c r="I424" s="235"/>
      <c r="J424" s="235"/>
      <c r="K424" s="235"/>
      <c r="L424" s="235"/>
      <c r="M424" s="236"/>
      <c r="N424" s="235"/>
      <c r="O424" s="235"/>
      <c r="P424" s="235"/>
      <c r="Q424" s="235"/>
      <c r="R424" s="235"/>
      <c r="S424" s="235"/>
      <c r="T424" s="235"/>
      <c r="U424" s="235"/>
      <c r="V424" s="235"/>
      <c r="W424" s="235"/>
      <c r="X424" s="235"/>
      <c r="Y424" s="235"/>
      <c r="Z424" s="235"/>
      <c r="AA424" s="235"/>
      <c r="AB424" s="235"/>
      <c r="AC424" s="235"/>
      <c r="AD424" s="235"/>
      <c r="AE424" s="236"/>
      <c r="AF424" s="235"/>
      <c r="AG424" s="235"/>
      <c r="AH424" s="235"/>
      <c r="AI424" s="235"/>
      <c r="AJ424" s="236"/>
      <c r="AK424" s="235"/>
      <c r="AL424" s="235"/>
      <c r="AM424" s="235"/>
      <c r="AN424" s="235"/>
      <c r="AO424" s="235"/>
      <c r="AP424" s="235"/>
      <c r="AQ424" s="235"/>
      <c r="AR424" s="235"/>
      <c r="AS424" s="235"/>
      <c r="AT424" s="235"/>
      <c r="AU424" s="236"/>
      <c r="AV424" s="235"/>
      <c r="AW424" s="235"/>
      <c r="AX424" s="235"/>
      <c r="AY424" s="235"/>
      <c r="AZ424" s="235"/>
      <c r="BA424" s="235"/>
      <c r="BB424" s="235"/>
      <c r="BC424" s="235"/>
      <c r="BD424" s="236"/>
      <c r="BE424" s="235"/>
      <c r="BF424" s="235"/>
      <c r="BG424" s="235"/>
      <c r="BH424" s="235"/>
      <c r="BI424" s="236"/>
      <c r="BJ424" s="236"/>
      <c r="BK424" s="238"/>
      <c r="BL424" s="239"/>
      <c r="BM424" s="239"/>
      <c r="BN424" s="239"/>
      <c r="BP424" s="236"/>
      <c r="BQ424" s="236"/>
      <c r="BR424" s="236"/>
      <c r="BS424" s="236"/>
      <c r="BT424" s="236"/>
      <c r="BU424" s="236"/>
      <c r="BV424" s="236"/>
      <c r="BW424" s="236"/>
      <c r="BX424" s="236"/>
      <c r="BY424" s="236"/>
      <c r="BZ424" s="236"/>
      <c r="CA424" s="236"/>
      <c r="CB424" s="236"/>
      <c r="CC424" s="236"/>
      <c r="CD424" s="236"/>
      <c r="CE424" s="236"/>
      <c r="CF424" s="236"/>
      <c r="CG424" s="236"/>
      <c r="CH424" s="236"/>
      <c r="CI424" s="236"/>
      <c r="CJ424" s="236"/>
      <c r="CK424" s="236"/>
      <c r="CL424" s="236"/>
      <c r="CM424" s="236"/>
      <c r="CN424" s="236"/>
      <c r="CO424" s="236"/>
    </row>
    <row r="425" spans="5:93" s="230" customFormat="1">
      <c r="E425" s="234"/>
      <c r="F425" s="235"/>
      <c r="G425" s="235"/>
      <c r="H425" s="236"/>
      <c r="I425" s="235"/>
      <c r="J425" s="235"/>
      <c r="K425" s="235"/>
      <c r="L425" s="235"/>
      <c r="M425" s="236"/>
      <c r="N425" s="235"/>
      <c r="O425" s="235"/>
      <c r="P425" s="235"/>
      <c r="Q425" s="235"/>
      <c r="R425" s="235"/>
      <c r="S425" s="235"/>
      <c r="T425" s="235"/>
      <c r="U425" s="235"/>
      <c r="V425" s="235"/>
      <c r="W425" s="235"/>
      <c r="X425" s="235"/>
      <c r="Y425" s="235"/>
      <c r="Z425" s="235"/>
      <c r="AA425" s="235"/>
      <c r="AB425" s="235"/>
      <c r="AC425" s="235"/>
      <c r="AD425" s="235"/>
      <c r="AE425" s="236"/>
      <c r="AF425" s="235"/>
      <c r="AG425" s="235"/>
      <c r="AH425" s="235"/>
      <c r="AI425" s="235"/>
      <c r="AJ425" s="236"/>
      <c r="AK425" s="235"/>
      <c r="AL425" s="235"/>
      <c r="AM425" s="235"/>
      <c r="AN425" s="235"/>
      <c r="AO425" s="235"/>
      <c r="AP425" s="235"/>
      <c r="AQ425" s="235"/>
      <c r="AR425" s="235"/>
      <c r="AS425" s="235"/>
      <c r="AT425" s="235"/>
      <c r="AU425" s="236"/>
      <c r="AV425" s="235"/>
      <c r="AW425" s="235"/>
      <c r="AX425" s="235"/>
      <c r="AY425" s="235"/>
      <c r="AZ425" s="235"/>
      <c r="BA425" s="235"/>
      <c r="BB425" s="235"/>
      <c r="BC425" s="235"/>
      <c r="BD425" s="236"/>
      <c r="BE425" s="235"/>
      <c r="BF425" s="235"/>
      <c r="BG425" s="235"/>
      <c r="BH425" s="235"/>
      <c r="BI425" s="236"/>
      <c r="BJ425" s="236"/>
      <c r="BK425" s="238"/>
      <c r="BL425" s="239"/>
      <c r="BM425" s="239"/>
      <c r="BN425" s="239"/>
      <c r="BP425" s="236"/>
      <c r="BQ425" s="236"/>
      <c r="BR425" s="236"/>
      <c r="BS425" s="236"/>
      <c r="BT425" s="236"/>
      <c r="BU425" s="236"/>
      <c r="BV425" s="236"/>
      <c r="BW425" s="236"/>
      <c r="BX425" s="236"/>
      <c r="BY425" s="236"/>
      <c r="BZ425" s="236"/>
      <c r="CA425" s="236"/>
      <c r="CB425" s="236"/>
      <c r="CC425" s="236"/>
      <c r="CD425" s="236"/>
      <c r="CE425" s="236"/>
      <c r="CF425" s="236"/>
      <c r="CG425" s="236"/>
      <c r="CH425" s="236"/>
      <c r="CI425" s="236"/>
      <c r="CJ425" s="236"/>
      <c r="CK425" s="236"/>
      <c r="CL425" s="236"/>
      <c r="CM425" s="236"/>
      <c r="CN425" s="236"/>
      <c r="CO425" s="236"/>
    </row>
    <row r="426" spans="5:93" s="230" customFormat="1">
      <c r="E426" s="234"/>
      <c r="F426" s="235"/>
      <c r="G426" s="235"/>
      <c r="H426" s="236"/>
      <c r="I426" s="235"/>
      <c r="J426" s="235"/>
      <c r="K426" s="235"/>
      <c r="L426" s="235"/>
      <c r="M426" s="236"/>
      <c r="N426" s="235"/>
      <c r="O426" s="235"/>
      <c r="P426" s="235"/>
      <c r="Q426" s="235"/>
      <c r="R426" s="235"/>
      <c r="S426" s="235"/>
      <c r="T426" s="235"/>
      <c r="U426" s="235"/>
      <c r="V426" s="235"/>
      <c r="W426" s="235"/>
      <c r="X426" s="235"/>
      <c r="Y426" s="235"/>
      <c r="Z426" s="235"/>
      <c r="AA426" s="235"/>
      <c r="AB426" s="235"/>
      <c r="AC426" s="235"/>
      <c r="AD426" s="235"/>
      <c r="AE426" s="236"/>
      <c r="AF426" s="235"/>
      <c r="AG426" s="235"/>
      <c r="AH426" s="235"/>
      <c r="AI426" s="235"/>
      <c r="AJ426" s="236"/>
      <c r="AK426" s="235"/>
      <c r="AL426" s="235"/>
      <c r="AM426" s="235"/>
      <c r="AN426" s="235"/>
      <c r="AO426" s="235"/>
      <c r="AP426" s="235"/>
      <c r="AQ426" s="235"/>
      <c r="AR426" s="235"/>
      <c r="AS426" s="235"/>
      <c r="AT426" s="235"/>
      <c r="AU426" s="236"/>
      <c r="AV426" s="235"/>
      <c r="AW426" s="235"/>
      <c r="AX426" s="235"/>
      <c r="AY426" s="235"/>
      <c r="AZ426" s="235"/>
      <c r="BA426" s="235"/>
      <c r="BB426" s="235"/>
      <c r="BC426" s="235"/>
      <c r="BD426" s="236"/>
      <c r="BE426" s="235"/>
      <c r="BF426" s="235"/>
      <c r="BG426" s="235"/>
      <c r="BH426" s="235"/>
      <c r="BI426" s="236"/>
      <c r="BJ426" s="236"/>
      <c r="BK426" s="238"/>
      <c r="BL426" s="239"/>
      <c r="BM426" s="239"/>
      <c r="BN426" s="239"/>
      <c r="BP426" s="236"/>
      <c r="BQ426" s="236"/>
      <c r="BR426" s="236"/>
      <c r="BS426" s="236"/>
      <c r="BT426" s="236"/>
      <c r="BU426" s="236"/>
      <c r="BV426" s="236"/>
      <c r="BW426" s="236"/>
      <c r="BX426" s="236"/>
      <c r="BY426" s="236"/>
      <c r="BZ426" s="236"/>
      <c r="CA426" s="236"/>
      <c r="CB426" s="236"/>
      <c r="CC426" s="236"/>
      <c r="CD426" s="236"/>
      <c r="CE426" s="236"/>
      <c r="CF426" s="236"/>
      <c r="CG426" s="236"/>
      <c r="CH426" s="236"/>
      <c r="CI426" s="236"/>
      <c r="CJ426" s="236"/>
      <c r="CK426" s="236"/>
      <c r="CL426" s="236"/>
      <c r="CM426" s="236"/>
      <c r="CN426" s="236"/>
      <c r="CO426" s="236"/>
    </row>
    <row r="427" spans="5:93" s="230" customFormat="1">
      <c r="E427" s="234"/>
      <c r="F427" s="235"/>
      <c r="G427" s="235"/>
      <c r="H427" s="236"/>
      <c r="I427" s="235"/>
      <c r="J427" s="235"/>
      <c r="K427" s="235"/>
      <c r="L427" s="235"/>
      <c r="M427" s="236"/>
      <c r="N427" s="235"/>
      <c r="O427" s="235"/>
      <c r="P427" s="235"/>
      <c r="Q427" s="235"/>
      <c r="R427" s="235"/>
      <c r="S427" s="235"/>
      <c r="T427" s="235"/>
      <c r="U427" s="235"/>
      <c r="V427" s="235"/>
      <c r="W427" s="235"/>
      <c r="X427" s="235"/>
      <c r="Y427" s="235"/>
      <c r="Z427" s="235"/>
      <c r="AA427" s="235"/>
      <c r="AB427" s="235"/>
      <c r="AC427" s="235"/>
      <c r="AD427" s="235"/>
      <c r="AE427" s="236"/>
      <c r="AF427" s="235"/>
      <c r="AG427" s="235"/>
      <c r="AH427" s="235"/>
      <c r="AI427" s="235"/>
      <c r="AJ427" s="236"/>
      <c r="AK427" s="235"/>
      <c r="AL427" s="235"/>
      <c r="AM427" s="235"/>
      <c r="AN427" s="235"/>
      <c r="AO427" s="235"/>
      <c r="AP427" s="235"/>
      <c r="AQ427" s="235"/>
      <c r="AR427" s="235"/>
      <c r="AS427" s="235"/>
      <c r="AT427" s="235"/>
      <c r="AU427" s="236"/>
      <c r="AV427" s="235"/>
      <c r="AW427" s="235"/>
      <c r="AX427" s="235"/>
      <c r="AY427" s="235"/>
      <c r="AZ427" s="235"/>
      <c r="BA427" s="235"/>
      <c r="BB427" s="235"/>
      <c r="BC427" s="235"/>
      <c r="BD427" s="236"/>
      <c r="BE427" s="235"/>
      <c r="BF427" s="235"/>
      <c r="BG427" s="235"/>
      <c r="BH427" s="235"/>
      <c r="BI427" s="236"/>
      <c r="BJ427" s="236"/>
      <c r="BK427" s="238"/>
      <c r="BL427" s="239"/>
      <c r="BM427" s="239"/>
      <c r="BN427" s="239"/>
      <c r="BP427" s="236"/>
      <c r="BQ427" s="236"/>
      <c r="BR427" s="236"/>
      <c r="BS427" s="236"/>
      <c r="BT427" s="236"/>
      <c r="BU427" s="236"/>
      <c r="BV427" s="236"/>
      <c r="BW427" s="236"/>
      <c r="BX427" s="236"/>
      <c r="BY427" s="236"/>
      <c r="BZ427" s="236"/>
      <c r="CA427" s="236"/>
      <c r="CB427" s="236"/>
      <c r="CC427" s="236"/>
      <c r="CD427" s="236"/>
      <c r="CE427" s="236"/>
      <c r="CF427" s="236"/>
      <c r="CG427" s="236"/>
      <c r="CH427" s="236"/>
      <c r="CI427" s="236"/>
      <c r="CJ427" s="236"/>
      <c r="CK427" s="236"/>
      <c r="CL427" s="236"/>
      <c r="CM427" s="236"/>
      <c r="CN427" s="236"/>
      <c r="CO427" s="236"/>
    </row>
    <row r="428" spans="5:93" s="230" customFormat="1">
      <c r="E428" s="234"/>
      <c r="F428" s="235"/>
      <c r="G428" s="235"/>
      <c r="H428" s="236"/>
      <c r="I428" s="235"/>
      <c r="J428" s="235"/>
      <c r="K428" s="235"/>
      <c r="L428" s="235"/>
      <c r="M428" s="236"/>
      <c r="N428" s="235"/>
      <c r="O428" s="235"/>
      <c r="P428" s="235"/>
      <c r="Q428" s="235"/>
      <c r="R428" s="235"/>
      <c r="S428" s="235"/>
      <c r="T428" s="235"/>
      <c r="U428" s="235"/>
      <c r="V428" s="235"/>
      <c r="W428" s="235"/>
      <c r="X428" s="235"/>
      <c r="Y428" s="235"/>
      <c r="Z428" s="235"/>
      <c r="AA428" s="235"/>
      <c r="AB428" s="235"/>
      <c r="AC428" s="235"/>
      <c r="AD428" s="235"/>
      <c r="AE428" s="236"/>
      <c r="AF428" s="235"/>
      <c r="AG428" s="235"/>
      <c r="AH428" s="235"/>
      <c r="AI428" s="235"/>
      <c r="AJ428" s="236"/>
      <c r="AK428" s="235"/>
      <c r="AL428" s="235"/>
      <c r="AM428" s="235"/>
      <c r="AN428" s="235"/>
      <c r="AO428" s="235"/>
      <c r="AP428" s="235"/>
      <c r="AQ428" s="235"/>
      <c r="AR428" s="235"/>
      <c r="AS428" s="235"/>
      <c r="AT428" s="235"/>
      <c r="AU428" s="236"/>
      <c r="AV428" s="235"/>
      <c r="AW428" s="235"/>
      <c r="AX428" s="235"/>
      <c r="AY428" s="235"/>
      <c r="AZ428" s="235"/>
      <c r="BA428" s="235"/>
      <c r="BB428" s="235"/>
      <c r="BC428" s="235"/>
      <c r="BD428" s="236"/>
      <c r="BE428" s="235"/>
      <c r="BF428" s="235"/>
      <c r="BG428" s="235"/>
      <c r="BH428" s="235"/>
      <c r="BI428" s="236"/>
      <c r="BJ428" s="236"/>
      <c r="BK428" s="238"/>
      <c r="BL428" s="239"/>
      <c r="BM428" s="239"/>
      <c r="BN428" s="239"/>
      <c r="BP428" s="236"/>
      <c r="BQ428" s="236"/>
      <c r="BR428" s="236"/>
      <c r="BS428" s="236"/>
      <c r="BT428" s="236"/>
      <c r="BU428" s="236"/>
      <c r="BV428" s="236"/>
      <c r="BW428" s="236"/>
      <c r="BX428" s="236"/>
      <c r="BY428" s="236"/>
      <c r="BZ428" s="236"/>
      <c r="CA428" s="236"/>
      <c r="CB428" s="236"/>
      <c r="CC428" s="236"/>
      <c r="CD428" s="236"/>
      <c r="CE428" s="236"/>
      <c r="CF428" s="236"/>
      <c r="CG428" s="236"/>
      <c r="CH428" s="236"/>
      <c r="CI428" s="236"/>
      <c r="CJ428" s="236"/>
      <c r="CK428" s="236"/>
      <c r="CL428" s="236"/>
      <c r="CM428" s="236"/>
      <c r="CN428" s="236"/>
      <c r="CO428" s="236"/>
    </row>
    <row r="429" spans="5:93" s="230" customFormat="1">
      <c r="E429" s="234"/>
      <c r="F429" s="235"/>
      <c r="G429" s="235"/>
      <c r="H429" s="236"/>
      <c r="I429" s="235"/>
      <c r="J429" s="235"/>
      <c r="K429" s="235"/>
      <c r="L429" s="235"/>
      <c r="M429" s="236"/>
      <c r="N429" s="235"/>
      <c r="O429" s="235"/>
      <c r="P429" s="235"/>
      <c r="Q429" s="235"/>
      <c r="R429" s="235"/>
      <c r="S429" s="235"/>
      <c r="T429" s="235"/>
      <c r="U429" s="235"/>
      <c r="V429" s="235"/>
      <c r="W429" s="235"/>
      <c r="X429" s="235"/>
      <c r="Y429" s="235"/>
      <c r="Z429" s="235"/>
      <c r="AA429" s="235"/>
      <c r="AB429" s="235"/>
      <c r="AC429" s="235"/>
      <c r="AD429" s="235"/>
      <c r="AE429" s="236"/>
      <c r="AF429" s="235"/>
      <c r="AG429" s="235"/>
      <c r="AH429" s="235"/>
      <c r="AI429" s="235"/>
      <c r="AJ429" s="236"/>
      <c r="AK429" s="235"/>
      <c r="AL429" s="235"/>
      <c r="AM429" s="235"/>
      <c r="AN429" s="235"/>
      <c r="AO429" s="235"/>
      <c r="AP429" s="235"/>
      <c r="AQ429" s="235"/>
      <c r="AR429" s="235"/>
      <c r="AS429" s="235"/>
      <c r="AT429" s="235"/>
      <c r="AU429" s="236"/>
      <c r="AV429" s="235"/>
      <c r="AW429" s="235"/>
      <c r="AX429" s="235"/>
      <c r="AY429" s="235"/>
      <c r="AZ429" s="235"/>
      <c r="BA429" s="235"/>
      <c r="BB429" s="235"/>
      <c r="BC429" s="235"/>
      <c r="BD429" s="236"/>
      <c r="BE429" s="235"/>
      <c r="BF429" s="235"/>
      <c r="BG429" s="235"/>
      <c r="BH429" s="235"/>
      <c r="BI429" s="236"/>
      <c r="BJ429" s="236"/>
      <c r="BK429" s="238"/>
      <c r="BL429" s="239"/>
      <c r="BM429" s="239"/>
      <c r="BN429" s="239"/>
      <c r="BP429" s="236"/>
      <c r="BQ429" s="236"/>
      <c r="BR429" s="236"/>
      <c r="BS429" s="236"/>
      <c r="BT429" s="236"/>
      <c r="BU429" s="236"/>
      <c r="BV429" s="236"/>
      <c r="BW429" s="236"/>
      <c r="BX429" s="236"/>
      <c r="BY429" s="236"/>
      <c r="BZ429" s="236"/>
      <c r="CA429" s="236"/>
      <c r="CB429" s="236"/>
      <c r="CC429" s="236"/>
      <c r="CD429" s="236"/>
      <c r="CE429" s="236"/>
      <c r="CF429" s="236"/>
      <c r="CG429" s="236"/>
      <c r="CH429" s="236"/>
      <c r="CI429" s="236"/>
      <c r="CJ429" s="236"/>
      <c r="CK429" s="236"/>
      <c r="CL429" s="236"/>
      <c r="CM429" s="236"/>
      <c r="CN429" s="236"/>
      <c r="CO429" s="236"/>
    </row>
    <row r="430" spans="5:93" s="230" customFormat="1">
      <c r="E430" s="234"/>
      <c r="F430" s="235"/>
      <c r="G430" s="235"/>
      <c r="H430" s="236"/>
      <c r="I430" s="235"/>
      <c r="J430" s="235"/>
      <c r="K430" s="235"/>
      <c r="L430" s="235"/>
      <c r="M430" s="236"/>
      <c r="N430" s="235"/>
      <c r="O430" s="235"/>
      <c r="P430" s="235"/>
      <c r="Q430" s="235"/>
      <c r="R430" s="235"/>
      <c r="S430" s="235"/>
      <c r="T430" s="235"/>
      <c r="U430" s="235"/>
      <c r="V430" s="235"/>
      <c r="W430" s="235"/>
      <c r="X430" s="235"/>
      <c r="Y430" s="235"/>
      <c r="Z430" s="235"/>
      <c r="AA430" s="235"/>
      <c r="AB430" s="235"/>
      <c r="AC430" s="235"/>
      <c r="AD430" s="235"/>
      <c r="AE430" s="236"/>
      <c r="AF430" s="235"/>
      <c r="AG430" s="235"/>
      <c r="AH430" s="235"/>
      <c r="AI430" s="235"/>
      <c r="AJ430" s="236"/>
      <c r="AK430" s="235"/>
      <c r="AL430" s="235"/>
      <c r="AM430" s="235"/>
      <c r="AN430" s="235"/>
      <c r="AO430" s="235"/>
      <c r="AP430" s="235"/>
      <c r="AQ430" s="235"/>
      <c r="AR430" s="235"/>
      <c r="AS430" s="235"/>
      <c r="AT430" s="235"/>
      <c r="AU430" s="236"/>
      <c r="AV430" s="235"/>
      <c r="AW430" s="235"/>
      <c r="AX430" s="235"/>
      <c r="AY430" s="235"/>
      <c r="AZ430" s="235"/>
      <c r="BA430" s="235"/>
      <c r="BB430" s="235"/>
      <c r="BC430" s="235"/>
      <c r="BD430" s="236"/>
      <c r="BE430" s="235"/>
      <c r="BF430" s="235"/>
      <c r="BG430" s="235"/>
      <c r="BH430" s="235"/>
      <c r="BI430" s="236"/>
      <c r="BJ430" s="236"/>
      <c r="BK430" s="238"/>
      <c r="BL430" s="239"/>
      <c r="BM430" s="239"/>
      <c r="BN430" s="239"/>
      <c r="BP430" s="236"/>
      <c r="BQ430" s="236"/>
      <c r="BR430" s="236"/>
      <c r="BS430" s="236"/>
      <c r="BT430" s="236"/>
      <c r="BU430" s="236"/>
      <c r="BV430" s="236"/>
      <c r="BW430" s="236"/>
      <c r="BX430" s="236"/>
      <c r="BY430" s="236"/>
      <c r="BZ430" s="236"/>
      <c r="CA430" s="236"/>
      <c r="CB430" s="236"/>
      <c r="CC430" s="236"/>
      <c r="CD430" s="236"/>
      <c r="CE430" s="236"/>
      <c r="CF430" s="236"/>
      <c r="CG430" s="236"/>
      <c r="CH430" s="236"/>
      <c r="CI430" s="236"/>
      <c r="CJ430" s="236"/>
      <c r="CK430" s="236"/>
      <c r="CL430" s="236"/>
      <c r="CM430" s="236"/>
      <c r="CN430" s="236"/>
      <c r="CO430" s="236"/>
    </row>
    <row r="431" spans="5:93" s="230" customFormat="1">
      <c r="E431" s="234"/>
      <c r="F431" s="235"/>
      <c r="G431" s="235"/>
      <c r="H431" s="236"/>
      <c r="I431" s="235"/>
      <c r="J431" s="235"/>
      <c r="K431" s="235"/>
      <c r="L431" s="235"/>
      <c r="M431" s="236"/>
      <c r="N431" s="235"/>
      <c r="O431" s="235"/>
      <c r="P431" s="235"/>
      <c r="Q431" s="235"/>
      <c r="R431" s="235"/>
      <c r="S431" s="235"/>
      <c r="T431" s="235"/>
      <c r="U431" s="235"/>
      <c r="V431" s="235"/>
      <c r="W431" s="235"/>
      <c r="X431" s="235"/>
      <c r="Y431" s="235"/>
      <c r="Z431" s="235"/>
      <c r="AA431" s="235"/>
      <c r="AB431" s="235"/>
      <c r="AC431" s="235"/>
      <c r="AD431" s="235"/>
      <c r="AE431" s="236"/>
      <c r="AF431" s="235"/>
      <c r="AG431" s="235"/>
      <c r="AH431" s="235"/>
      <c r="AI431" s="235"/>
      <c r="AJ431" s="236"/>
      <c r="AK431" s="235"/>
      <c r="AL431" s="235"/>
      <c r="AM431" s="235"/>
      <c r="AN431" s="235"/>
      <c r="AO431" s="235"/>
      <c r="AP431" s="235"/>
      <c r="AQ431" s="235"/>
      <c r="AR431" s="235"/>
      <c r="AS431" s="235"/>
      <c r="AT431" s="235"/>
      <c r="AU431" s="236"/>
      <c r="AV431" s="235"/>
      <c r="AW431" s="235"/>
      <c r="AX431" s="235"/>
      <c r="AY431" s="235"/>
      <c r="AZ431" s="235"/>
      <c r="BA431" s="235"/>
      <c r="BB431" s="235"/>
      <c r="BC431" s="235"/>
      <c r="BD431" s="236"/>
      <c r="BE431" s="235"/>
      <c r="BF431" s="235"/>
      <c r="BG431" s="235"/>
      <c r="BH431" s="235"/>
      <c r="BI431" s="236"/>
      <c r="BJ431" s="236"/>
      <c r="BK431" s="238"/>
      <c r="BL431" s="239"/>
      <c r="BM431" s="239"/>
      <c r="BN431" s="239"/>
      <c r="BP431" s="236"/>
      <c r="BQ431" s="236"/>
      <c r="BR431" s="236"/>
      <c r="BS431" s="236"/>
      <c r="BT431" s="236"/>
      <c r="BU431" s="236"/>
      <c r="BV431" s="236"/>
      <c r="BW431" s="236"/>
      <c r="BX431" s="236"/>
      <c r="BY431" s="236"/>
      <c r="BZ431" s="236"/>
      <c r="CA431" s="236"/>
      <c r="CB431" s="236"/>
      <c r="CC431" s="236"/>
      <c r="CD431" s="236"/>
      <c r="CE431" s="236"/>
      <c r="CF431" s="236"/>
      <c r="CG431" s="236"/>
      <c r="CH431" s="236"/>
      <c r="CI431" s="236"/>
      <c r="CJ431" s="236"/>
      <c r="CK431" s="236"/>
      <c r="CL431" s="236"/>
      <c r="CM431" s="236"/>
      <c r="CN431" s="236"/>
      <c r="CO431" s="236"/>
    </row>
    <row r="432" spans="5:93" s="230" customFormat="1">
      <c r="E432" s="234"/>
      <c r="F432" s="235"/>
      <c r="G432" s="235"/>
      <c r="H432" s="236"/>
      <c r="I432" s="235"/>
      <c r="J432" s="235"/>
      <c r="K432" s="235"/>
      <c r="L432" s="235"/>
      <c r="M432" s="236"/>
      <c r="N432" s="235"/>
      <c r="O432" s="235"/>
      <c r="P432" s="235"/>
      <c r="Q432" s="235"/>
      <c r="R432" s="235"/>
      <c r="S432" s="235"/>
      <c r="T432" s="235"/>
      <c r="U432" s="235"/>
      <c r="V432" s="235"/>
      <c r="W432" s="235"/>
      <c r="X432" s="235"/>
      <c r="Y432" s="235"/>
      <c r="Z432" s="235"/>
      <c r="AA432" s="235"/>
      <c r="AB432" s="235"/>
      <c r="AC432" s="235"/>
      <c r="AD432" s="235"/>
      <c r="AE432" s="236"/>
      <c r="AF432" s="235"/>
      <c r="AG432" s="235"/>
      <c r="AH432" s="235"/>
      <c r="AI432" s="235"/>
      <c r="AJ432" s="236"/>
      <c r="AK432" s="235"/>
      <c r="AL432" s="235"/>
      <c r="AM432" s="235"/>
      <c r="AN432" s="235"/>
      <c r="AO432" s="235"/>
      <c r="AP432" s="235"/>
      <c r="AQ432" s="235"/>
      <c r="AR432" s="235"/>
      <c r="AS432" s="235"/>
      <c r="AT432" s="235"/>
      <c r="AU432" s="236"/>
      <c r="AV432" s="235"/>
      <c r="AW432" s="235"/>
      <c r="AX432" s="235"/>
      <c r="AY432" s="235"/>
      <c r="AZ432" s="235"/>
      <c r="BA432" s="235"/>
      <c r="BB432" s="235"/>
      <c r="BC432" s="235"/>
      <c r="BD432" s="236"/>
      <c r="BE432" s="235"/>
      <c r="BF432" s="235"/>
      <c r="BG432" s="235"/>
      <c r="BH432" s="235"/>
      <c r="BI432" s="236"/>
      <c r="BJ432" s="236"/>
      <c r="BK432" s="238"/>
      <c r="BL432" s="239"/>
      <c r="BM432" s="239"/>
      <c r="BN432" s="239"/>
      <c r="BP432" s="236"/>
      <c r="BQ432" s="236"/>
      <c r="BR432" s="236"/>
      <c r="BS432" s="236"/>
      <c r="BT432" s="236"/>
      <c r="BU432" s="236"/>
      <c r="BV432" s="236"/>
      <c r="BW432" s="236"/>
      <c r="BX432" s="236"/>
      <c r="BY432" s="236"/>
      <c r="BZ432" s="236"/>
      <c r="CA432" s="236"/>
      <c r="CB432" s="236"/>
      <c r="CC432" s="236"/>
      <c r="CD432" s="236"/>
      <c r="CE432" s="236"/>
      <c r="CF432" s="236"/>
      <c r="CG432" s="236"/>
      <c r="CH432" s="236"/>
      <c r="CI432" s="236"/>
      <c r="CJ432" s="236"/>
      <c r="CK432" s="236"/>
      <c r="CL432" s="236"/>
      <c r="CM432" s="236"/>
      <c r="CN432" s="236"/>
      <c r="CO432" s="236"/>
    </row>
    <row r="433" spans="5:93" s="230" customFormat="1">
      <c r="E433" s="234"/>
      <c r="F433" s="235"/>
      <c r="G433" s="235"/>
      <c r="H433" s="236"/>
      <c r="I433" s="235"/>
      <c r="J433" s="235"/>
      <c r="K433" s="235"/>
      <c r="L433" s="235"/>
      <c r="M433" s="236"/>
      <c r="N433" s="235"/>
      <c r="O433" s="235"/>
      <c r="P433" s="235"/>
      <c r="Q433" s="235"/>
      <c r="R433" s="235"/>
      <c r="S433" s="235"/>
      <c r="T433" s="235"/>
      <c r="U433" s="235"/>
      <c r="V433" s="235"/>
      <c r="W433" s="235"/>
      <c r="X433" s="235"/>
      <c r="Y433" s="235"/>
      <c r="Z433" s="235"/>
      <c r="AA433" s="235"/>
      <c r="AB433" s="235"/>
      <c r="AC433" s="235"/>
      <c r="AD433" s="235"/>
      <c r="AE433" s="236"/>
      <c r="AF433" s="235"/>
      <c r="AG433" s="235"/>
      <c r="AH433" s="235"/>
      <c r="AI433" s="235"/>
      <c r="AJ433" s="236"/>
      <c r="AK433" s="235"/>
      <c r="AL433" s="235"/>
      <c r="AM433" s="235"/>
      <c r="AN433" s="235"/>
      <c r="AO433" s="235"/>
      <c r="AP433" s="235"/>
      <c r="AQ433" s="235"/>
      <c r="AR433" s="235"/>
      <c r="AS433" s="235"/>
      <c r="AT433" s="235"/>
      <c r="AU433" s="236"/>
      <c r="AV433" s="235"/>
      <c r="AW433" s="235"/>
      <c r="AX433" s="235"/>
      <c r="AY433" s="235"/>
      <c r="AZ433" s="235"/>
      <c r="BA433" s="235"/>
      <c r="BB433" s="235"/>
      <c r="BC433" s="235"/>
      <c r="BD433" s="236"/>
      <c r="BE433" s="235"/>
      <c r="BF433" s="235"/>
      <c r="BG433" s="235"/>
      <c r="BH433" s="235"/>
      <c r="BI433" s="236"/>
      <c r="BJ433" s="236"/>
      <c r="BK433" s="238"/>
      <c r="BL433" s="239"/>
      <c r="BM433" s="239"/>
      <c r="BN433" s="239"/>
      <c r="BP433" s="236"/>
      <c r="BQ433" s="236"/>
      <c r="BR433" s="236"/>
      <c r="BS433" s="236"/>
      <c r="BT433" s="236"/>
      <c r="BU433" s="236"/>
      <c r="BV433" s="236"/>
      <c r="BW433" s="236"/>
      <c r="BX433" s="236"/>
      <c r="BY433" s="236"/>
      <c r="BZ433" s="236"/>
      <c r="CA433" s="236"/>
      <c r="CB433" s="236"/>
      <c r="CC433" s="236"/>
      <c r="CD433" s="236"/>
      <c r="CE433" s="236"/>
      <c r="CF433" s="236"/>
      <c r="CG433" s="236"/>
      <c r="CH433" s="236"/>
      <c r="CI433" s="236"/>
      <c r="CJ433" s="236"/>
      <c r="CK433" s="236"/>
      <c r="CL433" s="236"/>
      <c r="CM433" s="236"/>
      <c r="CN433" s="236"/>
      <c r="CO433" s="236"/>
    </row>
    <row r="434" spans="5:93" s="230" customFormat="1">
      <c r="E434" s="234"/>
      <c r="F434" s="235"/>
      <c r="G434" s="235"/>
      <c r="H434" s="236"/>
      <c r="I434" s="235"/>
      <c r="J434" s="235"/>
      <c r="K434" s="235"/>
      <c r="L434" s="235"/>
      <c r="M434" s="236"/>
      <c r="N434" s="235"/>
      <c r="O434" s="235"/>
      <c r="P434" s="235"/>
      <c r="Q434" s="235"/>
      <c r="R434" s="235"/>
      <c r="S434" s="235"/>
      <c r="T434" s="235"/>
      <c r="U434" s="235"/>
      <c r="V434" s="235"/>
      <c r="W434" s="235"/>
      <c r="X434" s="235"/>
      <c r="Y434" s="235"/>
      <c r="Z434" s="235"/>
      <c r="AA434" s="235"/>
      <c r="AB434" s="235"/>
      <c r="AC434" s="235"/>
      <c r="AD434" s="235"/>
      <c r="AE434" s="236"/>
      <c r="AF434" s="235"/>
      <c r="AG434" s="235"/>
      <c r="AH434" s="235"/>
      <c r="AI434" s="235"/>
      <c r="AJ434" s="236"/>
      <c r="AK434" s="235"/>
      <c r="AL434" s="235"/>
      <c r="AM434" s="235"/>
      <c r="AN434" s="235"/>
      <c r="AO434" s="235"/>
      <c r="AP434" s="235"/>
      <c r="AQ434" s="235"/>
      <c r="AR434" s="235"/>
      <c r="AS434" s="235"/>
      <c r="AT434" s="235"/>
      <c r="AU434" s="236"/>
      <c r="AV434" s="235"/>
      <c r="AW434" s="235"/>
      <c r="AX434" s="235"/>
      <c r="AY434" s="235"/>
      <c r="AZ434" s="235"/>
      <c r="BA434" s="235"/>
      <c r="BB434" s="235"/>
      <c r="BC434" s="235"/>
      <c r="BD434" s="236"/>
      <c r="BE434" s="235"/>
      <c r="BF434" s="235"/>
      <c r="BG434" s="235"/>
      <c r="BH434" s="235"/>
      <c r="BI434" s="236"/>
      <c r="BJ434" s="236"/>
      <c r="BK434" s="238"/>
      <c r="BL434" s="239"/>
      <c r="BM434" s="239"/>
      <c r="BN434" s="239"/>
      <c r="BP434" s="236"/>
      <c r="BQ434" s="236"/>
      <c r="BR434" s="236"/>
      <c r="BS434" s="236"/>
      <c r="BT434" s="236"/>
      <c r="BU434" s="236"/>
      <c r="BV434" s="236"/>
      <c r="BW434" s="236"/>
      <c r="BX434" s="236"/>
      <c r="BY434" s="236"/>
      <c r="BZ434" s="236"/>
      <c r="CA434" s="236"/>
      <c r="CB434" s="236"/>
      <c r="CC434" s="236"/>
      <c r="CD434" s="236"/>
      <c r="CE434" s="236"/>
      <c r="CF434" s="236"/>
      <c r="CG434" s="236"/>
      <c r="CH434" s="236"/>
      <c r="CI434" s="236"/>
      <c r="CJ434" s="236"/>
      <c r="CK434" s="236"/>
      <c r="CL434" s="236"/>
      <c r="CM434" s="236"/>
      <c r="CN434" s="236"/>
      <c r="CO434" s="236"/>
    </row>
    <row r="435" spans="5:93" s="230" customFormat="1">
      <c r="E435" s="234"/>
      <c r="F435" s="235"/>
      <c r="G435" s="235"/>
      <c r="H435" s="236"/>
      <c r="I435" s="235"/>
      <c r="J435" s="235"/>
      <c r="K435" s="235"/>
      <c r="L435" s="235"/>
      <c r="M435" s="236"/>
      <c r="N435" s="235"/>
      <c r="O435" s="235"/>
      <c r="P435" s="235"/>
      <c r="Q435" s="235"/>
      <c r="R435" s="235"/>
      <c r="S435" s="235"/>
      <c r="T435" s="235"/>
      <c r="U435" s="235"/>
      <c r="V435" s="235"/>
      <c r="W435" s="235"/>
      <c r="X435" s="235"/>
      <c r="Y435" s="235"/>
      <c r="Z435" s="235"/>
      <c r="AA435" s="235"/>
      <c r="AB435" s="235"/>
      <c r="AC435" s="235"/>
      <c r="AD435" s="235"/>
      <c r="AE435" s="236"/>
      <c r="AF435" s="235"/>
      <c r="AG435" s="235"/>
      <c r="AH435" s="235"/>
      <c r="AI435" s="235"/>
      <c r="AJ435" s="236"/>
      <c r="AK435" s="235"/>
      <c r="AL435" s="235"/>
      <c r="AM435" s="235"/>
      <c r="AN435" s="235"/>
      <c r="AO435" s="235"/>
      <c r="AP435" s="235"/>
      <c r="AQ435" s="235"/>
      <c r="AR435" s="235"/>
      <c r="AS435" s="235"/>
      <c r="AT435" s="235"/>
      <c r="AU435" s="236"/>
      <c r="AV435" s="235"/>
      <c r="AW435" s="235"/>
      <c r="AX435" s="235"/>
      <c r="AY435" s="235"/>
      <c r="AZ435" s="235"/>
      <c r="BA435" s="235"/>
      <c r="BB435" s="235"/>
      <c r="BC435" s="235"/>
      <c r="BD435" s="236"/>
      <c r="BE435" s="235"/>
      <c r="BF435" s="235"/>
      <c r="BG435" s="235"/>
      <c r="BH435" s="235"/>
      <c r="BI435" s="236"/>
      <c r="BJ435" s="236"/>
      <c r="BK435" s="238"/>
      <c r="BL435" s="239"/>
      <c r="BM435" s="239"/>
      <c r="BN435" s="239"/>
      <c r="BP435" s="236"/>
      <c r="BQ435" s="236"/>
      <c r="BR435" s="236"/>
      <c r="BS435" s="236"/>
      <c r="BT435" s="236"/>
      <c r="BU435" s="236"/>
      <c r="BV435" s="236"/>
      <c r="BW435" s="236"/>
      <c r="BX435" s="236"/>
      <c r="BY435" s="236"/>
      <c r="BZ435" s="236"/>
      <c r="CA435" s="236"/>
      <c r="CB435" s="236"/>
      <c r="CC435" s="236"/>
      <c r="CD435" s="236"/>
      <c r="CE435" s="236"/>
      <c r="CF435" s="236"/>
      <c r="CG435" s="236"/>
      <c r="CH435" s="236"/>
      <c r="CI435" s="236"/>
      <c r="CJ435" s="236"/>
      <c r="CK435" s="236"/>
      <c r="CL435" s="236"/>
      <c r="CM435" s="236"/>
      <c r="CN435" s="236"/>
      <c r="CO435" s="236"/>
    </row>
    <row r="436" spans="5:93" s="230" customFormat="1">
      <c r="E436" s="234"/>
      <c r="F436" s="235"/>
      <c r="G436" s="235"/>
      <c r="H436" s="236"/>
      <c r="I436" s="235"/>
      <c r="J436" s="235"/>
      <c r="K436" s="235"/>
      <c r="L436" s="235"/>
      <c r="M436" s="236"/>
      <c r="N436" s="235"/>
      <c r="O436" s="235"/>
      <c r="P436" s="235"/>
      <c r="Q436" s="235"/>
      <c r="R436" s="235"/>
      <c r="S436" s="235"/>
      <c r="T436" s="235"/>
      <c r="U436" s="235"/>
      <c r="V436" s="235"/>
      <c r="W436" s="235"/>
      <c r="X436" s="235"/>
      <c r="Y436" s="235"/>
      <c r="Z436" s="235"/>
      <c r="AA436" s="235"/>
      <c r="AB436" s="235"/>
      <c r="AC436" s="235"/>
      <c r="AD436" s="235"/>
      <c r="AE436" s="236"/>
      <c r="AF436" s="235"/>
      <c r="AG436" s="235"/>
      <c r="AH436" s="235"/>
      <c r="AI436" s="235"/>
      <c r="AJ436" s="236"/>
      <c r="AK436" s="235"/>
      <c r="AL436" s="235"/>
      <c r="AM436" s="235"/>
      <c r="AN436" s="235"/>
      <c r="AO436" s="235"/>
      <c r="AP436" s="235"/>
      <c r="AQ436" s="235"/>
      <c r="AR436" s="235"/>
      <c r="AS436" s="235"/>
      <c r="AT436" s="235"/>
      <c r="AU436" s="236"/>
      <c r="AV436" s="235"/>
      <c r="AW436" s="235"/>
      <c r="AX436" s="235"/>
      <c r="AY436" s="235"/>
      <c r="AZ436" s="235"/>
      <c r="BA436" s="235"/>
      <c r="BB436" s="235"/>
      <c r="BC436" s="235"/>
      <c r="BD436" s="236"/>
      <c r="BE436" s="235"/>
      <c r="BF436" s="235"/>
      <c r="BG436" s="235"/>
      <c r="BH436" s="235"/>
      <c r="BI436" s="236"/>
      <c r="BJ436" s="236"/>
      <c r="BK436" s="238"/>
      <c r="BL436" s="239"/>
      <c r="BM436" s="239"/>
      <c r="BN436" s="239"/>
      <c r="BP436" s="236"/>
      <c r="BQ436" s="236"/>
      <c r="BR436" s="236"/>
      <c r="BS436" s="236"/>
      <c r="BT436" s="236"/>
      <c r="BU436" s="236"/>
      <c r="BV436" s="236"/>
      <c r="BW436" s="236"/>
      <c r="BX436" s="236"/>
      <c r="BY436" s="236"/>
      <c r="BZ436" s="236"/>
      <c r="CA436" s="236"/>
      <c r="CB436" s="236"/>
      <c r="CC436" s="236"/>
      <c r="CD436" s="236"/>
      <c r="CE436" s="236"/>
      <c r="CF436" s="236"/>
      <c r="CG436" s="236"/>
      <c r="CH436" s="236"/>
      <c r="CI436" s="236"/>
      <c r="CJ436" s="236"/>
      <c r="CK436" s="236"/>
      <c r="CL436" s="236"/>
      <c r="CM436" s="236"/>
      <c r="CN436" s="236"/>
      <c r="CO436" s="236"/>
    </row>
    <row r="437" spans="5:93" s="230" customFormat="1">
      <c r="E437" s="234"/>
      <c r="F437" s="235"/>
      <c r="G437" s="235"/>
      <c r="H437" s="236"/>
      <c r="I437" s="235"/>
      <c r="J437" s="235"/>
      <c r="K437" s="235"/>
      <c r="L437" s="235"/>
      <c r="M437" s="236"/>
      <c r="N437" s="235"/>
      <c r="O437" s="235"/>
      <c r="P437" s="235"/>
      <c r="Q437" s="235"/>
      <c r="R437" s="235"/>
      <c r="S437" s="235"/>
      <c r="T437" s="235"/>
      <c r="U437" s="235"/>
      <c r="V437" s="235"/>
      <c r="W437" s="235"/>
      <c r="X437" s="235"/>
      <c r="Y437" s="235"/>
      <c r="Z437" s="235"/>
      <c r="AA437" s="235"/>
      <c r="AB437" s="235"/>
      <c r="AC437" s="235"/>
      <c r="AD437" s="235"/>
      <c r="AE437" s="236"/>
      <c r="AF437" s="235"/>
      <c r="AG437" s="235"/>
      <c r="AH437" s="235"/>
      <c r="AI437" s="235"/>
      <c r="AJ437" s="236"/>
      <c r="AK437" s="235"/>
      <c r="AL437" s="235"/>
      <c r="AM437" s="235"/>
      <c r="AN437" s="235"/>
      <c r="AO437" s="235"/>
      <c r="AP437" s="235"/>
      <c r="AQ437" s="235"/>
      <c r="AR437" s="235"/>
      <c r="AS437" s="235"/>
      <c r="AT437" s="235"/>
      <c r="AU437" s="236"/>
      <c r="AV437" s="235"/>
      <c r="AW437" s="235"/>
      <c r="AX437" s="235"/>
      <c r="AY437" s="235"/>
      <c r="AZ437" s="235"/>
      <c r="BA437" s="235"/>
      <c r="BB437" s="235"/>
      <c r="BC437" s="235"/>
      <c r="BD437" s="236"/>
      <c r="BE437" s="235"/>
      <c r="BF437" s="235"/>
      <c r="BG437" s="235"/>
      <c r="BH437" s="235"/>
      <c r="BI437" s="236"/>
      <c r="BJ437" s="236"/>
      <c r="BK437" s="238"/>
      <c r="BL437" s="239"/>
      <c r="BM437" s="239"/>
      <c r="BN437" s="239"/>
      <c r="BP437" s="236"/>
      <c r="BQ437" s="236"/>
      <c r="BR437" s="236"/>
      <c r="BS437" s="236"/>
      <c r="BT437" s="236"/>
      <c r="BU437" s="236"/>
      <c r="BV437" s="236"/>
      <c r="BW437" s="236"/>
      <c r="BX437" s="236"/>
      <c r="BY437" s="236"/>
      <c r="BZ437" s="236"/>
      <c r="CA437" s="236"/>
      <c r="CB437" s="236"/>
      <c r="CC437" s="236"/>
      <c r="CD437" s="236"/>
      <c r="CE437" s="236"/>
      <c r="CF437" s="236"/>
      <c r="CG437" s="236"/>
      <c r="CH437" s="236"/>
      <c r="CI437" s="236"/>
      <c r="CJ437" s="236"/>
      <c r="CK437" s="236"/>
      <c r="CL437" s="236"/>
      <c r="CM437" s="236"/>
      <c r="CN437" s="236"/>
      <c r="CO437" s="236"/>
    </row>
    <row r="438" spans="5:93" s="230" customFormat="1">
      <c r="E438" s="234"/>
      <c r="F438" s="235"/>
      <c r="G438" s="235"/>
      <c r="H438" s="236"/>
      <c r="I438" s="235"/>
      <c r="J438" s="235"/>
      <c r="K438" s="235"/>
      <c r="L438" s="235"/>
      <c r="M438" s="236"/>
      <c r="N438" s="235"/>
      <c r="O438" s="235"/>
      <c r="P438" s="235"/>
      <c r="Q438" s="235"/>
      <c r="R438" s="235"/>
      <c r="S438" s="235"/>
      <c r="T438" s="235"/>
      <c r="U438" s="235"/>
      <c r="V438" s="235"/>
      <c r="W438" s="235"/>
      <c r="X438" s="235"/>
      <c r="Y438" s="235"/>
      <c r="Z438" s="235"/>
      <c r="AA438" s="235"/>
      <c r="AB438" s="235"/>
      <c r="AC438" s="235"/>
      <c r="AD438" s="235"/>
      <c r="AE438" s="236"/>
      <c r="AF438" s="235"/>
      <c r="AG438" s="235"/>
      <c r="AH438" s="235"/>
      <c r="AI438" s="235"/>
      <c r="AJ438" s="236"/>
      <c r="AK438" s="235"/>
      <c r="AL438" s="235"/>
      <c r="AM438" s="235"/>
      <c r="AN438" s="235"/>
      <c r="AO438" s="235"/>
      <c r="AP438" s="235"/>
      <c r="AQ438" s="235"/>
      <c r="AR438" s="235"/>
      <c r="AS438" s="235"/>
      <c r="AT438" s="235"/>
      <c r="AU438" s="236"/>
      <c r="AV438" s="235"/>
      <c r="AW438" s="235"/>
      <c r="AX438" s="235"/>
      <c r="AY438" s="235"/>
      <c r="AZ438" s="235"/>
      <c r="BA438" s="235"/>
      <c r="BB438" s="235"/>
      <c r="BC438" s="235"/>
      <c r="BD438" s="236"/>
      <c r="BE438" s="235"/>
      <c r="BF438" s="235"/>
      <c r="BG438" s="235"/>
      <c r="BH438" s="235"/>
      <c r="BI438" s="236"/>
      <c r="BJ438" s="236"/>
      <c r="BK438" s="238"/>
      <c r="BL438" s="239"/>
      <c r="BM438" s="239"/>
      <c r="BN438" s="239"/>
      <c r="BP438" s="236"/>
      <c r="BQ438" s="236"/>
      <c r="BR438" s="236"/>
      <c r="BS438" s="236"/>
      <c r="BT438" s="236"/>
      <c r="BU438" s="236"/>
      <c r="BV438" s="236"/>
      <c r="BW438" s="236"/>
      <c r="BX438" s="236"/>
      <c r="BY438" s="236"/>
      <c r="BZ438" s="236"/>
      <c r="CA438" s="236"/>
      <c r="CB438" s="236"/>
      <c r="CC438" s="236"/>
      <c r="CD438" s="236"/>
      <c r="CE438" s="236"/>
      <c r="CF438" s="236"/>
      <c r="CG438" s="236"/>
      <c r="CH438" s="236"/>
      <c r="CI438" s="236"/>
      <c r="CJ438" s="236"/>
      <c r="CK438" s="236"/>
      <c r="CL438" s="236"/>
      <c r="CM438" s="236"/>
      <c r="CN438" s="236"/>
      <c r="CO438" s="236"/>
    </row>
    <row r="439" spans="5:93" s="230" customFormat="1">
      <c r="E439" s="234"/>
      <c r="F439" s="235"/>
      <c r="G439" s="235"/>
      <c r="H439" s="236"/>
      <c r="I439" s="235"/>
      <c r="J439" s="235"/>
      <c r="K439" s="235"/>
      <c r="L439" s="235"/>
      <c r="M439" s="236"/>
      <c r="N439" s="235"/>
      <c r="O439" s="235"/>
      <c r="P439" s="235"/>
      <c r="Q439" s="235"/>
      <c r="R439" s="235"/>
      <c r="S439" s="235"/>
      <c r="T439" s="235"/>
      <c r="U439" s="235"/>
      <c r="V439" s="235"/>
      <c r="W439" s="235"/>
      <c r="X439" s="235"/>
      <c r="Y439" s="235"/>
      <c r="Z439" s="235"/>
      <c r="AA439" s="235"/>
      <c r="AB439" s="235"/>
      <c r="AC439" s="235"/>
      <c r="AD439" s="235"/>
      <c r="AE439" s="236"/>
      <c r="AF439" s="235"/>
      <c r="AG439" s="235"/>
      <c r="AH439" s="235"/>
      <c r="AI439" s="235"/>
      <c r="AJ439" s="236"/>
      <c r="AK439" s="235"/>
      <c r="AL439" s="235"/>
      <c r="AM439" s="235"/>
      <c r="AN439" s="235"/>
      <c r="AO439" s="235"/>
      <c r="AP439" s="235"/>
      <c r="AQ439" s="235"/>
      <c r="AR439" s="235"/>
      <c r="AS439" s="235"/>
      <c r="AT439" s="235"/>
      <c r="AU439" s="236"/>
      <c r="AV439" s="235"/>
      <c r="AW439" s="235"/>
      <c r="AX439" s="235"/>
      <c r="AY439" s="235"/>
      <c r="AZ439" s="235"/>
      <c r="BA439" s="235"/>
      <c r="BB439" s="235"/>
      <c r="BC439" s="235"/>
      <c r="BD439" s="236"/>
      <c r="BE439" s="235"/>
      <c r="BF439" s="235"/>
      <c r="BG439" s="235"/>
      <c r="BH439" s="235"/>
      <c r="BI439" s="236"/>
      <c r="BJ439" s="236"/>
      <c r="BK439" s="238"/>
      <c r="BL439" s="239"/>
      <c r="BM439" s="239"/>
      <c r="BN439" s="239"/>
      <c r="BP439" s="236"/>
      <c r="BQ439" s="236"/>
      <c r="BR439" s="236"/>
      <c r="BS439" s="236"/>
      <c r="BT439" s="236"/>
      <c r="BU439" s="236"/>
      <c r="BV439" s="236"/>
      <c r="BW439" s="236"/>
      <c r="BX439" s="236"/>
      <c r="BY439" s="236"/>
      <c r="BZ439" s="236"/>
      <c r="CA439" s="236"/>
      <c r="CB439" s="236"/>
      <c r="CC439" s="236"/>
      <c r="CD439" s="236"/>
      <c r="CE439" s="236"/>
      <c r="CF439" s="236"/>
      <c r="CG439" s="236"/>
      <c r="CH439" s="236"/>
      <c r="CI439" s="236"/>
      <c r="CJ439" s="236"/>
      <c r="CK439" s="236"/>
      <c r="CL439" s="236"/>
      <c r="CM439" s="236"/>
      <c r="CN439" s="236"/>
      <c r="CO439" s="236"/>
    </row>
    <row r="440" spans="5:93" s="230" customFormat="1">
      <c r="E440" s="234"/>
      <c r="F440" s="235"/>
      <c r="G440" s="235"/>
      <c r="H440" s="236"/>
      <c r="I440" s="235"/>
      <c r="J440" s="235"/>
      <c r="K440" s="235"/>
      <c r="L440" s="235"/>
      <c r="M440" s="236"/>
      <c r="N440" s="235"/>
      <c r="O440" s="235"/>
      <c r="P440" s="235"/>
      <c r="Q440" s="235"/>
      <c r="R440" s="235"/>
      <c r="S440" s="235"/>
      <c r="T440" s="235"/>
      <c r="U440" s="235"/>
      <c r="V440" s="235"/>
      <c r="W440" s="235"/>
      <c r="X440" s="235"/>
      <c r="Y440" s="235"/>
      <c r="Z440" s="235"/>
      <c r="AA440" s="235"/>
      <c r="AB440" s="235"/>
      <c r="AC440" s="235"/>
      <c r="AD440" s="235"/>
      <c r="AE440" s="236"/>
      <c r="AF440" s="235"/>
      <c r="AG440" s="235"/>
      <c r="AH440" s="235"/>
      <c r="AI440" s="235"/>
      <c r="AJ440" s="236"/>
      <c r="AK440" s="235"/>
      <c r="AL440" s="235"/>
      <c r="AM440" s="235"/>
      <c r="AN440" s="235"/>
      <c r="AO440" s="235"/>
      <c r="AP440" s="235"/>
      <c r="AQ440" s="235"/>
      <c r="AR440" s="235"/>
      <c r="AS440" s="235"/>
      <c r="AT440" s="235"/>
      <c r="AU440" s="236"/>
      <c r="AV440" s="235"/>
      <c r="AW440" s="235"/>
      <c r="AX440" s="235"/>
      <c r="AY440" s="235"/>
      <c r="AZ440" s="235"/>
      <c r="BA440" s="235"/>
      <c r="BB440" s="235"/>
      <c r="BC440" s="235"/>
      <c r="BD440" s="236"/>
      <c r="BE440" s="235"/>
      <c r="BF440" s="235"/>
      <c r="BG440" s="235"/>
      <c r="BH440" s="235"/>
      <c r="BI440" s="236"/>
      <c r="BJ440" s="236"/>
      <c r="BK440" s="238"/>
      <c r="BL440" s="239"/>
      <c r="BM440" s="239"/>
      <c r="BN440" s="239"/>
      <c r="BP440" s="236"/>
      <c r="BQ440" s="236"/>
      <c r="BR440" s="236"/>
      <c r="BS440" s="236"/>
      <c r="BT440" s="236"/>
      <c r="BU440" s="236"/>
      <c r="BV440" s="236"/>
      <c r="BW440" s="236"/>
      <c r="BX440" s="236"/>
      <c r="BY440" s="236"/>
      <c r="BZ440" s="236"/>
      <c r="CA440" s="236"/>
      <c r="CB440" s="236"/>
      <c r="CC440" s="236"/>
      <c r="CD440" s="236"/>
      <c r="CE440" s="236"/>
      <c r="CF440" s="236"/>
      <c r="CG440" s="236"/>
      <c r="CH440" s="236"/>
      <c r="CI440" s="236"/>
      <c r="CJ440" s="236"/>
      <c r="CK440" s="236"/>
      <c r="CL440" s="236"/>
      <c r="CM440" s="236"/>
      <c r="CN440" s="236"/>
      <c r="CO440" s="236"/>
    </row>
    <row r="441" spans="5:93" s="230" customFormat="1">
      <c r="E441" s="234"/>
      <c r="F441" s="235"/>
      <c r="G441" s="235"/>
      <c r="H441" s="236"/>
      <c r="I441" s="235"/>
      <c r="J441" s="235"/>
      <c r="K441" s="235"/>
      <c r="L441" s="235"/>
      <c r="M441" s="236"/>
      <c r="N441" s="235"/>
      <c r="O441" s="235"/>
      <c r="P441" s="235"/>
      <c r="Q441" s="235"/>
      <c r="R441" s="235"/>
      <c r="S441" s="235"/>
      <c r="T441" s="235"/>
      <c r="U441" s="235"/>
      <c r="V441" s="235"/>
      <c r="W441" s="235"/>
      <c r="X441" s="235"/>
      <c r="Y441" s="235"/>
      <c r="Z441" s="235"/>
      <c r="AA441" s="235"/>
      <c r="AB441" s="235"/>
      <c r="AC441" s="235"/>
      <c r="AD441" s="235"/>
      <c r="AE441" s="236"/>
      <c r="AF441" s="235"/>
      <c r="AG441" s="235"/>
      <c r="AH441" s="235"/>
      <c r="AI441" s="235"/>
      <c r="AJ441" s="236"/>
      <c r="AK441" s="235"/>
      <c r="AL441" s="235"/>
      <c r="AM441" s="235"/>
      <c r="AN441" s="235"/>
      <c r="AO441" s="235"/>
      <c r="AP441" s="235"/>
      <c r="AQ441" s="235"/>
      <c r="AR441" s="235"/>
      <c r="AS441" s="235"/>
      <c r="AT441" s="235"/>
      <c r="AU441" s="236"/>
      <c r="AV441" s="235"/>
      <c r="AW441" s="235"/>
      <c r="AX441" s="235"/>
      <c r="AY441" s="235"/>
      <c r="AZ441" s="235"/>
      <c r="BA441" s="235"/>
      <c r="BB441" s="235"/>
      <c r="BC441" s="235"/>
      <c r="BD441" s="236"/>
      <c r="BE441" s="235"/>
      <c r="BF441" s="235"/>
      <c r="BG441" s="235"/>
      <c r="BH441" s="235"/>
      <c r="BI441" s="236"/>
      <c r="BJ441" s="236"/>
      <c r="BK441" s="238"/>
      <c r="BL441" s="239"/>
      <c r="BM441" s="239"/>
      <c r="BN441" s="239"/>
      <c r="BP441" s="236"/>
      <c r="BQ441" s="236"/>
      <c r="BR441" s="236"/>
      <c r="BS441" s="236"/>
      <c r="BT441" s="236"/>
      <c r="BU441" s="236"/>
      <c r="BV441" s="236"/>
      <c r="BW441" s="236"/>
      <c r="BX441" s="236"/>
      <c r="BY441" s="236"/>
      <c r="BZ441" s="236"/>
      <c r="CA441" s="236"/>
      <c r="CB441" s="236"/>
      <c r="CC441" s="236"/>
      <c r="CD441" s="236"/>
      <c r="CE441" s="236"/>
      <c r="CF441" s="236"/>
      <c r="CG441" s="236"/>
      <c r="CH441" s="236"/>
      <c r="CI441" s="236"/>
      <c r="CJ441" s="236"/>
      <c r="CK441" s="236"/>
      <c r="CL441" s="236"/>
      <c r="CM441" s="236"/>
      <c r="CN441" s="236"/>
      <c r="CO441" s="236"/>
    </row>
    <row r="442" spans="5:93" s="230" customFormat="1">
      <c r="E442" s="234"/>
      <c r="F442" s="235"/>
      <c r="G442" s="235"/>
      <c r="H442" s="236"/>
      <c r="I442" s="235"/>
      <c r="J442" s="235"/>
      <c r="K442" s="235"/>
      <c r="L442" s="235"/>
      <c r="M442" s="236"/>
      <c r="N442" s="235"/>
      <c r="O442" s="235"/>
      <c r="P442" s="235"/>
      <c r="Q442" s="235"/>
      <c r="R442" s="235"/>
      <c r="S442" s="235"/>
      <c r="T442" s="235"/>
      <c r="U442" s="235"/>
      <c r="V442" s="235"/>
      <c r="W442" s="235"/>
      <c r="X442" s="235"/>
      <c r="Y442" s="235"/>
      <c r="Z442" s="235"/>
      <c r="AA442" s="235"/>
      <c r="AB442" s="235"/>
      <c r="AC442" s="235"/>
      <c r="AD442" s="235"/>
      <c r="AE442" s="236"/>
      <c r="AF442" s="235"/>
      <c r="AG442" s="235"/>
      <c r="AH442" s="235"/>
      <c r="AI442" s="235"/>
      <c r="AJ442" s="236"/>
      <c r="AK442" s="235"/>
      <c r="AL442" s="235"/>
      <c r="AM442" s="235"/>
      <c r="AN442" s="235"/>
      <c r="AO442" s="235"/>
      <c r="AP442" s="235"/>
      <c r="AQ442" s="235"/>
      <c r="AR442" s="235"/>
      <c r="AS442" s="235"/>
      <c r="AT442" s="235"/>
      <c r="AU442" s="236"/>
      <c r="AV442" s="235"/>
      <c r="AW442" s="235"/>
      <c r="AX442" s="235"/>
      <c r="AY442" s="235"/>
      <c r="AZ442" s="235"/>
      <c r="BA442" s="235"/>
      <c r="BB442" s="235"/>
      <c r="BC442" s="235"/>
      <c r="BD442" s="236"/>
      <c r="BE442" s="235"/>
      <c r="BF442" s="235"/>
      <c r="BG442" s="235"/>
      <c r="BH442" s="235"/>
      <c r="BI442" s="236"/>
      <c r="BJ442" s="236"/>
      <c r="BK442" s="238"/>
      <c r="BL442" s="239"/>
      <c r="BM442" s="239"/>
      <c r="BN442" s="239"/>
      <c r="BP442" s="236"/>
      <c r="BQ442" s="236"/>
      <c r="BR442" s="236"/>
      <c r="BS442" s="236"/>
      <c r="BT442" s="236"/>
      <c r="BU442" s="236"/>
      <c r="BV442" s="236"/>
      <c r="BW442" s="236"/>
      <c r="BX442" s="236"/>
      <c r="BY442" s="236"/>
      <c r="BZ442" s="236"/>
      <c r="CA442" s="236"/>
      <c r="CB442" s="236"/>
      <c r="CC442" s="236"/>
      <c r="CD442" s="236"/>
      <c r="CE442" s="236"/>
      <c r="CF442" s="236"/>
      <c r="CG442" s="236"/>
      <c r="CH442" s="236"/>
      <c r="CI442" s="236"/>
      <c r="CJ442" s="236"/>
      <c r="CK442" s="236"/>
      <c r="CL442" s="236"/>
      <c r="CM442" s="236"/>
      <c r="CN442" s="236"/>
      <c r="CO442" s="236"/>
    </row>
    <row r="443" spans="5:93" s="230" customFormat="1">
      <c r="E443" s="234"/>
      <c r="F443" s="235"/>
      <c r="G443" s="235"/>
      <c r="H443" s="236"/>
      <c r="I443" s="235"/>
      <c r="J443" s="235"/>
      <c r="K443" s="235"/>
      <c r="L443" s="235"/>
      <c r="M443" s="236"/>
      <c r="N443" s="235"/>
      <c r="O443" s="235"/>
      <c r="P443" s="235"/>
      <c r="Q443" s="235"/>
      <c r="R443" s="235"/>
      <c r="S443" s="235"/>
      <c r="T443" s="235"/>
      <c r="U443" s="235"/>
      <c r="V443" s="235"/>
      <c r="W443" s="235"/>
      <c r="X443" s="235"/>
      <c r="Y443" s="235"/>
      <c r="Z443" s="235"/>
      <c r="AA443" s="235"/>
      <c r="AB443" s="235"/>
      <c r="AC443" s="235"/>
      <c r="AD443" s="235"/>
      <c r="AE443" s="236"/>
      <c r="AF443" s="235"/>
      <c r="AG443" s="235"/>
      <c r="AH443" s="235"/>
      <c r="AI443" s="235"/>
      <c r="AJ443" s="236"/>
      <c r="AK443" s="235"/>
      <c r="AL443" s="235"/>
      <c r="AM443" s="235"/>
      <c r="AN443" s="235"/>
      <c r="AO443" s="235"/>
      <c r="AP443" s="235"/>
      <c r="AQ443" s="235"/>
      <c r="AR443" s="235"/>
      <c r="AS443" s="235"/>
      <c r="AT443" s="235"/>
      <c r="AU443" s="236"/>
      <c r="AV443" s="235"/>
      <c r="AW443" s="235"/>
      <c r="AX443" s="235"/>
      <c r="AY443" s="235"/>
      <c r="AZ443" s="235"/>
      <c r="BA443" s="235"/>
      <c r="BB443" s="235"/>
      <c r="BC443" s="235"/>
      <c r="BD443" s="236"/>
      <c r="BE443" s="235"/>
      <c r="BF443" s="235"/>
      <c r="BG443" s="235"/>
      <c r="BH443" s="235"/>
      <c r="BI443" s="236"/>
      <c r="BJ443" s="236"/>
      <c r="BK443" s="238"/>
      <c r="BL443" s="239"/>
      <c r="BM443" s="239"/>
      <c r="BN443" s="239"/>
      <c r="BP443" s="236"/>
      <c r="BQ443" s="236"/>
      <c r="BR443" s="236"/>
      <c r="BS443" s="236"/>
      <c r="BT443" s="236"/>
      <c r="BU443" s="236"/>
      <c r="BV443" s="236"/>
      <c r="BW443" s="236"/>
      <c r="BX443" s="236"/>
      <c r="BY443" s="236"/>
      <c r="BZ443" s="236"/>
      <c r="CA443" s="236"/>
      <c r="CB443" s="236"/>
      <c r="CC443" s="236"/>
      <c r="CD443" s="236"/>
      <c r="CE443" s="236"/>
      <c r="CF443" s="236"/>
      <c r="CG443" s="236"/>
      <c r="CH443" s="236"/>
      <c r="CI443" s="236"/>
      <c r="CJ443" s="236"/>
      <c r="CK443" s="236"/>
      <c r="CL443" s="236"/>
      <c r="CM443" s="236"/>
      <c r="CN443" s="236"/>
      <c r="CO443" s="236"/>
    </row>
    <row r="444" spans="5:93" s="230" customFormat="1">
      <c r="E444" s="234"/>
      <c r="F444" s="235"/>
      <c r="G444" s="235"/>
      <c r="H444" s="236"/>
      <c r="I444" s="235"/>
      <c r="J444" s="235"/>
      <c r="K444" s="235"/>
      <c r="L444" s="235"/>
      <c r="M444" s="236"/>
      <c r="N444" s="235"/>
      <c r="O444" s="235"/>
      <c r="P444" s="235"/>
      <c r="Q444" s="235"/>
      <c r="R444" s="235"/>
      <c r="S444" s="235"/>
      <c r="T444" s="235"/>
      <c r="U444" s="235"/>
      <c r="V444" s="235"/>
      <c r="W444" s="235"/>
      <c r="X444" s="235"/>
      <c r="Y444" s="235"/>
      <c r="Z444" s="235"/>
      <c r="AA444" s="235"/>
      <c r="AB444" s="235"/>
      <c r="AC444" s="235"/>
      <c r="AD444" s="235"/>
      <c r="AE444" s="236"/>
      <c r="AF444" s="235"/>
      <c r="AG444" s="235"/>
      <c r="AH444" s="235"/>
      <c r="AI444" s="235"/>
      <c r="AJ444" s="236"/>
      <c r="AK444" s="235"/>
      <c r="AL444" s="235"/>
      <c r="AM444" s="235"/>
      <c r="AN444" s="235"/>
      <c r="AO444" s="235"/>
      <c r="AP444" s="235"/>
      <c r="AQ444" s="235"/>
      <c r="AR444" s="235"/>
      <c r="AS444" s="235"/>
      <c r="AT444" s="235"/>
      <c r="AU444" s="236"/>
      <c r="AV444" s="235"/>
      <c r="AW444" s="235"/>
      <c r="AX444" s="235"/>
      <c r="AY444" s="235"/>
      <c r="AZ444" s="235"/>
      <c r="BA444" s="235"/>
      <c r="BB444" s="235"/>
      <c r="BC444" s="235"/>
      <c r="BD444" s="236"/>
      <c r="BE444" s="235"/>
      <c r="BF444" s="235"/>
      <c r="BG444" s="235"/>
      <c r="BH444" s="235"/>
      <c r="BI444" s="236"/>
      <c r="BJ444" s="236"/>
      <c r="BK444" s="238"/>
      <c r="BL444" s="239"/>
      <c r="BM444" s="239"/>
      <c r="BN444" s="239"/>
      <c r="BP444" s="236"/>
      <c r="BQ444" s="236"/>
      <c r="BR444" s="236"/>
      <c r="BS444" s="236"/>
      <c r="BT444" s="236"/>
      <c r="BU444" s="236"/>
      <c r="BV444" s="236"/>
      <c r="BW444" s="236"/>
      <c r="BX444" s="236"/>
      <c r="BY444" s="236"/>
      <c r="BZ444" s="236"/>
      <c r="CA444" s="236"/>
      <c r="CB444" s="236"/>
      <c r="CC444" s="236"/>
      <c r="CD444" s="236"/>
      <c r="CE444" s="236"/>
      <c r="CF444" s="236"/>
      <c r="CG444" s="236"/>
      <c r="CH444" s="236"/>
      <c r="CI444" s="236"/>
      <c r="CJ444" s="236"/>
      <c r="CK444" s="236"/>
      <c r="CL444" s="236"/>
      <c r="CM444" s="236"/>
      <c r="CN444" s="236"/>
      <c r="CO444" s="236"/>
    </row>
    <row r="445" spans="5:93" s="230" customFormat="1">
      <c r="E445" s="234"/>
      <c r="F445" s="235"/>
      <c r="G445" s="235"/>
      <c r="H445" s="236"/>
      <c r="I445" s="235"/>
      <c r="J445" s="235"/>
      <c r="K445" s="235"/>
      <c r="L445" s="235"/>
      <c r="M445" s="236"/>
      <c r="N445" s="235"/>
      <c r="O445" s="235"/>
      <c r="P445" s="235"/>
      <c r="Q445" s="235"/>
      <c r="R445" s="235"/>
      <c r="S445" s="235"/>
      <c r="T445" s="235"/>
      <c r="U445" s="235"/>
      <c r="V445" s="235"/>
      <c r="W445" s="235"/>
      <c r="X445" s="235"/>
      <c r="Y445" s="235"/>
      <c r="Z445" s="235"/>
      <c r="AA445" s="235"/>
      <c r="AB445" s="235"/>
      <c r="AC445" s="235"/>
      <c r="AD445" s="235"/>
      <c r="AE445" s="236"/>
      <c r="AF445" s="235"/>
      <c r="AG445" s="235"/>
      <c r="AH445" s="235"/>
      <c r="AI445" s="235"/>
      <c r="AJ445" s="236"/>
      <c r="AK445" s="235"/>
      <c r="AL445" s="235"/>
      <c r="AM445" s="235"/>
      <c r="AN445" s="235"/>
      <c r="AO445" s="235"/>
      <c r="AP445" s="235"/>
      <c r="AQ445" s="235"/>
      <c r="AR445" s="235"/>
      <c r="AS445" s="235"/>
      <c r="AT445" s="235"/>
      <c r="AU445" s="236"/>
      <c r="AV445" s="235"/>
      <c r="AW445" s="235"/>
      <c r="AX445" s="235"/>
      <c r="AY445" s="235"/>
      <c r="AZ445" s="235"/>
      <c r="BA445" s="235"/>
      <c r="BB445" s="235"/>
      <c r="BC445" s="235"/>
      <c r="BD445" s="236"/>
      <c r="BE445" s="235"/>
      <c r="BF445" s="235"/>
      <c r="BG445" s="235"/>
      <c r="BH445" s="235"/>
      <c r="BI445" s="236"/>
      <c r="BJ445" s="236"/>
      <c r="BK445" s="238"/>
      <c r="BL445" s="239"/>
      <c r="BM445" s="239"/>
      <c r="BN445" s="239"/>
      <c r="BP445" s="236"/>
      <c r="BQ445" s="236"/>
      <c r="BR445" s="236"/>
      <c r="BS445" s="236"/>
      <c r="BT445" s="236"/>
      <c r="BU445" s="236"/>
      <c r="BV445" s="236"/>
      <c r="BW445" s="236"/>
      <c r="BX445" s="236"/>
      <c r="BY445" s="236"/>
      <c r="BZ445" s="236"/>
      <c r="CA445" s="236"/>
      <c r="CB445" s="236"/>
      <c r="CC445" s="236"/>
      <c r="CD445" s="236"/>
      <c r="CE445" s="236"/>
      <c r="CF445" s="236"/>
      <c r="CG445" s="236"/>
      <c r="CH445" s="236"/>
      <c r="CI445" s="236"/>
      <c r="CJ445" s="236"/>
      <c r="CK445" s="236"/>
      <c r="CL445" s="236"/>
      <c r="CM445" s="236"/>
      <c r="CN445" s="236"/>
      <c r="CO445" s="236"/>
    </row>
    <row r="446" spans="5:93" s="230" customFormat="1">
      <c r="E446" s="234"/>
      <c r="F446" s="235"/>
      <c r="G446" s="235"/>
      <c r="H446" s="236"/>
      <c r="I446" s="235"/>
      <c r="J446" s="235"/>
      <c r="K446" s="235"/>
      <c r="L446" s="235"/>
      <c r="M446" s="236"/>
      <c r="N446" s="235"/>
      <c r="O446" s="235"/>
      <c r="P446" s="235"/>
      <c r="Q446" s="235"/>
      <c r="R446" s="235"/>
      <c r="S446" s="235"/>
      <c r="T446" s="235"/>
      <c r="U446" s="235"/>
      <c r="V446" s="235"/>
      <c r="W446" s="235"/>
      <c r="X446" s="235"/>
      <c r="Y446" s="235"/>
      <c r="Z446" s="235"/>
      <c r="AA446" s="235"/>
      <c r="AB446" s="235"/>
      <c r="AC446" s="235"/>
      <c r="AD446" s="235"/>
      <c r="AE446" s="236"/>
      <c r="AF446" s="235"/>
      <c r="AG446" s="235"/>
      <c r="AH446" s="235"/>
      <c r="AI446" s="235"/>
      <c r="AJ446" s="236"/>
      <c r="AK446" s="235"/>
      <c r="AL446" s="235"/>
      <c r="AM446" s="235"/>
      <c r="AN446" s="235"/>
      <c r="AO446" s="235"/>
      <c r="AP446" s="235"/>
      <c r="AQ446" s="235"/>
      <c r="AR446" s="235"/>
      <c r="AS446" s="235"/>
      <c r="AT446" s="235"/>
      <c r="AU446" s="236"/>
      <c r="AV446" s="235"/>
      <c r="AW446" s="235"/>
      <c r="AX446" s="235"/>
      <c r="AY446" s="235"/>
      <c r="AZ446" s="235"/>
      <c r="BA446" s="235"/>
      <c r="BB446" s="235"/>
      <c r="BC446" s="235"/>
      <c r="BD446" s="236"/>
      <c r="BE446" s="235"/>
      <c r="BF446" s="235"/>
      <c r="BG446" s="235"/>
      <c r="BH446" s="235"/>
      <c r="BI446" s="236"/>
      <c r="BJ446" s="236"/>
      <c r="BK446" s="238"/>
      <c r="BL446" s="239"/>
      <c r="BM446" s="239"/>
      <c r="BN446" s="239"/>
      <c r="BP446" s="236"/>
      <c r="BQ446" s="236"/>
      <c r="BR446" s="236"/>
      <c r="BS446" s="236"/>
      <c r="BT446" s="236"/>
      <c r="BU446" s="236"/>
      <c r="BV446" s="236"/>
      <c r="BW446" s="236"/>
      <c r="BX446" s="236"/>
      <c r="BY446" s="236"/>
      <c r="BZ446" s="236"/>
      <c r="CA446" s="236"/>
      <c r="CB446" s="236"/>
      <c r="CC446" s="236"/>
      <c r="CD446" s="236"/>
      <c r="CE446" s="236"/>
      <c r="CF446" s="236"/>
      <c r="CG446" s="236"/>
      <c r="CH446" s="236"/>
      <c r="CI446" s="236"/>
      <c r="CJ446" s="236"/>
      <c r="CK446" s="236"/>
      <c r="CL446" s="236"/>
      <c r="CM446" s="236"/>
      <c r="CN446" s="236"/>
      <c r="CO446" s="236"/>
    </row>
    <row r="447" spans="5:93" s="230" customFormat="1">
      <c r="E447" s="234"/>
      <c r="F447" s="235"/>
      <c r="G447" s="235"/>
      <c r="H447" s="236"/>
      <c r="I447" s="235"/>
      <c r="J447" s="235"/>
      <c r="K447" s="235"/>
      <c r="L447" s="235"/>
      <c r="M447" s="236"/>
      <c r="N447" s="235"/>
      <c r="O447" s="235"/>
      <c r="P447" s="235"/>
      <c r="Q447" s="235"/>
      <c r="R447" s="235"/>
      <c r="S447" s="235"/>
      <c r="T447" s="235"/>
      <c r="U447" s="235"/>
      <c r="V447" s="235"/>
      <c r="W447" s="235"/>
      <c r="X447" s="235"/>
      <c r="Y447" s="235"/>
      <c r="Z447" s="235"/>
      <c r="AA447" s="235"/>
      <c r="AB447" s="235"/>
      <c r="AC447" s="235"/>
      <c r="AD447" s="235"/>
      <c r="AE447" s="236"/>
      <c r="AF447" s="235"/>
      <c r="AG447" s="235"/>
      <c r="AH447" s="235"/>
      <c r="AI447" s="235"/>
      <c r="AJ447" s="236"/>
      <c r="AK447" s="235"/>
      <c r="AL447" s="235"/>
      <c r="AM447" s="235"/>
      <c r="AN447" s="235"/>
      <c r="AO447" s="235"/>
      <c r="AP447" s="235"/>
      <c r="AQ447" s="235"/>
      <c r="AR447" s="235"/>
      <c r="AS447" s="235"/>
      <c r="AT447" s="235"/>
      <c r="AU447" s="236"/>
      <c r="AV447" s="235"/>
      <c r="AW447" s="235"/>
      <c r="AX447" s="235"/>
      <c r="AY447" s="235"/>
      <c r="AZ447" s="235"/>
      <c r="BA447" s="235"/>
      <c r="BB447" s="235"/>
      <c r="BC447" s="235"/>
      <c r="BD447" s="236"/>
      <c r="BE447" s="235"/>
      <c r="BF447" s="235"/>
      <c r="BG447" s="235"/>
      <c r="BH447" s="235"/>
      <c r="BI447" s="236"/>
      <c r="BJ447" s="236"/>
      <c r="BK447" s="238"/>
      <c r="BL447" s="239"/>
      <c r="BM447" s="239"/>
      <c r="BN447" s="239"/>
      <c r="BP447" s="236"/>
      <c r="BQ447" s="236"/>
      <c r="BR447" s="236"/>
      <c r="BS447" s="236"/>
      <c r="BT447" s="236"/>
      <c r="BU447" s="236"/>
      <c r="BV447" s="236"/>
      <c r="BW447" s="236"/>
      <c r="BX447" s="236"/>
      <c r="BY447" s="236"/>
      <c r="BZ447" s="236"/>
      <c r="CA447" s="236"/>
      <c r="CB447" s="236"/>
      <c r="CC447" s="236"/>
      <c r="CD447" s="236"/>
      <c r="CE447" s="236"/>
      <c r="CF447" s="236"/>
      <c r="CG447" s="236"/>
      <c r="CH447" s="236"/>
      <c r="CI447" s="236"/>
      <c r="CJ447" s="236"/>
      <c r="CK447" s="236"/>
      <c r="CL447" s="236"/>
      <c r="CM447" s="236"/>
      <c r="CN447" s="236"/>
      <c r="CO447" s="236"/>
    </row>
    <row r="448" spans="5:93" s="230" customFormat="1">
      <c r="E448" s="234"/>
      <c r="F448" s="235"/>
      <c r="G448" s="235"/>
      <c r="H448" s="236"/>
      <c r="I448" s="235"/>
      <c r="J448" s="235"/>
      <c r="K448" s="235"/>
      <c r="L448" s="235"/>
      <c r="M448" s="236"/>
      <c r="N448" s="235"/>
      <c r="O448" s="235"/>
      <c r="P448" s="235"/>
      <c r="Q448" s="235"/>
      <c r="R448" s="235"/>
      <c r="S448" s="235"/>
      <c r="T448" s="235"/>
      <c r="U448" s="235"/>
      <c r="V448" s="235"/>
      <c r="W448" s="235"/>
      <c r="X448" s="235"/>
      <c r="Y448" s="235"/>
      <c r="Z448" s="235"/>
      <c r="AA448" s="235"/>
      <c r="AB448" s="235"/>
      <c r="AC448" s="235"/>
      <c r="AD448" s="235"/>
      <c r="AE448" s="236"/>
      <c r="AF448" s="235"/>
      <c r="AG448" s="235"/>
      <c r="AH448" s="235"/>
      <c r="AI448" s="235"/>
      <c r="AJ448" s="236"/>
      <c r="AK448" s="235"/>
      <c r="AL448" s="235"/>
      <c r="AM448" s="235"/>
      <c r="AN448" s="235"/>
      <c r="AO448" s="235"/>
      <c r="AP448" s="235"/>
      <c r="AQ448" s="235"/>
      <c r="AR448" s="235"/>
      <c r="AS448" s="235"/>
      <c r="AT448" s="235"/>
      <c r="AU448" s="236"/>
      <c r="AV448" s="235"/>
      <c r="AW448" s="235"/>
      <c r="AX448" s="235"/>
      <c r="AY448" s="235"/>
      <c r="AZ448" s="235"/>
      <c r="BA448" s="235"/>
      <c r="BB448" s="235"/>
      <c r="BC448" s="235"/>
      <c r="BD448" s="236"/>
      <c r="BE448" s="235"/>
      <c r="BF448" s="235"/>
      <c r="BG448" s="235"/>
      <c r="BH448" s="235"/>
      <c r="BI448" s="236"/>
      <c r="BJ448" s="236"/>
      <c r="BK448" s="238"/>
      <c r="BL448" s="239"/>
      <c r="BM448" s="239"/>
      <c r="BN448" s="239"/>
      <c r="BP448" s="236"/>
      <c r="BQ448" s="236"/>
      <c r="BR448" s="236"/>
      <c r="BS448" s="236"/>
      <c r="BT448" s="236"/>
      <c r="BU448" s="236"/>
      <c r="BV448" s="236"/>
      <c r="BW448" s="236"/>
      <c r="BX448" s="236"/>
      <c r="BY448" s="236"/>
      <c r="BZ448" s="236"/>
      <c r="CA448" s="236"/>
      <c r="CB448" s="236"/>
      <c r="CC448" s="236"/>
      <c r="CD448" s="236"/>
      <c r="CE448" s="236"/>
      <c r="CF448" s="236"/>
      <c r="CG448" s="236"/>
      <c r="CH448" s="236"/>
      <c r="CI448" s="236"/>
      <c r="CJ448" s="236"/>
      <c r="CK448" s="236"/>
      <c r="CL448" s="236"/>
      <c r="CM448" s="236"/>
      <c r="CN448" s="236"/>
      <c r="CO448" s="236"/>
    </row>
    <row r="449" spans="5:93" s="230" customFormat="1">
      <c r="E449" s="234"/>
      <c r="F449" s="235"/>
      <c r="G449" s="235"/>
      <c r="H449" s="236"/>
      <c r="I449" s="235"/>
      <c r="J449" s="235"/>
      <c r="K449" s="235"/>
      <c r="L449" s="235"/>
      <c r="M449" s="236"/>
      <c r="N449" s="235"/>
      <c r="O449" s="235"/>
      <c r="P449" s="235"/>
      <c r="Q449" s="235"/>
      <c r="R449" s="235"/>
      <c r="S449" s="235"/>
      <c r="T449" s="235"/>
      <c r="U449" s="235"/>
      <c r="V449" s="235"/>
      <c r="W449" s="235"/>
      <c r="X449" s="235"/>
      <c r="Y449" s="235"/>
      <c r="Z449" s="235"/>
      <c r="AA449" s="235"/>
      <c r="AB449" s="235"/>
      <c r="AC449" s="235"/>
      <c r="AD449" s="235"/>
      <c r="AE449" s="236"/>
      <c r="AF449" s="235"/>
      <c r="AG449" s="235"/>
      <c r="AH449" s="235"/>
      <c r="AI449" s="235"/>
      <c r="AJ449" s="236"/>
      <c r="AK449" s="235"/>
      <c r="AL449" s="235"/>
      <c r="AM449" s="235"/>
      <c r="AN449" s="235"/>
      <c r="AO449" s="235"/>
      <c r="AP449" s="235"/>
      <c r="AQ449" s="235"/>
      <c r="AR449" s="235"/>
      <c r="AS449" s="235"/>
      <c r="AT449" s="235"/>
      <c r="AU449" s="236"/>
      <c r="AV449" s="235"/>
      <c r="AW449" s="235"/>
      <c r="AX449" s="235"/>
      <c r="AY449" s="235"/>
      <c r="AZ449" s="235"/>
      <c r="BA449" s="235"/>
      <c r="BB449" s="235"/>
      <c r="BC449" s="235"/>
      <c r="BD449" s="236"/>
      <c r="BE449" s="235"/>
      <c r="BF449" s="235"/>
      <c r="BG449" s="235"/>
      <c r="BH449" s="235"/>
      <c r="BI449" s="236"/>
      <c r="BJ449" s="236"/>
      <c r="BK449" s="238"/>
      <c r="BL449" s="239"/>
      <c r="BM449" s="239"/>
      <c r="BN449" s="239"/>
      <c r="BP449" s="236"/>
      <c r="BQ449" s="236"/>
      <c r="BR449" s="236"/>
      <c r="BS449" s="236"/>
      <c r="BT449" s="236"/>
      <c r="BU449" s="236"/>
      <c r="BV449" s="236"/>
      <c r="BW449" s="236"/>
      <c r="BX449" s="236"/>
      <c r="BY449" s="236"/>
      <c r="BZ449" s="236"/>
      <c r="CA449" s="236"/>
      <c r="CB449" s="236"/>
      <c r="CC449" s="236"/>
      <c r="CD449" s="236"/>
      <c r="CE449" s="236"/>
      <c r="CF449" s="236"/>
      <c r="CG449" s="236"/>
      <c r="CH449" s="236"/>
      <c r="CI449" s="236"/>
      <c r="CJ449" s="236"/>
      <c r="CK449" s="236"/>
      <c r="CL449" s="236"/>
      <c r="CM449" s="236"/>
      <c r="CN449" s="236"/>
      <c r="CO449" s="236"/>
    </row>
    <row r="450" spans="5:93" s="230" customFormat="1">
      <c r="E450" s="234"/>
      <c r="F450" s="235"/>
      <c r="G450" s="235"/>
      <c r="H450" s="236"/>
      <c r="I450" s="235"/>
      <c r="J450" s="235"/>
      <c r="K450" s="235"/>
      <c r="L450" s="235"/>
      <c r="M450" s="236"/>
      <c r="N450" s="235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  <c r="Z450" s="235"/>
      <c r="AA450" s="235"/>
      <c r="AB450" s="235"/>
      <c r="AC450" s="235"/>
      <c r="AD450" s="235"/>
      <c r="AE450" s="236"/>
      <c r="AF450" s="235"/>
      <c r="AG450" s="235"/>
      <c r="AH450" s="235"/>
      <c r="AI450" s="235"/>
      <c r="AJ450" s="236"/>
      <c r="AK450" s="235"/>
      <c r="AL450" s="235"/>
      <c r="AM450" s="235"/>
      <c r="AN450" s="235"/>
      <c r="AO450" s="235"/>
      <c r="AP450" s="235"/>
      <c r="AQ450" s="235"/>
      <c r="AR450" s="235"/>
      <c r="AS450" s="235"/>
      <c r="AT450" s="235"/>
      <c r="AU450" s="236"/>
      <c r="AV450" s="235"/>
      <c r="AW450" s="235"/>
      <c r="AX450" s="235"/>
      <c r="AY450" s="235"/>
      <c r="AZ450" s="235"/>
      <c r="BA450" s="235"/>
      <c r="BB450" s="235"/>
      <c r="BC450" s="235"/>
      <c r="BD450" s="236"/>
      <c r="BE450" s="235"/>
      <c r="BF450" s="235"/>
      <c r="BG450" s="235"/>
      <c r="BH450" s="235"/>
      <c r="BI450" s="236"/>
      <c r="BJ450" s="236"/>
      <c r="BK450" s="238"/>
      <c r="BL450" s="239"/>
      <c r="BM450" s="239"/>
      <c r="BN450" s="239"/>
      <c r="BP450" s="236"/>
      <c r="BQ450" s="236"/>
      <c r="BR450" s="236"/>
      <c r="BS450" s="236"/>
      <c r="BT450" s="236"/>
      <c r="BU450" s="236"/>
      <c r="BV450" s="236"/>
      <c r="BW450" s="236"/>
      <c r="BX450" s="236"/>
      <c r="BY450" s="236"/>
      <c r="BZ450" s="236"/>
      <c r="CA450" s="236"/>
      <c r="CB450" s="236"/>
      <c r="CC450" s="236"/>
      <c r="CD450" s="236"/>
      <c r="CE450" s="236"/>
      <c r="CF450" s="236"/>
      <c r="CG450" s="236"/>
      <c r="CH450" s="236"/>
      <c r="CI450" s="236"/>
      <c r="CJ450" s="236"/>
      <c r="CK450" s="236"/>
      <c r="CL450" s="236"/>
      <c r="CM450" s="236"/>
      <c r="CN450" s="236"/>
      <c r="CO450" s="236"/>
    </row>
    <row r="451" spans="5:93" s="230" customFormat="1">
      <c r="E451" s="234"/>
      <c r="F451" s="235"/>
      <c r="G451" s="235"/>
      <c r="H451" s="236"/>
      <c r="I451" s="235"/>
      <c r="J451" s="235"/>
      <c r="K451" s="235"/>
      <c r="L451" s="235"/>
      <c r="M451" s="236"/>
      <c r="N451" s="235"/>
      <c r="O451" s="235"/>
      <c r="P451" s="235"/>
      <c r="Q451" s="235"/>
      <c r="R451" s="235"/>
      <c r="S451" s="235"/>
      <c r="T451" s="235"/>
      <c r="U451" s="235"/>
      <c r="V451" s="235"/>
      <c r="W451" s="235"/>
      <c r="X451" s="235"/>
      <c r="Y451" s="235"/>
      <c r="Z451" s="235"/>
      <c r="AA451" s="235"/>
      <c r="AB451" s="235"/>
      <c r="AC451" s="235"/>
      <c r="AD451" s="235"/>
      <c r="AE451" s="236"/>
      <c r="AF451" s="235"/>
      <c r="AG451" s="235"/>
      <c r="AH451" s="235"/>
      <c r="AI451" s="235"/>
      <c r="AJ451" s="236"/>
      <c r="AK451" s="235"/>
      <c r="AL451" s="235"/>
      <c r="AM451" s="235"/>
      <c r="AN451" s="235"/>
      <c r="AO451" s="235"/>
      <c r="AP451" s="235"/>
      <c r="AQ451" s="235"/>
      <c r="AR451" s="235"/>
      <c r="AS451" s="235"/>
      <c r="AT451" s="235"/>
      <c r="AU451" s="236"/>
      <c r="AV451" s="235"/>
      <c r="AW451" s="235"/>
      <c r="AX451" s="235"/>
      <c r="AY451" s="235"/>
      <c r="AZ451" s="235"/>
      <c r="BA451" s="235"/>
      <c r="BB451" s="235"/>
      <c r="BC451" s="235"/>
      <c r="BD451" s="236"/>
      <c r="BE451" s="235"/>
      <c r="BF451" s="235"/>
      <c r="BG451" s="235"/>
      <c r="BH451" s="235"/>
      <c r="BI451" s="236"/>
      <c r="BJ451" s="236"/>
      <c r="BK451" s="238"/>
      <c r="BL451" s="239"/>
      <c r="BM451" s="239"/>
      <c r="BN451" s="239"/>
      <c r="BP451" s="236"/>
      <c r="BQ451" s="236"/>
      <c r="BR451" s="236"/>
      <c r="BS451" s="236"/>
      <c r="BT451" s="236"/>
      <c r="BU451" s="236"/>
      <c r="BV451" s="236"/>
      <c r="BW451" s="236"/>
      <c r="BX451" s="236"/>
      <c r="BY451" s="236"/>
      <c r="BZ451" s="236"/>
      <c r="CA451" s="236"/>
      <c r="CB451" s="236"/>
      <c r="CC451" s="236"/>
      <c r="CD451" s="236"/>
      <c r="CE451" s="236"/>
      <c r="CF451" s="236"/>
      <c r="CG451" s="236"/>
      <c r="CH451" s="236"/>
      <c r="CI451" s="236"/>
      <c r="CJ451" s="236"/>
      <c r="CK451" s="236"/>
      <c r="CL451" s="236"/>
      <c r="CM451" s="236"/>
      <c r="CN451" s="236"/>
      <c r="CO451" s="236"/>
    </row>
    <row r="452" spans="5:93" s="230" customFormat="1">
      <c r="E452" s="234"/>
      <c r="F452" s="235"/>
      <c r="G452" s="235"/>
      <c r="H452" s="236"/>
      <c r="I452" s="235"/>
      <c r="J452" s="235"/>
      <c r="K452" s="235"/>
      <c r="L452" s="235"/>
      <c r="M452" s="236"/>
      <c r="N452" s="235"/>
      <c r="O452" s="235"/>
      <c r="P452" s="235"/>
      <c r="Q452" s="235"/>
      <c r="R452" s="235"/>
      <c r="S452" s="235"/>
      <c r="T452" s="235"/>
      <c r="U452" s="235"/>
      <c r="V452" s="235"/>
      <c r="W452" s="235"/>
      <c r="X452" s="235"/>
      <c r="Y452" s="235"/>
      <c r="Z452" s="235"/>
      <c r="AA452" s="235"/>
      <c r="AB452" s="235"/>
      <c r="AC452" s="235"/>
      <c r="AD452" s="235"/>
      <c r="AE452" s="236"/>
      <c r="AF452" s="235"/>
      <c r="AG452" s="235"/>
      <c r="AH452" s="235"/>
      <c r="AI452" s="235"/>
      <c r="AJ452" s="236"/>
      <c r="AK452" s="235"/>
      <c r="AL452" s="235"/>
      <c r="AM452" s="235"/>
      <c r="AN452" s="235"/>
      <c r="AO452" s="235"/>
      <c r="AP452" s="235"/>
      <c r="AQ452" s="235"/>
      <c r="AR452" s="235"/>
      <c r="AS452" s="235"/>
      <c r="AT452" s="235"/>
      <c r="AU452" s="236"/>
      <c r="AV452" s="235"/>
      <c r="AW452" s="235"/>
      <c r="AX452" s="235"/>
      <c r="AY452" s="235"/>
      <c r="AZ452" s="235"/>
      <c r="BA452" s="235"/>
      <c r="BB452" s="235"/>
      <c r="BC452" s="235"/>
      <c r="BD452" s="236"/>
      <c r="BE452" s="235"/>
      <c r="BF452" s="235"/>
      <c r="BG452" s="235"/>
      <c r="BH452" s="235"/>
      <c r="BI452" s="236"/>
      <c r="BJ452" s="236"/>
      <c r="BK452" s="238"/>
      <c r="BL452" s="239"/>
      <c r="BM452" s="239"/>
      <c r="BN452" s="239"/>
      <c r="BP452" s="236"/>
      <c r="BQ452" s="236"/>
      <c r="BR452" s="236"/>
      <c r="BS452" s="236"/>
      <c r="BT452" s="236"/>
      <c r="BU452" s="236"/>
      <c r="BV452" s="236"/>
      <c r="BW452" s="236"/>
      <c r="BX452" s="236"/>
      <c r="BY452" s="236"/>
      <c r="BZ452" s="236"/>
      <c r="CA452" s="236"/>
      <c r="CB452" s="236"/>
      <c r="CC452" s="236"/>
      <c r="CD452" s="236"/>
      <c r="CE452" s="236"/>
      <c r="CF452" s="236"/>
      <c r="CG452" s="236"/>
      <c r="CH452" s="236"/>
      <c r="CI452" s="236"/>
      <c r="CJ452" s="236"/>
      <c r="CK452" s="236"/>
      <c r="CL452" s="236"/>
      <c r="CM452" s="236"/>
      <c r="CN452" s="236"/>
      <c r="CO452" s="236"/>
    </row>
    <row r="453" spans="5:93" s="230" customFormat="1">
      <c r="E453" s="234"/>
      <c r="F453" s="235"/>
      <c r="G453" s="235"/>
      <c r="H453" s="236"/>
      <c r="I453" s="235"/>
      <c r="J453" s="235"/>
      <c r="K453" s="235"/>
      <c r="L453" s="235"/>
      <c r="M453" s="236"/>
      <c r="N453" s="235"/>
      <c r="O453" s="235"/>
      <c r="P453" s="235"/>
      <c r="Q453" s="235"/>
      <c r="R453" s="235"/>
      <c r="S453" s="235"/>
      <c r="T453" s="235"/>
      <c r="U453" s="235"/>
      <c r="V453" s="235"/>
      <c r="W453" s="235"/>
      <c r="X453" s="235"/>
      <c r="Y453" s="235"/>
      <c r="Z453" s="235"/>
      <c r="AA453" s="235"/>
      <c r="AB453" s="235"/>
      <c r="AC453" s="235"/>
      <c r="AD453" s="235"/>
      <c r="AE453" s="236"/>
      <c r="AF453" s="235"/>
      <c r="AG453" s="235"/>
      <c r="AH453" s="235"/>
      <c r="AI453" s="235"/>
      <c r="AJ453" s="236"/>
      <c r="AK453" s="235"/>
      <c r="AL453" s="235"/>
      <c r="AM453" s="235"/>
      <c r="AN453" s="235"/>
      <c r="AO453" s="235"/>
      <c r="AP453" s="235"/>
      <c r="AQ453" s="235"/>
      <c r="AR453" s="235"/>
      <c r="AS453" s="235"/>
      <c r="AT453" s="235"/>
      <c r="AU453" s="236"/>
      <c r="AV453" s="235"/>
      <c r="AW453" s="235"/>
      <c r="AX453" s="235"/>
      <c r="AY453" s="235"/>
      <c r="AZ453" s="235"/>
      <c r="BA453" s="235"/>
      <c r="BB453" s="235"/>
      <c r="BC453" s="235"/>
      <c r="BD453" s="236"/>
      <c r="BE453" s="235"/>
      <c r="BF453" s="235"/>
      <c r="BG453" s="235"/>
      <c r="BH453" s="235"/>
      <c r="BI453" s="236"/>
      <c r="BJ453" s="236"/>
      <c r="BK453" s="238"/>
      <c r="BL453" s="239"/>
      <c r="BM453" s="239"/>
      <c r="BN453" s="239"/>
      <c r="BP453" s="236"/>
      <c r="BQ453" s="236"/>
      <c r="BR453" s="236"/>
      <c r="BS453" s="236"/>
      <c r="BT453" s="236"/>
      <c r="BU453" s="236"/>
      <c r="BV453" s="236"/>
      <c r="BW453" s="236"/>
      <c r="BX453" s="236"/>
      <c r="BY453" s="236"/>
      <c r="BZ453" s="236"/>
      <c r="CA453" s="236"/>
      <c r="CB453" s="236"/>
      <c r="CC453" s="236"/>
      <c r="CD453" s="236"/>
      <c r="CE453" s="236"/>
      <c r="CF453" s="236"/>
      <c r="CG453" s="236"/>
      <c r="CH453" s="236"/>
      <c r="CI453" s="236"/>
      <c r="CJ453" s="236"/>
      <c r="CK453" s="236"/>
      <c r="CL453" s="236"/>
      <c r="CM453" s="236"/>
      <c r="CN453" s="236"/>
      <c r="CO453" s="236"/>
    </row>
    <row r="454" spans="5:93" s="230" customFormat="1">
      <c r="E454" s="234"/>
      <c r="F454" s="235"/>
      <c r="G454" s="235"/>
      <c r="H454" s="236"/>
      <c r="I454" s="235"/>
      <c r="J454" s="235"/>
      <c r="K454" s="235"/>
      <c r="L454" s="235"/>
      <c r="M454" s="236"/>
      <c r="N454" s="235"/>
      <c r="O454" s="235"/>
      <c r="P454" s="235"/>
      <c r="Q454" s="235"/>
      <c r="R454" s="235"/>
      <c r="S454" s="235"/>
      <c r="T454" s="235"/>
      <c r="U454" s="235"/>
      <c r="V454" s="235"/>
      <c r="W454" s="235"/>
      <c r="X454" s="235"/>
      <c r="Y454" s="235"/>
      <c r="Z454" s="235"/>
      <c r="AA454" s="235"/>
      <c r="AB454" s="235"/>
      <c r="AC454" s="235"/>
      <c r="AD454" s="235"/>
      <c r="AE454" s="236"/>
      <c r="AF454" s="235"/>
      <c r="AG454" s="235"/>
      <c r="AH454" s="235"/>
      <c r="AI454" s="235"/>
      <c r="AJ454" s="236"/>
      <c r="AK454" s="235"/>
      <c r="AL454" s="235"/>
      <c r="AM454" s="235"/>
      <c r="AN454" s="235"/>
      <c r="AO454" s="235"/>
      <c r="AP454" s="235"/>
      <c r="AQ454" s="235"/>
      <c r="AR454" s="235"/>
      <c r="AS454" s="235"/>
      <c r="AT454" s="235"/>
      <c r="AU454" s="236"/>
      <c r="AV454" s="235"/>
      <c r="AW454" s="235"/>
      <c r="AX454" s="235"/>
      <c r="AY454" s="235"/>
      <c r="AZ454" s="235"/>
      <c r="BA454" s="235"/>
      <c r="BB454" s="235"/>
      <c r="BC454" s="235"/>
      <c r="BD454" s="236"/>
      <c r="BE454" s="235"/>
      <c r="BF454" s="235"/>
      <c r="BG454" s="235"/>
      <c r="BH454" s="235"/>
      <c r="BI454" s="236"/>
      <c r="BJ454" s="236"/>
      <c r="BK454" s="238"/>
      <c r="BL454" s="239"/>
      <c r="BM454" s="239"/>
      <c r="BN454" s="239"/>
      <c r="BP454" s="236"/>
      <c r="BQ454" s="236"/>
      <c r="BR454" s="236"/>
      <c r="BS454" s="236"/>
      <c r="BT454" s="236"/>
      <c r="BU454" s="236"/>
      <c r="BV454" s="236"/>
      <c r="BW454" s="236"/>
      <c r="BX454" s="236"/>
      <c r="BY454" s="236"/>
      <c r="BZ454" s="236"/>
      <c r="CA454" s="236"/>
      <c r="CB454" s="236"/>
      <c r="CC454" s="236"/>
      <c r="CD454" s="236"/>
      <c r="CE454" s="236"/>
      <c r="CF454" s="236"/>
      <c r="CG454" s="236"/>
      <c r="CH454" s="236"/>
      <c r="CI454" s="236"/>
      <c r="CJ454" s="236"/>
      <c r="CK454" s="236"/>
      <c r="CL454" s="236"/>
      <c r="CM454" s="236"/>
      <c r="CN454" s="236"/>
      <c r="CO454" s="236"/>
    </row>
    <row r="455" spans="5:93" s="230" customFormat="1">
      <c r="E455" s="234"/>
      <c r="F455" s="235"/>
      <c r="G455" s="235"/>
      <c r="H455" s="236"/>
      <c r="I455" s="235"/>
      <c r="J455" s="235"/>
      <c r="K455" s="235"/>
      <c r="L455" s="235"/>
      <c r="M455" s="236"/>
      <c r="N455" s="235"/>
      <c r="O455" s="235"/>
      <c r="P455" s="235"/>
      <c r="Q455" s="235"/>
      <c r="R455" s="235"/>
      <c r="S455" s="235"/>
      <c r="T455" s="235"/>
      <c r="U455" s="235"/>
      <c r="V455" s="235"/>
      <c r="W455" s="235"/>
      <c r="X455" s="235"/>
      <c r="Y455" s="235"/>
      <c r="Z455" s="235"/>
      <c r="AA455" s="235"/>
      <c r="AB455" s="235"/>
      <c r="AC455" s="235"/>
      <c r="AD455" s="235"/>
      <c r="AE455" s="236"/>
      <c r="AF455" s="235"/>
      <c r="AG455" s="235"/>
      <c r="AH455" s="235"/>
      <c r="AI455" s="235"/>
      <c r="AJ455" s="236"/>
      <c r="AK455" s="235"/>
      <c r="AL455" s="235"/>
      <c r="AM455" s="235"/>
      <c r="AN455" s="235"/>
      <c r="AO455" s="235"/>
      <c r="AP455" s="235"/>
      <c r="AQ455" s="235"/>
      <c r="AR455" s="235"/>
      <c r="AS455" s="235"/>
      <c r="AT455" s="235"/>
      <c r="AU455" s="236"/>
      <c r="AV455" s="235"/>
      <c r="AW455" s="235"/>
      <c r="AX455" s="235"/>
      <c r="AY455" s="235"/>
      <c r="AZ455" s="235"/>
      <c r="BA455" s="235"/>
      <c r="BB455" s="235"/>
      <c r="BC455" s="235"/>
      <c r="BD455" s="236"/>
      <c r="BE455" s="235"/>
      <c r="BF455" s="235"/>
      <c r="BG455" s="235"/>
      <c r="BH455" s="235"/>
      <c r="BI455" s="236"/>
      <c r="BJ455" s="236"/>
      <c r="BK455" s="238"/>
      <c r="BL455" s="239"/>
      <c r="BM455" s="239"/>
      <c r="BN455" s="239"/>
      <c r="BP455" s="236"/>
      <c r="BQ455" s="236"/>
      <c r="BR455" s="236"/>
      <c r="BS455" s="236"/>
      <c r="BT455" s="236"/>
      <c r="BU455" s="236"/>
      <c r="BV455" s="236"/>
      <c r="BW455" s="236"/>
      <c r="BX455" s="236"/>
      <c r="BY455" s="236"/>
      <c r="BZ455" s="236"/>
      <c r="CA455" s="236"/>
      <c r="CB455" s="236"/>
      <c r="CC455" s="236"/>
      <c r="CD455" s="236"/>
      <c r="CE455" s="236"/>
      <c r="CF455" s="236"/>
      <c r="CG455" s="236"/>
      <c r="CH455" s="236"/>
      <c r="CI455" s="236"/>
      <c r="CJ455" s="236"/>
      <c r="CK455" s="236"/>
      <c r="CL455" s="236"/>
      <c r="CM455" s="236"/>
      <c r="CN455" s="236"/>
      <c r="CO455" s="236"/>
    </row>
    <row r="456" spans="5:93" s="230" customFormat="1">
      <c r="E456" s="234"/>
      <c r="F456" s="235"/>
      <c r="G456" s="235"/>
      <c r="H456" s="236"/>
      <c r="I456" s="235"/>
      <c r="J456" s="235"/>
      <c r="K456" s="235"/>
      <c r="L456" s="235"/>
      <c r="M456" s="236"/>
      <c r="N456" s="235"/>
      <c r="O456" s="235"/>
      <c r="P456" s="235"/>
      <c r="Q456" s="235"/>
      <c r="R456" s="235"/>
      <c r="S456" s="235"/>
      <c r="T456" s="235"/>
      <c r="U456" s="235"/>
      <c r="V456" s="235"/>
      <c r="W456" s="235"/>
      <c r="X456" s="235"/>
      <c r="Y456" s="235"/>
      <c r="Z456" s="235"/>
      <c r="AA456" s="235"/>
      <c r="AB456" s="235"/>
      <c r="AC456" s="235"/>
      <c r="AD456" s="235"/>
      <c r="AE456" s="236"/>
      <c r="AF456" s="235"/>
      <c r="AG456" s="235"/>
      <c r="AH456" s="235"/>
      <c r="AI456" s="235"/>
      <c r="AJ456" s="236"/>
      <c r="AK456" s="235"/>
      <c r="AL456" s="235"/>
      <c r="AM456" s="235"/>
      <c r="AN456" s="235"/>
      <c r="AO456" s="235"/>
      <c r="AP456" s="235"/>
      <c r="AQ456" s="235"/>
      <c r="AR456" s="235"/>
      <c r="AS456" s="235"/>
      <c r="AT456" s="235"/>
      <c r="AU456" s="236"/>
      <c r="AV456" s="235"/>
      <c r="AW456" s="235"/>
      <c r="AX456" s="235"/>
      <c r="AY456" s="235"/>
      <c r="AZ456" s="235"/>
      <c r="BA456" s="235"/>
      <c r="BB456" s="235"/>
      <c r="BC456" s="235"/>
      <c r="BD456" s="236"/>
      <c r="BE456" s="235"/>
      <c r="BF456" s="235"/>
      <c r="BG456" s="235"/>
      <c r="BH456" s="235"/>
      <c r="BI456" s="236"/>
      <c r="BJ456" s="236"/>
      <c r="BK456" s="238"/>
      <c r="BL456" s="239"/>
      <c r="BM456" s="239"/>
      <c r="BN456" s="239"/>
      <c r="BP456" s="236"/>
      <c r="BQ456" s="236"/>
      <c r="BR456" s="236"/>
      <c r="BS456" s="236"/>
      <c r="BT456" s="236"/>
      <c r="BU456" s="236"/>
      <c r="BV456" s="236"/>
      <c r="BW456" s="236"/>
      <c r="BX456" s="236"/>
      <c r="BY456" s="236"/>
      <c r="BZ456" s="236"/>
      <c r="CA456" s="236"/>
      <c r="CB456" s="236"/>
      <c r="CC456" s="236"/>
      <c r="CD456" s="236"/>
      <c r="CE456" s="236"/>
      <c r="CF456" s="236"/>
      <c r="CG456" s="236"/>
      <c r="CH456" s="236"/>
      <c r="CI456" s="236"/>
      <c r="CJ456" s="236"/>
      <c r="CK456" s="236"/>
      <c r="CL456" s="236"/>
      <c r="CM456" s="236"/>
      <c r="CN456" s="236"/>
      <c r="CO456" s="236"/>
    </row>
    <row r="457" spans="5:93" s="230" customFormat="1">
      <c r="E457" s="234"/>
      <c r="F457" s="235"/>
      <c r="G457" s="235"/>
      <c r="H457" s="236"/>
      <c r="I457" s="235"/>
      <c r="J457" s="235"/>
      <c r="K457" s="235"/>
      <c r="L457" s="235"/>
      <c r="M457" s="236"/>
      <c r="N457" s="235"/>
      <c r="O457" s="235"/>
      <c r="P457" s="235"/>
      <c r="Q457" s="235"/>
      <c r="R457" s="235"/>
      <c r="S457" s="235"/>
      <c r="T457" s="235"/>
      <c r="U457" s="235"/>
      <c r="V457" s="235"/>
      <c r="W457" s="235"/>
      <c r="X457" s="235"/>
      <c r="Y457" s="235"/>
      <c r="Z457" s="235"/>
      <c r="AA457" s="235"/>
      <c r="AB457" s="235"/>
      <c r="AC457" s="235"/>
      <c r="AD457" s="235"/>
      <c r="AE457" s="236"/>
      <c r="AF457" s="235"/>
      <c r="AG457" s="235"/>
      <c r="AH457" s="235"/>
      <c r="AI457" s="235"/>
      <c r="AJ457" s="236"/>
      <c r="AK457" s="235"/>
      <c r="AL457" s="235"/>
      <c r="AM457" s="235"/>
      <c r="AN457" s="235"/>
      <c r="AO457" s="235"/>
      <c r="AP457" s="235"/>
      <c r="AQ457" s="235"/>
      <c r="AR457" s="235"/>
      <c r="AS457" s="235"/>
      <c r="AT457" s="235"/>
      <c r="AU457" s="236"/>
      <c r="AV457" s="235"/>
      <c r="AW457" s="235"/>
      <c r="AX457" s="235"/>
      <c r="AY457" s="235"/>
      <c r="AZ457" s="235"/>
      <c r="BA457" s="235"/>
      <c r="BB457" s="235"/>
      <c r="BC457" s="235"/>
      <c r="BD457" s="236"/>
      <c r="BE457" s="235"/>
      <c r="BF457" s="235"/>
      <c r="BG457" s="235"/>
      <c r="BH457" s="235"/>
      <c r="BI457" s="236"/>
      <c r="BJ457" s="236"/>
      <c r="BK457" s="238"/>
      <c r="BL457" s="239"/>
      <c r="BM457" s="239"/>
      <c r="BN457" s="239"/>
      <c r="BP457" s="236"/>
      <c r="BQ457" s="236"/>
      <c r="BR457" s="236"/>
      <c r="BS457" s="236"/>
      <c r="BT457" s="236"/>
      <c r="BU457" s="236"/>
      <c r="BV457" s="236"/>
      <c r="BW457" s="236"/>
      <c r="BX457" s="236"/>
      <c r="BY457" s="236"/>
      <c r="BZ457" s="236"/>
      <c r="CA457" s="236"/>
      <c r="CB457" s="236"/>
      <c r="CC457" s="236"/>
      <c r="CD457" s="236"/>
      <c r="CE457" s="236"/>
      <c r="CF457" s="236"/>
      <c r="CG457" s="236"/>
      <c r="CH457" s="236"/>
      <c r="CI457" s="236"/>
      <c r="CJ457" s="236"/>
      <c r="CK457" s="236"/>
      <c r="CL457" s="236"/>
      <c r="CM457" s="236"/>
      <c r="CN457" s="236"/>
      <c r="CO457" s="236"/>
    </row>
    <row r="458" spans="5:93" s="230" customFormat="1">
      <c r="E458" s="234"/>
      <c r="F458" s="235"/>
      <c r="G458" s="235"/>
      <c r="H458" s="236"/>
      <c r="I458" s="235"/>
      <c r="J458" s="235"/>
      <c r="K458" s="235"/>
      <c r="L458" s="235"/>
      <c r="M458" s="236"/>
      <c r="N458" s="235"/>
      <c r="O458" s="235"/>
      <c r="P458" s="235"/>
      <c r="Q458" s="235"/>
      <c r="R458" s="235"/>
      <c r="S458" s="235"/>
      <c r="T458" s="235"/>
      <c r="U458" s="235"/>
      <c r="V458" s="235"/>
      <c r="W458" s="235"/>
      <c r="X458" s="235"/>
      <c r="Y458" s="235"/>
      <c r="Z458" s="235"/>
      <c r="AA458" s="235"/>
      <c r="AB458" s="235"/>
      <c r="AC458" s="235"/>
      <c r="AD458" s="235"/>
      <c r="AE458" s="236"/>
      <c r="AF458" s="235"/>
      <c r="AG458" s="235"/>
      <c r="AH458" s="235"/>
      <c r="AI458" s="235"/>
      <c r="AJ458" s="236"/>
      <c r="AK458" s="235"/>
      <c r="AL458" s="235"/>
      <c r="AM458" s="235"/>
      <c r="AN458" s="235"/>
      <c r="AO458" s="235"/>
      <c r="AP458" s="235"/>
      <c r="AQ458" s="235"/>
      <c r="AR458" s="235"/>
      <c r="AS458" s="235"/>
      <c r="AT458" s="235"/>
      <c r="AU458" s="236"/>
      <c r="AV458" s="235"/>
      <c r="AW458" s="235"/>
      <c r="AX458" s="235"/>
      <c r="AY458" s="235"/>
      <c r="AZ458" s="235"/>
      <c r="BA458" s="235"/>
      <c r="BB458" s="235"/>
      <c r="BC458" s="235"/>
      <c r="BD458" s="236"/>
      <c r="BE458" s="235"/>
      <c r="BF458" s="235"/>
      <c r="BG458" s="235"/>
      <c r="BH458" s="235"/>
      <c r="BI458" s="236"/>
      <c r="BJ458" s="236"/>
      <c r="BK458" s="238"/>
      <c r="BL458" s="239"/>
      <c r="BM458" s="239"/>
      <c r="BN458" s="239"/>
      <c r="BP458" s="236"/>
      <c r="BQ458" s="236"/>
      <c r="BR458" s="236"/>
      <c r="BS458" s="236"/>
      <c r="BT458" s="236"/>
      <c r="BU458" s="236"/>
      <c r="BV458" s="236"/>
      <c r="BW458" s="236"/>
      <c r="BX458" s="236"/>
      <c r="BY458" s="236"/>
      <c r="BZ458" s="236"/>
      <c r="CA458" s="236"/>
      <c r="CB458" s="236"/>
      <c r="CC458" s="236"/>
      <c r="CD458" s="236"/>
      <c r="CE458" s="236"/>
      <c r="CF458" s="236"/>
      <c r="CG458" s="236"/>
      <c r="CH458" s="236"/>
      <c r="CI458" s="236"/>
      <c r="CJ458" s="236"/>
      <c r="CK458" s="236"/>
      <c r="CL458" s="236"/>
      <c r="CM458" s="236"/>
      <c r="CN458" s="236"/>
      <c r="CO458" s="236"/>
    </row>
    <row r="459" spans="5:93" s="230" customFormat="1">
      <c r="E459" s="234"/>
      <c r="F459" s="235"/>
      <c r="G459" s="235"/>
      <c r="H459" s="236"/>
      <c r="I459" s="235"/>
      <c r="J459" s="235"/>
      <c r="K459" s="235"/>
      <c r="L459" s="235"/>
      <c r="M459" s="236"/>
      <c r="N459" s="235"/>
      <c r="O459" s="235"/>
      <c r="P459" s="235"/>
      <c r="Q459" s="235"/>
      <c r="R459" s="235"/>
      <c r="S459" s="235"/>
      <c r="T459" s="235"/>
      <c r="U459" s="235"/>
      <c r="V459" s="235"/>
      <c r="W459" s="235"/>
      <c r="X459" s="235"/>
      <c r="Y459" s="235"/>
      <c r="Z459" s="235"/>
      <c r="AA459" s="235"/>
      <c r="AB459" s="235"/>
      <c r="AC459" s="235"/>
      <c r="AD459" s="235"/>
      <c r="AE459" s="236"/>
      <c r="AF459" s="235"/>
      <c r="AG459" s="235"/>
      <c r="AH459" s="235"/>
      <c r="AI459" s="235"/>
      <c r="AJ459" s="236"/>
      <c r="AK459" s="235"/>
      <c r="AL459" s="235"/>
      <c r="AM459" s="235"/>
      <c r="AN459" s="235"/>
      <c r="AO459" s="235"/>
      <c r="AP459" s="235"/>
      <c r="AQ459" s="235"/>
      <c r="AR459" s="235"/>
      <c r="AS459" s="235"/>
      <c r="AT459" s="235"/>
      <c r="AU459" s="236"/>
      <c r="AV459" s="235"/>
      <c r="AW459" s="235"/>
      <c r="AX459" s="235"/>
      <c r="AY459" s="235"/>
      <c r="AZ459" s="235"/>
      <c r="BA459" s="235"/>
      <c r="BB459" s="235"/>
      <c r="BC459" s="235"/>
      <c r="BD459" s="236"/>
      <c r="BE459" s="235"/>
      <c r="BF459" s="235"/>
      <c r="BG459" s="235"/>
      <c r="BH459" s="235"/>
      <c r="BI459" s="236"/>
      <c r="BJ459" s="236"/>
      <c r="BK459" s="238"/>
      <c r="BL459" s="239"/>
      <c r="BM459" s="239"/>
      <c r="BN459" s="239"/>
      <c r="BP459" s="236"/>
      <c r="BQ459" s="236"/>
      <c r="BR459" s="236"/>
      <c r="BS459" s="236"/>
      <c r="BT459" s="236"/>
      <c r="BU459" s="236"/>
      <c r="BV459" s="236"/>
      <c r="BW459" s="236"/>
      <c r="BX459" s="236"/>
      <c r="BY459" s="236"/>
      <c r="BZ459" s="236"/>
      <c r="CA459" s="236"/>
      <c r="CB459" s="236"/>
      <c r="CC459" s="236"/>
      <c r="CD459" s="236"/>
      <c r="CE459" s="236"/>
      <c r="CF459" s="236"/>
      <c r="CG459" s="236"/>
      <c r="CH459" s="236"/>
      <c r="CI459" s="236"/>
      <c r="CJ459" s="236"/>
      <c r="CK459" s="236"/>
      <c r="CL459" s="236"/>
      <c r="CM459" s="236"/>
      <c r="CN459" s="236"/>
      <c r="CO459" s="236"/>
    </row>
    <row r="460" spans="5:93" s="230" customFormat="1">
      <c r="E460" s="234"/>
      <c r="F460" s="235"/>
      <c r="G460" s="235"/>
      <c r="H460" s="236"/>
      <c r="I460" s="235"/>
      <c r="J460" s="235"/>
      <c r="K460" s="235"/>
      <c r="L460" s="235"/>
      <c r="M460" s="236"/>
      <c r="N460" s="235"/>
      <c r="O460" s="235"/>
      <c r="P460" s="235"/>
      <c r="Q460" s="235"/>
      <c r="R460" s="235"/>
      <c r="S460" s="235"/>
      <c r="T460" s="235"/>
      <c r="U460" s="235"/>
      <c r="V460" s="235"/>
      <c r="W460" s="235"/>
      <c r="X460" s="235"/>
      <c r="Y460" s="235"/>
      <c r="Z460" s="235"/>
      <c r="AA460" s="235"/>
      <c r="AB460" s="235"/>
      <c r="AC460" s="235"/>
      <c r="AD460" s="235"/>
      <c r="AE460" s="236"/>
      <c r="AF460" s="235"/>
      <c r="AG460" s="235"/>
      <c r="AH460" s="235"/>
      <c r="AI460" s="235"/>
      <c r="AJ460" s="236"/>
      <c r="AK460" s="235"/>
      <c r="AL460" s="235"/>
      <c r="AM460" s="235"/>
      <c r="AN460" s="235"/>
      <c r="AO460" s="235"/>
      <c r="AP460" s="235"/>
      <c r="AQ460" s="235"/>
      <c r="AR460" s="235"/>
      <c r="AS460" s="235"/>
      <c r="AT460" s="235"/>
      <c r="AU460" s="236"/>
      <c r="AV460" s="235"/>
      <c r="AW460" s="235"/>
      <c r="AX460" s="235"/>
      <c r="AY460" s="235"/>
      <c r="AZ460" s="235"/>
      <c r="BA460" s="235"/>
      <c r="BB460" s="235"/>
      <c r="BC460" s="235"/>
      <c r="BD460" s="236"/>
      <c r="BE460" s="235"/>
      <c r="BF460" s="235"/>
      <c r="BG460" s="235"/>
      <c r="BH460" s="235"/>
      <c r="BI460" s="236"/>
      <c r="BJ460" s="236"/>
      <c r="BK460" s="238"/>
      <c r="BL460" s="239"/>
      <c r="BM460" s="239"/>
      <c r="BN460" s="239"/>
      <c r="BP460" s="236"/>
      <c r="BQ460" s="236"/>
      <c r="BR460" s="236"/>
      <c r="BS460" s="236"/>
      <c r="BT460" s="236"/>
      <c r="BU460" s="236"/>
      <c r="BV460" s="236"/>
      <c r="BW460" s="236"/>
      <c r="BX460" s="236"/>
      <c r="BY460" s="236"/>
      <c r="BZ460" s="236"/>
      <c r="CA460" s="236"/>
      <c r="CB460" s="236"/>
      <c r="CC460" s="236"/>
      <c r="CD460" s="236"/>
      <c r="CE460" s="236"/>
      <c r="CF460" s="236"/>
      <c r="CG460" s="236"/>
      <c r="CH460" s="236"/>
      <c r="CI460" s="236"/>
      <c r="CJ460" s="236"/>
      <c r="CK460" s="236"/>
      <c r="CL460" s="236"/>
      <c r="CM460" s="236"/>
      <c r="CN460" s="236"/>
      <c r="CO460" s="236"/>
    </row>
    <row r="461" spans="5:93" s="230" customFormat="1">
      <c r="E461" s="234"/>
      <c r="F461" s="235"/>
      <c r="G461" s="235"/>
      <c r="H461" s="236"/>
      <c r="I461" s="235"/>
      <c r="J461" s="235"/>
      <c r="K461" s="235"/>
      <c r="L461" s="235"/>
      <c r="M461" s="236"/>
      <c r="N461" s="235"/>
      <c r="O461" s="235"/>
      <c r="P461" s="235"/>
      <c r="Q461" s="235"/>
      <c r="R461" s="235"/>
      <c r="S461" s="235"/>
      <c r="T461" s="235"/>
      <c r="U461" s="235"/>
      <c r="V461" s="235"/>
      <c r="W461" s="235"/>
      <c r="X461" s="235"/>
      <c r="Y461" s="235"/>
      <c r="Z461" s="235"/>
      <c r="AA461" s="235"/>
      <c r="AB461" s="235"/>
      <c r="AC461" s="235"/>
      <c r="AD461" s="235"/>
      <c r="AE461" s="236"/>
      <c r="AF461" s="235"/>
      <c r="AG461" s="235"/>
      <c r="AH461" s="235"/>
      <c r="AI461" s="235"/>
      <c r="AJ461" s="236"/>
      <c r="AK461" s="235"/>
      <c r="AL461" s="235"/>
      <c r="AM461" s="235"/>
      <c r="AN461" s="235"/>
      <c r="AO461" s="235"/>
      <c r="AP461" s="235"/>
      <c r="AQ461" s="235"/>
      <c r="AR461" s="235"/>
      <c r="AS461" s="235"/>
      <c r="AT461" s="235"/>
      <c r="AU461" s="236"/>
      <c r="AV461" s="235"/>
      <c r="AW461" s="235"/>
      <c r="AX461" s="235"/>
      <c r="AY461" s="235"/>
      <c r="AZ461" s="235"/>
      <c r="BA461" s="235"/>
      <c r="BB461" s="235"/>
      <c r="BC461" s="235"/>
      <c r="BD461" s="236"/>
      <c r="BE461" s="235"/>
      <c r="BF461" s="235"/>
      <c r="BG461" s="235"/>
      <c r="BH461" s="235"/>
      <c r="BI461" s="236"/>
      <c r="BJ461" s="236"/>
      <c r="BK461" s="238"/>
      <c r="BL461" s="239"/>
      <c r="BM461" s="239"/>
      <c r="BN461" s="239"/>
      <c r="BP461" s="236"/>
      <c r="BQ461" s="236"/>
      <c r="BR461" s="236"/>
      <c r="BS461" s="236"/>
      <c r="BT461" s="236"/>
      <c r="BU461" s="236"/>
      <c r="BV461" s="236"/>
      <c r="BW461" s="236"/>
      <c r="BX461" s="236"/>
      <c r="BY461" s="236"/>
      <c r="BZ461" s="236"/>
      <c r="CA461" s="236"/>
      <c r="CB461" s="236"/>
      <c r="CC461" s="236"/>
      <c r="CD461" s="236"/>
      <c r="CE461" s="236"/>
      <c r="CF461" s="236"/>
      <c r="CG461" s="236"/>
      <c r="CH461" s="236"/>
      <c r="CI461" s="236"/>
      <c r="CJ461" s="236"/>
      <c r="CK461" s="236"/>
      <c r="CL461" s="236"/>
      <c r="CM461" s="236"/>
      <c r="CN461" s="236"/>
      <c r="CO461" s="236"/>
    </row>
    <row r="462" spans="5:93" s="230" customFormat="1">
      <c r="E462" s="234"/>
      <c r="F462" s="235"/>
      <c r="G462" s="235"/>
      <c r="H462" s="236"/>
      <c r="I462" s="235"/>
      <c r="J462" s="235"/>
      <c r="K462" s="235"/>
      <c r="L462" s="235"/>
      <c r="M462" s="236"/>
      <c r="N462" s="235"/>
      <c r="O462" s="235"/>
      <c r="P462" s="235"/>
      <c r="Q462" s="235"/>
      <c r="R462" s="235"/>
      <c r="S462" s="235"/>
      <c r="T462" s="235"/>
      <c r="U462" s="235"/>
      <c r="V462" s="235"/>
      <c r="W462" s="235"/>
      <c r="X462" s="235"/>
      <c r="Y462" s="235"/>
      <c r="Z462" s="235"/>
      <c r="AA462" s="235"/>
      <c r="AB462" s="235"/>
      <c r="AC462" s="235"/>
      <c r="AD462" s="235"/>
      <c r="AE462" s="236"/>
      <c r="AF462" s="235"/>
      <c r="AG462" s="235"/>
      <c r="AH462" s="235"/>
      <c r="AI462" s="235"/>
      <c r="AJ462" s="236"/>
      <c r="AK462" s="235"/>
      <c r="AL462" s="235"/>
      <c r="AM462" s="235"/>
      <c r="AN462" s="235"/>
      <c r="AO462" s="235"/>
      <c r="AP462" s="235"/>
      <c r="AQ462" s="235"/>
      <c r="AR462" s="235"/>
      <c r="AS462" s="235"/>
      <c r="AT462" s="235"/>
      <c r="AU462" s="236"/>
      <c r="AV462" s="235"/>
      <c r="AW462" s="235"/>
      <c r="AX462" s="235"/>
      <c r="AY462" s="235"/>
      <c r="AZ462" s="235"/>
      <c r="BA462" s="235"/>
      <c r="BB462" s="235"/>
      <c r="BC462" s="235"/>
      <c r="BD462" s="236"/>
      <c r="BE462" s="235"/>
      <c r="BF462" s="235"/>
      <c r="BG462" s="235"/>
      <c r="BH462" s="235"/>
      <c r="BI462" s="236"/>
      <c r="BJ462" s="236"/>
      <c r="BK462" s="238"/>
      <c r="BL462" s="239"/>
      <c r="BM462" s="239"/>
      <c r="BN462" s="239"/>
      <c r="BP462" s="236"/>
      <c r="BQ462" s="236"/>
      <c r="BR462" s="236"/>
      <c r="BS462" s="236"/>
      <c r="BT462" s="236"/>
      <c r="BU462" s="236"/>
      <c r="BV462" s="236"/>
      <c r="BW462" s="236"/>
      <c r="BX462" s="236"/>
      <c r="BY462" s="236"/>
      <c r="BZ462" s="236"/>
      <c r="CA462" s="236"/>
      <c r="CB462" s="236"/>
      <c r="CC462" s="236"/>
      <c r="CD462" s="236"/>
      <c r="CE462" s="236"/>
      <c r="CF462" s="236"/>
      <c r="CG462" s="236"/>
      <c r="CH462" s="236"/>
      <c r="CI462" s="236"/>
      <c r="CJ462" s="236"/>
      <c r="CK462" s="236"/>
      <c r="CL462" s="236"/>
      <c r="CM462" s="236"/>
      <c r="CN462" s="236"/>
      <c r="CO462" s="236"/>
    </row>
    <row r="463" spans="5:93" s="230" customFormat="1">
      <c r="E463" s="234"/>
      <c r="F463" s="235"/>
      <c r="G463" s="235"/>
      <c r="H463" s="236"/>
      <c r="I463" s="235"/>
      <c r="J463" s="235"/>
      <c r="K463" s="235"/>
      <c r="L463" s="235"/>
      <c r="M463" s="236"/>
      <c r="N463" s="235"/>
      <c r="O463" s="235"/>
      <c r="P463" s="235"/>
      <c r="Q463" s="235"/>
      <c r="R463" s="235"/>
      <c r="S463" s="235"/>
      <c r="T463" s="235"/>
      <c r="U463" s="235"/>
      <c r="V463" s="235"/>
      <c r="W463" s="235"/>
      <c r="X463" s="235"/>
      <c r="Y463" s="235"/>
      <c r="Z463" s="235"/>
      <c r="AA463" s="235"/>
      <c r="AB463" s="235"/>
      <c r="AC463" s="235"/>
      <c r="AD463" s="235"/>
      <c r="AE463" s="236"/>
      <c r="AF463" s="235"/>
      <c r="AG463" s="235"/>
      <c r="AH463" s="235"/>
      <c r="AI463" s="235"/>
      <c r="AJ463" s="236"/>
      <c r="AK463" s="235"/>
      <c r="AL463" s="235"/>
      <c r="AM463" s="235"/>
      <c r="AN463" s="235"/>
      <c r="AO463" s="235"/>
      <c r="AP463" s="235"/>
      <c r="AQ463" s="235"/>
      <c r="AR463" s="235"/>
      <c r="AS463" s="235"/>
      <c r="AT463" s="235"/>
      <c r="AU463" s="236"/>
      <c r="AV463" s="235"/>
      <c r="AW463" s="235"/>
      <c r="AX463" s="235"/>
      <c r="AY463" s="235"/>
      <c r="AZ463" s="235"/>
      <c r="BA463" s="235"/>
      <c r="BB463" s="235"/>
      <c r="BC463" s="235"/>
      <c r="BD463" s="236"/>
      <c r="BE463" s="235"/>
      <c r="BF463" s="235"/>
      <c r="BG463" s="235"/>
      <c r="BH463" s="235"/>
      <c r="BI463" s="236"/>
      <c r="BJ463" s="236"/>
      <c r="BK463" s="238"/>
      <c r="BL463" s="239"/>
      <c r="BM463" s="239"/>
      <c r="BN463" s="239"/>
      <c r="BP463" s="236"/>
      <c r="BQ463" s="236"/>
      <c r="BR463" s="236"/>
      <c r="BS463" s="236"/>
      <c r="BT463" s="236"/>
      <c r="BU463" s="236"/>
      <c r="BV463" s="236"/>
      <c r="BW463" s="236"/>
      <c r="BX463" s="236"/>
      <c r="BY463" s="236"/>
      <c r="BZ463" s="236"/>
      <c r="CA463" s="236"/>
      <c r="CB463" s="236"/>
      <c r="CC463" s="236"/>
      <c r="CD463" s="236"/>
      <c r="CE463" s="236"/>
      <c r="CF463" s="236"/>
      <c r="CG463" s="236"/>
      <c r="CH463" s="236"/>
      <c r="CI463" s="236"/>
      <c r="CJ463" s="236"/>
      <c r="CK463" s="236"/>
      <c r="CL463" s="236"/>
      <c r="CM463" s="236"/>
      <c r="CN463" s="236"/>
      <c r="CO463" s="236"/>
    </row>
    <row r="464" spans="5:93" s="230" customFormat="1">
      <c r="E464" s="234"/>
      <c r="F464" s="235"/>
      <c r="G464" s="235"/>
      <c r="H464" s="236"/>
      <c r="I464" s="235"/>
      <c r="J464" s="235"/>
      <c r="K464" s="235"/>
      <c r="L464" s="235"/>
      <c r="M464" s="236"/>
      <c r="N464" s="235"/>
      <c r="O464" s="235"/>
      <c r="P464" s="235"/>
      <c r="Q464" s="235"/>
      <c r="R464" s="235"/>
      <c r="S464" s="235"/>
      <c r="T464" s="235"/>
      <c r="U464" s="235"/>
      <c r="V464" s="235"/>
      <c r="W464" s="235"/>
      <c r="X464" s="235"/>
      <c r="Y464" s="235"/>
      <c r="Z464" s="235"/>
      <c r="AA464" s="235"/>
      <c r="AB464" s="235"/>
      <c r="AC464" s="235"/>
      <c r="AD464" s="235"/>
      <c r="AE464" s="236"/>
      <c r="AF464" s="235"/>
      <c r="AG464" s="235"/>
      <c r="AH464" s="235"/>
      <c r="AI464" s="235"/>
      <c r="AJ464" s="236"/>
      <c r="AK464" s="235"/>
      <c r="AL464" s="235"/>
      <c r="AM464" s="235"/>
      <c r="AN464" s="235"/>
      <c r="AO464" s="235"/>
      <c r="AP464" s="235"/>
      <c r="AQ464" s="235"/>
      <c r="AR464" s="235"/>
      <c r="AS464" s="235"/>
      <c r="AT464" s="235"/>
      <c r="AU464" s="236"/>
      <c r="AV464" s="235"/>
      <c r="AW464" s="235"/>
      <c r="AX464" s="235"/>
      <c r="AY464" s="235"/>
      <c r="AZ464" s="235"/>
      <c r="BA464" s="235"/>
      <c r="BB464" s="235"/>
      <c r="BC464" s="235"/>
      <c r="BD464" s="236"/>
      <c r="BE464" s="235"/>
      <c r="BF464" s="235"/>
      <c r="BG464" s="235"/>
      <c r="BH464" s="235"/>
      <c r="BI464" s="236"/>
      <c r="BJ464" s="236"/>
      <c r="BK464" s="238"/>
      <c r="BL464" s="239"/>
      <c r="BM464" s="239"/>
      <c r="BN464" s="239"/>
      <c r="BP464" s="236"/>
      <c r="BQ464" s="236"/>
      <c r="BR464" s="236"/>
      <c r="BS464" s="236"/>
      <c r="BT464" s="236"/>
      <c r="BU464" s="236"/>
      <c r="BV464" s="236"/>
      <c r="BW464" s="236"/>
      <c r="BX464" s="236"/>
      <c r="BY464" s="236"/>
      <c r="BZ464" s="236"/>
      <c r="CA464" s="236"/>
      <c r="CB464" s="236"/>
      <c r="CC464" s="236"/>
      <c r="CD464" s="236"/>
      <c r="CE464" s="236"/>
      <c r="CF464" s="236"/>
      <c r="CG464" s="236"/>
      <c r="CH464" s="236"/>
      <c r="CI464" s="236"/>
      <c r="CJ464" s="236"/>
      <c r="CK464" s="236"/>
      <c r="CL464" s="236"/>
      <c r="CM464" s="236"/>
      <c r="CN464" s="236"/>
      <c r="CO464" s="236"/>
    </row>
    <row r="465" spans="5:93" s="230" customFormat="1">
      <c r="E465" s="234"/>
      <c r="F465" s="235"/>
      <c r="G465" s="235"/>
      <c r="H465" s="236"/>
      <c r="I465" s="235"/>
      <c r="J465" s="235"/>
      <c r="K465" s="235"/>
      <c r="L465" s="235"/>
      <c r="M465" s="236"/>
      <c r="N465" s="235"/>
      <c r="O465" s="235"/>
      <c r="P465" s="235"/>
      <c r="Q465" s="235"/>
      <c r="R465" s="235"/>
      <c r="S465" s="235"/>
      <c r="T465" s="235"/>
      <c r="U465" s="235"/>
      <c r="V465" s="235"/>
      <c r="W465" s="235"/>
      <c r="X465" s="235"/>
      <c r="Y465" s="235"/>
      <c r="Z465" s="235"/>
      <c r="AA465" s="235"/>
      <c r="AB465" s="235"/>
      <c r="AC465" s="235"/>
      <c r="AD465" s="235"/>
      <c r="AE465" s="236"/>
      <c r="AF465" s="235"/>
      <c r="AG465" s="235"/>
      <c r="AH465" s="235"/>
      <c r="AI465" s="235"/>
      <c r="AJ465" s="236"/>
      <c r="AK465" s="235"/>
      <c r="AL465" s="235"/>
      <c r="AM465" s="235"/>
      <c r="AN465" s="235"/>
      <c r="AO465" s="235"/>
      <c r="AP465" s="235"/>
      <c r="AQ465" s="235"/>
      <c r="AR465" s="235"/>
      <c r="AS465" s="235"/>
      <c r="AT465" s="235"/>
      <c r="AU465" s="236"/>
      <c r="AV465" s="235"/>
      <c r="AW465" s="235"/>
      <c r="AX465" s="235"/>
      <c r="AY465" s="235"/>
      <c r="AZ465" s="235"/>
      <c r="BA465" s="235"/>
      <c r="BB465" s="235"/>
      <c r="BC465" s="235"/>
      <c r="BD465" s="236"/>
      <c r="BE465" s="235"/>
      <c r="BF465" s="235"/>
      <c r="BG465" s="235"/>
      <c r="BH465" s="235"/>
      <c r="BI465" s="236"/>
      <c r="BJ465" s="236"/>
      <c r="BK465" s="238"/>
      <c r="BL465" s="239"/>
      <c r="BM465" s="239"/>
      <c r="BN465" s="239"/>
      <c r="BP465" s="236"/>
      <c r="BQ465" s="236"/>
      <c r="BR465" s="236"/>
      <c r="BS465" s="236"/>
      <c r="BT465" s="236"/>
      <c r="BU465" s="236"/>
      <c r="BV465" s="236"/>
      <c r="BW465" s="236"/>
      <c r="BX465" s="236"/>
      <c r="BY465" s="236"/>
      <c r="BZ465" s="236"/>
      <c r="CA465" s="236"/>
      <c r="CB465" s="236"/>
      <c r="CC465" s="236"/>
      <c r="CD465" s="236"/>
      <c r="CE465" s="236"/>
      <c r="CF465" s="236"/>
      <c r="CG465" s="236"/>
      <c r="CH465" s="236"/>
      <c r="CI465" s="236"/>
      <c r="CJ465" s="236"/>
      <c r="CK465" s="236"/>
      <c r="CL465" s="236"/>
      <c r="CM465" s="236"/>
      <c r="CN465" s="236"/>
      <c r="CO465" s="236"/>
    </row>
    <row r="466" spans="5:93" s="230" customFormat="1">
      <c r="E466" s="234"/>
      <c r="F466" s="235"/>
      <c r="G466" s="235"/>
      <c r="H466" s="236"/>
      <c r="I466" s="235"/>
      <c r="J466" s="235"/>
      <c r="K466" s="235"/>
      <c r="L466" s="235"/>
      <c r="M466" s="236"/>
      <c r="N466" s="235"/>
      <c r="O466" s="235"/>
      <c r="P466" s="235"/>
      <c r="Q466" s="235"/>
      <c r="R466" s="235"/>
      <c r="S466" s="235"/>
      <c r="T466" s="235"/>
      <c r="U466" s="235"/>
      <c r="V466" s="235"/>
      <c r="W466" s="235"/>
      <c r="X466" s="235"/>
      <c r="Y466" s="235"/>
      <c r="Z466" s="235"/>
      <c r="AA466" s="235"/>
      <c r="AB466" s="235"/>
      <c r="AC466" s="235"/>
      <c r="AD466" s="235"/>
      <c r="AE466" s="236"/>
      <c r="AF466" s="235"/>
      <c r="AG466" s="235"/>
      <c r="AH466" s="235"/>
      <c r="AI466" s="235"/>
      <c r="AJ466" s="236"/>
      <c r="AK466" s="235"/>
      <c r="AL466" s="235"/>
      <c r="AM466" s="235"/>
      <c r="AN466" s="235"/>
      <c r="AO466" s="235"/>
      <c r="AP466" s="235"/>
      <c r="AQ466" s="235"/>
      <c r="AR466" s="235"/>
      <c r="AS466" s="235"/>
      <c r="AT466" s="235"/>
      <c r="AU466" s="236"/>
      <c r="AV466" s="235"/>
      <c r="AW466" s="235"/>
      <c r="AX466" s="235"/>
      <c r="AY466" s="235"/>
      <c r="AZ466" s="235"/>
      <c r="BA466" s="235"/>
      <c r="BB466" s="235"/>
      <c r="BC466" s="235"/>
      <c r="BD466" s="236"/>
      <c r="BE466" s="235"/>
      <c r="BF466" s="235"/>
      <c r="BG466" s="235"/>
      <c r="BH466" s="235"/>
      <c r="BI466" s="236"/>
      <c r="BJ466" s="236"/>
      <c r="BK466" s="238"/>
      <c r="BL466" s="239"/>
      <c r="BM466" s="239"/>
      <c r="BN466" s="239"/>
      <c r="BP466" s="236"/>
      <c r="BQ466" s="236"/>
      <c r="BR466" s="236"/>
      <c r="BS466" s="236"/>
      <c r="BT466" s="236"/>
      <c r="BU466" s="236"/>
      <c r="BV466" s="236"/>
      <c r="BW466" s="236"/>
      <c r="BX466" s="236"/>
      <c r="BY466" s="236"/>
      <c r="BZ466" s="236"/>
      <c r="CA466" s="236"/>
      <c r="CB466" s="236"/>
      <c r="CC466" s="236"/>
      <c r="CD466" s="236"/>
      <c r="CE466" s="236"/>
      <c r="CF466" s="236"/>
      <c r="CG466" s="236"/>
      <c r="CH466" s="236"/>
      <c r="CI466" s="236"/>
      <c r="CJ466" s="236"/>
      <c r="CK466" s="236"/>
      <c r="CL466" s="236"/>
      <c r="CM466" s="236"/>
      <c r="CN466" s="236"/>
      <c r="CO466" s="236"/>
    </row>
    <row r="467" spans="5:93" s="230" customFormat="1">
      <c r="E467" s="234"/>
      <c r="F467" s="235"/>
      <c r="G467" s="235"/>
      <c r="H467" s="236"/>
      <c r="I467" s="235"/>
      <c r="J467" s="235"/>
      <c r="K467" s="235"/>
      <c r="L467" s="235"/>
      <c r="M467" s="236"/>
      <c r="N467" s="235"/>
      <c r="O467" s="235"/>
      <c r="P467" s="235"/>
      <c r="Q467" s="235"/>
      <c r="R467" s="235"/>
      <c r="S467" s="235"/>
      <c r="T467" s="235"/>
      <c r="U467" s="235"/>
      <c r="V467" s="235"/>
      <c r="W467" s="235"/>
      <c r="X467" s="235"/>
      <c r="Y467" s="235"/>
      <c r="Z467" s="235"/>
      <c r="AA467" s="235"/>
      <c r="AB467" s="235"/>
      <c r="AC467" s="235"/>
      <c r="AD467" s="235"/>
      <c r="AE467" s="236"/>
      <c r="AF467" s="235"/>
      <c r="AG467" s="235"/>
      <c r="AH467" s="235"/>
      <c r="AI467" s="235"/>
      <c r="AJ467" s="236"/>
      <c r="AK467" s="235"/>
      <c r="AL467" s="235"/>
      <c r="AM467" s="235"/>
      <c r="AN467" s="235"/>
      <c r="AO467" s="235"/>
      <c r="AP467" s="235"/>
      <c r="AQ467" s="235"/>
      <c r="AR467" s="235"/>
      <c r="AS467" s="235"/>
      <c r="AT467" s="235"/>
      <c r="AU467" s="236"/>
      <c r="AV467" s="235"/>
      <c r="AW467" s="235"/>
      <c r="AX467" s="235"/>
      <c r="AY467" s="235"/>
      <c r="AZ467" s="235"/>
      <c r="BA467" s="235"/>
      <c r="BB467" s="235"/>
      <c r="BC467" s="235"/>
      <c r="BD467" s="236"/>
      <c r="BE467" s="235"/>
      <c r="BF467" s="235"/>
      <c r="BG467" s="235"/>
      <c r="BH467" s="235"/>
      <c r="BI467" s="236"/>
      <c r="BJ467" s="236"/>
      <c r="BK467" s="238"/>
      <c r="BL467" s="239"/>
      <c r="BM467" s="239"/>
      <c r="BN467" s="239"/>
      <c r="BP467" s="236"/>
      <c r="BQ467" s="236"/>
      <c r="BR467" s="236"/>
      <c r="BS467" s="236"/>
      <c r="BT467" s="236"/>
      <c r="BU467" s="236"/>
      <c r="BV467" s="236"/>
      <c r="BW467" s="236"/>
      <c r="BX467" s="236"/>
      <c r="BY467" s="236"/>
      <c r="BZ467" s="236"/>
      <c r="CA467" s="236"/>
      <c r="CB467" s="236"/>
      <c r="CC467" s="236"/>
      <c r="CD467" s="236"/>
      <c r="CE467" s="236"/>
      <c r="CF467" s="236"/>
      <c r="CG467" s="236"/>
      <c r="CH467" s="236"/>
      <c r="CI467" s="236"/>
      <c r="CJ467" s="236"/>
      <c r="CK467" s="236"/>
      <c r="CL467" s="236"/>
      <c r="CM467" s="236"/>
      <c r="CN467" s="236"/>
      <c r="CO467" s="236"/>
    </row>
    <row r="468" spans="5:93" s="230" customFormat="1">
      <c r="E468" s="234"/>
      <c r="F468" s="235"/>
      <c r="G468" s="235"/>
      <c r="H468" s="236"/>
      <c r="I468" s="235"/>
      <c r="J468" s="235"/>
      <c r="K468" s="235"/>
      <c r="L468" s="235"/>
      <c r="M468" s="236"/>
      <c r="N468" s="235"/>
      <c r="O468" s="235"/>
      <c r="P468" s="235"/>
      <c r="Q468" s="235"/>
      <c r="R468" s="235"/>
      <c r="S468" s="235"/>
      <c r="T468" s="235"/>
      <c r="U468" s="235"/>
      <c r="V468" s="235"/>
      <c r="W468" s="235"/>
      <c r="X468" s="235"/>
      <c r="Y468" s="235"/>
      <c r="Z468" s="235"/>
      <c r="AA468" s="235"/>
      <c r="AB468" s="235"/>
      <c r="AC468" s="235"/>
      <c r="AD468" s="235"/>
      <c r="AE468" s="236"/>
      <c r="AF468" s="235"/>
      <c r="AG468" s="235"/>
      <c r="AH468" s="235"/>
      <c r="AI468" s="235"/>
      <c r="AJ468" s="236"/>
      <c r="AK468" s="235"/>
      <c r="AL468" s="235"/>
      <c r="AM468" s="235"/>
      <c r="AN468" s="235"/>
      <c r="AO468" s="235"/>
      <c r="AP468" s="235"/>
      <c r="AQ468" s="235"/>
      <c r="AR468" s="235"/>
      <c r="AS468" s="235"/>
      <c r="AT468" s="235"/>
      <c r="AU468" s="236"/>
      <c r="AV468" s="235"/>
      <c r="AW468" s="235"/>
      <c r="AX468" s="235"/>
      <c r="AY468" s="235"/>
      <c r="AZ468" s="235"/>
      <c r="BA468" s="235"/>
      <c r="BB468" s="235"/>
      <c r="BC468" s="235"/>
      <c r="BD468" s="236"/>
      <c r="BE468" s="235"/>
      <c r="BF468" s="235"/>
      <c r="BG468" s="235"/>
      <c r="BH468" s="235"/>
      <c r="BI468" s="236"/>
      <c r="BJ468" s="236"/>
      <c r="BK468" s="238"/>
      <c r="BL468" s="239"/>
      <c r="BM468" s="239"/>
      <c r="BN468" s="239"/>
      <c r="BP468" s="236"/>
      <c r="BQ468" s="236"/>
      <c r="BR468" s="236"/>
      <c r="BS468" s="236"/>
      <c r="BT468" s="236"/>
      <c r="BU468" s="236"/>
      <c r="BV468" s="236"/>
      <c r="BW468" s="236"/>
      <c r="BX468" s="236"/>
      <c r="BY468" s="236"/>
      <c r="BZ468" s="236"/>
      <c r="CA468" s="236"/>
      <c r="CB468" s="236"/>
      <c r="CC468" s="236"/>
      <c r="CD468" s="236"/>
      <c r="CE468" s="236"/>
      <c r="CF468" s="236"/>
      <c r="CG468" s="236"/>
      <c r="CH468" s="236"/>
      <c r="CI468" s="236"/>
      <c r="CJ468" s="236"/>
      <c r="CK468" s="236"/>
      <c r="CL468" s="236"/>
      <c r="CM468" s="236"/>
      <c r="CN468" s="236"/>
      <c r="CO468" s="236"/>
    </row>
    <row r="469" spans="5:93" s="230" customFormat="1">
      <c r="E469" s="234"/>
      <c r="F469" s="235"/>
      <c r="G469" s="235"/>
      <c r="H469" s="236"/>
      <c r="I469" s="235"/>
      <c r="J469" s="235"/>
      <c r="K469" s="235"/>
      <c r="L469" s="235"/>
      <c r="M469" s="236"/>
      <c r="N469" s="235"/>
      <c r="O469" s="235"/>
      <c r="P469" s="235"/>
      <c r="Q469" s="235"/>
      <c r="R469" s="235"/>
      <c r="S469" s="235"/>
      <c r="T469" s="235"/>
      <c r="U469" s="235"/>
      <c r="V469" s="235"/>
      <c r="W469" s="235"/>
      <c r="X469" s="235"/>
      <c r="Y469" s="235"/>
      <c r="Z469" s="235"/>
      <c r="AA469" s="235"/>
      <c r="AB469" s="235"/>
      <c r="AC469" s="235"/>
      <c r="AD469" s="235"/>
      <c r="AE469" s="236"/>
      <c r="AF469" s="235"/>
      <c r="AG469" s="235"/>
      <c r="AH469" s="235"/>
      <c r="AI469" s="235"/>
      <c r="AJ469" s="236"/>
      <c r="AK469" s="235"/>
      <c r="AL469" s="235"/>
      <c r="AM469" s="235"/>
      <c r="AN469" s="235"/>
      <c r="AO469" s="235"/>
      <c r="AP469" s="235"/>
      <c r="AQ469" s="235"/>
      <c r="AR469" s="235"/>
      <c r="AS469" s="235"/>
      <c r="AT469" s="235"/>
      <c r="AU469" s="236"/>
      <c r="AV469" s="235"/>
      <c r="AW469" s="235"/>
      <c r="AX469" s="235"/>
      <c r="AY469" s="235"/>
      <c r="AZ469" s="235"/>
      <c r="BA469" s="235"/>
      <c r="BB469" s="235"/>
      <c r="BC469" s="235"/>
      <c r="BD469" s="236"/>
      <c r="BE469" s="235"/>
      <c r="BF469" s="235"/>
      <c r="BG469" s="235"/>
      <c r="BH469" s="235"/>
      <c r="BI469" s="236"/>
      <c r="BJ469" s="236"/>
      <c r="BK469" s="238"/>
      <c r="BL469" s="239"/>
      <c r="BM469" s="239"/>
      <c r="BN469" s="239"/>
      <c r="BP469" s="236"/>
      <c r="BQ469" s="236"/>
      <c r="BR469" s="236"/>
      <c r="BS469" s="236"/>
      <c r="BT469" s="236"/>
      <c r="BU469" s="236"/>
      <c r="BV469" s="236"/>
      <c r="BW469" s="236"/>
      <c r="BX469" s="236"/>
      <c r="BY469" s="236"/>
      <c r="BZ469" s="236"/>
      <c r="CA469" s="236"/>
      <c r="CB469" s="236"/>
      <c r="CC469" s="236"/>
      <c r="CD469" s="236"/>
      <c r="CE469" s="236"/>
      <c r="CF469" s="236"/>
      <c r="CG469" s="236"/>
      <c r="CH469" s="236"/>
      <c r="CI469" s="236"/>
      <c r="CJ469" s="236"/>
      <c r="CK469" s="236"/>
      <c r="CL469" s="236"/>
      <c r="CM469" s="236"/>
      <c r="CN469" s="236"/>
      <c r="CO469" s="236"/>
    </row>
    <row r="470" spans="5:93" s="230" customFormat="1">
      <c r="E470" s="234"/>
      <c r="F470" s="235"/>
      <c r="G470" s="235"/>
      <c r="H470" s="236"/>
      <c r="I470" s="235"/>
      <c r="J470" s="235"/>
      <c r="K470" s="235"/>
      <c r="L470" s="235"/>
      <c r="M470" s="236"/>
      <c r="N470" s="235"/>
      <c r="O470" s="235"/>
      <c r="P470" s="235"/>
      <c r="Q470" s="235"/>
      <c r="R470" s="235"/>
      <c r="S470" s="235"/>
      <c r="T470" s="235"/>
      <c r="U470" s="235"/>
      <c r="V470" s="235"/>
      <c r="W470" s="235"/>
      <c r="X470" s="235"/>
      <c r="Y470" s="235"/>
      <c r="Z470" s="235"/>
      <c r="AA470" s="235"/>
      <c r="AB470" s="235"/>
      <c r="AC470" s="235"/>
      <c r="AD470" s="235"/>
      <c r="AE470" s="236"/>
      <c r="AF470" s="235"/>
      <c r="AG470" s="235"/>
      <c r="AH470" s="235"/>
      <c r="AI470" s="235"/>
      <c r="AJ470" s="236"/>
      <c r="AK470" s="235"/>
      <c r="AL470" s="235"/>
      <c r="AM470" s="235"/>
      <c r="AN470" s="235"/>
      <c r="AO470" s="235"/>
      <c r="AP470" s="235"/>
      <c r="AQ470" s="235"/>
      <c r="AR470" s="235"/>
      <c r="AS470" s="235"/>
      <c r="AT470" s="235"/>
      <c r="AU470" s="236"/>
      <c r="AV470" s="235"/>
      <c r="AW470" s="235"/>
      <c r="AX470" s="235"/>
      <c r="AY470" s="235"/>
      <c r="AZ470" s="235"/>
      <c r="BA470" s="235"/>
      <c r="BB470" s="235"/>
      <c r="BC470" s="235"/>
      <c r="BD470" s="236"/>
      <c r="BE470" s="235"/>
      <c r="BF470" s="235"/>
      <c r="BG470" s="235"/>
      <c r="BH470" s="235"/>
      <c r="BI470" s="236"/>
      <c r="BJ470" s="236"/>
      <c r="BK470" s="238"/>
      <c r="BL470" s="239"/>
      <c r="BM470" s="239"/>
      <c r="BN470" s="239"/>
      <c r="BP470" s="236"/>
      <c r="BQ470" s="236"/>
      <c r="BR470" s="236"/>
      <c r="BS470" s="236"/>
      <c r="BT470" s="236"/>
      <c r="BU470" s="236"/>
      <c r="BV470" s="236"/>
      <c r="BW470" s="236"/>
      <c r="BX470" s="236"/>
      <c r="BY470" s="236"/>
      <c r="BZ470" s="236"/>
      <c r="CA470" s="236"/>
      <c r="CB470" s="236"/>
      <c r="CC470" s="236"/>
      <c r="CD470" s="236"/>
      <c r="CE470" s="236"/>
      <c r="CF470" s="236"/>
      <c r="CG470" s="236"/>
      <c r="CH470" s="236"/>
      <c r="CI470" s="236"/>
      <c r="CJ470" s="236"/>
      <c r="CK470" s="236"/>
      <c r="CL470" s="236"/>
      <c r="CM470" s="236"/>
      <c r="CN470" s="236"/>
      <c r="CO470" s="236"/>
    </row>
    <row r="471" spans="5:93" s="230" customFormat="1">
      <c r="E471" s="234"/>
      <c r="F471" s="235"/>
      <c r="G471" s="235"/>
      <c r="H471" s="236"/>
      <c r="I471" s="235"/>
      <c r="J471" s="235"/>
      <c r="K471" s="235"/>
      <c r="L471" s="235"/>
      <c r="M471" s="236"/>
      <c r="N471" s="235"/>
      <c r="O471" s="235"/>
      <c r="P471" s="235"/>
      <c r="Q471" s="235"/>
      <c r="R471" s="235"/>
      <c r="S471" s="235"/>
      <c r="T471" s="235"/>
      <c r="U471" s="235"/>
      <c r="V471" s="235"/>
      <c r="W471" s="235"/>
      <c r="X471" s="235"/>
      <c r="Y471" s="235"/>
      <c r="Z471" s="235"/>
      <c r="AA471" s="235"/>
      <c r="AB471" s="235"/>
      <c r="AC471" s="235"/>
      <c r="AD471" s="235"/>
      <c r="AE471" s="236"/>
      <c r="AF471" s="235"/>
      <c r="AG471" s="235"/>
      <c r="AH471" s="235"/>
      <c r="AI471" s="235"/>
      <c r="AJ471" s="236"/>
      <c r="AK471" s="235"/>
      <c r="AL471" s="235"/>
      <c r="AM471" s="235"/>
      <c r="AN471" s="235"/>
      <c r="AO471" s="235"/>
      <c r="AP471" s="235"/>
      <c r="AQ471" s="235"/>
      <c r="AR471" s="235"/>
      <c r="AS471" s="235"/>
      <c r="AT471" s="235"/>
      <c r="AU471" s="236"/>
      <c r="AV471" s="235"/>
      <c r="AW471" s="235"/>
      <c r="AX471" s="235"/>
      <c r="AY471" s="235"/>
      <c r="AZ471" s="235"/>
      <c r="BA471" s="235"/>
      <c r="BB471" s="235"/>
      <c r="BC471" s="235"/>
      <c r="BD471" s="236"/>
      <c r="BE471" s="235"/>
      <c r="BF471" s="235"/>
      <c r="BG471" s="235"/>
      <c r="BH471" s="235"/>
      <c r="BI471" s="236"/>
      <c r="BJ471" s="236"/>
      <c r="BK471" s="238"/>
      <c r="BL471" s="239"/>
      <c r="BM471" s="239"/>
      <c r="BN471" s="239"/>
      <c r="BP471" s="236"/>
      <c r="BQ471" s="236"/>
      <c r="BR471" s="236"/>
      <c r="BS471" s="236"/>
      <c r="BT471" s="236"/>
      <c r="BU471" s="236"/>
      <c r="BV471" s="236"/>
      <c r="BW471" s="236"/>
      <c r="BX471" s="236"/>
      <c r="BY471" s="236"/>
      <c r="BZ471" s="236"/>
      <c r="CA471" s="236"/>
      <c r="CB471" s="236"/>
      <c r="CC471" s="236"/>
      <c r="CD471" s="236"/>
      <c r="CE471" s="236"/>
      <c r="CF471" s="236"/>
      <c r="CG471" s="236"/>
      <c r="CH471" s="236"/>
      <c r="CI471" s="236"/>
      <c r="CJ471" s="236"/>
      <c r="CK471" s="236"/>
      <c r="CL471" s="236"/>
      <c r="CM471" s="236"/>
      <c r="CN471" s="236"/>
      <c r="CO471" s="236"/>
    </row>
    <row r="472" spans="5:93" s="230" customFormat="1">
      <c r="E472" s="234"/>
      <c r="F472" s="235"/>
      <c r="G472" s="235"/>
      <c r="H472" s="236"/>
      <c r="I472" s="235"/>
      <c r="J472" s="235"/>
      <c r="K472" s="235"/>
      <c r="L472" s="235"/>
      <c r="M472" s="236"/>
      <c r="N472" s="235"/>
      <c r="O472" s="235"/>
      <c r="P472" s="235"/>
      <c r="Q472" s="235"/>
      <c r="R472" s="235"/>
      <c r="S472" s="235"/>
      <c r="T472" s="235"/>
      <c r="U472" s="235"/>
      <c r="V472" s="235"/>
      <c r="W472" s="235"/>
      <c r="X472" s="235"/>
      <c r="Y472" s="235"/>
      <c r="Z472" s="235"/>
      <c r="AA472" s="235"/>
      <c r="AB472" s="235"/>
      <c r="AC472" s="235"/>
      <c r="AD472" s="235"/>
      <c r="AE472" s="236"/>
      <c r="AF472" s="235"/>
      <c r="AG472" s="235"/>
      <c r="AH472" s="235"/>
      <c r="AI472" s="235"/>
      <c r="AJ472" s="236"/>
      <c r="AK472" s="235"/>
      <c r="AL472" s="235"/>
      <c r="AM472" s="235"/>
      <c r="AN472" s="235"/>
      <c r="AO472" s="235"/>
      <c r="AP472" s="235"/>
      <c r="AQ472" s="235"/>
      <c r="AR472" s="235"/>
      <c r="AS472" s="235"/>
      <c r="AT472" s="235"/>
      <c r="AU472" s="236"/>
      <c r="AV472" s="235"/>
      <c r="AW472" s="235"/>
      <c r="AX472" s="235"/>
      <c r="AY472" s="235"/>
      <c r="AZ472" s="235"/>
      <c r="BA472" s="235"/>
      <c r="BB472" s="235"/>
      <c r="BC472" s="235"/>
      <c r="BD472" s="236"/>
      <c r="BE472" s="235"/>
      <c r="BF472" s="235"/>
      <c r="BG472" s="235"/>
      <c r="BH472" s="235"/>
      <c r="BI472" s="236"/>
      <c r="BJ472" s="236"/>
      <c r="BK472" s="238"/>
      <c r="BL472" s="239"/>
      <c r="BM472" s="239"/>
      <c r="BN472" s="239"/>
      <c r="BP472" s="236"/>
      <c r="BQ472" s="236"/>
      <c r="BR472" s="236"/>
      <c r="BS472" s="236"/>
      <c r="BT472" s="236"/>
      <c r="BU472" s="236"/>
      <c r="BV472" s="236"/>
      <c r="BW472" s="236"/>
      <c r="BX472" s="236"/>
      <c r="BY472" s="236"/>
      <c r="BZ472" s="236"/>
      <c r="CA472" s="236"/>
      <c r="CB472" s="236"/>
      <c r="CC472" s="236"/>
      <c r="CD472" s="236"/>
      <c r="CE472" s="236"/>
      <c r="CF472" s="236"/>
      <c r="CG472" s="236"/>
      <c r="CH472" s="236"/>
      <c r="CI472" s="236"/>
      <c r="CJ472" s="236"/>
      <c r="CK472" s="236"/>
      <c r="CL472" s="236"/>
      <c r="CM472" s="236"/>
      <c r="CN472" s="236"/>
      <c r="CO472" s="236"/>
    </row>
    <row r="473" spans="5:93" s="230" customFormat="1">
      <c r="E473" s="234"/>
      <c r="F473" s="235"/>
      <c r="G473" s="235"/>
      <c r="H473" s="236"/>
      <c r="I473" s="235"/>
      <c r="J473" s="235"/>
      <c r="K473" s="235"/>
      <c r="L473" s="235"/>
      <c r="M473" s="236"/>
      <c r="N473" s="235"/>
      <c r="O473" s="235"/>
      <c r="P473" s="235"/>
      <c r="Q473" s="235"/>
      <c r="R473" s="235"/>
      <c r="S473" s="235"/>
      <c r="T473" s="235"/>
      <c r="U473" s="235"/>
      <c r="V473" s="235"/>
      <c r="W473" s="235"/>
      <c r="X473" s="235"/>
      <c r="Y473" s="235"/>
      <c r="Z473" s="235"/>
      <c r="AA473" s="235"/>
      <c r="AB473" s="235"/>
      <c r="AC473" s="235"/>
      <c r="AD473" s="235"/>
      <c r="AE473" s="236"/>
      <c r="AF473" s="235"/>
      <c r="AG473" s="235"/>
      <c r="AH473" s="235"/>
      <c r="AI473" s="235"/>
      <c r="AJ473" s="236"/>
      <c r="AK473" s="235"/>
      <c r="AL473" s="235"/>
      <c r="AM473" s="235"/>
      <c r="AN473" s="235"/>
      <c r="AO473" s="235"/>
      <c r="AP473" s="235"/>
      <c r="AQ473" s="235"/>
      <c r="AR473" s="235"/>
      <c r="AS473" s="235"/>
      <c r="AT473" s="235"/>
      <c r="AU473" s="236"/>
      <c r="AV473" s="235"/>
      <c r="AW473" s="235"/>
      <c r="AX473" s="235"/>
      <c r="AY473" s="235"/>
      <c r="AZ473" s="235"/>
      <c r="BA473" s="235"/>
      <c r="BB473" s="235"/>
      <c r="BC473" s="235"/>
      <c r="BD473" s="236"/>
      <c r="BE473" s="235"/>
      <c r="BF473" s="235"/>
      <c r="BG473" s="235"/>
      <c r="BH473" s="235"/>
      <c r="BI473" s="236"/>
      <c r="BJ473" s="236"/>
      <c r="BK473" s="238"/>
      <c r="BL473" s="239"/>
      <c r="BM473" s="239"/>
      <c r="BN473" s="239"/>
      <c r="BP473" s="236"/>
      <c r="BQ473" s="236"/>
      <c r="BR473" s="236"/>
      <c r="BS473" s="236"/>
      <c r="BT473" s="236"/>
      <c r="BU473" s="236"/>
      <c r="BV473" s="236"/>
      <c r="BW473" s="236"/>
      <c r="BX473" s="236"/>
      <c r="BY473" s="236"/>
      <c r="BZ473" s="236"/>
      <c r="CA473" s="236"/>
      <c r="CB473" s="236"/>
      <c r="CC473" s="236"/>
      <c r="CD473" s="236"/>
      <c r="CE473" s="236"/>
      <c r="CF473" s="236"/>
      <c r="CG473" s="236"/>
      <c r="CH473" s="236"/>
      <c r="CI473" s="236"/>
      <c r="CJ473" s="236"/>
      <c r="CK473" s="236"/>
      <c r="CL473" s="236"/>
      <c r="CM473" s="236"/>
      <c r="CN473" s="236"/>
      <c r="CO473" s="236"/>
    </row>
    <row r="474" spans="5:93" s="230" customFormat="1">
      <c r="E474" s="234"/>
      <c r="F474" s="235"/>
      <c r="G474" s="235"/>
      <c r="H474" s="236"/>
      <c r="I474" s="235"/>
      <c r="J474" s="235"/>
      <c r="K474" s="235"/>
      <c r="L474" s="235"/>
      <c r="M474" s="236"/>
      <c r="N474" s="235"/>
      <c r="O474" s="235"/>
      <c r="P474" s="235"/>
      <c r="Q474" s="235"/>
      <c r="R474" s="235"/>
      <c r="S474" s="235"/>
      <c r="T474" s="235"/>
      <c r="U474" s="235"/>
      <c r="V474" s="235"/>
      <c r="W474" s="235"/>
      <c r="X474" s="235"/>
      <c r="Y474" s="235"/>
      <c r="Z474" s="235"/>
      <c r="AA474" s="235"/>
      <c r="AB474" s="235"/>
      <c r="AC474" s="235"/>
      <c r="AD474" s="235"/>
      <c r="AE474" s="236"/>
      <c r="AF474" s="235"/>
      <c r="AG474" s="235"/>
      <c r="AH474" s="235"/>
      <c r="AI474" s="235"/>
      <c r="AJ474" s="236"/>
      <c r="AK474" s="235"/>
      <c r="AL474" s="235"/>
      <c r="AM474" s="235"/>
      <c r="AN474" s="235"/>
      <c r="AO474" s="235"/>
      <c r="AP474" s="235"/>
      <c r="AQ474" s="235"/>
      <c r="AR474" s="235"/>
      <c r="AS474" s="235"/>
      <c r="AT474" s="235"/>
      <c r="AU474" s="236"/>
      <c r="AV474" s="235"/>
      <c r="AW474" s="235"/>
      <c r="AX474" s="235"/>
      <c r="AY474" s="235"/>
      <c r="AZ474" s="235"/>
      <c r="BA474" s="235"/>
      <c r="BB474" s="235"/>
      <c r="BC474" s="235"/>
      <c r="BD474" s="236"/>
      <c r="BE474" s="235"/>
      <c r="BF474" s="235"/>
      <c r="BG474" s="235"/>
      <c r="BH474" s="235"/>
      <c r="BI474" s="236"/>
      <c r="BJ474" s="236"/>
      <c r="BK474" s="238"/>
      <c r="BL474" s="239"/>
      <c r="BM474" s="239"/>
      <c r="BN474" s="239"/>
      <c r="BP474" s="236"/>
      <c r="BQ474" s="236"/>
      <c r="BR474" s="236"/>
      <c r="BS474" s="236"/>
      <c r="BT474" s="236"/>
      <c r="BU474" s="236"/>
      <c r="BV474" s="236"/>
      <c r="BW474" s="236"/>
      <c r="BX474" s="236"/>
      <c r="BY474" s="236"/>
      <c r="BZ474" s="236"/>
      <c r="CA474" s="236"/>
      <c r="CB474" s="236"/>
      <c r="CC474" s="236"/>
      <c r="CD474" s="236"/>
      <c r="CE474" s="236"/>
      <c r="CF474" s="236"/>
      <c r="CG474" s="236"/>
      <c r="CH474" s="236"/>
      <c r="CI474" s="236"/>
      <c r="CJ474" s="236"/>
      <c r="CK474" s="236"/>
      <c r="CL474" s="236"/>
      <c r="CM474" s="236"/>
      <c r="CN474" s="236"/>
      <c r="CO474" s="236"/>
    </row>
    <row r="475" spans="5:93" s="230" customFormat="1">
      <c r="E475" s="234"/>
      <c r="F475" s="235"/>
      <c r="G475" s="235"/>
      <c r="H475" s="236"/>
      <c r="I475" s="235"/>
      <c r="J475" s="235"/>
      <c r="K475" s="235"/>
      <c r="L475" s="235"/>
      <c r="M475" s="236"/>
      <c r="N475" s="235"/>
      <c r="O475" s="235"/>
      <c r="P475" s="235"/>
      <c r="Q475" s="235"/>
      <c r="R475" s="235"/>
      <c r="S475" s="235"/>
      <c r="T475" s="235"/>
      <c r="U475" s="235"/>
      <c r="V475" s="235"/>
      <c r="W475" s="235"/>
      <c r="X475" s="235"/>
      <c r="Y475" s="235"/>
      <c r="Z475" s="235"/>
      <c r="AA475" s="235"/>
      <c r="AB475" s="235"/>
      <c r="AC475" s="235"/>
      <c r="AD475" s="235"/>
      <c r="AE475" s="236"/>
      <c r="AF475" s="235"/>
      <c r="AG475" s="235"/>
      <c r="AH475" s="235"/>
      <c r="AI475" s="235"/>
      <c r="AJ475" s="236"/>
      <c r="AK475" s="235"/>
      <c r="AL475" s="235"/>
      <c r="AM475" s="235"/>
      <c r="AN475" s="235"/>
      <c r="AO475" s="235"/>
      <c r="AP475" s="235"/>
      <c r="AQ475" s="235"/>
      <c r="AR475" s="235"/>
      <c r="AS475" s="235"/>
      <c r="AT475" s="235"/>
      <c r="AU475" s="236"/>
      <c r="AV475" s="235"/>
      <c r="AW475" s="235"/>
      <c r="AX475" s="235"/>
      <c r="AY475" s="235"/>
      <c r="AZ475" s="235"/>
      <c r="BA475" s="235"/>
      <c r="BB475" s="235"/>
      <c r="BC475" s="235"/>
      <c r="BD475" s="236"/>
      <c r="BE475" s="235"/>
      <c r="BF475" s="235"/>
      <c r="BG475" s="235"/>
      <c r="BH475" s="235"/>
      <c r="BI475" s="236"/>
      <c r="BJ475" s="236"/>
      <c r="BK475" s="238"/>
      <c r="BL475" s="239"/>
      <c r="BM475" s="239"/>
      <c r="BN475" s="239"/>
      <c r="BP475" s="236"/>
      <c r="BQ475" s="236"/>
      <c r="BR475" s="236"/>
      <c r="BS475" s="236"/>
      <c r="BT475" s="236"/>
      <c r="BU475" s="236"/>
      <c r="BV475" s="236"/>
      <c r="BW475" s="236"/>
      <c r="BX475" s="236"/>
      <c r="BY475" s="236"/>
      <c r="BZ475" s="236"/>
      <c r="CA475" s="236"/>
      <c r="CB475" s="236"/>
      <c r="CC475" s="236"/>
      <c r="CD475" s="236"/>
      <c r="CE475" s="236"/>
      <c r="CF475" s="236"/>
      <c r="CG475" s="236"/>
      <c r="CH475" s="236"/>
      <c r="CI475" s="236"/>
      <c r="CJ475" s="236"/>
      <c r="CK475" s="236"/>
      <c r="CL475" s="236"/>
      <c r="CM475" s="236"/>
      <c r="CN475" s="236"/>
      <c r="CO475" s="236"/>
    </row>
    <row r="476" spans="5:93" s="230" customFormat="1">
      <c r="E476" s="234"/>
      <c r="F476" s="235"/>
      <c r="G476" s="235"/>
      <c r="H476" s="236"/>
      <c r="I476" s="235"/>
      <c r="J476" s="235"/>
      <c r="K476" s="235"/>
      <c r="L476" s="235"/>
      <c r="M476" s="236"/>
      <c r="N476" s="235"/>
      <c r="O476" s="235"/>
      <c r="P476" s="235"/>
      <c r="Q476" s="235"/>
      <c r="R476" s="235"/>
      <c r="S476" s="235"/>
      <c r="T476" s="235"/>
      <c r="U476" s="235"/>
      <c r="V476" s="235"/>
      <c r="W476" s="235"/>
      <c r="X476" s="235"/>
      <c r="Y476" s="235"/>
      <c r="Z476" s="235"/>
      <c r="AA476" s="235"/>
      <c r="AB476" s="235"/>
      <c r="AC476" s="235"/>
      <c r="AD476" s="235"/>
      <c r="AE476" s="236"/>
      <c r="AF476" s="235"/>
      <c r="AG476" s="235"/>
      <c r="AH476" s="235"/>
      <c r="AI476" s="235"/>
      <c r="AJ476" s="236"/>
      <c r="AK476" s="235"/>
      <c r="AL476" s="235"/>
      <c r="AM476" s="235"/>
      <c r="AN476" s="235"/>
      <c r="AO476" s="235"/>
      <c r="AP476" s="235"/>
      <c r="AQ476" s="235"/>
      <c r="AR476" s="235"/>
      <c r="AS476" s="235"/>
      <c r="AT476" s="235"/>
      <c r="AU476" s="236"/>
      <c r="AV476" s="235"/>
      <c r="AW476" s="235"/>
      <c r="AX476" s="235"/>
      <c r="AY476" s="235"/>
      <c r="AZ476" s="235"/>
      <c r="BA476" s="235"/>
      <c r="BB476" s="235"/>
      <c r="BC476" s="235"/>
      <c r="BD476" s="236"/>
      <c r="BE476" s="235"/>
      <c r="BF476" s="235"/>
      <c r="BG476" s="235"/>
      <c r="BH476" s="235"/>
      <c r="BI476" s="236"/>
      <c r="BJ476" s="236"/>
      <c r="BK476" s="238"/>
      <c r="BL476" s="239"/>
      <c r="BM476" s="239"/>
      <c r="BN476" s="239"/>
      <c r="BP476" s="236"/>
      <c r="BQ476" s="236"/>
      <c r="BR476" s="236"/>
      <c r="BS476" s="236"/>
      <c r="BT476" s="236"/>
      <c r="BU476" s="236"/>
      <c r="BV476" s="236"/>
      <c r="BW476" s="236"/>
      <c r="BX476" s="236"/>
      <c r="BY476" s="236"/>
      <c r="BZ476" s="236"/>
      <c r="CA476" s="236"/>
      <c r="CB476" s="236"/>
      <c r="CC476" s="236"/>
      <c r="CD476" s="236"/>
      <c r="CE476" s="236"/>
      <c r="CF476" s="236"/>
      <c r="CG476" s="236"/>
      <c r="CH476" s="236"/>
      <c r="CI476" s="236"/>
      <c r="CJ476" s="236"/>
      <c r="CK476" s="236"/>
      <c r="CL476" s="236"/>
      <c r="CM476" s="236"/>
      <c r="CN476" s="236"/>
      <c r="CO476" s="236"/>
    </row>
    <row r="477" spans="5:93" s="230" customFormat="1">
      <c r="E477" s="234"/>
      <c r="F477" s="235"/>
      <c r="G477" s="235"/>
      <c r="H477" s="236"/>
      <c r="I477" s="235"/>
      <c r="J477" s="235"/>
      <c r="K477" s="235"/>
      <c r="L477" s="235"/>
      <c r="M477" s="236"/>
      <c r="N477" s="235"/>
      <c r="O477" s="235"/>
      <c r="P477" s="235"/>
      <c r="Q477" s="235"/>
      <c r="R477" s="235"/>
      <c r="S477" s="235"/>
      <c r="T477" s="235"/>
      <c r="U477" s="235"/>
      <c r="V477" s="235"/>
      <c r="W477" s="235"/>
      <c r="X477" s="235"/>
      <c r="Y477" s="235"/>
      <c r="Z477" s="235"/>
      <c r="AA477" s="235"/>
      <c r="AB477" s="235"/>
      <c r="AC477" s="235"/>
      <c r="AD477" s="235"/>
      <c r="AE477" s="236"/>
      <c r="AF477" s="235"/>
      <c r="AG477" s="235"/>
      <c r="AH477" s="235"/>
      <c r="AI477" s="235"/>
      <c r="AJ477" s="236"/>
      <c r="AK477" s="235"/>
      <c r="AL477" s="235"/>
      <c r="AM477" s="235"/>
      <c r="AN477" s="235"/>
      <c r="AO477" s="235"/>
      <c r="AP477" s="235"/>
      <c r="AQ477" s="235"/>
      <c r="AR477" s="235"/>
      <c r="AS477" s="235"/>
      <c r="AT477" s="235"/>
      <c r="AU477" s="236"/>
      <c r="AV477" s="235"/>
      <c r="AW477" s="235"/>
      <c r="AX477" s="235"/>
      <c r="AY477" s="235"/>
      <c r="AZ477" s="235"/>
      <c r="BA477" s="235"/>
      <c r="BB477" s="235"/>
      <c r="BC477" s="235"/>
      <c r="BD477" s="236"/>
      <c r="BE477" s="235"/>
      <c r="BF477" s="235"/>
      <c r="BG477" s="235"/>
      <c r="BH477" s="235"/>
      <c r="BI477" s="236"/>
      <c r="BJ477" s="236"/>
      <c r="BK477" s="238"/>
      <c r="BL477" s="239"/>
      <c r="BM477" s="239"/>
      <c r="BN477" s="239"/>
      <c r="BP477" s="236"/>
      <c r="BQ477" s="236"/>
      <c r="BR477" s="236"/>
      <c r="BS477" s="236"/>
      <c r="BT477" s="236"/>
      <c r="BU477" s="236"/>
      <c r="BV477" s="236"/>
      <c r="BW477" s="236"/>
      <c r="BX477" s="236"/>
      <c r="BY477" s="236"/>
      <c r="BZ477" s="236"/>
      <c r="CA477" s="236"/>
      <c r="CB477" s="236"/>
      <c r="CC477" s="236"/>
      <c r="CD477" s="236"/>
      <c r="CE477" s="236"/>
      <c r="CF477" s="236"/>
      <c r="CG477" s="236"/>
      <c r="CH477" s="236"/>
      <c r="CI477" s="236"/>
      <c r="CJ477" s="236"/>
      <c r="CK477" s="236"/>
      <c r="CL477" s="236"/>
      <c r="CM477" s="236"/>
      <c r="CN477" s="236"/>
      <c r="CO477" s="236"/>
    </row>
    <row r="478" spans="5:93" s="230" customFormat="1">
      <c r="E478" s="234"/>
      <c r="F478" s="235"/>
      <c r="G478" s="235"/>
      <c r="H478" s="236"/>
      <c r="I478" s="235"/>
      <c r="J478" s="235"/>
      <c r="K478" s="235"/>
      <c r="L478" s="235"/>
      <c r="M478" s="236"/>
      <c r="N478" s="235"/>
      <c r="O478" s="235"/>
      <c r="P478" s="235"/>
      <c r="Q478" s="235"/>
      <c r="R478" s="235"/>
      <c r="S478" s="235"/>
      <c r="T478" s="235"/>
      <c r="U478" s="235"/>
      <c r="V478" s="235"/>
      <c r="W478" s="235"/>
      <c r="X478" s="235"/>
      <c r="Y478" s="235"/>
      <c r="Z478" s="235"/>
      <c r="AA478" s="235"/>
      <c r="AB478" s="235"/>
      <c r="AC478" s="235"/>
      <c r="AD478" s="235"/>
      <c r="AE478" s="236"/>
      <c r="AF478" s="235"/>
      <c r="AG478" s="235"/>
      <c r="AH478" s="235"/>
      <c r="AI478" s="235"/>
      <c r="AJ478" s="236"/>
      <c r="AK478" s="235"/>
      <c r="AL478" s="235"/>
      <c r="AM478" s="235"/>
      <c r="AN478" s="235"/>
      <c r="AO478" s="235"/>
      <c r="AP478" s="235"/>
      <c r="AQ478" s="235"/>
      <c r="AR478" s="235"/>
      <c r="AS478" s="235"/>
      <c r="AT478" s="235"/>
      <c r="AU478" s="236"/>
      <c r="AV478" s="235"/>
      <c r="AW478" s="235"/>
      <c r="AX478" s="235"/>
      <c r="AY478" s="235"/>
      <c r="AZ478" s="235"/>
      <c r="BA478" s="235"/>
      <c r="BB478" s="235"/>
      <c r="BC478" s="235"/>
      <c r="BD478" s="236"/>
      <c r="BE478" s="235"/>
      <c r="BF478" s="235"/>
      <c r="BG478" s="235"/>
      <c r="BH478" s="235"/>
      <c r="BI478" s="236"/>
      <c r="BJ478" s="236"/>
      <c r="BK478" s="238"/>
      <c r="BL478" s="239"/>
      <c r="BM478" s="239"/>
      <c r="BN478" s="239"/>
      <c r="BP478" s="236"/>
      <c r="BQ478" s="236"/>
      <c r="BR478" s="236"/>
      <c r="BS478" s="236"/>
      <c r="BT478" s="236"/>
      <c r="BU478" s="236"/>
      <c r="BV478" s="236"/>
      <c r="BW478" s="236"/>
      <c r="BX478" s="236"/>
      <c r="BY478" s="236"/>
      <c r="BZ478" s="236"/>
      <c r="CA478" s="236"/>
      <c r="CB478" s="236"/>
      <c r="CC478" s="236"/>
      <c r="CD478" s="236"/>
      <c r="CE478" s="236"/>
      <c r="CF478" s="236"/>
      <c r="CG478" s="236"/>
      <c r="CH478" s="236"/>
      <c r="CI478" s="236"/>
      <c r="CJ478" s="236"/>
      <c r="CK478" s="236"/>
      <c r="CL478" s="236"/>
      <c r="CM478" s="236"/>
      <c r="CN478" s="236"/>
      <c r="CO478" s="236"/>
    </row>
    <row r="479" spans="5:93" s="230" customFormat="1">
      <c r="E479" s="234"/>
      <c r="F479" s="235"/>
      <c r="G479" s="235"/>
      <c r="H479" s="236"/>
      <c r="I479" s="235"/>
      <c r="J479" s="235"/>
      <c r="K479" s="235"/>
      <c r="L479" s="235"/>
      <c r="M479" s="236"/>
      <c r="N479" s="235"/>
      <c r="O479" s="235"/>
      <c r="P479" s="235"/>
      <c r="Q479" s="235"/>
      <c r="R479" s="235"/>
      <c r="S479" s="235"/>
      <c r="T479" s="235"/>
      <c r="U479" s="235"/>
      <c r="V479" s="235"/>
      <c r="W479" s="235"/>
      <c r="X479" s="235"/>
      <c r="Y479" s="235"/>
      <c r="Z479" s="235"/>
      <c r="AA479" s="235"/>
      <c r="AB479" s="235"/>
      <c r="AC479" s="235"/>
      <c r="AD479" s="235"/>
      <c r="AE479" s="236"/>
      <c r="AF479" s="235"/>
      <c r="AG479" s="235"/>
      <c r="AH479" s="235"/>
      <c r="AI479" s="235"/>
      <c r="AJ479" s="236"/>
      <c r="AK479" s="235"/>
      <c r="AL479" s="235"/>
      <c r="AM479" s="235"/>
      <c r="AN479" s="235"/>
      <c r="AO479" s="235"/>
      <c r="AP479" s="235"/>
      <c r="AQ479" s="235"/>
      <c r="AR479" s="235"/>
      <c r="AS479" s="235"/>
      <c r="AT479" s="235"/>
      <c r="AU479" s="236"/>
      <c r="AV479" s="235"/>
      <c r="AW479" s="235"/>
      <c r="AX479" s="235"/>
      <c r="AY479" s="235"/>
      <c r="AZ479" s="235"/>
      <c r="BA479" s="235"/>
      <c r="BB479" s="235"/>
      <c r="BC479" s="235"/>
      <c r="BD479" s="236"/>
      <c r="BE479" s="235"/>
      <c r="BF479" s="235"/>
      <c r="BG479" s="235"/>
      <c r="BH479" s="235"/>
      <c r="BI479" s="236"/>
      <c r="BJ479" s="236"/>
      <c r="BK479" s="238"/>
      <c r="BL479" s="239"/>
      <c r="BM479" s="239"/>
      <c r="BN479" s="239"/>
      <c r="BP479" s="236"/>
      <c r="BQ479" s="236"/>
      <c r="BR479" s="236"/>
      <c r="BS479" s="236"/>
      <c r="BT479" s="236"/>
      <c r="BU479" s="236"/>
      <c r="BV479" s="236"/>
      <c r="BW479" s="236"/>
      <c r="BX479" s="236"/>
      <c r="BY479" s="236"/>
      <c r="BZ479" s="236"/>
      <c r="CA479" s="236"/>
      <c r="CB479" s="236"/>
      <c r="CC479" s="236"/>
      <c r="CD479" s="236"/>
      <c r="CE479" s="236"/>
      <c r="CF479" s="236"/>
      <c r="CG479" s="236"/>
      <c r="CH479" s="236"/>
      <c r="CI479" s="236"/>
      <c r="CJ479" s="236"/>
      <c r="CK479" s="236"/>
      <c r="CL479" s="236"/>
      <c r="CM479" s="236"/>
      <c r="CN479" s="236"/>
      <c r="CO479" s="236"/>
    </row>
    <row r="480" spans="5:93" s="230" customFormat="1">
      <c r="E480" s="234"/>
      <c r="F480" s="235"/>
      <c r="G480" s="235"/>
      <c r="H480" s="236"/>
      <c r="I480" s="235"/>
      <c r="J480" s="235"/>
      <c r="K480" s="235"/>
      <c r="L480" s="235"/>
      <c r="M480" s="236"/>
      <c r="N480" s="235"/>
      <c r="O480" s="235"/>
      <c r="P480" s="235"/>
      <c r="Q480" s="235"/>
      <c r="R480" s="235"/>
      <c r="S480" s="235"/>
      <c r="T480" s="235"/>
      <c r="U480" s="235"/>
      <c r="V480" s="235"/>
      <c r="W480" s="235"/>
      <c r="X480" s="235"/>
      <c r="Y480" s="235"/>
      <c r="Z480" s="235"/>
      <c r="AA480" s="235"/>
      <c r="AB480" s="235"/>
      <c r="AC480" s="235"/>
      <c r="AD480" s="235"/>
      <c r="AE480" s="236"/>
      <c r="AF480" s="235"/>
      <c r="AG480" s="235"/>
      <c r="AH480" s="235"/>
      <c r="AI480" s="235"/>
      <c r="AJ480" s="236"/>
      <c r="AK480" s="235"/>
      <c r="AL480" s="235"/>
      <c r="AM480" s="235"/>
      <c r="AN480" s="235"/>
      <c r="AO480" s="235"/>
      <c r="AP480" s="235"/>
      <c r="AQ480" s="235"/>
      <c r="AR480" s="235"/>
      <c r="AS480" s="235"/>
      <c r="AT480" s="235"/>
      <c r="AU480" s="236"/>
      <c r="AV480" s="235"/>
      <c r="AW480" s="235"/>
      <c r="AX480" s="235"/>
      <c r="AY480" s="235"/>
      <c r="AZ480" s="235"/>
      <c r="BA480" s="235"/>
      <c r="BB480" s="235"/>
      <c r="BC480" s="235"/>
      <c r="BD480" s="236"/>
      <c r="BE480" s="235"/>
      <c r="BF480" s="235"/>
      <c r="BG480" s="235"/>
      <c r="BH480" s="235"/>
      <c r="BI480" s="236"/>
      <c r="BJ480" s="236"/>
      <c r="BK480" s="238"/>
      <c r="BL480" s="239"/>
      <c r="BM480" s="239"/>
      <c r="BN480" s="239"/>
      <c r="BP480" s="236"/>
      <c r="BQ480" s="236"/>
      <c r="BR480" s="236"/>
      <c r="BS480" s="236"/>
      <c r="BT480" s="236"/>
      <c r="BU480" s="236"/>
      <c r="BV480" s="236"/>
      <c r="BW480" s="236"/>
      <c r="BX480" s="236"/>
      <c r="BY480" s="236"/>
      <c r="BZ480" s="236"/>
      <c r="CA480" s="236"/>
      <c r="CB480" s="236"/>
      <c r="CC480" s="236"/>
      <c r="CD480" s="236"/>
      <c r="CE480" s="236"/>
      <c r="CF480" s="236"/>
      <c r="CG480" s="236"/>
      <c r="CH480" s="236"/>
      <c r="CI480" s="236"/>
      <c r="CJ480" s="236"/>
      <c r="CK480" s="236"/>
      <c r="CL480" s="236"/>
      <c r="CM480" s="236"/>
      <c r="CN480" s="236"/>
      <c r="CO480" s="236"/>
    </row>
    <row r="481" spans="5:93" s="230" customFormat="1">
      <c r="E481" s="234"/>
      <c r="F481" s="235"/>
      <c r="G481" s="235"/>
      <c r="H481" s="236"/>
      <c r="I481" s="235"/>
      <c r="J481" s="235"/>
      <c r="K481" s="235"/>
      <c r="L481" s="235"/>
      <c r="M481" s="236"/>
      <c r="N481" s="235"/>
      <c r="O481" s="235"/>
      <c r="P481" s="235"/>
      <c r="Q481" s="235"/>
      <c r="R481" s="235"/>
      <c r="S481" s="235"/>
      <c r="T481" s="235"/>
      <c r="U481" s="235"/>
      <c r="V481" s="235"/>
      <c r="W481" s="235"/>
      <c r="X481" s="235"/>
      <c r="Y481" s="235"/>
      <c r="Z481" s="235"/>
      <c r="AA481" s="235"/>
      <c r="AB481" s="235"/>
      <c r="AC481" s="235"/>
      <c r="AD481" s="235"/>
      <c r="AE481" s="236"/>
      <c r="AF481" s="235"/>
      <c r="AG481" s="235"/>
      <c r="AH481" s="235"/>
      <c r="AI481" s="235"/>
      <c r="AJ481" s="236"/>
      <c r="AK481" s="235"/>
      <c r="AL481" s="235"/>
      <c r="AM481" s="235"/>
      <c r="AN481" s="235"/>
      <c r="AO481" s="235"/>
      <c r="AP481" s="235"/>
      <c r="AQ481" s="235"/>
      <c r="AR481" s="235"/>
      <c r="AS481" s="235"/>
      <c r="AT481" s="235"/>
      <c r="AU481" s="236"/>
      <c r="AV481" s="235"/>
      <c r="AW481" s="235"/>
      <c r="AX481" s="235"/>
      <c r="AY481" s="235"/>
      <c r="AZ481" s="235"/>
      <c r="BA481" s="235"/>
      <c r="BB481" s="235"/>
      <c r="BC481" s="235"/>
      <c r="BD481" s="236"/>
      <c r="BE481" s="235"/>
      <c r="BF481" s="235"/>
      <c r="BG481" s="235"/>
      <c r="BH481" s="235"/>
      <c r="BI481" s="236"/>
      <c r="BJ481" s="236"/>
      <c r="BK481" s="238"/>
      <c r="BL481" s="239"/>
      <c r="BM481" s="239"/>
      <c r="BN481" s="239"/>
      <c r="BP481" s="236"/>
      <c r="BQ481" s="236"/>
      <c r="BR481" s="236"/>
      <c r="BS481" s="236"/>
      <c r="BT481" s="236"/>
      <c r="BU481" s="236"/>
      <c r="BV481" s="236"/>
      <c r="BW481" s="236"/>
      <c r="BX481" s="236"/>
      <c r="BY481" s="236"/>
      <c r="BZ481" s="236"/>
      <c r="CA481" s="236"/>
      <c r="CB481" s="236"/>
      <c r="CC481" s="236"/>
      <c r="CD481" s="236"/>
      <c r="CE481" s="236"/>
      <c r="CF481" s="236"/>
      <c r="CG481" s="236"/>
      <c r="CH481" s="236"/>
      <c r="CI481" s="236"/>
      <c r="CJ481" s="236"/>
      <c r="CK481" s="236"/>
      <c r="CL481" s="236"/>
      <c r="CM481" s="236"/>
      <c r="CN481" s="236"/>
      <c r="CO481" s="236"/>
    </row>
    <row r="482" spans="5:93" s="230" customFormat="1">
      <c r="E482" s="234"/>
      <c r="F482" s="235"/>
      <c r="G482" s="235"/>
      <c r="H482" s="236"/>
      <c r="I482" s="235"/>
      <c r="J482" s="235"/>
      <c r="K482" s="235"/>
      <c r="L482" s="235"/>
      <c r="M482" s="236"/>
      <c r="N482" s="235"/>
      <c r="O482" s="235"/>
      <c r="P482" s="235"/>
      <c r="Q482" s="235"/>
      <c r="R482" s="235"/>
      <c r="S482" s="235"/>
      <c r="T482" s="235"/>
      <c r="U482" s="235"/>
      <c r="V482" s="235"/>
      <c r="W482" s="235"/>
      <c r="X482" s="235"/>
      <c r="Y482" s="235"/>
      <c r="Z482" s="235"/>
      <c r="AA482" s="235"/>
      <c r="AB482" s="235"/>
      <c r="AC482" s="235"/>
      <c r="AD482" s="235"/>
      <c r="AE482" s="236"/>
      <c r="AF482" s="235"/>
      <c r="AG482" s="235"/>
      <c r="AH482" s="235"/>
      <c r="AI482" s="235"/>
      <c r="AJ482" s="236"/>
      <c r="AK482" s="235"/>
      <c r="AL482" s="235"/>
      <c r="AM482" s="235"/>
      <c r="AN482" s="235"/>
      <c r="AO482" s="235"/>
      <c r="AP482" s="235"/>
      <c r="AQ482" s="235"/>
      <c r="AR482" s="235"/>
      <c r="AS482" s="235"/>
      <c r="AT482" s="235"/>
      <c r="AU482" s="236"/>
      <c r="AV482" s="235"/>
      <c r="AW482" s="235"/>
      <c r="AX482" s="235"/>
      <c r="AY482" s="235"/>
      <c r="AZ482" s="235"/>
      <c r="BA482" s="235"/>
      <c r="BB482" s="235"/>
      <c r="BC482" s="235"/>
      <c r="BD482" s="236"/>
      <c r="BE482" s="235"/>
      <c r="BF482" s="235"/>
      <c r="BG482" s="235"/>
      <c r="BH482" s="235"/>
      <c r="BI482" s="236"/>
      <c r="BJ482" s="236"/>
      <c r="BK482" s="238"/>
      <c r="BL482" s="239"/>
      <c r="BM482" s="239"/>
      <c r="BN482" s="239"/>
      <c r="BP482" s="236"/>
      <c r="BQ482" s="236"/>
      <c r="BR482" s="236"/>
      <c r="BS482" s="236"/>
      <c r="BT482" s="236"/>
      <c r="BU482" s="236"/>
      <c r="BV482" s="236"/>
      <c r="BW482" s="236"/>
      <c r="BX482" s="236"/>
      <c r="BY482" s="236"/>
      <c r="BZ482" s="236"/>
      <c r="CA482" s="236"/>
      <c r="CB482" s="236"/>
      <c r="CC482" s="236"/>
      <c r="CD482" s="236"/>
      <c r="CE482" s="236"/>
      <c r="CF482" s="236"/>
      <c r="CG482" s="236"/>
      <c r="CH482" s="236"/>
      <c r="CI482" s="236"/>
      <c r="CJ482" s="236"/>
      <c r="CK482" s="236"/>
      <c r="CL482" s="236"/>
      <c r="CM482" s="236"/>
      <c r="CN482" s="236"/>
      <c r="CO482" s="236"/>
    </row>
    <row r="483" spans="5:93" s="230" customFormat="1">
      <c r="E483" s="234"/>
      <c r="F483" s="235"/>
      <c r="G483" s="235"/>
      <c r="H483" s="236"/>
      <c r="I483" s="235"/>
      <c r="J483" s="235"/>
      <c r="K483" s="235"/>
      <c r="L483" s="235"/>
      <c r="M483" s="236"/>
      <c r="N483" s="235"/>
      <c r="O483" s="235"/>
      <c r="P483" s="235"/>
      <c r="Q483" s="235"/>
      <c r="R483" s="235"/>
      <c r="S483" s="235"/>
      <c r="T483" s="235"/>
      <c r="U483" s="235"/>
      <c r="V483" s="235"/>
      <c r="W483" s="235"/>
      <c r="X483" s="235"/>
      <c r="Y483" s="235"/>
      <c r="Z483" s="235"/>
      <c r="AA483" s="235"/>
      <c r="AB483" s="235"/>
      <c r="AC483" s="235"/>
      <c r="AD483" s="235"/>
      <c r="AE483" s="236"/>
      <c r="AF483" s="235"/>
      <c r="AG483" s="235"/>
      <c r="AH483" s="235"/>
      <c r="AI483" s="235"/>
      <c r="AJ483" s="236"/>
      <c r="AK483" s="235"/>
      <c r="AL483" s="235"/>
      <c r="AM483" s="235"/>
      <c r="AN483" s="235"/>
      <c r="AO483" s="235"/>
      <c r="AP483" s="235"/>
      <c r="AQ483" s="235"/>
      <c r="AR483" s="235"/>
      <c r="AS483" s="235"/>
      <c r="AT483" s="235"/>
      <c r="AU483" s="236"/>
      <c r="AV483" s="235"/>
      <c r="AW483" s="235"/>
      <c r="AX483" s="235"/>
      <c r="AY483" s="235"/>
      <c r="AZ483" s="235"/>
      <c r="BA483" s="235"/>
      <c r="BB483" s="235"/>
      <c r="BC483" s="235"/>
      <c r="BD483" s="236"/>
      <c r="BE483" s="235"/>
      <c r="BF483" s="235"/>
      <c r="BG483" s="235"/>
      <c r="BH483" s="235"/>
      <c r="BI483" s="236"/>
      <c r="BJ483" s="236"/>
      <c r="BK483" s="238"/>
      <c r="BL483" s="239"/>
      <c r="BM483" s="239"/>
      <c r="BN483" s="239"/>
      <c r="BP483" s="236"/>
      <c r="BQ483" s="236"/>
      <c r="BR483" s="236"/>
      <c r="BS483" s="236"/>
      <c r="BT483" s="236"/>
      <c r="BU483" s="236"/>
      <c r="BV483" s="236"/>
      <c r="BW483" s="236"/>
      <c r="BX483" s="236"/>
      <c r="BY483" s="236"/>
      <c r="BZ483" s="236"/>
      <c r="CA483" s="236"/>
      <c r="CB483" s="236"/>
      <c r="CC483" s="236"/>
      <c r="CD483" s="236"/>
      <c r="CE483" s="236"/>
      <c r="CF483" s="236"/>
      <c r="CG483" s="236"/>
      <c r="CH483" s="236"/>
      <c r="CI483" s="236"/>
      <c r="CJ483" s="236"/>
      <c r="CK483" s="236"/>
      <c r="CL483" s="236"/>
      <c r="CM483" s="236"/>
      <c r="CN483" s="236"/>
      <c r="CO483" s="236"/>
    </row>
    <row r="484" spans="5:93" s="230" customFormat="1">
      <c r="E484" s="234"/>
      <c r="F484" s="235"/>
      <c r="G484" s="235"/>
      <c r="H484" s="236"/>
      <c r="I484" s="235"/>
      <c r="J484" s="235"/>
      <c r="K484" s="235"/>
      <c r="L484" s="235"/>
      <c r="M484" s="236"/>
      <c r="N484" s="235"/>
      <c r="O484" s="235"/>
      <c r="P484" s="235"/>
      <c r="Q484" s="235"/>
      <c r="R484" s="235"/>
      <c r="S484" s="235"/>
      <c r="T484" s="235"/>
      <c r="U484" s="235"/>
      <c r="V484" s="235"/>
      <c r="W484" s="235"/>
      <c r="X484" s="235"/>
      <c r="Y484" s="235"/>
      <c r="Z484" s="235"/>
      <c r="AA484" s="235"/>
      <c r="AB484" s="235"/>
      <c r="AC484" s="235"/>
      <c r="AD484" s="235"/>
      <c r="AE484" s="236"/>
      <c r="AF484" s="235"/>
      <c r="AG484" s="235"/>
      <c r="AH484" s="235"/>
      <c r="AI484" s="235"/>
      <c r="AJ484" s="236"/>
      <c r="AK484" s="235"/>
      <c r="AL484" s="235"/>
      <c r="AM484" s="235"/>
      <c r="AN484" s="235"/>
      <c r="AO484" s="235"/>
      <c r="AP484" s="235"/>
      <c r="AQ484" s="235"/>
      <c r="AR484" s="235"/>
      <c r="AS484" s="235"/>
      <c r="AT484" s="235"/>
      <c r="AU484" s="236"/>
      <c r="AV484" s="235"/>
      <c r="AW484" s="235"/>
      <c r="AX484" s="235"/>
      <c r="AY484" s="235"/>
      <c r="AZ484" s="235"/>
      <c r="BA484" s="235"/>
      <c r="BB484" s="235"/>
      <c r="BC484" s="235"/>
      <c r="BD484" s="236"/>
      <c r="BE484" s="235"/>
      <c r="BF484" s="235"/>
      <c r="BG484" s="235"/>
      <c r="BH484" s="235"/>
      <c r="BI484" s="236"/>
      <c r="BJ484" s="236"/>
      <c r="BK484" s="238"/>
      <c r="BL484" s="239"/>
      <c r="BM484" s="239"/>
      <c r="BN484" s="239"/>
      <c r="BP484" s="236"/>
      <c r="BQ484" s="236"/>
      <c r="BR484" s="236"/>
      <c r="BS484" s="236"/>
      <c r="BT484" s="236"/>
      <c r="BU484" s="236"/>
      <c r="BV484" s="236"/>
      <c r="BW484" s="236"/>
      <c r="BX484" s="236"/>
      <c r="BY484" s="236"/>
      <c r="BZ484" s="236"/>
      <c r="CA484" s="236"/>
      <c r="CB484" s="236"/>
      <c r="CC484" s="236"/>
      <c r="CD484" s="236"/>
      <c r="CE484" s="236"/>
      <c r="CF484" s="236"/>
      <c r="CG484" s="236"/>
      <c r="CH484" s="236"/>
      <c r="CI484" s="236"/>
      <c r="CJ484" s="236"/>
      <c r="CK484" s="236"/>
      <c r="CL484" s="236"/>
      <c r="CM484" s="236"/>
      <c r="CN484" s="236"/>
      <c r="CO484" s="236"/>
    </row>
    <row r="485" spans="5:93" s="230" customFormat="1">
      <c r="E485" s="234"/>
      <c r="F485" s="235"/>
      <c r="G485" s="235"/>
      <c r="H485" s="236"/>
      <c r="I485" s="235"/>
      <c r="J485" s="235"/>
      <c r="K485" s="235"/>
      <c r="L485" s="235"/>
      <c r="M485" s="236"/>
      <c r="N485" s="235"/>
      <c r="O485" s="235"/>
      <c r="P485" s="235"/>
      <c r="Q485" s="235"/>
      <c r="R485" s="235"/>
      <c r="S485" s="235"/>
      <c r="T485" s="235"/>
      <c r="U485" s="235"/>
      <c r="V485" s="235"/>
      <c r="W485" s="235"/>
      <c r="X485" s="235"/>
      <c r="Y485" s="235"/>
      <c r="Z485" s="235"/>
      <c r="AA485" s="235"/>
      <c r="AB485" s="235"/>
      <c r="AC485" s="235"/>
      <c r="AD485" s="235"/>
      <c r="AE485" s="236"/>
      <c r="AF485" s="235"/>
      <c r="AG485" s="235"/>
      <c r="AH485" s="235"/>
      <c r="AI485" s="235"/>
      <c r="AJ485" s="236"/>
      <c r="AK485" s="235"/>
      <c r="AL485" s="235"/>
      <c r="AM485" s="235"/>
      <c r="AN485" s="235"/>
      <c r="AO485" s="235"/>
      <c r="AP485" s="235"/>
      <c r="AQ485" s="235"/>
      <c r="AR485" s="235"/>
      <c r="AS485" s="235"/>
      <c r="AT485" s="235"/>
      <c r="AU485" s="236"/>
      <c r="AV485" s="235"/>
      <c r="AW485" s="235"/>
      <c r="AX485" s="235"/>
      <c r="AY485" s="235"/>
      <c r="AZ485" s="235"/>
      <c r="BA485" s="235"/>
      <c r="BB485" s="235"/>
      <c r="BC485" s="235"/>
      <c r="BD485" s="236"/>
      <c r="BE485" s="235"/>
      <c r="BF485" s="235"/>
      <c r="BG485" s="235"/>
      <c r="BH485" s="235"/>
      <c r="BI485" s="236"/>
      <c r="BJ485" s="236"/>
      <c r="BK485" s="238"/>
      <c r="BL485" s="239"/>
      <c r="BM485" s="239"/>
      <c r="BN485" s="239"/>
      <c r="BP485" s="236"/>
      <c r="BQ485" s="236"/>
      <c r="BR485" s="236"/>
      <c r="BS485" s="236"/>
      <c r="BT485" s="236"/>
      <c r="BU485" s="236"/>
      <c r="BV485" s="236"/>
      <c r="BW485" s="236"/>
      <c r="BX485" s="236"/>
      <c r="BY485" s="236"/>
      <c r="BZ485" s="236"/>
      <c r="CA485" s="236"/>
      <c r="CB485" s="236"/>
      <c r="CC485" s="236"/>
      <c r="CD485" s="236"/>
      <c r="CE485" s="236"/>
      <c r="CF485" s="236"/>
      <c r="CG485" s="236"/>
      <c r="CH485" s="236"/>
      <c r="CI485" s="236"/>
      <c r="CJ485" s="236"/>
      <c r="CK485" s="236"/>
      <c r="CL485" s="236"/>
      <c r="CM485" s="236"/>
      <c r="CN485" s="236"/>
      <c r="CO485" s="236"/>
    </row>
    <row r="486" spans="5:93" s="230" customFormat="1">
      <c r="E486" s="234"/>
      <c r="F486" s="235"/>
      <c r="G486" s="235"/>
      <c r="H486" s="236"/>
      <c r="I486" s="235"/>
      <c r="J486" s="235"/>
      <c r="K486" s="235"/>
      <c r="L486" s="235"/>
      <c r="M486" s="236"/>
      <c r="N486" s="235"/>
      <c r="O486" s="235"/>
      <c r="P486" s="235"/>
      <c r="Q486" s="235"/>
      <c r="R486" s="235"/>
      <c r="S486" s="235"/>
      <c r="T486" s="235"/>
      <c r="U486" s="235"/>
      <c r="V486" s="235"/>
      <c r="W486" s="235"/>
      <c r="X486" s="235"/>
      <c r="Y486" s="235"/>
      <c r="Z486" s="235"/>
      <c r="AA486" s="235"/>
      <c r="AB486" s="235"/>
      <c r="AC486" s="235"/>
      <c r="AD486" s="235"/>
      <c r="AE486" s="236"/>
      <c r="AF486" s="235"/>
      <c r="AG486" s="235"/>
      <c r="AH486" s="235"/>
      <c r="AI486" s="235"/>
      <c r="AJ486" s="236"/>
      <c r="AK486" s="235"/>
      <c r="AL486" s="235"/>
      <c r="AM486" s="235"/>
      <c r="AN486" s="235"/>
      <c r="AO486" s="235"/>
      <c r="AP486" s="235"/>
      <c r="AQ486" s="235"/>
      <c r="AR486" s="235"/>
      <c r="AS486" s="235"/>
      <c r="AT486" s="235"/>
      <c r="AU486" s="236"/>
      <c r="AV486" s="235"/>
      <c r="AW486" s="235"/>
      <c r="AX486" s="235"/>
      <c r="AY486" s="235"/>
      <c r="AZ486" s="235"/>
      <c r="BA486" s="235"/>
      <c r="BB486" s="235"/>
      <c r="BC486" s="235"/>
      <c r="BD486" s="236"/>
      <c r="BE486" s="235"/>
      <c r="BF486" s="235"/>
      <c r="BG486" s="235"/>
      <c r="BH486" s="235"/>
      <c r="BI486" s="236"/>
      <c r="BJ486" s="236"/>
      <c r="BK486" s="238"/>
      <c r="BL486" s="239"/>
      <c r="BM486" s="239"/>
      <c r="BN486" s="239"/>
      <c r="BP486" s="236"/>
      <c r="BQ486" s="236"/>
      <c r="BR486" s="236"/>
      <c r="BS486" s="236"/>
      <c r="BT486" s="236"/>
      <c r="BU486" s="236"/>
      <c r="BV486" s="236"/>
      <c r="BW486" s="236"/>
      <c r="BX486" s="236"/>
      <c r="BY486" s="236"/>
      <c r="BZ486" s="236"/>
      <c r="CA486" s="236"/>
      <c r="CB486" s="236"/>
      <c r="CC486" s="236"/>
      <c r="CD486" s="236"/>
      <c r="CE486" s="236"/>
      <c r="CF486" s="236"/>
      <c r="CG486" s="236"/>
      <c r="CH486" s="236"/>
      <c r="CI486" s="236"/>
      <c r="CJ486" s="236"/>
      <c r="CK486" s="236"/>
      <c r="CL486" s="236"/>
      <c r="CM486" s="236"/>
      <c r="CN486" s="236"/>
      <c r="CO486" s="236"/>
    </row>
    <row r="487" spans="5:93" s="230" customFormat="1">
      <c r="E487" s="234"/>
      <c r="F487" s="235"/>
      <c r="G487" s="235"/>
      <c r="H487" s="236"/>
      <c r="I487" s="235"/>
      <c r="J487" s="235"/>
      <c r="K487" s="235"/>
      <c r="L487" s="235"/>
      <c r="M487" s="236"/>
      <c r="N487" s="235"/>
      <c r="O487" s="235"/>
      <c r="P487" s="235"/>
      <c r="Q487" s="235"/>
      <c r="R487" s="235"/>
      <c r="S487" s="235"/>
      <c r="T487" s="235"/>
      <c r="U487" s="235"/>
      <c r="V487" s="235"/>
      <c r="W487" s="235"/>
      <c r="X487" s="235"/>
      <c r="Y487" s="235"/>
      <c r="Z487" s="235"/>
      <c r="AA487" s="235"/>
      <c r="AB487" s="235"/>
      <c r="AC487" s="235"/>
      <c r="AD487" s="235"/>
      <c r="AE487" s="236"/>
      <c r="AF487" s="235"/>
      <c r="AG487" s="235"/>
      <c r="AH487" s="235"/>
      <c r="AI487" s="235"/>
      <c r="AJ487" s="236"/>
      <c r="AK487" s="235"/>
      <c r="AL487" s="235"/>
      <c r="AM487" s="235"/>
      <c r="AN487" s="235"/>
      <c r="AO487" s="235"/>
      <c r="AP487" s="235"/>
      <c r="AQ487" s="235"/>
      <c r="AR487" s="235"/>
      <c r="AS487" s="235"/>
      <c r="AT487" s="235"/>
      <c r="AU487" s="236"/>
      <c r="AV487" s="235"/>
      <c r="AW487" s="235"/>
      <c r="AX487" s="235"/>
      <c r="AY487" s="235"/>
      <c r="AZ487" s="235"/>
      <c r="BA487" s="235"/>
      <c r="BB487" s="235"/>
      <c r="BC487" s="235"/>
      <c r="BD487" s="236"/>
      <c r="BE487" s="235"/>
      <c r="BF487" s="235"/>
      <c r="BG487" s="235"/>
      <c r="BH487" s="235"/>
      <c r="BI487" s="236"/>
      <c r="BJ487" s="236"/>
      <c r="BK487" s="238"/>
      <c r="BL487" s="239"/>
      <c r="BM487" s="239"/>
      <c r="BN487" s="239"/>
      <c r="BP487" s="236"/>
      <c r="BQ487" s="236"/>
      <c r="BR487" s="236"/>
      <c r="BS487" s="236"/>
      <c r="BT487" s="236"/>
      <c r="BU487" s="236"/>
      <c r="BV487" s="236"/>
      <c r="BW487" s="236"/>
      <c r="BX487" s="236"/>
      <c r="BY487" s="236"/>
      <c r="BZ487" s="236"/>
      <c r="CA487" s="236"/>
      <c r="CB487" s="236"/>
      <c r="CC487" s="236"/>
      <c r="CD487" s="236"/>
      <c r="CE487" s="236"/>
      <c r="CF487" s="236"/>
      <c r="CG487" s="236"/>
      <c r="CH487" s="236"/>
      <c r="CI487" s="236"/>
      <c r="CJ487" s="236"/>
      <c r="CK487" s="236"/>
      <c r="CL487" s="236"/>
      <c r="CM487" s="236"/>
      <c r="CN487" s="236"/>
      <c r="CO487" s="236"/>
    </row>
    <row r="488" spans="5:93" s="230" customFormat="1">
      <c r="E488" s="234"/>
      <c r="F488" s="235"/>
      <c r="G488" s="235"/>
      <c r="H488" s="236"/>
      <c r="I488" s="235"/>
      <c r="J488" s="235"/>
      <c r="K488" s="235"/>
      <c r="L488" s="235"/>
      <c r="M488" s="236"/>
      <c r="N488" s="235"/>
      <c r="O488" s="235"/>
      <c r="P488" s="235"/>
      <c r="Q488" s="235"/>
      <c r="R488" s="235"/>
      <c r="S488" s="235"/>
      <c r="T488" s="235"/>
      <c r="U488" s="235"/>
      <c r="V488" s="235"/>
      <c r="W488" s="235"/>
      <c r="X488" s="235"/>
      <c r="Y488" s="235"/>
      <c r="Z488" s="235"/>
      <c r="AA488" s="235"/>
      <c r="AB488" s="235"/>
      <c r="AC488" s="235"/>
      <c r="AD488" s="235"/>
      <c r="AE488" s="236"/>
      <c r="AF488" s="235"/>
      <c r="AG488" s="235"/>
      <c r="AH488" s="235"/>
      <c r="AI488" s="235"/>
      <c r="AJ488" s="236"/>
      <c r="AK488" s="235"/>
      <c r="AL488" s="235"/>
      <c r="AM488" s="235"/>
      <c r="AN488" s="235"/>
      <c r="AO488" s="235"/>
      <c r="AP488" s="235"/>
      <c r="AQ488" s="235"/>
      <c r="AR488" s="235"/>
      <c r="AS488" s="235"/>
      <c r="AT488" s="235"/>
      <c r="AU488" s="236"/>
      <c r="AV488" s="235"/>
      <c r="AW488" s="235"/>
      <c r="AX488" s="235"/>
      <c r="AY488" s="235"/>
      <c r="AZ488" s="235"/>
      <c r="BA488" s="235"/>
      <c r="BB488" s="235"/>
      <c r="BC488" s="235"/>
      <c r="BD488" s="236"/>
      <c r="BE488" s="235"/>
      <c r="BF488" s="235"/>
      <c r="BG488" s="235"/>
      <c r="BH488" s="235"/>
      <c r="BI488" s="236"/>
      <c r="BJ488" s="236"/>
      <c r="BK488" s="238"/>
      <c r="BL488" s="239"/>
      <c r="BM488" s="239"/>
      <c r="BN488" s="239"/>
      <c r="BP488" s="236"/>
      <c r="BQ488" s="236"/>
      <c r="BR488" s="236"/>
      <c r="BS488" s="236"/>
      <c r="BT488" s="236"/>
      <c r="BU488" s="236"/>
      <c r="BV488" s="236"/>
      <c r="BW488" s="236"/>
      <c r="BX488" s="236"/>
      <c r="BY488" s="236"/>
      <c r="BZ488" s="236"/>
      <c r="CA488" s="236"/>
      <c r="CB488" s="236"/>
      <c r="CC488" s="236"/>
      <c r="CD488" s="236"/>
      <c r="CE488" s="236"/>
      <c r="CF488" s="236"/>
      <c r="CG488" s="236"/>
      <c r="CH488" s="236"/>
      <c r="CI488" s="236"/>
      <c r="CJ488" s="236"/>
      <c r="CK488" s="236"/>
      <c r="CL488" s="236"/>
      <c r="CM488" s="236"/>
      <c r="CN488" s="236"/>
      <c r="CO488" s="236"/>
    </row>
    <row r="489" spans="5:93" s="230" customFormat="1">
      <c r="E489" s="234"/>
      <c r="F489" s="235"/>
      <c r="G489" s="235"/>
      <c r="H489" s="236"/>
      <c r="I489" s="235"/>
      <c r="J489" s="235"/>
      <c r="K489" s="235"/>
      <c r="L489" s="235"/>
      <c r="M489" s="236"/>
      <c r="N489" s="235"/>
      <c r="O489" s="235"/>
      <c r="P489" s="235"/>
      <c r="Q489" s="235"/>
      <c r="R489" s="235"/>
      <c r="S489" s="235"/>
      <c r="T489" s="235"/>
      <c r="U489" s="235"/>
      <c r="V489" s="235"/>
      <c r="W489" s="235"/>
      <c r="X489" s="235"/>
      <c r="Y489" s="235"/>
      <c r="Z489" s="235"/>
      <c r="AA489" s="235"/>
      <c r="AB489" s="235"/>
      <c r="AC489" s="235"/>
      <c r="AD489" s="235"/>
      <c r="AE489" s="236"/>
      <c r="AF489" s="235"/>
      <c r="AG489" s="235"/>
      <c r="AH489" s="235"/>
      <c r="AI489" s="235"/>
      <c r="AJ489" s="236"/>
      <c r="AK489" s="235"/>
      <c r="AL489" s="235"/>
      <c r="AM489" s="235"/>
      <c r="AN489" s="235"/>
      <c r="AO489" s="235"/>
      <c r="AP489" s="235"/>
      <c r="AQ489" s="235"/>
      <c r="AR489" s="235"/>
      <c r="AS489" s="235"/>
      <c r="AT489" s="235"/>
      <c r="AU489" s="236"/>
      <c r="AV489" s="235"/>
      <c r="AW489" s="235"/>
      <c r="AX489" s="235"/>
      <c r="AY489" s="235"/>
      <c r="AZ489" s="235"/>
      <c r="BA489" s="235"/>
      <c r="BB489" s="235"/>
      <c r="BC489" s="235"/>
      <c r="BD489" s="236"/>
      <c r="BE489" s="235"/>
      <c r="BF489" s="235"/>
      <c r="BG489" s="235"/>
      <c r="BH489" s="235"/>
      <c r="BI489" s="236"/>
      <c r="BJ489" s="236"/>
      <c r="BK489" s="238"/>
      <c r="BL489" s="239"/>
      <c r="BM489" s="239"/>
      <c r="BN489" s="239"/>
      <c r="BP489" s="236"/>
      <c r="BQ489" s="236"/>
      <c r="BR489" s="236"/>
      <c r="BS489" s="236"/>
      <c r="BT489" s="236"/>
      <c r="BU489" s="236"/>
      <c r="BV489" s="236"/>
      <c r="BW489" s="236"/>
      <c r="BX489" s="236"/>
      <c r="BY489" s="236"/>
      <c r="BZ489" s="236"/>
      <c r="CA489" s="236"/>
      <c r="CB489" s="236"/>
      <c r="CC489" s="236"/>
      <c r="CD489" s="236"/>
      <c r="CE489" s="236"/>
      <c r="CF489" s="236"/>
      <c r="CG489" s="236"/>
      <c r="CH489" s="236"/>
      <c r="CI489" s="236"/>
      <c r="CJ489" s="236"/>
      <c r="CK489" s="236"/>
      <c r="CL489" s="236"/>
      <c r="CM489" s="236"/>
      <c r="CN489" s="236"/>
      <c r="CO489" s="236"/>
    </row>
    <row r="490" spans="5:93" s="230" customFormat="1">
      <c r="E490" s="234"/>
      <c r="F490" s="235"/>
      <c r="G490" s="235"/>
      <c r="H490" s="236"/>
      <c r="I490" s="235"/>
      <c r="J490" s="235"/>
      <c r="K490" s="235"/>
      <c r="L490" s="235"/>
      <c r="M490" s="236"/>
      <c r="N490" s="235"/>
      <c r="O490" s="235"/>
      <c r="P490" s="235"/>
      <c r="Q490" s="235"/>
      <c r="R490" s="235"/>
      <c r="S490" s="235"/>
      <c r="T490" s="235"/>
      <c r="U490" s="235"/>
      <c r="V490" s="235"/>
      <c r="W490" s="235"/>
      <c r="X490" s="235"/>
      <c r="Y490" s="235"/>
      <c r="Z490" s="235"/>
      <c r="AA490" s="235"/>
      <c r="AB490" s="235"/>
      <c r="AC490" s="235"/>
      <c r="AD490" s="235"/>
      <c r="AE490" s="236"/>
      <c r="AF490" s="235"/>
      <c r="AG490" s="235"/>
      <c r="AH490" s="235"/>
      <c r="AI490" s="235"/>
      <c r="AJ490" s="236"/>
      <c r="AK490" s="235"/>
      <c r="AL490" s="235"/>
      <c r="AM490" s="235"/>
      <c r="AN490" s="235"/>
      <c r="AO490" s="235"/>
      <c r="AP490" s="235"/>
      <c r="AQ490" s="235"/>
      <c r="AR490" s="235"/>
      <c r="AS490" s="235"/>
      <c r="AT490" s="235"/>
      <c r="AU490" s="236"/>
      <c r="AV490" s="235"/>
      <c r="AW490" s="235"/>
      <c r="AX490" s="235"/>
      <c r="AY490" s="235"/>
      <c r="AZ490" s="235"/>
      <c r="BA490" s="235"/>
      <c r="BB490" s="235"/>
      <c r="BC490" s="235"/>
      <c r="BD490" s="236"/>
      <c r="BE490" s="235"/>
      <c r="BF490" s="235"/>
      <c r="BG490" s="235"/>
      <c r="BH490" s="235"/>
      <c r="BI490" s="236"/>
      <c r="BJ490" s="236"/>
      <c r="BK490" s="238"/>
      <c r="BL490" s="239"/>
      <c r="BM490" s="239"/>
      <c r="BN490" s="239"/>
      <c r="BP490" s="236"/>
      <c r="BQ490" s="236"/>
      <c r="BR490" s="236"/>
      <c r="BS490" s="236"/>
      <c r="BT490" s="236"/>
      <c r="BU490" s="236"/>
      <c r="BV490" s="236"/>
      <c r="BW490" s="236"/>
      <c r="BX490" s="236"/>
      <c r="BY490" s="236"/>
      <c r="BZ490" s="236"/>
      <c r="CA490" s="236"/>
      <c r="CB490" s="236"/>
      <c r="CC490" s="236"/>
      <c r="CD490" s="236"/>
      <c r="CE490" s="236"/>
      <c r="CF490" s="236"/>
      <c r="CG490" s="236"/>
      <c r="CH490" s="236"/>
      <c r="CI490" s="236"/>
      <c r="CJ490" s="236"/>
      <c r="CK490" s="236"/>
      <c r="CL490" s="236"/>
      <c r="CM490" s="236"/>
      <c r="CN490" s="236"/>
      <c r="CO490" s="236"/>
    </row>
    <row r="491" spans="5:93" s="230" customFormat="1">
      <c r="E491" s="234"/>
      <c r="F491" s="235"/>
      <c r="G491" s="235"/>
      <c r="H491" s="236"/>
      <c r="I491" s="235"/>
      <c r="J491" s="235"/>
      <c r="K491" s="235"/>
      <c r="L491" s="235"/>
      <c r="M491" s="236"/>
      <c r="N491" s="235"/>
      <c r="O491" s="235"/>
      <c r="P491" s="235"/>
      <c r="Q491" s="235"/>
      <c r="R491" s="235"/>
      <c r="S491" s="235"/>
      <c r="T491" s="235"/>
      <c r="U491" s="235"/>
      <c r="V491" s="235"/>
      <c r="W491" s="235"/>
      <c r="X491" s="235"/>
      <c r="Y491" s="235"/>
      <c r="Z491" s="235"/>
      <c r="AA491" s="235"/>
      <c r="AB491" s="235"/>
      <c r="AC491" s="235"/>
      <c r="AD491" s="235"/>
      <c r="AE491" s="236"/>
      <c r="AF491" s="235"/>
      <c r="AG491" s="235"/>
      <c r="AH491" s="235"/>
      <c r="AI491" s="235"/>
      <c r="AJ491" s="236"/>
      <c r="AK491" s="235"/>
      <c r="AL491" s="235"/>
      <c r="AM491" s="235"/>
      <c r="AN491" s="235"/>
      <c r="AO491" s="235"/>
      <c r="AP491" s="235"/>
      <c r="AQ491" s="235"/>
      <c r="AR491" s="235"/>
      <c r="AS491" s="235"/>
      <c r="AT491" s="235"/>
      <c r="AU491" s="236"/>
      <c r="AV491" s="235"/>
      <c r="AW491" s="235"/>
      <c r="AX491" s="235"/>
      <c r="AY491" s="235"/>
      <c r="AZ491" s="235"/>
      <c r="BA491" s="235"/>
      <c r="BB491" s="235"/>
      <c r="BC491" s="235"/>
      <c r="BD491" s="236"/>
      <c r="BE491" s="235"/>
      <c r="BF491" s="235"/>
      <c r="BG491" s="235"/>
      <c r="BH491" s="235"/>
      <c r="BI491" s="236"/>
      <c r="BJ491" s="236"/>
      <c r="BK491" s="238"/>
      <c r="BL491" s="239"/>
      <c r="BM491" s="239"/>
      <c r="BN491" s="239"/>
      <c r="BP491" s="236"/>
      <c r="BQ491" s="236"/>
      <c r="BR491" s="236"/>
      <c r="BS491" s="236"/>
      <c r="BT491" s="236"/>
      <c r="BU491" s="236"/>
      <c r="BV491" s="236"/>
      <c r="BW491" s="236"/>
      <c r="BX491" s="236"/>
      <c r="BY491" s="236"/>
      <c r="BZ491" s="236"/>
      <c r="CA491" s="236"/>
      <c r="CB491" s="236"/>
      <c r="CC491" s="236"/>
      <c r="CD491" s="236"/>
      <c r="CE491" s="236"/>
      <c r="CF491" s="236"/>
      <c r="CG491" s="236"/>
      <c r="CH491" s="236"/>
      <c r="CI491" s="236"/>
      <c r="CJ491" s="236"/>
      <c r="CK491" s="236"/>
      <c r="CL491" s="236"/>
      <c r="CM491" s="236"/>
      <c r="CN491" s="236"/>
      <c r="CO491" s="236"/>
    </row>
    <row r="492" spans="5:93" s="230" customFormat="1">
      <c r="E492" s="234"/>
      <c r="F492" s="235"/>
      <c r="G492" s="235"/>
      <c r="H492" s="236"/>
      <c r="I492" s="235"/>
      <c r="J492" s="235"/>
      <c r="K492" s="235"/>
      <c r="L492" s="235"/>
      <c r="M492" s="236"/>
      <c r="N492" s="235"/>
      <c r="O492" s="235"/>
      <c r="P492" s="235"/>
      <c r="Q492" s="235"/>
      <c r="R492" s="235"/>
      <c r="S492" s="235"/>
      <c r="T492" s="235"/>
      <c r="U492" s="235"/>
      <c r="V492" s="235"/>
      <c r="W492" s="235"/>
      <c r="X492" s="235"/>
      <c r="Y492" s="235"/>
      <c r="Z492" s="235"/>
      <c r="AA492" s="235"/>
      <c r="AB492" s="235"/>
      <c r="AC492" s="235"/>
      <c r="AD492" s="235"/>
      <c r="AE492" s="236"/>
      <c r="AF492" s="235"/>
      <c r="AG492" s="235"/>
      <c r="AH492" s="235"/>
      <c r="AI492" s="235"/>
      <c r="AJ492" s="236"/>
      <c r="AK492" s="235"/>
      <c r="AL492" s="235"/>
      <c r="AM492" s="235"/>
      <c r="AN492" s="235"/>
      <c r="AO492" s="235"/>
      <c r="AP492" s="235"/>
      <c r="AQ492" s="235"/>
      <c r="AR492" s="235"/>
      <c r="AS492" s="235"/>
      <c r="AT492" s="235"/>
      <c r="AU492" s="236"/>
      <c r="AV492" s="235"/>
      <c r="AW492" s="235"/>
      <c r="AX492" s="235"/>
      <c r="AY492" s="235"/>
      <c r="AZ492" s="235"/>
      <c r="BA492" s="235"/>
      <c r="BB492" s="235"/>
      <c r="BC492" s="235"/>
      <c r="BD492" s="236"/>
      <c r="BE492" s="235"/>
      <c r="BF492" s="235"/>
      <c r="BG492" s="235"/>
      <c r="BH492" s="235"/>
      <c r="BI492" s="236"/>
      <c r="BJ492" s="236"/>
      <c r="BK492" s="238"/>
      <c r="BL492" s="239"/>
      <c r="BM492" s="239"/>
      <c r="BN492" s="239"/>
      <c r="BP492" s="236"/>
      <c r="BQ492" s="236"/>
      <c r="BR492" s="236"/>
      <c r="BS492" s="236"/>
      <c r="BT492" s="236"/>
      <c r="BU492" s="236"/>
      <c r="BV492" s="236"/>
      <c r="BW492" s="236"/>
      <c r="BX492" s="236"/>
      <c r="BY492" s="236"/>
      <c r="BZ492" s="236"/>
      <c r="CA492" s="236"/>
      <c r="CB492" s="236"/>
      <c r="CC492" s="236"/>
      <c r="CD492" s="236"/>
      <c r="CE492" s="236"/>
      <c r="CF492" s="236"/>
      <c r="CG492" s="236"/>
      <c r="CH492" s="236"/>
      <c r="CI492" s="236"/>
      <c r="CJ492" s="236"/>
      <c r="CK492" s="236"/>
      <c r="CL492" s="236"/>
      <c r="CM492" s="236"/>
      <c r="CN492" s="236"/>
      <c r="CO492" s="236"/>
    </row>
    <row r="493" spans="5:93" s="230" customFormat="1">
      <c r="E493" s="234"/>
      <c r="F493" s="235"/>
      <c r="G493" s="235"/>
      <c r="H493" s="236"/>
      <c r="I493" s="235"/>
      <c r="J493" s="235"/>
      <c r="K493" s="235"/>
      <c r="L493" s="235"/>
      <c r="M493" s="236"/>
      <c r="N493" s="235"/>
      <c r="O493" s="235"/>
      <c r="P493" s="235"/>
      <c r="Q493" s="235"/>
      <c r="R493" s="235"/>
      <c r="S493" s="235"/>
      <c r="T493" s="235"/>
      <c r="U493" s="235"/>
      <c r="V493" s="235"/>
      <c r="W493" s="235"/>
      <c r="X493" s="235"/>
      <c r="Y493" s="235"/>
      <c r="Z493" s="235"/>
      <c r="AA493" s="235"/>
      <c r="AB493" s="235"/>
      <c r="AC493" s="235"/>
      <c r="AD493" s="235"/>
      <c r="AE493" s="236"/>
      <c r="AF493" s="235"/>
      <c r="AG493" s="235"/>
      <c r="AH493" s="235"/>
      <c r="AI493" s="235"/>
      <c r="AJ493" s="236"/>
      <c r="AK493" s="235"/>
      <c r="AL493" s="235"/>
      <c r="AM493" s="235"/>
      <c r="AN493" s="235"/>
      <c r="AO493" s="235"/>
      <c r="AP493" s="235"/>
      <c r="AQ493" s="235"/>
      <c r="AR493" s="235"/>
      <c r="AS493" s="235"/>
      <c r="AT493" s="235"/>
      <c r="AU493" s="236"/>
      <c r="AV493" s="235"/>
      <c r="AW493" s="235"/>
      <c r="AX493" s="235"/>
      <c r="AY493" s="235"/>
      <c r="AZ493" s="235"/>
      <c r="BA493" s="235"/>
      <c r="BB493" s="235"/>
      <c r="BC493" s="235"/>
      <c r="BD493" s="236"/>
      <c r="BE493" s="235"/>
      <c r="BF493" s="235"/>
      <c r="BG493" s="235"/>
      <c r="BH493" s="235"/>
      <c r="BI493" s="236"/>
      <c r="BJ493" s="236"/>
      <c r="BK493" s="238"/>
      <c r="BL493" s="239"/>
      <c r="BM493" s="239"/>
      <c r="BN493" s="239"/>
      <c r="BP493" s="236"/>
      <c r="BQ493" s="236"/>
      <c r="BR493" s="236"/>
      <c r="BS493" s="236"/>
      <c r="BT493" s="236"/>
      <c r="BU493" s="236"/>
      <c r="BV493" s="236"/>
      <c r="BW493" s="236"/>
      <c r="BX493" s="236"/>
      <c r="BY493" s="236"/>
      <c r="BZ493" s="236"/>
      <c r="CA493" s="236"/>
      <c r="CB493" s="236"/>
      <c r="CC493" s="236"/>
      <c r="CD493" s="236"/>
      <c r="CE493" s="236"/>
      <c r="CF493" s="236"/>
      <c r="CG493" s="236"/>
      <c r="CH493" s="236"/>
      <c r="CI493" s="236"/>
      <c r="CJ493" s="236"/>
      <c r="CK493" s="236"/>
      <c r="CL493" s="236"/>
      <c r="CM493" s="236"/>
      <c r="CN493" s="236"/>
      <c r="CO493" s="236"/>
    </row>
    <row r="494" spans="5:93" s="230" customFormat="1">
      <c r="E494" s="234"/>
      <c r="F494" s="235"/>
      <c r="G494" s="235"/>
      <c r="H494" s="236"/>
      <c r="I494" s="235"/>
      <c r="J494" s="235"/>
      <c r="K494" s="235"/>
      <c r="L494" s="235"/>
      <c r="M494" s="236"/>
      <c r="N494" s="235"/>
      <c r="O494" s="235"/>
      <c r="P494" s="235"/>
      <c r="Q494" s="235"/>
      <c r="R494" s="235"/>
      <c r="S494" s="235"/>
      <c r="T494" s="235"/>
      <c r="U494" s="235"/>
      <c r="V494" s="235"/>
      <c r="W494" s="235"/>
      <c r="X494" s="235"/>
      <c r="Y494" s="235"/>
      <c r="Z494" s="235"/>
      <c r="AA494" s="235"/>
      <c r="AB494" s="235"/>
      <c r="AC494" s="235"/>
      <c r="AD494" s="235"/>
      <c r="AE494" s="236"/>
      <c r="AF494" s="235"/>
      <c r="AG494" s="235"/>
      <c r="AH494" s="235"/>
      <c r="AI494" s="235"/>
      <c r="AJ494" s="236"/>
      <c r="AK494" s="235"/>
      <c r="AL494" s="235"/>
      <c r="AM494" s="235"/>
      <c r="AN494" s="235"/>
      <c r="AO494" s="235"/>
      <c r="AP494" s="235"/>
      <c r="AQ494" s="235"/>
      <c r="AR494" s="235"/>
      <c r="AS494" s="235"/>
      <c r="AT494" s="235"/>
      <c r="AU494" s="236"/>
      <c r="AV494" s="235"/>
      <c r="AW494" s="235"/>
      <c r="AX494" s="235"/>
      <c r="AY494" s="235"/>
      <c r="AZ494" s="235"/>
      <c r="BA494" s="235"/>
      <c r="BB494" s="235"/>
      <c r="BC494" s="235"/>
      <c r="BD494" s="236"/>
      <c r="BE494" s="235"/>
      <c r="BF494" s="235"/>
      <c r="BG494" s="235"/>
      <c r="BH494" s="235"/>
      <c r="BI494" s="236"/>
      <c r="BJ494" s="236"/>
      <c r="BK494" s="238"/>
      <c r="BL494" s="239"/>
      <c r="BM494" s="239"/>
      <c r="BN494" s="239"/>
      <c r="BP494" s="236"/>
      <c r="BQ494" s="236"/>
      <c r="BR494" s="236"/>
      <c r="BS494" s="236"/>
      <c r="BT494" s="236"/>
      <c r="BU494" s="236"/>
      <c r="BV494" s="236"/>
      <c r="BW494" s="236"/>
      <c r="BX494" s="236"/>
      <c r="BY494" s="236"/>
      <c r="BZ494" s="236"/>
      <c r="CA494" s="236"/>
      <c r="CB494" s="236"/>
      <c r="CC494" s="236"/>
      <c r="CD494" s="236"/>
      <c r="CE494" s="236"/>
      <c r="CF494" s="236"/>
      <c r="CG494" s="236"/>
      <c r="CH494" s="236"/>
      <c r="CI494" s="236"/>
      <c r="CJ494" s="236"/>
      <c r="CK494" s="236"/>
      <c r="CL494" s="236"/>
      <c r="CM494" s="236"/>
      <c r="CN494" s="236"/>
      <c r="CO494" s="236"/>
    </row>
    <row r="495" spans="5:93" s="230" customFormat="1">
      <c r="E495" s="234"/>
      <c r="F495" s="235"/>
      <c r="G495" s="235"/>
      <c r="H495" s="236"/>
      <c r="I495" s="235"/>
      <c r="J495" s="235"/>
      <c r="K495" s="235"/>
      <c r="L495" s="235"/>
      <c r="M495" s="236"/>
      <c r="N495" s="235"/>
      <c r="O495" s="235"/>
      <c r="P495" s="235"/>
      <c r="Q495" s="235"/>
      <c r="R495" s="235"/>
      <c r="S495" s="235"/>
      <c r="T495" s="235"/>
      <c r="U495" s="235"/>
      <c r="V495" s="235"/>
      <c r="W495" s="235"/>
      <c r="X495" s="235"/>
      <c r="Y495" s="235"/>
      <c r="Z495" s="235"/>
      <c r="AA495" s="235"/>
      <c r="AB495" s="235"/>
      <c r="AC495" s="235"/>
      <c r="AD495" s="235"/>
      <c r="AE495" s="236"/>
      <c r="AF495" s="235"/>
      <c r="AG495" s="235"/>
      <c r="AH495" s="235"/>
      <c r="AI495" s="235"/>
      <c r="AJ495" s="236"/>
      <c r="AK495" s="235"/>
      <c r="AL495" s="235"/>
      <c r="AM495" s="235"/>
      <c r="AN495" s="235"/>
      <c r="AO495" s="235"/>
      <c r="AP495" s="235"/>
      <c r="AQ495" s="235"/>
      <c r="AR495" s="235"/>
      <c r="AS495" s="235"/>
      <c r="AT495" s="235"/>
      <c r="AU495" s="236"/>
      <c r="AV495" s="235"/>
      <c r="AW495" s="235"/>
      <c r="AX495" s="235"/>
      <c r="AY495" s="235"/>
      <c r="AZ495" s="235"/>
      <c r="BA495" s="235"/>
      <c r="BB495" s="235"/>
      <c r="BC495" s="235"/>
      <c r="BD495" s="236"/>
      <c r="BE495" s="235"/>
      <c r="BF495" s="235"/>
      <c r="BG495" s="235"/>
      <c r="BH495" s="235"/>
      <c r="BI495" s="236"/>
      <c r="BJ495" s="236"/>
      <c r="BK495" s="238"/>
      <c r="BL495" s="239"/>
      <c r="BM495" s="239"/>
      <c r="BN495" s="239"/>
      <c r="BP495" s="236"/>
      <c r="BQ495" s="236"/>
      <c r="BR495" s="236"/>
      <c r="BS495" s="236"/>
      <c r="BT495" s="236"/>
      <c r="BU495" s="236"/>
      <c r="BV495" s="236"/>
      <c r="BW495" s="236"/>
      <c r="BX495" s="236"/>
      <c r="BY495" s="236"/>
      <c r="BZ495" s="236"/>
      <c r="CA495" s="236"/>
      <c r="CB495" s="236"/>
      <c r="CC495" s="236"/>
      <c r="CD495" s="236"/>
      <c r="CE495" s="236"/>
      <c r="CF495" s="236"/>
      <c r="CG495" s="236"/>
      <c r="CH495" s="236"/>
      <c r="CI495" s="236"/>
      <c r="CJ495" s="236"/>
      <c r="CK495" s="236"/>
      <c r="CL495" s="236"/>
      <c r="CM495" s="236"/>
      <c r="CN495" s="236"/>
      <c r="CO495" s="236"/>
    </row>
    <row r="496" spans="5:93" s="230" customFormat="1">
      <c r="E496" s="234"/>
      <c r="F496" s="235"/>
      <c r="G496" s="235"/>
      <c r="H496" s="236"/>
      <c r="I496" s="235"/>
      <c r="J496" s="235"/>
      <c r="K496" s="235"/>
      <c r="L496" s="235"/>
      <c r="M496" s="236"/>
      <c r="N496" s="235"/>
      <c r="O496" s="235"/>
      <c r="P496" s="235"/>
      <c r="Q496" s="235"/>
      <c r="R496" s="235"/>
      <c r="S496" s="235"/>
      <c r="T496" s="235"/>
      <c r="U496" s="235"/>
      <c r="V496" s="235"/>
      <c r="W496" s="235"/>
      <c r="X496" s="235"/>
      <c r="Y496" s="235"/>
      <c r="Z496" s="235"/>
      <c r="AA496" s="235"/>
      <c r="AB496" s="235"/>
      <c r="AC496" s="235"/>
      <c r="AD496" s="235"/>
      <c r="AE496" s="236"/>
      <c r="AF496" s="235"/>
      <c r="AG496" s="235"/>
      <c r="AH496" s="235"/>
      <c r="AI496" s="235"/>
      <c r="AJ496" s="236"/>
      <c r="AK496" s="235"/>
      <c r="AL496" s="235"/>
      <c r="AM496" s="235"/>
      <c r="AN496" s="235"/>
      <c r="AO496" s="235"/>
      <c r="AP496" s="235"/>
      <c r="AQ496" s="235"/>
      <c r="AR496" s="235"/>
      <c r="AS496" s="235"/>
      <c r="AT496" s="235"/>
      <c r="AU496" s="236"/>
      <c r="AV496" s="235"/>
      <c r="AW496" s="235"/>
      <c r="AX496" s="235"/>
      <c r="AY496" s="235"/>
      <c r="AZ496" s="235"/>
      <c r="BA496" s="235"/>
      <c r="BB496" s="235"/>
      <c r="BC496" s="235"/>
      <c r="BD496" s="236"/>
      <c r="BE496" s="235"/>
      <c r="BF496" s="235"/>
      <c r="BG496" s="235"/>
      <c r="BH496" s="235"/>
      <c r="BI496" s="236"/>
      <c r="BJ496" s="236"/>
      <c r="BK496" s="238"/>
      <c r="BL496" s="239"/>
      <c r="BM496" s="239"/>
      <c r="BN496" s="239"/>
      <c r="BP496" s="236"/>
      <c r="BQ496" s="236"/>
      <c r="BR496" s="236"/>
      <c r="BS496" s="236"/>
      <c r="BT496" s="236"/>
      <c r="BU496" s="236"/>
      <c r="BV496" s="236"/>
      <c r="BW496" s="236"/>
      <c r="BX496" s="236"/>
      <c r="BY496" s="236"/>
      <c r="BZ496" s="236"/>
      <c r="CA496" s="236"/>
      <c r="CB496" s="236"/>
      <c r="CC496" s="236"/>
      <c r="CD496" s="236"/>
      <c r="CE496" s="236"/>
      <c r="CF496" s="236"/>
      <c r="CG496" s="236"/>
      <c r="CH496" s="236"/>
      <c r="CI496" s="236"/>
      <c r="CJ496" s="236"/>
      <c r="CK496" s="236"/>
      <c r="CL496" s="236"/>
      <c r="CM496" s="236"/>
      <c r="CN496" s="236"/>
      <c r="CO496" s="236"/>
    </row>
    <row r="497" spans="5:93" s="230" customFormat="1">
      <c r="E497" s="234"/>
      <c r="F497" s="235"/>
      <c r="G497" s="235"/>
      <c r="H497" s="236"/>
      <c r="I497" s="235"/>
      <c r="J497" s="235"/>
      <c r="K497" s="235"/>
      <c r="L497" s="235"/>
      <c r="M497" s="236"/>
      <c r="N497" s="235"/>
      <c r="O497" s="235"/>
      <c r="P497" s="235"/>
      <c r="Q497" s="235"/>
      <c r="R497" s="235"/>
      <c r="S497" s="235"/>
      <c r="T497" s="235"/>
      <c r="U497" s="235"/>
      <c r="V497" s="235"/>
      <c r="W497" s="235"/>
      <c r="X497" s="235"/>
      <c r="Y497" s="235"/>
      <c r="Z497" s="235"/>
      <c r="AA497" s="235"/>
      <c r="AB497" s="235"/>
      <c r="AC497" s="235"/>
      <c r="AD497" s="235"/>
      <c r="AE497" s="236"/>
      <c r="AF497" s="235"/>
      <c r="AG497" s="235"/>
      <c r="AH497" s="235"/>
      <c r="AI497" s="235"/>
      <c r="AJ497" s="236"/>
      <c r="AK497" s="235"/>
      <c r="AL497" s="235"/>
      <c r="AM497" s="235"/>
      <c r="AN497" s="235"/>
      <c r="AO497" s="235"/>
      <c r="AP497" s="235"/>
      <c r="AQ497" s="235"/>
      <c r="AR497" s="235"/>
      <c r="AS497" s="235"/>
      <c r="AT497" s="235"/>
      <c r="AU497" s="236"/>
      <c r="AV497" s="235"/>
      <c r="AW497" s="235"/>
      <c r="AX497" s="235"/>
      <c r="AY497" s="235"/>
      <c r="AZ497" s="235"/>
      <c r="BA497" s="235"/>
      <c r="BB497" s="235"/>
      <c r="BC497" s="235"/>
      <c r="BD497" s="236"/>
      <c r="BE497" s="235"/>
      <c r="BF497" s="235"/>
      <c r="BG497" s="235"/>
      <c r="BH497" s="235"/>
      <c r="BI497" s="236"/>
      <c r="BJ497" s="236"/>
      <c r="BK497" s="238"/>
      <c r="BL497" s="239"/>
      <c r="BM497" s="239"/>
      <c r="BN497" s="239"/>
      <c r="BP497" s="236"/>
      <c r="BQ497" s="236"/>
      <c r="BR497" s="236"/>
      <c r="BS497" s="236"/>
      <c r="BT497" s="236"/>
      <c r="BU497" s="236"/>
      <c r="BV497" s="236"/>
      <c r="BW497" s="236"/>
      <c r="BX497" s="236"/>
      <c r="BY497" s="236"/>
      <c r="BZ497" s="236"/>
      <c r="CA497" s="236"/>
      <c r="CB497" s="236"/>
      <c r="CC497" s="236"/>
      <c r="CD497" s="236"/>
      <c r="CE497" s="236"/>
      <c r="CF497" s="236"/>
      <c r="CG497" s="236"/>
      <c r="CH497" s="236"/>
      <c r="CI497" s="236"/>
      <c r="CJ497" s="236"/>
      <c r="CK497" s="236"/>
      <c r="CL497" s="236"/>
      <c r="CM497" s="236"/>
      <c r="CN497" s="236"/>
      <c r="CO497" s="236"/>
    </row>
    <row r="498" spans="5:93" s="230" customFormat="1">
      <c r="E498" s="234"/>
      <c r="F498" s="235"/>
      <c r="G498" s="235"/>
      <c r="H498" s="236"/>
      <c r="I498" s="235"/>
      <c r="J498" s="235"/>
      <c r="K498" s="235"/>
      <c r="L498" s="235"/>
      <c r="M498" s="236"/>
      <c r="N498" s="235"/>
      <c r="O498" s="235"/>
      <c r="P498" s="235"/>
      <c r="Q498" s="235"/>
      <c r="R498" s="235"/>
      <c r="S498" s="235"/>
      <c r="T498" s="235"/>
      <c r="U498" s="235"/>
      <c r="V498" s="235"/>
      <c r="W498" s="235"/>
      <c r="X498" s="235"/>
      <c r="Y498" s="235"/>
      <c r="Z498" s="235"/>
      <c r="AA498" s="235"/>
      <c r="AB498" s="235"/>
      <c r="AC498" s="235"/>
      <c r="AD498" s="235"/>
      <c r="AE498" s="236"/>
      <c r="AF498" s="235"/>
      <c r="AG498" s="235"/>
      <c r="AH498" s="235"/>
      <c r="AI498" s="235"/>
      <c r="AJ498" s="236"/>
      <c r="AK498" s="235"/>
      <c r="AL498" s="235"/>
      <c r="AM498" s="235"/>
      <c r="AN498" s="235"/>
      <c r="AO498" s="235"/>
      <c r="AP498" s="235"/>
      <c r="AQ498" s="235"/>
      <c r="AR498" s="235"/>
      <c r="AS498" s="235"/>
      <c r="AT498" s="235"/>
      <c r="AU498" s="236"/>
      <c r="AV498" s="235"/>
      <c r="AW498" s="235"/>
      <c r="AX498" s="235"/>
      <c r="AY498" s="235"/>
      <c r="AZ498" s="235"/>
      <c r="BA498" s="235"/>
      <c r="BB498" s="235"/>
      <c r="BC498" s="235"/>
      <c r="BD498" s="236"/>
      <c r="BE498" s="235"/>
      <c r="BF498" s="235"/>
      <c r="BG498" s="235"/>
      <c r="BH498" s="235"/>
      <c r="BI498" s="236"/>
      <c r="BJ498" s="236"/>
      <c r="BK498" s="238"/>
      <c r="BL498" s="239"/>
      <c r="BM498" s="239"/>
      <c r="BN498" s="239"/>
      <c r="BP498" s="236"/>
      <c r="BQ498" s="236"/>
      <c r="BR498" s="236"/>
      <c r="BS498" s="236"/>
      <c r="BT498" s="236"/>
      <c r="BU498" s="236"/>
      <c r="BV498" s="236"/>
      <c r="BW498" s="236"/>
      <c r="BX498" s="236"/>
      <c r="BY498" s="236"/>
      <c r="BZ498" s="236"/>
      <c r="CA498" s="236"/>
      <c r="CB498" s="236"/>
      <c r="CC498" s="236"/>
      <c r="CD498" s="236"/>
      <c r="CE498" s="236"/>
      <c r="CF498" s="236"/>
      <c r="CG498" s="236"/>
      <c r="CH498" s="236"/>
      <c r="CI498" s="236"/>
      <c r="CJ498" s="236"/>
      <c r="CK498" s="236"/>
      <c r="CL498" s="236"/>
      <c r="CM498" s="236"/>
      <c r="CN498" s="236"/>
      <c r="CO498" s="236"/>
    </row>
    <row r="499" spans="5:93" s="230" customFormat="1">
      <c r="E499" s="234"/>
      <c r="F499" s="235"/>
      <c r="G499" s="235"/>
      <c r="H499" s="236"/>
      <c r="I499" s="235"/>
      <c r="J499" s="235"/>
      <c r="K499" s="235"/>
      <c r="L499" s="235"/>
      <c r="M499" s="236"/>
      <c r="N499" s="235"/>
      <c r="O499" s="235"/>
      <c r="P499" s="235"/>
      <c r="Q499" s="235"/>
      <c r="R499" s="235"/>
      <c r="S499" s="235"/>
      <c r="T499" s="235"/>
      <c r="U499" s="235"/>
      <c r="V499" s="235"/>
      <c r="W499" s="235"/>
      <c r="X499" s="235"/>
      <c r="Y499" s="235"/>
      <c r="Z499" s="235"/>
      <c r="AA499" s="235"/>
      <c r="AB499" s="235"/>
      <c r="AC499" s="235"/>
      <c r="AD499" s="235"/>
      <c r="AE499" s="236"/>
      <c r="AF499" s="235"/>
      <c r="AG499" s="235"/>
      <c r="AH499" s="235"/>
      <c r="AI499" s="235"/>
      <c r="AJ499" s="236"/>
      <c r="AK499" s="235"/>
      <c r="AL499" s="235"/>
      <c r="AM499" s="235"/>
      <c r="AN499" s="235"/>
      <c r="AO499" s="235"/>
      <c r="AP499" s="235"/>
      <c r="AQ499" s="235"/>
      <c r="AR499" s="235"/>
      <c r="AS499" s="235"/>
      <c r="AT499" s="235"/>
      <c r="AU499" s="236"/>
      <c r="AV499" s="235"/>
      <c r="AW499" s="235"/>
      <c r="AX499" s="235"/>
      <c r="AY499" s="235"/>
      <c r="AZ499" s="235"/>
      <c r="BA499" s="235"/>
      <c r="BB499" s="235"/>
      <c r="BC499" s="235"/>
      <c r="BD499" s="236"/>
      <c r="BE499" s="235"/>
      <c r="BF499" s="235"/>
      <c r="BG499" s="235"/>
      <c r="BH499" s="235"/>
      <c r="BI499" s="236"/>
      <c r="BJ499" s="236"/>
      <c r="BK499" s="238"/>
      <c r="BL499" s="239"/>
      <c r="BM499" s="239"/>
      <c r="BN499" s="239"/>
      <c r="BP499" s="236"/>
      <c r="BQ499" s="236"/>
      <c r="BR499" s="236"/>
      <c r="BS499" s="236"/>
      <c r="BT499" s="236"/>
      <c r="BU499" s="236"/>
      <c r="BV499" s="236"/>
      <c r="BW499" s="236"/>
      <c r="BX499" s="236"/>
      <c r="BY499" s="236"/>
      <c r="BZ499" s="236"/>
      <c r="CA499" s="236"/>
      <c r="CB499" s="236"/>
      <c r="CC499" s="236"/>
      <c r="CD499" s="236"/>
      <c r="CE499" s="236"/>
      <c r="CF499" s="236"/>
      <c r="CG499" s="236"/>
      <c r="CH499" s="236"/>
      <c r="CI499" s="236"/>
      <c r="CJ499" s="236"/>
      <c r="CK499" s="236"/>
      <c r="CL499" s="236"/>
      <c r="CM499" s="236"/>
      <c r="CN499" s="236"/>
      <c r="CO499" s="236"/>
    </row>
    <row r="500" spans="5:93" s="230" customFormat="1">
      <c r="E500" s="234"/>
      <c r="F500" s="235"/>
      <c r="G500" s="235"/>
      <c r="H500" s="236"/>
      <c r="I500" s="235"/>
      <c r="J500" s="235"/>
      <c r="K500" s="235"/>
      <c r="L500" s="235"/>
      <c r="M500" s="236"/>
      <c r="N500" s="235"/>
      <c r="O500" s="235"/>
      <c r="P500" s="235"/>
      <c r="Q500" s="235"/>
      <c r="R500" s="235"/>
      <c r="S500" s="235"/>
      <c r="T500" s="235"/>
      <c r="U500" s="235"/>
      <c r="V500" s="235"/>
      <c r="W500" s="235"/>
      <c r="X500" s="235"/>
      <c r="Y500" s="235"/>
      <c r="Z500" s="235"/>
      <c r="AA500" s="235"/>
      <c r="AB500" s="235"/>
      <c r="AC500" s="235"/>
      <c r="AD500" s="235"/>
      <c r="AE500" s="236"/>
      <c r="AF500" s="235"/>
      <c r="AG500" s="235"/>
      <c r="AH500" s="235"/>
      <c r="AI500" s="235"/>
      <c r="AJ500" s="236"/>
      <c r="AK500" s="235"/>
      <c r="AL500" s="235"/>
      <c r="AM500" s="235"/>
      <c r="AN500" s="235"/>
      <c r="AO500" s="235"/>
      <c r="AP500" s="235"/>
      <c r="AQ500" s="235"/>
      <c r="AR500" s="235"/>
      <c r="AS500" s="235"/>
      <c r="AT500" s="235"/>
      <c r="AU500" s="236"/>
      <c r="AV500" s="235"/>
      <c r="AW500" s="235"/>
      <c r="AX500" s="235"/>
      <c r="AY500" s="235"/>
      <c r="AZ500" s="235"/>
      <c r="BA500" s="235"/>
      <c r="BB500" s="235"/>
      <c r="BC500" s="235"/>
      <c r="BD500" s="236"/>
      <c r="BE500" s="235"/>
      <c r="BF500" s="235"/>
      <c r="BG500" s="235"/>
      <c r="BH500" s="235"/>
      <c r="BI500" s="236"/>
      <c r="BJ500" s="236"/>
      <c r="BK500" s="238"/>
      <c r="BL500" s="239"/>
      <c r="BM500" s="239"/>
      <c r="BN500" s="239"/>
      <c r="BP500" s="236"/>
      <c r="BQ500" s="236"/>
      <c r="BR500" s="236"/>
      <c r="BS500" s="236"/>
      <c r="BT500" s="236"/>
      <c r="BU500" s="236"/>
      <c r="BV500" s="236"/>
      <c r="BW500" s="236"/>
      <c r="BX500" s="236"/>
      <c r="BY500" s="236"/>
      <c r="BZ500" s="236"/>
      <c r="CA500" s="236"/>
      <c r="CB500" s="236"/>
      <c r="CC500" s="236"/>
      <c r="CD500" s="236"/>
      <c r="CE500" s="236"/>
      <c r="CF500" s="236"/>
      <c r="CG500" s="236"/>
      <c r="CH500" s="236"/>
      <c r="CI500" s="236"/>
      <c r="CJ500" s="236"/>
      <c r="CK500" s="236"/>
      <c r="CL500" s="236"/>
      <c r="CM500" s="236"/>
      <c r="CN500" s="236"/>
      <c r="CO500" s="236"/>
    </row>
    <row r="501" spans="5:93" s="230" customFormat="1">
      <c r="E501" s="234"/>
      <c r="F501" s="235"/>
      <c r="G501" s="235"/>
      <c r="H501" s="236"/>
      <c r="I501" s="235"/>
      <c r="J501" s="235"/>
      <c r="K501" s="235"/>
      <c r="L501" s="235"/>
      <c r="M501" s="236"/>
      <c r="N501" s="235"/>
      <c r="O501" s="235"/>
      <c r="P501" s="235"/>
      <c r="Q501" s="235"/>
      <c r="R501" s="235"/>
      <c r="S501" s="235"/>
      <c r="T501" s="235"/>
      <c r="U501" s="235"/>
      <c r="V501" s="235"/>
      <c r="W501" s="235"/>
      <c r="X501" s="235"/>
      <c r="Y501" s="235"/>
      <c r="Z501" s="235"/>
      <c r="AA501" s="235"/>
      <c r="AB501" s="235"/>
      <c r="AC501" s="235"/>
      <c r="AD501" s="235"/>
      <c r="AE501" s="236"/>
      <c r="AF501" s="235"/>
      <c r="AG501" s="235"/>
      <c r="AH501" s="235"/>
      <c r="AI501" s="235"/>
      <c r="AJ501" s="236"/>
      <c r="AK501" s="235"/>
      <c r="AL501" s="235"/>
      <c r="AM501" s="235"/>
      <c r="AN501" s="235"/>
      <c r="AO501" s="235"/>
      <c r="AP501" s="235"/>
      <c r="AQ501" s="235"/>
      <c r="AR501" s="235"/>
      <c r="AS501" s="235"/>
      <c r="AT501" s="235"/>
      <c r="AU501" s="236"/>
      <c r="AV501" s="235"/>
      <c r="AW501" s="235"/>
      <c r="AX501" s="235"/>
      <c r="AY501" s="235"/>
      <c r="AZ501" s="235"/>
      <c r="BA501" s="235"/>
      <c r="BB501" s="235"/>
      <c r="BC501" s="235"/>
      <c r="BD501" s="236"/>
      <c r="BE501" s="235"/>
      <c r="BF501" s="235"/>
      <c r="BG501" s="235"/>
      <c r="BH501" s="235"/>
      <c r="BI501" s="236"/>
      <c r="BJ501" s="236"/>
      <c r="BK501" s="238"/>
      <c r="BL501" s="239"/>
      <c r="BM501" s="239"/>
      <c r="BN501" s="239"/>
      <c r="BP501" s="236"/>
      <c r="BQ501" s="236"/>
      <c r="BR501" s="236"/>
      <c r="BS501" s="236"/>
      <c r="BT501" s="236"/>
      <c r="BU501" s="236"/>
      <c r="BV501" s="236"/>
      <c r="BW501" s="236"/>
      <c r="BX501" s="236"/>
      <c r="BY501" s="236"/>
      <c r="BZ501" s="236"/>
      <c r="CA501" s="236"/>
      <c r="CB501" s="236"/>
      <c r="CC501" s="236"/>
      <c r="CD501" s="236"/>
      <c r="CE501" s="236"/>
      <c r="CF501" s="236"/>
      <c r="CG501" s="236"/>
      <c r="CH501" s="236"/>
      <c r="CI501" s="236"/>
      <c r="CJ501" s="236"/>
      <c r="CK501" s="236"/>
      <c r="CL501" s="236"/>
      <c r="CM501" s="236"/>
      <c r="CN501" s="236"/>
      <c r="CO501" s="236"/>
    </row>
    <row r="502" spans="5:93" s="230" customFormat="1">
      <c r="E502" s="234"/>
      <c r="F502" s="235"/>
      <c r="G502" s="235"/>
      <c r="H502" s="236"/>
      <c r="I502" s="235"/>
      <c r="J502" s="235"/>
      <c r="K502" s="235"/>
      <c r="L502" s="235"/>
      <c r="M502" s="236"/>
      <c r="N502" s="235"/>
      <c r="O502" s="235"/>
      <c r="P502" s="235"/>
      <c r="Q502" s="235"/>
      <c r="R502" s="235"/>
      <c r="S502" s="235"/>
      <c r="T502" s="235"/>
      <c r="U502" s="235"/>
      <c r="V502" s="235"/>
      <c r="W502" s="235"/>
      <c r="X502" s="235"/>
      <c r="Y502" s="235"/>
      <c r="Z502" s="235"/>
      <c r="AA502" s="235"/>
      <c r="AB502" s="235"/>
      <c r="AC502" s="235"/>
      <c r="AD502" s="235"/>
      <c r="AE502" s="236"/>
      <c r="AF502" s="235"/>
      <c r="AG502" s="235"/>
      <c r="AH502" s="235"/>
      <c r="AI502" s="235"/>
      <c r="AJ502" s="236"/>
      <c r="AK502" s="235"/>
      <c r="AL502" s="235"/>
      <c r="AM502" s="235"/>
      <c r="AN502" s="235"/>
      <c r="AO502" s="235"/>
      <c r="AP502" s="235"/>
      <c r="AQ502" s="235"/>
      <c r="AR502" s="235"/>
      <c r="AS502" s="235"/>
      <c r="AT502" s="235"/>
      <c r="AU502" s="236"/>
      <c r="AV502" s="235"/>
      <c r="AW502" s="235"/>
      <c r="AX502" s="235"/>
      <c r="AY502" s="235"/>
      <c r="AZ502" s="235"/>
      <c r="BA502" s="235"/>
      <c r="BB502" s="235"/>
      <c r="BC502" s="235"/>
      <c r="BD502" s="236"/>
      <c r="BE502" s="235"/>
      <c r="BF502" s="235"/>
      <c r="BG502" s="235"/>
      <c r="BH502" s="235"/>
      <c r="BI502" s="236"/>
      <c r="BJ502" s="236"/>
      <c r="BK502" s="238"/>
      <c r="BL502" s="239"/>
      <c r="BM502" s="239"/>
      <c r="BN502" s="239"/>
      <c r="BP502" s="236"/>
      <c r="BQ502" s="236"/>
      <c r="BR502" s="236"/>
      <c r="BS502" s="236"/>
      <c r="BT502" s="236"/>
      <c r="BU502" s="236"/>
      <c r="BV502" s="236"/>
      <c r="BW502" s="236"/>
      <c r="BX502" s="236"/>
      <c r="BY502" s="236"/>
      <c r="BZ502" s="236"/>
      <c r="CA502" s="236"/>
      <c r="CB502" s="236"/>
      <c r="CC502" s="236"/>
      <c r="CD502" s="236"/>
      <c r="CE502" s="236"/>
      <c r="CF502" s="236"/>
      <c r="CG502" s="236"/>
      <c r="CH502" s="236"/>
      <c r="CI502" s="236"/>
      <c r="CJ502" s="236"/>
      <c r="CK502" s="236"/>
      <c r="CL502" s="236"/>
      <c r="CM502" s="236"/>
      <c r="CN502" s="236"/>
      <c r="CO502" s="236"/>
    </row>
    <row r="503" spans="5:93" s="230" customFormat="1">
      <c r="E503" s="234"/>
      <c r="F503" s="235"/>
      <c r="G503" s="235"/>
      <c r="H503" s="236"/>
      <c r="I503" s="235"/>
      <c r="J503" s="235"/>
      <c r="K503" s="235"/>
      <c r="L503" s="235"/>
      <c r="M503" s="236"/>
      <c r="N503" s="235"/>
      <c r="O503" s="235"/>
      <c r="P503" s="235"/>
      <c r="Q503" s="235"/>
      <c r="R503" s="235"/>
      <c r="S503" s="235"/>
      <c r="T503" s="235"/>
      <c r="U503" s="235"/>
      <c r="V503" s="235"/>
      <c r="W503" s="235"/>
      <c r="X503" s="235"/>
      <c r="Y503" s="235"/>
      <c r="Z503" s="235"/>
      <c r="AA503" s="235"/>
      <c r="AB503" s="235"/>
      <c r="AC503" s="235"/>
      <c r="AD503" s="235"/>
      <c r="AE503" s="236"/>
      <c r="AF503" s="235"/>
      <c r="AG503" s="235"/>
      <c r="AH503" s="235"/>
      <c r="AI503" s="235"/>
      <c r="AJ503" s="236"/>
      <c r="AK503" s="235"/>
      <c r="AL503" s="235"/>
      <c r="AM503" s="235"/>
      <c r="AN503" s="235"/>
      <c r="AO503" s="235"/>
      <c r="AP503" s="235"/>
      <c r="AQ503" s="235"/>
      <c r="AR503" s="235"/>
      <c r="AS503" s="235"/>
      <c r="AT503" s="235"/>
      <c r="AU503" s="236"/>
      <c r="AV503" s="235"/>
      <c r="AW503" s="235"/>
      <c r="AX503" s="235"/>
      <c r="AY503" s="235"/>
      <c r="AZ503" s="235"/>
      <c r="BA503" s="235"/>
      <c r="BB503" s="235"/>
      <c r="BC503" s="235"/>
      <c r="BD503" s="236"/>
      <c r="BE503" s="235"/>
      <c r="BF503" s="235"/>
      <c r="BG503" s="235"/>
      <c r="BH503" s="235"/>
      <c r="BI503" s="236"/>
      <c r="BJ503" s="236"/>
      <c r="BK503" s="238"/>
      <c r="BL503" s="239"/>
      <c r="BM503" s="239"/>
      <c r="BN503" s="239"/>
      <c r="BP503" s="236"/>
      <c r="BQ503" s="236"/>
      <c r="BR503" s="236"/>
      <c r="BS503" s="236"/>
      <c r="BT503" s="236"/>
      <c r="BU503" s="236"/>
      <c r="BV503" s="236"/>
      <c r="BW503" s="236"/>
      <c r="BX503" s="236"/>
      <c r="BY503" s="236"/>
      <c r="BZ503" s="236"/>
      <c r="CA503" s="236"/>
      <c r="CB503" s="236"/>
      <c r="CC503" s="236"/>
      <c r="CD503" s="236"/>
      <c r="CE503" s="236"/>
      <c r="CF503" s="236"/>
      <c r="CG503" s="236"/>
      <c r="CH503" s="236"/>
      <c r="CI503" s="236"/>
      <c r="CJ503" s="236"/>
      <c r="CK503" s="236"/>
      <c r="CL503" s="236"/>
      <c r="CM503" s="236"/>
      <c r="CN503" s="236"/>
      <c r="CO503" s="236"/>
    </row>
    <row r="504" spans="5:93" s="230" customFormat="1">
      <c r="E504" s="234"/>
      <c r="F504" s="235"/>
      <c r="G504" s="235"/>
      <c r="H504" s="236"/>
      <c r="I504" s="235"/>
      <c r="J504" s="235"/>
      <c r="K504" s="235"/>
      <c r="L504" s="235"/>
      <c r="M504" s="236"/>
      <c r="N504" s="235"/>
      <c r="O504" s="235"/>
      <c r="P504" s="235"/>
      <c r="Q504" s="235"/>
      <c r="R504" s="235"/>
      <c r="S504" s="235"/>
      <c r="T504" s="235"/>
      <c r="U504" s="235"/>
      <c r="V504" s="235"/>
      <c r="W504" s="235"/>
      <c r="X504" s="235"/>
      <c r="Y504" s="235"/>
      <c r="Z504" s="235"/>
      <c r="AA504" s="235"/>
      <c r="AB504" s="235"/>
      <c r="AC504" s="235"/>
      <c r="AD504" s="235"/>
      <c r="AE504" s="236"/>
      <c r="AF504" s="235"/>
      <c r="AG504" s="235"/>
      <c r="AH504" s="235"/>
      <c r="AI504" s="235"/>
      <c r="AJ504" s="236"/>
      <c r="AK504" s="235"/>
      <c r="AL504" s="235"/>
      <c r="AM504" s="235"/>
      <c r="AN504" s="235"/>
      <c r="AO504" s="235"/>
      <c r="AP504" s="235"/>
      <c r="AQ504" s="235"/>
      <c r="AR504" s="235"/>
      <c r="AS504" s="235"/>
      <c r="AT504" s="235"/>
      <c r="AU504" s="236"/>
      <c r="AV504" s="235"/>
      <c r="AW504" s="235"/>
      <c r="AX504" s="235"/>
      <c r="AY504" s="235"/>
      <c r="AZ504" s="235"/>
      <c r="BA504" s="235"/>
      <c r="BB504" s="235"/>
      <c r="BC504" s="235"/>
      <c r="BD504" s="236"/>
      <c r="BE504" s="235"/>
      <c r="BF504" s="235"/>
      <c r="BG504" s="235"/>
      <c r="BH504" s="235"/>
      <c r="BI504" s="236"/>
      <c r="BJ504" s="236"/>
      <c r="BK504" s="238"/>
      <c r="BL504" s="239"/>
      <c r="BM504" s="239"/>
      <c r="BN504" s="239"/>
      <c r="BP504" s="236"/>
      <c r="BQ504" s="236"/>
      <c r="BR504" s="236"/>
      <c r="BS504" s="236"/>
      <c r="BT504" s="236"/>
      <c r="BU504" s="236"/>
      <c r="BV504" s="236"/>
      <c r="BW504" s="236"/>
      <c r="BX504" s="236"/>
      <c r="BY504" s="236"/>
      <c r="BZ504" s="236"/>
      <c r="CA504" s="236"/>
      <c r="CB504" s="236"/>
      <c r="CC504" s="236"/>
      <c r="CD504" s="236"/>
      <c r="CE504" s="236"/>
      <c r="CF504" s="236"/>
      <c r="CG504" s="236"/>
      <c r="CH504" s="236"/>
      <c r="CI504" s="236"/>
      <c r="CJ504" s="236"/>
      <c r="CK504" s="236"/>
      <c r="CL504" s="236"/>
      <c r="CM504" s="236"/>
      <c r="CN504" s="236"/>
      <c r="CO504" s="236"/>
    </row>
    <row r="505" spans="5:93" s="230" customFormat="1">
      <c r="E505" s="234"/>
      <c r="F505" s="235"/>
      <c r="G505" s="235"/>
      <c r="H505" s="236"/>
      <c r="I505" s="235"/>
      <c r="J505" s="235"/>
      <c r="K505" s="235"/>
      <c r="L505" s="235"/>
      <c r="M505" s="236"/>
      <c r="N505" s="235"/>
      <c r="O505" s="235"/>
      <c r="P505" s="235"/>
      <c r="Q505" s="235"/>
      <c r="R505" s="235"/>
      <c r="S505" s="235"/>
      <c r="T505" s="235"/>
      <c r="U505" s="235"/>
      <c r="V505" s="235"/>
      <c r="W505" s="235"/>
      <c r="X505" s="235"/>
      <c r="Y505" s="235"/>
      <c r="Z505" s="235"/>
      <c r="AA505" s="235"/>
      <c r="AB505" s="235"/>
      <c r="AC505" s="235"/>
      <c r="AD505" s="235"/>
      <c r="AE505" s="236"/>
      <c r="AF505" s="235"/>
      <c r="AG505" s="235"/>
      <c r="AH505" s="235"/>
      <c r="AI505" s="235"/>
      <c r="AJ505" s="236"/>
      <c r="AK505" s="235"/>
      <c r="AL505" s="235"/>
      <c r="AM505" s="235"/>
      <c r="AN505" s="235"/>
      <c r="AO505" s="235"/>
      <c r="AP505" s="235"/>
      <c r="AQ505" s="235"/>
      <c r="AR505" s="235"/>
      <c r="AS505" s="235"/>
      <c r="AT505" s="235"/>
      <c r="AU505" s="236"/>
      <c r="AV505" s="235"/>
      <c r="AW505" s="235"/>
      <c r="AX505" s="235"/>
      <c r="AY505" s="235"/>
      <c r="AZ505" s="235"/>
      <c r="BA505" s="235"/>
      <c r="BB505" s="235"/>
      <c r="BC505" s="235"/>
      <c r="BD505" s="236"/>
      <c r="BE505" s="235"/>
      <c r="BF505" s="235"/>
      <c r="BG505" s="235"/>
      <c r="BH505" s="235"/>
      <c r="BI505" s="236"/>
      <c r="BJ505" s="236"/>
      <c r="BK505" s="238"/>
      <c r="BL505" s="239"/>
      <c r="BM505" s="239"/>
      <c r="BN505" s="239"/>
      <c r="BP505" s="236"/>
      <c r="BQ505" s="236"/>
      <c r="BR505" s="236"/>
      <c r="BS505" s="236"/>
      <c r="BT505" s="236"/>
      <c r="BU505" s="236"/>
      <c r="BV505" s="236"/>
      <c r="BW505" s="236"/>
      <c r="BX505" s="236"/>
      <c r="BY505" s="236"/>
      <c r="BZ505" s="236"/>
      <c r="CA505" s="236"/>
      <c r="CB505" s="236"/>
      <c r="CC505" s="236"/>
      <c r="CD505" s="236"/>
      <c r="CE505" s="236"/>
      <c r="CF505" s="236"/>
      <c r="CG505" s="236"/>
      <c r="CH505" s="236"/>
      <c r="CI505" s="236"/>
      <c r="CJ505" s="236"/>
      <c r="CK505" s="236"/>
      <c r="CL505" s="236"/>
      <c r="CM505" s="236"/>
      <c r="CN505" s="236"/>
      <c r="CO505" s="236"/>
    </row>
    <row r="506" spans="5:93" s="230" customFormat="1">
      <c r="E506" s="234"/>
      <c r="F506" s="235"/>
      <c r="G506" s="235"/>
      <c r="H506" s="236"/>
      <c r="I506" s="235"/>
      <c r="J506" s="235"/>
      <c r="K506" s="235"/>
      <c r="L506" s="235"/>
      <c r="M506" s="236"/>
      <c r="N506" s="235"/>
      <c r="O506" s="235"/>
      <c r="P506" s="235"/>
      <c r="Q506" s="235"/>
      <c r="R506" s="235"/>
      <c r="S506" s="235"/>
      <c r="T506" s="235"/>
      <c r="U506" s="235"/>
      <c r="V506" s="235"/>
      <c r="W506" s="235"/>
      <c r="X506" s="235"/>
      <c r="Y506" s="235"/>
      <c r="Z506" s="235"/>
      <c r="AA506" s="235"/>
      <c r="AB506" s="235"/>
      <c r="AC506" s="235"/>
      <c r="AD506" s="235"/>
      <c r="AE506" s="236"/>
      <c r="AF506" s="235"/>
      <c r="AG506" s="235"/>
      <c r="AH506" s="235"/>
      <c r="AI506" s="235"/>
      <c r="AJ506" s="236"/>
      <c r="AK506" s="235"/>
      <c r="AL506" s="235"/>
      <c r="AM506" s="235"/>
      <c r="AN506" s="235"/>
      <c r="AO506" s="235"/>
      <c r="AP506" s="235"/>
      <c r="AQ506" s="235"/>
      <c r="AR506" s="235"/>
      <c r="AS506" s="235"/>
      <c r="AT506" s="235"/>
      <c r="AU506" s="236"/>
      <c r="AV506" s="235"/>
      <c r="AW506" s="235"/>
      <c r="AX506" s="235"/>
      <c r="AY506" s="235"/>
      <c r="AZ506" s="235"/>
      <c r="BA506" s="235"/>
      <c r="BB506" s="235"/>
      <c r="BC506" s="235"/>
      <c r="BD506" s="236"/>
      <c r="BE506" s="235"/>
      <c r="BF506" s="235"/>
      <c r="BG506" s="235"/>
      <c r="BH506" s="235"/>
      <c r="BI506" s="236"/>
      <c r="BJ506" s="236"/>
      <c r="BK506" s="238"/>
      <c r="BL506" s="239"/>
      <c r="BM506" s="239"/>
      <c r="BN506" s="239"/>
      <c r="BP506" s="236"/>
      <c r="BQ506" s="236"/>
      <c r="BR506" s="236"/>
      <c r="BS506" s="236"/>
      <c r="BT506" s="236"/>
      <c r="BU506" s="236"/>
      <c r="BV506" s="236"/>
      <c r="BW506" s="236"/>
      <c r="BX506" s="236"/>
      <c r="BY506" s="236"/>
      <c r="BZ506" s="236"/>
      <c r="CA506" s="236"/>
      <c r="CB506" s="236"/>
      <c r="CC506" s="236"/>
      <c r="CD506" s="236"/>
      <c r="CE506" s="236"/>
      <c r="CF506" s="236"/>
      <c r="CG506" s="236"/>
      <c r="CH506" s="236"/>
      <c r="CI506" s="236"/>
      <c r="CJ506" s="236"/>
      <c r="CK506" s="236"/>
      <c r="CL506" s="236"/>
      <c r="CM506" s="236"/>
      <c r="CN506" s="236"/>
      <c r="CO506" s="236"/>
    </row>
    <row r="507" spans="5:93" s="230" customFormat="1">
      <c r="E507" s="234"/>
      <c r="F507" s="235"/>
      <c r="G507" s="235"/>
      <c r="H507" s="236"/>
      <c r="I507" s="235"/>
      <c r="J507" s="235"/>
      <c r="K507" s="235"/>
      <c r="L507" s="235"/>
      <c r="M507" s="236"/>
      <c r="N507" s="235"/>
      <c r="O507" s="235"/>
      <c r="P507" s="235"/>
      <c r="Q507" s="235"/>
      <c r="R507" s="235"/>
      <c r="S507" s="235"/>
      <c r="T507" s="235"/>
      <c r="U507" s="235"/>
      <c r="V507" s="235"/>
      <c r="W507" s="235"/>
      <c r="X507" s="235"/>
      <c r="Y507" s="235"/>
      <c r="Z507" s="235"/>
      <c r="AA507" s="235"/>
      <c r="AB507" s="235"/>
      <c r="AC507" s="235"/>
      <c r="AD507" s="235"/>
      <c r="AE507" s="236"/>
      <c r="AF507" s="235"/>
      <c r="AG507" s="235"/>
      <c r="AH507" s="235"/>
      <c r="AI507" s="235"/>
      <c r="AJ507" s="236"/>
      <c r="AK507" s="235"/>
      <c r="AL507" s="235"/>
      <c r="AM507" s="235"/>
      <c r="AN507" s="235"/>
      <c r="AO507" s="235"/>
      <c r="AP507" s="235"/>
      <c r="AQ507" s="235"/>
      <c r="AR507" s="235"/>
      <c r="AS507" s="235"/>
      <c r="AT507" s="235"/>
      <c r="AU507" s="236"/>
      <c r="AV507" s="235"/>
      <c r="AW507" s="235"/>
      <c r="AX507" s="235"/>
      <c r="AY507" s="235"/>
      <c r="AZ507" s="235"/>
      <c r="BA507" s="235"/>
      <c r="BB507" s="235"/>
      <c r="BC507" s="235"/>
      <c r="BD507" s="236"/>
      <c r="BE507" s="235"/>
      <c r="BF507" s="235"/>
      <c r="BG507" s="235"/>
      <c r="BH507" s="235"/>
      <c r="BI507" s="236"/>
      <c r="BJ507" s="236"/>
      <c r="BK507" s="238"/>
      <c r="BL507" s="239"/>
      <c r="BM507" s="239"/>
      <c r="BN507" s="239"/>
      <c r="BP507" s="236"/>
      <c r="BQ507" s="236"/>
      <c r="BR507" s="236"/>
      <c r="BS507" s="236"/>
      <c r="BT507" s="236"/>
      <c r="BU507" s="236"/>
      <c r="BV507" s="236"/>
      <c r="BW507" s="236"/>
      <c r="BX507" s="236"/>
      <c r="BY507" s="236"/>
      <c r="BZ507" s="236"/>
      <c r="CA507" s="236"/>
      <c r="CB507" s="236"/>
      <c r="CC507" s="236"/>
      <c r="CD507" s="236"/>
      <c r="CE507" s="236"/>
      <c r="CF507" s="236"/>
      <c r="CG507" s="236"/>
      <c r="CH507" s="236"/>
      <c r="CI507" s="236"/>
      <c r="CJ507" s="236"/>
      <c r="CK507" s="236"/>
      <c r="CL507" s="236"/>
      <c r="CM507" s="236"/>
      <c r="CN507" s="236"/>
      <c r="CO507" s="236"/>
    </row>
    <row r="508" spans="5:93" s="230" customFormat="1">
      <c r="E508" s="234"/>
      <c r="F508" s="235"/>
      <c r="G508" s="235"/>
      <c r="H508" s="236"/>
      <c r="I508" s="235"/>
      <c r="J508" s="235"/>
      <c r="K508" s="235"/>
      <c r="L508" s="235"/>
      <c r="M508" s="236"/>
      <c r="N508" s="235"/>
      <c r="O508" s="235"/>
      <c r="P508" s="235"/>
      <c r="Q508" s="235"/>
      <c r="R508" s="235"/>
      <c r="S508" s="235"/>
      <c r="T508" s="235"/>
      <c r="U508" s="235"/>
      <c r="V508" s="235"/>
      <c r="W508" s="235"/>
      <c r="X508" s="235"/>
      <c r="Y508" s="235"/>
      <c r="Z508" s="235"/>
      <c r="AA508" s="235"/>
      <c r="AB508" s="235"/>
      <c r="AC508" s="235"/>
      <c r="AD508" s="235"/>
      <c r="AE508" s="236"/>
      <c r="AF508" s="235"/>
      <c r="AG508" s="235"/>
      <c r="AH508" s="235"/>
      <c r="AI508" s="235"/>
      <c r="AJ508" s="236"/>
      <c r="AK508" s="235"/>
      <c r="AL508" s="235"/>
      <c r="AM508" s="235"/>
      <c r="AN508" s="235"/>
      <c r="AO508" s="235"/>
      <c r="AP508" s="235"/>
      <c r="AQ508" s="235"/>
      <c r="AR508" s="235"/>
      <c r="AS508" s="235"/>
      <c r="AT508" s="235"/>
      <c r="AU508" s="236"/>
      <c r="AV508" s="235"/>
      <c r="AW508" s="235"/>
      <c r="AX508" s="235"/>
      <c r="AY508" s="235"/>
      <c r="AZ508" s="235"/>
      <c r="BA508" s="235"/>
      <c r="BB508" s="235"/>
      <c r="BC508" s="235"/>
      <c r="BD508" s="236"/>
      <c r="BE508" s="235"/>
      <c r="BF508" s="235"/>
      <c r="BG508" s="235"/>
      <c r="BH508" s="235"/>
      <c r="BI508" s="236"/>
      <c r="BJ508" s="236"/>
      <c r="BK508" s="238"/>
      <c r="BL508" s="239"/>
      <c r="BM508" s="239"/>
      <c r="BN508" s="239"/>
      <c r="BP508" s="236"/>
      <c r="BQ508" s="236"/>
      <c r="BR508" s="236"/>
      <c r="BS508" s="236"/>
      <c r="BT508" s="236"/>
      <c r="BU508" s="236"/>
      <c r="BV508" s="236"/>
      <c r="BW508" s="236"/>
      <c r="BX508" s="236"/>
      <c r="BY508" s="236"/>
      <c r="BZ508" s="236"/>
      <c r="CA508" s="236"/>
      <c r="CB508" s="236"/>
      <c r="CC508" s="236"/>
      <c r="CD508" s="236"/>
      <c r="CE508" s="236"/>
      <c r="CF508" s="236"/>
      <c r="CG508" s="236"/>
      <c r="CH508" s="236"/>
      <c r="CI508" s="236"/>
      <c r="CJ508" s="236"/>
      <c r="CK508" s="236"/>
      <c r="CL508" s="236"/>
      <c r="CM508" s="236"/>
      <c r="CN508" s="236"/>
      <c r="CO508" s="236"/>
    </row>
    <row r="509" spans="5:93" s="230" customFormat="1">
      <c r="E509" s="234"/>
      <c r="F509" s="235"/>
      <c r="G509" s="235"/>
      <c r="H509" s="236"/>
      <c r="I509" s="235"/>
      <c r="J509" s="235"/>
      <c r="K509" s="235"/>
      <c r="L509" s="235"/>
      <c r="M509" s="236"/>
      <c r="N509" s="235"/>
      <c r="O509" s="235"/>
      <c r="P509" s="235"/>
      <c r="Q509" s="235"/>
      <c r="R509" s="235"/>
      <c r="S509" s="235"/>
      <c r="T509" s="235"/>
      <c r="U509" s="235"/>
      <c r="V509" s="235"/>
      <c r="W509" s="235"/>
      <c r="X509" s="235"/>
      <c r="Y509" s="235"/>
      <c r="Z509" s="235"/>
      <c r="AA509" s="235"/>
      <c r="AB509" s="235"/>
      <c r="AC509" s="235"/>
      <c r="AD509" s="235"/>
      <c r="AE509" s="236"/>
      <c r="AF509" s="235"/>
      <c r="AG509" s="235"/>
      <c r="AH509" s="235"/>
      <c r="AI509" s="235"/>
      <c r="AJ509" s="236"/>
      <c r="AK509" s="235"/>
      <c r="AL509" s="235"/>
      <c r="AM509" s="235"/>
      <c r="AN509" s="235"/>
      <c r="AO509" s="235"/>
      <c r="AP509" s="235"/>
      <c r="AQ509" s="235"/>
      <c r="AR509" s="235"/>
      <c r="AS509" s="235"/>
      <c r="AT509" s="235"/>
      <c r="AU509" s="236"/>
      <c r="AV509" s="235"/>
      <c r="AW509" s="235"/>
      <c r="AX509" s="235"/>
      <c r="AY509" s="235"/>
      <c r="AZ509" s="235"/>
      <c r="BA509" s="235"/>
      <c r="BB509" s="235"/>
      <c r="BC509" s="235"/>
      <c r="BD509" s="236"/>
      <c r="BE509" s="235"/>
      <c r="BF509" s="235"/>
      <c r="BG509" s="235"/>
      <c r="BH509" s="235"/>
      <c r="BI509" s="236"/>
      <c r="BJ509" s="236"/>
      <c r="BK509" s="238"/>
      <c r="BL509" s="239"/>
      <c r="BM509" s="239"/>
      <c r="BN509" s="239"/>
      <c r="BP509" s="236"/>
      <c r="BQ509" s="236"/>
      <c r="BR509" s="236"/>
      <c r="BS509" s="236"/>
      <c r="BT509" s="236"/>
      <c r="BU509" s="236"/>
      <c r="BV509" s="236"/>
      <c r="BW509" s="236"/>
      <c r="BX509" s="236"/>
      <c r="BY509" s="236"/>
      <c r="BZ509" s="236"/>
      <c r="CA509" s="236"/>
      <c r="CB509" s="236"/>
      <c r="CC509" s="236"/>
      <c r="CD509" s="236"/>
      <c r="CE509" s="236"/>
      <c r="CF509" s="236"/>
      <c r="CG509" s="236"/>
      <c r="CH509" s="236"/>
      <c r="CI509" s="236"/>
      <c r="CJ509" s="236"/>
      <c r="CK509" s="236"/>
      <c r="CL509" s="236"/>
      <c r="CM509" s="236"/>
      <c r="CN509" s="236"/>
      <c r="CO509" s="236"/>
    </row>
    <row r="510" spans="5:93" s="230" customFormat="1">
      <c r="E510" s="234"/>
      <c r="F510" s="235"/>
      <c r="G510" s="235"/>
      <c r="H510" s="236"/>
      <c r="I510" s="235"/>
      <c r="J510" s="235"/>
      <c r="K510" s="235"/>
      <c r="L510" s="235"/>
      <c r="M510" s="236"/>
      <c r="N510" s="235"/>
      <c r="O510" s="235"/>
      <c r="P510" s="235"/>
      <c r="Q510" s="235"/>
      <c r="R510" s="235"/>
      <c r="S510" s="235"/>
      <c r="T510" s="235"/>
      <c r="U510" s="235"/>
      <c r="V510" s="235"/>
      <c r="W510" s="235"/>
      <c r="X510" s="235"/>
      <c r="Y510" s="235"/>
      <c r="Z510" s="235"/>
      <c r="AA510" s="235"/>
      <c r="AB510" s="235"/>
      <c r="AC510" s="235"/>
      <c r="AD510" s="235"/>
      <c r="AE510" s="236"/>
      <c r="AF510" s="235"/>
      <c r="AG510" s="235"/>
      <c r="AH510" s="235"/>
      <c r="AI510" s="235"/>
      <c r="AJ510" s="236"/>
      <c r="AK510" s="235"/>
      <c r="AL510" s="235"/>
      <c r="AM510" s="235"/>
      <c r="AN510" s="235"/>
      <c r="AO510" s="235"/>
      <c r="AP510" s="235"/>
      <c r="AQ510" s="235"/>
      <c r="AR510" s="235"/>
      <c r="AS510" s="235"/>
      <c r="AT510" s="235"/>
      <c r="AU510" s="236"/>
      <c r="AV510" s="235"/>
      <c r="AW510" s="235"/>
      <c r="AX510" s="235"/>
      <c r="AY510" s="235"/>
      <c r="AZ510" s="235"/>
      <c r="BA510" s="235"/>
      <c r="BB510" s="235"/>
      <c r="BC510" s="235"/>
      <c r="BD510" s="236"/>
      <c r="BE510" s="235"/>
      <c r="BF510" s="235"/>
      <c r="BG510" s="235"/>
      <c r="BH510" s="235"/>
      <c r="BI510" s="236"/>
      <c r="BJ510" s="236"/>
      <c r="BK510" s="238"/>
      <c r="BL510" s="239"/>
      <c r="BM510" s="239"/>
      <c r="BN510" s="239"/>
      <c r="BP510" s="236"/>
      <c r="BQ510" s="236"/>
      <c r="BR510" s="236"/>
      <c r="BS510" s="236"/>
      <c r="BT510" s="236"/>
      <c r="BU510" s="236"/>
      <c r="BV510" s="236"/>
      <c r="BW510" s="236"/>
      <c r="BX510" s="236"/>
      <c r="BY510" s="236"/>
      <c r="BZ510" s="236"/>
      <c r="CA510" s="236"/>
      <c r="CB510" s="236"/>
      <c r="CC510" s="236"/>
      <c r="CD510" s="236"/>
      <c r="CE510" s="236"/>
      <c r="CF510" s="236"/>
      <c r="CG510" s="236"/>
      <c r="CH510" s="236"/>
      <c r="CI510" s="236"/>
      <c r="CJ510" s="236"/>
      <c r="CK510" s="236"/>
      <c r="CL510" s="236"/>
      <c r="CM510" s="236"/>
      <c r="CN510" s="236"/>
      <c r="CO510" s="236"/>
    </row>
    <row r="511" spans="5:93" s="230" customFormat="1">
      <c r="E511" s="234"/>
      <c r="F511" s="235"/>
      <c r="G511" s="235"/>
      <c r="H511" s="236"/>
      <c r="I511" s="235"/>
      <c r="J511" s="235"/>
      <c r="K511" s="235"/>
      <c r="L511" s="235"/>
      <c r="M511" s="236"/>
      <c r="N511" s="235"/>
      <c r="O511" s="235"/>
      <c r="P511" s="235"/>
      <c r="Q511" s="235"/>
      <c r="R511" s="235"/>
      <c r="S511" s="235"/>
      <c r="T511" s="235"/>
      <c r="U511" s="235"/>
      <c r="V511" s="235"/>
      <c r="W511" s="235"/>
      <c r="X511" s="235"/>
      <c r="Y511" s="235"/>
      <c r="Z511" s="235"/>
      <c r="AA511" s="235"/>
      <c r="AB511" s="235"/>
      <c r="AC511" s="235"/>
      <c r="AD511" s="235"/>
      <c r="AE511" s="236"/>
      <c r="AF511" s="235"/>
      <c r="AG511" s="235"/>
      <c r="AH511" s="235"/>
      <c r="AI511" s="235"/>
      <c r="AJ511" s="236"/>
      <c r="AK511" s="235"/>
      <c r="AL511" s="235"/>
      <c r="AM511" s="235"/>
      <c r="AN511" s="235"/>
      <c r="AO511" s="235"/>
      <c r="AP511" s="235"/>
      <c r="AQ511" s="235"/>
      <c r="AR511" s="235"/>
      <c r="AS511" s="235"/>
      <c r="AT511" s="235"/>
      <c r="AU511" s="236"/>
      <c r="AV511" s="235"/>
      <c r="AW511" s="235"/>
      <c r="AX511" s="235"/>
      <c r="AY511" s="235"/>
      <c r="AZ511" s="235"/>
      <c r="BA511" s="235"/>
      <c r="BB511" s="235"/>
      <c r="BC511" s="235"/>
      <c r="BD511" s="236"/>
      <c r="BE511" s="235"/>
      <c r="BF511" s="235"/>
      <c r="BG511" s="235"/>
      <c r="BH511" s="235"/>
      <c r="BI511" s="236"/>
      <c r="BJ511" s="236"/>
      <c r="BK511" s="238"/>
      <c r="BL511" s="239"/>
      <c r="BM511" s="239"/>
      <c r="BN511" s="239"/>
      <c r="BP511" s="236"/>
      <c r="BQ511" s="236"/>
      <c r="BR511" s="236"/>
      <c r="BS511" s="236"/>
      <c r="BT511" s="236"/>
      <c r="BU511" s="236"/>
      <c r="BV511" s="236"/>
      <c r="BW511" s="236"/>
      <c r="BX511" s="236"/>
      <c r="BY511" s="236"/>
      <c r="BZ511" s="236"/>
      <c r="CA511" s="236"/>
      <c r="CB511" s="236"/>
      <c r="CC511" s="236"/>
      <c r="CD511" s="236"/>
      <c r="CE511" s="236"/>
      <c r="CF511" s="236"/>
      <c r="CG511" s="236"/>
      <c r="CH511" s="236"/>
      <c r="CI511" s="236"/>
      <c r="CJ511" s="236"/>
      <c r="CK511" s="236"/>
      <c r="CL511" s="236"/>
      <c r="CM511" s="236"/>
      <c r="CN511" s="236"/>
      <c r="CO511" s="236"/>
    </row>
    <row r="512" spans="5:93" s="230" customFormat="1">
      <c r="E512" s="234"/>
      <c r="F512" s="235"/>
      <c r="G512" s="235"/>
      <c r="H512" s="236"/>
      <c r="I512" s="235"/>
      <c r="J512" s="235"/>
      <c r="K512" s="235"/>
      <c r="L512" s="235"/>
      <c r="M512" s="236"/>
      <c r="N512" s="235"/>
      <c r="O512" s="235"/>
      <c r="P512" s="235"/>
      <c r="Q512" s="235"/>
      <c r="R512" s="235"/>
      <c r="S512" s="235"/>
      <c r="T512" s="235"/>
      <c r="U512" s="235"/>
      <c r="V512" s="235"/>
      <c r="W512" s="235"/>
      <c r="X512" s="235"/>
      <c r="Y512" s="235"/>
      <c r="Z512" s="235"/>
      <c r="AA512" s="235"/>
      <c r="AB512" s="235"/>
      <c r="AC512" s="235"/>
      <c r="AD512" s="235"/>
      <c r="AE512" s="236"/>
      <c r="AF512" s="235"/>
      <c r="AG512" s="235"/>
      <c r="AH512" s="235"/>
      <c r="AI512" s="235"/>
      <c r="AJ512" s="236"/>
      <c r="AK512" s="235"/>
      <c r="AL512" s="235"/>
      <c r="AM512" s="235"/>
      <c r="AN512" s="235"/>
      <c r="AO512" s="235"/>
      <c r="AP512" s="235"/>
      <c r="AQ512" s="235"/>
      <c r="AR512" s="235"/>
      <c r="AS512" s="235"/>
      <c r="AT512" s="235"/>
      <c r="AU512" s="236"/>
      <c r="AV512" s="235"/>
      <c r="AW512" s="235"/>
      <c r="AX512" s="235"/>
      <c r="AY512" s="235"/>
      <c r="AZ512" s="235"/>
      <c r="BA512" s="235"/>
      <c r="BB512" s="235"/>
      <c r="BC512" s="235"/>
      <c r="BD512" s="236"/>
      <c r="BE512" s="235"/>
      <c r="BF512" s="235"/>
      <c r="BG512" s="235"/>
      <c r="BH512" s="235"/>
      <c r="BI512" s="236"/>
      <c r="BJ512" s="236"/>
      <c r="BK512" s="238"/>
      <c r="BL512" s="239"/>
      <c r="BM512" s="239"/>
      <c r="BN512" s="239"/>
      <c r="BP512" s="236"/>
      <c r="BQ512" s="236"/>
      <c r="BR512" s="236"/>
      <c r="BS512" s="236"/>
      <c r="BT512" s="236"/>
      <c r="BU512" s="236"/>
      <c r="BV512" s="236"/>
      <c r="BW512" s="236"/>
      <c r="BX512" s="236"/>
      <c r="BY512" s="236"/>
      <c r="BZ512" s="236"/>
      <c r="CA512" s="236"/>
      <c r="CB512" s="236"/>
      <c r="CC512" s="236"/>
      <c r="CD512" s="236"/>
      <c r="CE512" s="236"/>
      <c r="CF512" s="236"/>
      <c r="CG512" s="236"/>
      <c r="CH512" s="236"/>
      <c r="CI512" s="236"/>
      <c r="CJ512" s="236"/>
      <c r="CK512" s="236"/>
      <c r="CL512" s="236"/>
      <c r="CM512" s="236"/>
      <c r="CN512" s="236"/>
      <c r="CO512" s="236"/>
    </row>
    <row r="513" spans="5:93" s="230" customFormat="1">
      <c r="E513" s="234"/>
      <c r="F513" s="235"/>
      <c r="G513" s="235"/>
      <c r="H513" s="236"/>
      <c r="I513" s="235"/>
      <c r="J513" s="235"/>
      <c r="K513" s="235"/>
      <c r="L513" s="235"/>
      <c r="M513" s="236"/>
      <c r="N513" s="235"/>
      <c r="O513" s="235"/>
      <c r="P513" s="235"/>
      <c r="Q513" s="235"/>
      <c r="R513" s="235"/>
      <c r="S513" s="235"/>
      <c r="T513" s="235"/>
      <c r="U513" s="235"/>
      <c r="V513" s="235"/>
      <c r="W513" s="235"/>
      <c r="X513" s="235"/>
      <c r="Y513" s="235"/>
      <c r="Z513" s="235"/>
      <c r="AA513" s="235"/>
      <c r="AB513" s="235"/>
      <c r="AC513" s="235"/>
      <c r="AD513" s="235"/>
      <c r="AE513" s="236"/>
      <c r="AF513" s="235"/>
      <c r="AG513" s="235"/>
      <c r="AH513" s="235"/>
      <c r="AI513" s="235"/>
      <c r="AJ513" s="236"/>
      <c r="AK513" s="235"/>
      <c r="AL513" s="235"/>
      <c r="AM513" s="235"/>
      <c r="AN513" s="235"/>
      <c r="AO513" s="235"/>
      <c r="AP513" s="235"/>
      <c r="AQ513" s="235"/>
      <c r="AR513" s="235"/>
      <c r="AS513" s="235"/>
      <c r="AT513" s="235"/>
      <c r="AU513" s="236"/>
      <c r="AV513" s="235"/>
      <c r="AW513" s="235"/>
      <c r="AX513" s="235"/>
      <c r="AY513" s="235"/>
      <c r="AZ513" s="235"/>
      <c r="BA513" s="235"/>
      <c r="BB513" s="235"/>
      <c r="BC513" s="235"/>
      <c r="BD513" s="236"/>
      <c r="BE513" s="235"/>
      <c r="BF513" s="235"/>
      <c r="BG513" s="235"/>
      <c r="BH513" s="235"/>
      <c r="BI513" s="236"/>
      <c r="BJ513" s="236"/>
      <c r="BK513" s="238"/>
      <c r="BL513" s="239"/>
      <c r="BM513" s="239"/>
      <c r="BN513" s="239"/>
      <c r="BP513" s="236"/>
      <c r="BQ513" s="236"/>
      <c r="BR513" s="236"/>
      <c r="BS513" s="236"/>
      <c r="BT513" s="236"/>
      <c r="BU513" s="236"/>
      <c r="BV513" s="236"/>
      <c r="BW513" s="236"/>
      <c r="BX513" s="236"/>
      <c r="BY513" s="236"/>
      <c r="BZ513" s="236"/>
      <c r="CA513" s="236"/>
      <c r="CB513" s="236"/>
      <c r="CC513" s="236"/>
      <c r="CD513" s="236"/>
      <c r="CE513" s="236"/>
      <c r="CF513" s="236"/>
      <c r="CG513" s="236"/>
      <c r="CH513" s="236"/>
      <c r="CI513" s="236"/>
      <c r="CJ513" s="236"/>
      <c r="CK513" s="236"/>
      <c r="CL513" s="236"/>
      <c r="CM513" s="236"/>
      <c r="CN513" s="236"/>
      <c r="CO513" s="236"/>
    </row>
    <row r="514" spans="5:93" s="230" customFormat="1">
      <c r="E514" s="234"/>
      <c r="F514" s="235"/>
      <c r="G514" s="235"/>
      <c r="H514" s="236"/>
      <c r="I514" s="235"/>
      <c r="J514" s="235"/>
      <c r="K514" s="235"/>
      <c r="L514" s="235"/>
      <c r="M514" s="236"/>
      <c r="N514" s="235"/>
      <c r="O514" s="235"/>
      <c r="P514" s="235"/>
      <c r="Q514" s="235"/>
      <c r="R514" s="235"/>
      <c r="S514" s="235"/>
      <c r="T514" s="235"/>
      <c r="U514" s="235"/>
      <c r="V514" s="235"/>
      <c r="W514" s="235"/>
      <c r="X514" s="235"/>
      <c r="Y514" s="235"/>
      <c r="Z514" s="235"/>
      <c r="AA514" s="235"/>
      <c r="AB514" s="235"/>
      <c r="AC514" s="235"/>
      <c r="AD514" s="235"/>
      <c r="AE514" s="236"/>
      <c r="AF514" s="235"/>
      <c r="AG514" s="235"/>
      <c r="AH514" s="235"/>
      <c r="AI514" s="235"/>
      <c r="AJ514" s="236"/>
      <c r="AK514" s="235"/>
      <c r="AL514" s="235"/>
      <c r="AM514" s="235"/>
      <c r="AN514" s="235"/>
      <c r="AO514" s="235"/>
      <c r="AP514" s="235"/>
      <c r="AQ514" s="235"/>
      <c r="AR514" s="235"/>
      <c r="AS514" s="235"/>
      <c r="AT514" s="235"/>
      <c r="AU514" s="236"/>
      <c r="AV514" s="235"/>
      <c r="AW514" s="235"/>
      <c r="AX514" s="235"/>
      <c r="AY514" s="235"/>
      <c r="AZ514" s="235"/>
      <c r="BA514" s="235"/>
      <c r="BB514" s="235"/>
      <c r="BC514" s="235"/>
      <c r="BD514" s="236"/>
      <c r="BE514" s="235"/>
      <c r="BF514" s="235"/>
      <c r="BG514" s="235"/>
      <c r="BH514" s="235"/>
      <c r="BI514" s="236"/>
      <c r="BJ514" s="236"/>
      <c r="BK514" s="238"/>
      <c r="BL514" s="239"/>
      <c r="BM514" s="239"/>
      <c r="BN514" s="239"/>
      <c r="BP514" s="236"/>
      <c r="BQ514" s="236"/>
      <c r="BR514" s="236"/>
      <c r="BS514" s="236"/>
      <c r="BT514" s="236"/>
      <c r="BU514" s="236"/>
      <c r="BV514" s="236"/>
      <c r="BW514" s="236"/>
      <c r="BX514" s="236"/>
      <c r="BY514" s="236"/>
      <c r="BZ514" s="236"/>
      <c r="CA514" s="236"/>
      <c r="CB514" s="236"/>
      <c r="CC514" s="236"/>
      <c r="CD514" s="236"/>
      <c r="CE514" s="236"/>
      <c r="CF514" s="236"/>
      <c r="CG514" s="236"/>
      <c r="CH514" s="236"/>
      <c r="CI514" s="236"/>
      <c r="CJ514" s="236"/>
      <c r="CK514" s="236"/>
      <c r="CL514" s="236"/>
      <c r="CM514" s="236"/>
      <c r="CN514" s="236"/>
      <c r="CO514" s="236"/>
    </row>
    <row r="515" spans="5:93" s="230" customFormat="1">
      <c r="E515" s="234"/>
      <c r="F515" s="235"/>
      <c r="G515" s="235"/>
      <c r="H515" s="236"/>
      <c r="I515" s="235"/>
      <c r="J515" s="235"/>
      <c r="K515" s="235"/>
      <c r="L515" s="235"/>
      <c r="M515" s="236"/>
      <c r="N515" s="235"/>
      <c r="O515" s="235"/>
      <c r="P515" s="235"/>
      <c r="Q515" s="235"/>
      <c r="R515" s="235"/>
      <c r="S515" s="235"/>
      <c r="T515" s="235"/>
      <c r="U515" s="235"/>
      <c r="V515" s="235"/>
      <c r="W515" s="235"/>
      <c r="X515" s="235"/>
      <c r="Y515" s="235"/>
      <c r="Z515" s="235"/>
      <c r="AA515" s="235"/>
      <c r="AB515" s="235"/>
      <c r="AC515" s="235"/>
      <c r="AD515" s="235"/>
      <c r="AE515" s="236"/>
      <c r="AF515" s="235"/>
      <c r="AG515" s="235"/>
      <c r="AH515" s="235"/>
      <c r="AI515" s="235"/>
      <c r="AJ515" s="236"/>
      <c r="AK515" s="235"/>
      <c r="AL515" s="235"/>
      <c r="AM515" s="235"/>
      <c r="AN515" s="235"/>
      <c r="AO515" s="235"/>
      <c r="AP515" s="235"/>
      <c r="AQ515" s="235"/>
      <c r="AR515" s="235"/>
      <c r="AS515" s="235"/>
      <c r="AT515" s="235"/>
      <c r="AU515" s="236"/>
      <c r="AV515" s="235"/>
      <c r="AW515" s="235"/>
      <c r="AX515" s="235"/>
      <c r="AY515" s="235"/>
      <c r="AZ515" s="235"/>
      <c r="BA515" s="235"/>
      <c r="BB515" s="235"/>
      <c r="BC515" s="235"/>
      <c r="BD515" s="236"/>
      <c r="BE515" s="235"/>
      <c r="BF515" s="235"/>
      <c r="BG515" s="235"/>
      <c r="BH515" s="235"/>
      <c r="BI515" s="236"/>
      <c r="BJ515" s="236"/>
      <c r="BK515" s="238"/>
      <c r="BL515" s="239"/>
      <c r="BM515" s="239"/>
      <c r="BN515" s="239"/>
      <c r="BP515" s="236"/>
      <c r="BQ515" s="236"/>
      <c r="BR515" s="236"/>
      <c r="BS515" s="236"/>
      <c r="BT515" s="236"/>
      <c r="BU515" s="236"/>
      <c r="BV515" s="236"/>
      <c r="BW515" s="236"/>
      <c r="BX515" s="236"/>
      <c r="BY515" s="236"/>
      <c r="BZ515" s="236"/>
      <c r="CA515" s="236"/>
      <c r="CB515" s="236"/>
      <c r="CC515" s="236"/>
      <c r="CD515" s="236"/>
      <c r="CE515" s="236"/>
      <c r="CF515" s="236"/>
      <c r="CG515" s="236"/>
      <c r="CH515" s="236"/>
      <c r="CI515" s="236"/>
      <c r="CJ515" s="236"/>
      <c r="CK515" s="236"/>
      <c r="CL515" s="236"/>
      <c r="CM515" s="236"/>
      <c r="CN515" s="236"/>
      <c r="CO515" s="236"/>
    </row>
    <row r="516" spans="5:93" s="230" customFormat="1">
      <c r="E516" s="234"/>
      <c r="F516" s="235"/>
      <c r="G516" s="235"/>
      <c r="H516" s="236"/>
      <c r="I516" s="235"/>
      <c r="J516" s="235"/>
      <c r="K516" s="235"/>
      <c r="L516" s="235"/>
      <c r="M516" s="236"/>
      <c r="N516" s="235"/>
      <c r="O516" s="235"/>
      <c r="P516" s="235"/>
      <c r="Q516" s="235"/>
      <c r="R516" s="235"/>
      <c r="S516" s="235"/>
      <c r="T516" s="235"/>
      <c r="U516" s="235"/>
      <c r="V516" s="235"/>
      <c r="W516" s="235"/>
      <c r="X516" s="235"/>
      <c r="Y516" s="235"/>
      <c r="Z516" s="235"/>
      <c r="AA516" s="235"/>
      <c r="AB516" s="235"/>
      <c r="AC516" s="235"/>
      <c r="AD516" s="235"/>
      <c r="AE516" s="236"/>
      <c r="AF516" s="235"/>
      <c r="AG516" s="235"/>
      <c r="AH516" s="235"/>
      <c r="AI516" s="235"/>
      <c r="AJ516" s="236"/>
      <c r="AK516" s="235"/>
      <c r="AL516" s="235"/>
      <c r="AM516" s="235"/>
      <c r="AN516" s="235"/>
      <c r="AO516" s="235"/>
      <c r="AP516" s="235"/>
      <c r="AQ516" s="235"/>
      <c r="AR516" s="235"/>
      <c r="AS516" s="235"/>
      <c r="AT516" s="235"/>
      <c r="AU516" s="236"/>
      <c r="AV516" s="235"/>
      <c r="AW516" s="235"/>
      <c r="AX516" s="235"/>
      <c r="AY516" s="235"/>
      <c r="AZ516" s="235"/>
      <c r="BA516" s="235"/>
      <c r="BB516" s="235"/>
      <c r="BC516" s="235"/>
      <c r="BD516" s="236"/>
      <c r="BE516" s="235"/>
      <c r="BF516" s="235"/>
      <c r="BG516" s="235"/>
      <c r="BH516" s="235"/>
      <c r="BI516" s="236"/>
      <c r="BJ516" s="236"/>
      <c r="BK516" s="238"/>
      <c r="BL516" s="239"/>
      <c r="BM516" s="239"/>
      <c r="BN516" s="239"/>
      <c r="BP516" s="236"/>
      <c r="BQ516" s="236"/>
      <c r="BR516" s="236"/>
      <c r="BS516" s="236"/>
      <c r="BT516" s="236"/>
      <c r="BU516" s="236"/>
      <c r="BV516" s="236"/>
      <c r="BW516" s="236"/>
      <c r="BX516" s="236"/>
      <c r="BY516" s="236"/>
      <c r="BZ516" s="236"/>
      <c r="CA516" s="236"/>
      <c r="CB516" s="236"/>
      <c r="CC516" s="236"/>
      <c r="CD516" s="236"/>
      <c r="CE516" s="236"/>
      <c r="CF516" s="236"/>
      <c r="CG516" s="236"/>
      <c r="CH516" s="236"/>
      <c r="CI516" s="236"/>
      <c r="CJ516" s="236"/>
      <c r="CK516" s="236"/>
      <c r="CL516" s="236"/>
      <c r="CM516" s="236"/>
      <c r="CN516" s="236"/>
      <c r="CO516" s="236"/>
    </row>
    <row r="517" spans="5:93" s="230" customFormat="1">
      <c r="E517" s="234"/>
      <c r="F517" s="235"/>
      <c r="G517" s="235"/>
      <c r="H517" s="236"/>
      <c r="I517" s="235"/>
      <c r="J517" s="235"/>
      <c r="K517" s="235"/>
      <c r="L517" s="235"/>
      <c r="M517" s="236"/>
      <c r="N517" s="235"/>
      <c r="O517" s="235"/>
      <c r="P517" s="235"/>
      <c r="Q517" s="235"/>
      <c r="R517" s="235"/>
      <c r="S517" s="235"/>
      <c r="T517" s="235"/>
      <c r="U517" s="235"/>
      <c r="V517" s="235"/>
      <c r="W517" s="235"/>
      <c r="X517" s="235"/>
      <c r="Y517" s="235"/>
      <c r="Z517" s="235"/>
      <c r="AA517" s="235"/>
      <c r="AB517" s="235"/>
      <c r="AC517" s="235"/>
      <c r="AD517" s="235"/>
      <c r="AE517" s="236"/>
      <c r="AF517" s="235"/>
      <c r="AG517" s="235"/>
      <c r="AH517" s="235"/>
      <c r="AI517" s="235"/>
      <c r="AJ517" s="236"/>
      <c r="AK517" s="235"/>
      <c r="AL517" s="235"/>
      <c r="AM517" s="235"/>
      <c r="AN517" s="235"/>
      <c r="AO517" s="235"/>
      <c r="AP517" s="235"/>
      <c r="AQ517" s="235"/>
      <c r="AR517" s="235"/>
      <c r="AS517" s="235"/>
      <c r="AT517" s="235"/>
      <c r="AU517" s="236"/>
      <c r="AV517" s="235"/>
      <c r="AW517" s="235"/>
      <c r="AX517" s="235"/>
      <c r="AY517" s="235"/>
      <c r="AZ517" s="235"/>
      <c r="BA517" s="235"/>
      <c r="BB517" s="235"/>
      <c r="BC517" s="235"/>
      <c r="BD517" s="236"/>
      <c r="BE517" s="235"/>
      <c r="BF517" s="235"/>
      <c r="BG517" s="235"/>
      <c r="BH517" s="235"/>
      <c r="BI517" s="236"/>
      <c r="BJ517" s="236"/>
      <c r="BK517" s="238"/>
      <c r="BL517" s="239"/>
      <c r="BM517" s="239"/>
      <c r="BN517" s="239"/>
      <c r="BP517" s="236"/>
      <c r="BQ517" s="236"/>
      <c r="BR517" s="236"/>
      <c r="BS517" s="236"/>
      <c r="BT517" s="236"/>
      <c r="BU517" s="236"/>
      <c r="BV517" s="236"/>
      <c r="BW517" s="236"/>
      <c r="BX517" s="236"/>
      <c r="BY517" s="236"/>
      <c r="BZ517" s="236"/>
      <c r="CA517" s="236"/>
      <c r="CB517" s="236"/>
      <c r="CC517" s="236"/>
      <c r="CD517" s="236"/>
      <c r="CE517" s="236"/>
      <c r="CF517" s="236"/>
      <c r="CG517" s="236"/>
      <c r="CH517" s="236"/>
      <c r="CI517" s="236"/>
      <c r="CJ517" s="236"/>
      <c r="CK517" s="236"/>
      <c r="CL517" s="236"/>
      <c r="CM517" s="236"/>
      <c r="CN517" s="236"/>
      <c r="CO517" s="236"/>
    </row>
    <row r="518" spans="5:93" s="230" customFormat="1">
      <c r="E518" s="234"/>
      <c r="F518" s="235"/>
      <c r="G518" s="235"/>
      <c r="H518" s="236"/>
      <c r="I518" s="235"/>
      <c r="J518" s="235"/>
      <c r="K518" s="235"/>
      <c r="L518" s="235"/>
      <c r="M518" s="236"/>
      <c r="N518" s="235"/>
      <c r="O518" s="235"/>
      <c r="P518" s="235"/>
      <c r="Q518" s="235"/>
      <c r="R518" s="235"/>
      <c r="S518" s="235"/>
      <c r="T518" s="235"/>
      <c r="U518" s="235"/>
      <c r="V518" s="235"/>
      <c r="W518" s="235"/>
      <c r="X518" s="235"/>
      <c r="Y518" s="235"/>
      <c r="Z518" s="235"/>
      <c r="AA518" s="235"/>
      <c r="AB518" s="235"/>
      <c r="AC518" s="235"/>
      <c r="AD518" s="235"/>
      <c r="AE518" s="236"/>
      <c r="AF518" s="235"/>
      <c r="AG518" s="235"/>
      <c r="AH518" s="235"/>
      <c r="AI518" s="235"/>
      <c r="AJ518" s="236"/>
      <c r="AK518" s="235"/>
      <c r="AL518" s="235"/>
      <c r="AM518" s="235"/>
      <c r="AN518" s="235"/>
      <c r="AO518" s="235"/>
      <c r="AP518" s="235"/>
      <c r="AQ518" s="235"/>
      <c r="AR518" s="235"/>
      <c r="AS518" s="235"/>
      <c r="AT518" s="235"/>
      <c r="AU518" s="236"/>
      <c r="AV518" s="235"/>
      <c r="AW518" s="235"/>
      <c r="AX518" s="235"/>
      <c r="AY518" s="235"/>
      <c r="AZ518" s="235"/>
      <c r="BA518" s="235"/>
      <c r="BB518" s="235"/>
      <c r="BC518" s="235"/>
      <c r="BD518" s="236"/>
      <c r="BE518" s="235"/>
      <c r="BF518" s="235"/>
      <c r="BG518" s="235"/>
      <c r="BH518" s="235"/>
      <c r="BI518" s="236"/>
      <c r="BJ518" s="236"/>
      <c r="BK518" s="238"/>
      <c r="BL518" s="239"/>
      <c r="BM518" s="239"/>
      <c r="BN518" s="239"/>
      <c r="BP518" s="236"/>
      <c r="BQ518" s="236"/>
      <c r="BR518" s="236"/>
      <c r="BS518" s="236"/>
      <c r="BT518" s="236"/>
      <c r="BU518" s="236"/>
      <c r="BV518" s="236"/>
      <c r="BW518" s="236"/>
      <c r="BX518" s="236"/>
      <c r="BY518" s="236"/>
      <c r="BZ518" s="236"/>
      <c r="CA518" s="236"/>
      <c r="CB518" s="236"/>
      <c r="CC518" s="236"/>
      <c r="CD518" s="236"/>
      <c r="CE518" s="236"/>
      <c r="CF518" s="236"/>
      <c r="CG518" s="236"/>
      <c r="CH518" s="236"/>
      <c r="CI518" s="236"/>
      <c r="CJ518" s="236"/>
      <c r="CK518" s="236"/>
      <c r="CL518" s="236"/>
      <c r="CM518" s="236"/>
      <c r="CN518" s="236"/>
      <c r="CO518" s="236"/>
    </row>
    <row r="519" spans="5:93" s="230" customFormat="1">
      <c r="E519" s="234"/>
      <c r="F519" s="235"/>
      <c r="G519" s="235"/>
      <c r="H519" s="236"/>
      <c r="I519" s="235"/>
      <c r="J519" s="235"/>
      <c r="K519" s="235"/>
      <c r="L519" s="235"/>
      <c r="M519" s="236"/>
      <c r="N519" s="235"/>
      <c r="O519" s="235"/>
      <c r="P519" s="235"/>
      <c r="Q519" s="235"/>
      <c r="R519" s="235"/>
      <c r="S519" s="235"/>
      <c r="T519" s="235"/>
      <c r="U519" s="235"/>
      <c r="V519" s="235"/>
      <c r="W519" s="235"/>
      <c r="X519" s="235"/>
      <c r="Y519" s="235"/>
      <c r="Z519" s="235"/>
      <c r="AA519" s="235"/>
      <c r="AB519" s="235"/>
      <c r="AC519" s="235"/>
      <c r="AD519" s="235"/>
      <c r="AE519" s="236"/>
      <c r="AF519" s="235"/>
      <c r="AG519" s="235"/>
      <c r="AH519" s="235"/>
      <c r="AI519" s="235"/>
      <c r="AJ519" s="236"/>
      <c r="AK519" s="235"/>
      <c r="AL519" s="235"/>
      <c r="AM519" s="235"/>
      <c r="AN519" s="235"/>
      <c r="AO519" s="235"/>
      <c r="AP519" s="235"/>
      <c r="AQ519" s="235"/>
      <c r="AR519" s="235"/>
      <c r="AS519" s="235"/>
      <c r="AT519" s="235"/>
      <c r="AU519" s="236"/>
      <c r="AV519" s="235"/>
      <c r="AW519" s="235"/>
      <c r="AX519" s="235"/>
      <c r="AY519" s="235"/>
      <c r="AZ519" s="235"/>
      <c r="BA519" s="235"/>
      <c r="BB519" s="235"/>
      <c r="BC519" s="235"/>
      <c r="BD519" s="236"/>
      <c r="BE519" s="235"/>
      <c r="BF519" s="235"/>
      <c r="BG519" s="235"/>
      <c r="BH519" s="235"/>
      <c r="BI519" s="236"/>
      <c r="BJ519" s="236"/>
      <c r="BK519" s="238"/>
      <c r="BL519" s="239"/>
      <c r="BM519" s="239"/>
      <c r="BN519" s="239"/>
      <c r="BP519" s="236"/>
      <c r="BQ519" s="236"/>
      <c r="BR519" s="236"/>
      <c r="BS519" s="236"/>
      <c r="BT519" s="236"/>
      <c r="BU519" s="236"/>
      <c r="BV519" s="236"/>
      <c r="BW519" s="236"/>
      <c r="BX519" s="236"/>
      <c r="BY519" s="236"/>
      <c r="BZ519" s="236"/>
      <c r="CA519" s="236"/>
      <c r="CB519" s="236"/>
      <c r="CC519" s="236"/>
      <c r="CD519" s="236"/>
      <c r="CE519" s="236"/>
      <c r="CF519" s="236"/>
      <c r="CG519" s="236"/>
      <c r="CH519" s="236"/>
      <c r="CI519" s="236"/>
      <c r="CJ519" s="236"/>
      <c r="CK519" s="236"/>
      <c r="CL519" s="236"/>
      <c r="CM519" s="236"/>
      <c r="CN519" s="236"/>
      <c r="CO519" s="236"/>
    </row>
    <row r="520" spans="5:93" s="230" customFormat="1">
      <c r="E520" s="234"/>
      <c r="F520" s="235"/>
      <c r="G520" s="235"/>
      <c r="H520" s="236"/>
      <c r="I520" s="235"/>
      <c r="J520" s="235"/>
      <c r="K520" s="235"/>
      <c r="L520" s="235"/>
      <c r="M520" s="236"/>
      <c r="N520" s="235"/>
      <c r="O520" s="235"/>
      <c r="P520" s="235"/>
      <c r="Q520" s="235"/>
      <c r="R520" s="235"/>
      <c r="S520" s="235"/>
      <c r="T520" s="235"/>
      <c r="U520" s="235"/>
      <c r="V520" s="235"/>
      <c r="W520" s="235"/>
      <c r="X520" s="235"/>
      <c r="Y520" s="235"/>
      <c r="Z520" s="235"/>
      <c r="AA520" s="235"/>
      <c r="AB520" s="235"/>
      <c r="AC520" s="235"/>
      <c r="AD520" s="235"/>
      <c r="AE520" s="236"/>
      <c r="AF520" s="235"/>
      <c r="AG520" s="235"/>
      <c r="AH520" s="235"/>
      <c r="AI520" s="235"/>
      <c r="AJ520" s="236"/>
      <c r="AK520" s="235"/>
      <c r="AL520" s="235"/>
      <c r="AM520" s="235"/>
      <c r="AN520" s="235"/>
      <c r="AO520" s="235"/>
      <c r="AP520" s="235"/>
      <c r="AQ520" s="235"/>
      <c r="AR520" s="235"/>
      <c r="AS520" s="235"/>
      <c r="AT520" s="235"/>
      <c r="AU520" s="236"/>
      <c r="AV520" s="235"/>
      <c r="AW520" s="235"/>
      <c r="AX520" s="235"/>
      <c r="AY520" s="235"/>
      <c r="AZ520" s="235"/>
      <c r="BA520" s="235"/>
      <c r="BB520" s="235"/>
      <c r="BC520" s="235"/>
      <c r="BD520" s="236"/>
      <c r="BE520" s="235"/>
      <c r="BF520" s="235"/>
      <c r="BG520" s="235"/>
      <c r="BH520" s="235"/>
      <c r="BI520" s="236"/>
      <c r="BJ520" s="236"/>
      <c r="BK520" s="238"/>
      <c r="BL520" s="239"/>
      <c r="BM520" s="239"/>
      <c r="BN520" s="239"/>
      <c r="BP520" s="236"/>
      <c r="BQ520" s="236"/>
      <c r="BR520" s="236"/>
      <c r="BS520" s="236"/>
      <c r="BT520" s="236"/>
      <c r="BU520" s="236"/>
      <c r="BV520" s="236"/>
      <c r="BW520" s="236"/>
      <c r="BX520" s="236"/>
      <c r="BY520" s="236"/>
      <c r="BZ520" s="236"/>
      <c r="CA520" s="236"/>
      <c r="CB520" s="236"/>
      <c r="CC520" s="236"/>
      <c r="CD520" s="236"/>
      <c r="CE520" s="236"/>
      <c r="CF520" s="236"/>
      <c r="CG520" s="236"/>
      <c r="CH520" s="236"/>
      <c r="CI520" s="236"/>
      <c r="CJ520" s="236"/>
      <c r="CK520" s="236"/>
      <c r="CL520" s="236"/>
      <c r="CM520" s="236"/>
      <c r="CN520" s="236"/>
      <c r="CO520" s="236"/>
    </row>
    <row r="521" spans="5:93" s="230" customFormat="1">
      <c r="E521" s="234"/>
      <c r="F521" s="235"/>
      <c r="G521" s="235"/>
      <c r="H521" s="236"/>
      <c r="I521" s="235"/>
      <c r="J521" s="235"/>
      <c r="K521" s="235"/>
      <c r="L521" s="235"/>
      <c r="M521" s="236"/>
      <c r="N521" s="235"/>
      <c r="O521" s="235"/>
      <c r="P521" s="235"/>
      <c r="Q521" s="235"/>
      <c r="R521" s="235"/>
      <c r="S521" s="235"/>
      <c r="T521" s="235"/>
      <c r="U521" s="235"/>
      <c r="V521" s="235"/>
      <c r="W521" s="235"/>
      <c r="X521" s="235"/>
      <c r="Y521" s="235"/>
      <c r="Z521" s="235"/>
      <c r="AA521" s="235"/>
      <c r="AB521" s="235"/>
      <c r="AC521" s="235"/>
      <c r="AD521" s="235"/>
      <c r="AE521" s="236"/>
      <c r="AF521" s="235"/>
      <c r="AG521" s="235"/>
      <c r="AH521" s="235"/>
      <c r="AI521" s="235"/>
      <c r="AJ521" s="236"/>
      <c r="AK521" s="235"/>
      <c r="AL521" s="235"/>
      <c r="AM521" s="235"/>
      <c r="AN521" s="235"/>
      <c r="AO521" s="235"/>
      <c r="AP521" s="235"/>
      <c r="AQ521" s="235"/>
      <c r="AR521" s="235"/>
      <c r="AS521" s="235"/>
      <c r="AT521" s="235"/>
      <c r="AU521" s="236"/>
      <c r="AV521" s="235"/>
      <c r="AW521" s="235"/>
      <c r="AX521" s="235"/>
      <c r="AY521" s="235"/>
      <c r="AZ521" s="235"/>
      <c r="BA521" s="235"/>
      <c r="BB521" s="235"/>
      <c r="BC521" s="235"/>
      <c r="BD521" s="236"/>
      <c r="BE521" s="235"/>
      <c r="BF521" s="235"/>
      <c r="BG521" s="235"/>
      <c r="BH521" s="235"/>
      <c r="BI521" s="236"/>
      <c r="BJ521" s="236"/>
      <c r="BK521" s="238"/>
      <c r="BL521" s="239"/>
      <c r="BM521" s="239"/>
      <c r="BN521" s="239"/>
      <c r="BP521" s="236"/>
      <c r="BQ521" s="236"/>
      <c r="BR521" s="236"/>
      <c r="BS521" s="236"/>
      <c r="BT521" s="236"/>
      <c r="BU521" s="236"/>
      <c r="BV521" s="236"/>
      <c r="BW521" s="236"/>
      <c r="BX521" s="236"/>
      <c r="BY521" s="236"/>
      <c r="BZ521" s="236"/>
      <c r="CA521" s="236"/>
      <c r="CB521" s="236"/>
      <c r="CC521" s="236"/>
      <c r="CD521" s="236"/>
      <c r="CE521" s="236"/>
      <c r="CF521" s="236"/>
      <c r="CG521" s="236"/>
      <c r="CH521" s="236"/>
      <c r="CI521" s="236"/>
      <c r="CJ521" s="236"/>
      <c r="CK521" s="236"/>
      <c r="CL521" s="236"/>
      <c r="CM521" s="236"/>
      <c r="CN521" s="236"/>
      <c r="CO521" s="236"/>
    </row>
    <row r="522" spans="5:93" s="230" customFormat="1">
      <c r="E522" s="234"/>
      <c r="F522" s="235"/>
      <c r="G522" s="235"/>
      <c r="H522" s="236"/>
      <c r="I522" s="235"/>
      <c r="J522" s="235"/>
      <c r="K522" s="235"/>
      <c r="L522" s="235"/>
      <c r="M522" s="236"/>
      <c r="N522" s="235"/>
      <c r="O522" s="235"/>
      <c r="P522" s="235"/>
      <c r="Q522" s="235"/>
      <c r="R522" s="235"/>
      <c r="S522" s="235"/>
      <c r="T522" s="235"/>
      <c r="U522" s="235"/>
      <c r="V522" s="235"/>
      <c r="W522" s="235"/>
      <c r="X522" s="235"/>
      <c r="Y522" s="235"/>
      <c r="Z522" s="235"/>
      <c r="AA522" s="235"/>
      <c r="AB522" s="235"/>
      <c r="AC522" s="235"/>
      <c r="AD522" s="235"/>
      <c r="AE522" s="236"/>
      <c r="AF522" s="235"/>
      <c r="AG522" s="235"/>
      <c r="AH522" s="235"/>
      <c r="AI522" s="235"/>
      <c r="AJ522" s="236"/>
      <c r="AK522" s="235"/>
      <c r="AL522" s="235"/>
      <c r="AM522" s="235"/>
      <c r="AN522" s="235"/>
      <c r="AO522" s="235"/>
      <c r="AP522" s="235"/>
      <c r="AQ522" s="235"/>
      <c r="AR522" s="235"/>
      <c r="AS522" s="235"/>
      <c r="AT522" s="235"/>
      <c r="AU522" s="236"/>
      <c r="AV522" s="235"/>
      <c r="AW522" s="235"/>
      <c r="AX522" s="235"/>
      <c r="AY522" s="235"/>
      <c r="AZ522" s="235"/>
      <c r="BA522" s="235"/>
      <c r="BB522" s="235"/>
      <c r="BC522" s="235"/>
      <c r="BD522" s="236"/>
      <c r="BE522" s="235"/>
      <c r="BF522" s="235"/>
      <c r="BG522" s="235"/>
      <c r="BH522" s="235"/>
      <c r="BI522" s="236"/>
      <c r="BJ522" s="236"/>
      <c r="BK522" s="238"/>
      <c r="BL522" s="239"/>
      <c r="BM522" s="239"/>
      <c r="BN522" s="239"/>
      <c r="BP522" s="236"/>
      <c r="BQ522" s="236"/>
      <c r="BR522" s="236"/>
      <c r="BS522" s="236"/>
      <c r="BT522" s="236"/>
      <c r="BU522" s="236"/>
      <c r="BV522" s="236"/>
      <c r="BW522" s="236"/>
      <c r="BX522" s="236"/>
      <c r="BY522" s="236"/>
      <c r="BZ522" s="236"/>
      <c r="CA522" s="236"/>
      <c r="CB522" s="236"/>
      <c r="CC522" s="236"/>
      <c r="CD522" s="236"/>
      <c r="CE522" s="236"/>
      <c r="CF522" s="236"/>
      <c r="CG522" s="236"/>
      <c r="CH522" s="236"/>
      <c r="CI522" s="236"/>
      <c r="CJ522" s="236"/>
      <c r="CK522" s="236"/>
      <c r="CL522" s="236"/>
      <c r="CM522" s="236"/>
      <c r="CN522" s="236"/>
      <c r="CO522" s="236"/>
    </row>
    <row r="523" spans="5:93" s="230" customFormat="1">
      <c r="E523" s="234"/>
      <c r="F523" s="235"/>
      <c r="G523" s="235"/>
      <c r="H523" s="236"/>
      <c r="I523" s="235"/>
      <c r="J523" s="235"/>
      <c r="K523" s="235"/>
      <c r="L523" s="235"/>
      <c r="M523" s="236"/>
      <c r="N523" s="235"/>
      <c r="O523" s="235"/>
      <c r="P523" s="235"/>
      <c r="Q523" s="235"/>
      <c r="R523" s="235"/>
      <c r="S523" s="235"/>
      <c r="T523" s="235"/>
      <c r="U523" s="235"/>
      <c r="V523" s="235"/>
      <c r="W523" s="235"/>
      <c r="X523" s="235"/>
      <c r="Y523" s="235"/>
      <c r="Z523" s="235"/>
      <c r="AA523" s="235"/>
      <c r="AB523" s="235"/>
      <c r="AC523" s="235"/>
      <c r="AD523" s="235"/>
      <c r="AE523" s="236"/>
      <c r="AF523" s="235"/>
      <c r="AG523" s="235"/>
      <c r="AH523" s="235"/>
      <c r="AI523" s="235"/>
      <c r="AJ523" s="236"/>
      <c r="AK523" s="235"/>
      <c r="AL523" s="235"/>
      <c r="AM523" s="235"/>
      <c r="AN523" s="235"/>
      <c r="AO523" s="235"/>
      <c r="AP523" s="235"/>
      <c r="AQ523" s="235"/>
      <c r="AR523" s="235"/>
      <c r="AS523" s="235"/>
      <c r="AT523" s="235"/>
      <c r="AU523" s="236"/>
      <c r="AV523" s="235"/>
      <c r="AW523" s="235"/>
      <c r="AX523" s="235"/>
      <c r="AY523" s="235"/>
      <c r="AZ523" s="235"/>
      <c r="BA523" s="235"/>
      <c r="BB523" s="235"/>
      <c r="BC523" s="235"/>
      <c r="BD523" s="236"/>
      <c r="BE523" s="235"/>
      <c r="BF523" s="235"/>
      <c r="BG523" s="235"/>
      <c r="BH523" s="235"/>
      <c r="BI523" s="236"/>
      <c r="BJ523" s="236"/>
      <c r="BK523" s="238"/>
      <c r="BL523" s="239"/>
      <c r="BM523" s="239"/>
      <c r="BN523" s="239"/>
      <c r="BP523" s="236"/>
      <c r="BQ523" s="236"/>
      <c r="BR523" s="236"/>
      <c r="BS523" s="236"/>
      <c r="BT523" s="236"/>
      <c r="BU523" s="236"/>
      <c r="BV523" s="236"/>
      <c r="BW523" s="236"/>
      <c r="BX523" s="236"/>
      <c r="BY523" s="236"/>
      <c r="BZ523" s="236"/>
      <c r="CA523" s="236"/>
      <c r="CB523" s="236"/>
      <c r="CC523" s="236"/>
      <c r="CD523" s="236"/>
      <c r="CE523" s="236"/>
      <c r="CF523" s="236"/>
      <c r="CG523" s="236"/>
      <c r="CH523" s="236"/>
      <c r="CI523" s="236"/>
      <c r="CJ523" s="236"/>
      <c r="CK523" s="236"/>
      <c r="CL523" s="236"/>
      <c r="CM523" s="236"/>
      <c r="CN523" s="236"/>
      <c r="CO523" s="236"/>
    </row>
    <row r="524" spans="5:93" s="230" customFormat="1">
      <c r="E524" s="234"/>
      <c r="F524" s="235"/>
      <c r="G524" s="235"/>
      <c r="H524" s="236"/>
      <c r="I524" s="235"/>
      <c r="J524" s="235"/>
      <c r="K524" s="235"/>
      <c r="L524" s="235"/>
      <c r="M524" s="236"/>
      <c r="N524" s="235"/>
      <c r="O524" s="235"/>
      <c r="P524" s="235"/>
      <c r="Q524" s="235"/>
      <c r="R524" s="235"/>
      <c r="S524" s="235"/>
      <c r="T524" s="235"/>
      <c r="U524" s="235"/>
      <c r="V524" s="235"/>
      <c r="W524" s="235"/>
      <c r="X524" s="235"/>
      <c r="Y524" s="235"/>
      <c r="Z524" s="235"/>
      <c r="AA524" s="235"/>
      <c r="AB524" s="235"/>
      <c r="AC524" s="235"/>
      <c r="AD524" s="235"/>
      <c r="AE524" s="236"/>
      <c r="AF524" s="235"/>
      <c r="AG524" s="235"/>
      <c r="AH524" s="235"/>
      <c r="AI524" s="235"/>
      <c r="AJ524" s="236"/>
      <c r="AK524" s="235"/>
      <c r="AL524" s="235"/>
      <c r="AM524" s="235"/>
      <c r="AN524" s="235"/>
      <c r="AO524" s="235"/>
      <c r="AP524" s="235"/>
      <c r="AQ524" s="235"/>
      <c r="AR524" s="235"/>
      <c r="AS524" s="235"/>
      <c r="AT524" s="235"/>
      <c r="AU524" s="236"/>
      <c r="AV524" s="235"/>
      <c r="AW524" s="235"/>
      <c r="AX524" s="235"/>
      <c r="AY524" s="235"/>
      <c r="AZ524" s="235"/>
      <c r="BA524" s="235"/>
      <c r="BB524" s="235"/>
      <c r="BC524" s="235"/>
      <c r="BD524" s="236"/>
      <c r="BE524" s="235"/>
      <c r="BF524" s="235"/>
      <c r="BG524" s="235"/>
      <c r="BH524" s="235"/>
      <c r="BI524" s="236"/>
      <c r="BJ524" s="236"/>
      <c r="BK524" s="238"/>
      <c r="BL524" s="239"/>
      <c r="BM524" s="239"/>
      <c r="BN524" s="239"/>
      <c r="BP524" s="236"/>
      <c r="BQ524" s="236"/>
      <c r="BR524" s="236"/>
      <c r="BS524" s="236"/>
      <c r="BT524" s="236"/>
      <c r="BU524" s="236"/>
      <c r="BV524" s="236"/>
      <c r="BW524" s="236"/>
      <c r="BX524" s="236"/>
      <c r="BY524" s="236"/>
      <c r="BZ524" s="236"/>
      <c r="CA524" s="236"/>
      <c r="CB524" s="236"/>
      <c r="CC524" s="236"/>
      <c r="CD524" s="236"/>
      <c r="CE524" s="236"/>
      <c r="CF524" s="236"/>
      <c r="CG524" s="236"/>
      <c r="CH524" s="236"/>
      <c r="CI524" s="236"/>
      <c r="CJ524" s="236"/>
      <c r="CK524" s="236"/>
      <c r="CL524" s="236"/>
      <c r="CM524" s="236"/>
      <c r="CN524" s="236"/>
      <c r="CO524" s="236"/>
    </row>
    <row r="525" spans="5:93" s="230" customFormat="1">
      <c r="E525" s="234"/>
      <c r="F525" s="235"/>
      <c r="G525" s="235"/>
      <c r="H525" s="236"/>
      <c r="I525" s="235"/>
      <c r="J525" s="235"/>
      <c r="K525" s="235"/>
      <c r="L525" s="235"/>
      <c r="M525" s="236"/>
      <c r="N525" s="235"/>
      <c r="O525" s="235"/>
      <c r="P525" s="235"/>
      <c r="Q525" s="235"/>
      <c r="R525" s="235"/>
      <c r="S525" s="235"/>
      <c r="T525" s="235"/>
      <c r="U525" s="235"/>
      <c r="V525" s="235"/>
      <c r="W525" s="235"/>
      <c r="X525" s="235"/>
      <c r="Y525" s="235"/>
      <c r="Z525" s="235"/>
      <c r="AA525" s="235"/>
      <c r="AB525" s="235"/>
      <c r="AC525" s="235"/>
      <c r="AD525" s="235"/>
      <c r="AE525" s="236"/>
      <c r="AF525" s="235"/>
      <c r="AG525" s="235"/>
      <c r="AH525" s="235"/>
      <c r="AI525" s="235"/>
      <c r="AJ525" s="236"/>
      <c r="AK525" s="235"/>
      <c r="AL525" s="235"/>
      <c r="AM525" s="235"/>
      <c r="AN525" s="235"/>
      <c r="AO525" s="235"/>
      <c r="AP525" s="235"/>
      <c r="AQ525" s="235"/>
      <c r="AR525" s="235"/>
      <c r="AS525" s="235"/>
      <c r="AT525" s="235"/>
      <c r="AU525" s="236"/>
      <c r="AV525" s="235"/>
      <c r="AW525" s="235"/>
      <c r="AX525" s="235"/>
      <c r="AY525" s="235"/>
      <c r="AZ525" s="235"/>
      <c r="BA525" s="235"/>
      <c r="BB525" s="235"/>
      <c r="BC525" s="235"/>
      <c r="BD525" s="236"/>
      <c r="BE525" s="235"/>
      <c r="BF525" s="235"/>
      <c r="BG525" s="235"/>
      <c r="BH525" s="235"/>
      <c r="BI525" s="236"/>
      <c r="BJ525" s="236"/>
      <c r="BK525" s="238"/>
      <c r="BL525" s="239"/>
      <c r="BM525" s="239"/>
      <c r="BN525" s="239"/>
      <c r="BP525" s="236"/>
      <c r="BQ525" s="236"/>
      <c r="BR525" s="236"/>
      <c r="BS525" s="236"/>
      <c r="BT525" s="236"/>
      <c r="BU525" s="236"/>
      <c r="BV525" s="236"/>
      <c r="BW525" s="236"/>
      <c r="BX525" s="236"/>
      <c r="BY525" s="236"/>
      <c r="BZ525" s="236"/>
      <c r="CA525" s="236"/>
      <c r="CB525" s="236"/>
      <c r="CC525" s="236"/>
      <c r="CD525" s="236"/>
      <c r="CE525" s="236"/>
      <c r="CF525" s="236"/>
      <c r="CG525" s="236"/>
      <c r="CH525" s="236"/>
      <c r="CI525" s="236"/>
      <c r="CJ525" s="236"/>
      <c r="CK525" s="236"/>
      <c r="CL525" s="236"/>
      <c r="CM525" s="236"/>
      <c r="CN525" s="236"/>
      <c r="CO525" s="236"/>
    </row>
    <row r="526" spans="5:93" s="230" customFormat="1">
      <c r="E526" s="234"/>
      <c r="F526" s="235"/>
      <c r="G526" s="235"/>
      <c r="H526" s="236"/>
      <c r="I526" s="235"/>
      <c r="J526" s="235"/>
      <c r="K526" s="235"/>
      <c r="L526" s="235"/>
      <c r="M526" s="236"/>
      <c r="N526" s="235"/>
      <c r="O526" s="235"/>
      <c r="P526" s="235"/>
      <c r="Q526" s="235"/>
      <c r="R526" s="235"/>
      <c r="S526" s="235"/>
      <c r="T526" s="235"/>
      <c r="U526" s="235"/>
      <c r="V526" s="235"/>
      <c r="W526" s="235"/>
      <c r="X526" s="235"/>
      <c r="Y526" s="235"/>
      <c r="Z526" s="235"/>
      <c r="AA526" s="235"/>
      <c r="AB526" s="235"/>
      <c r="AC526" s="235"/>
      <c r="AD526" s="235"/>
      <c r="AE526" s="236"/>
      <c r="AF526" s="235"/>
      <c r="AG526" s="235"/>
      <c r="AH526" s="235"/>
      <c r="AI526" s="235"/>
      <c r="AJ526" s="236"/>
      <c r="AK526" s="235"/>
      <c r="AL526" s="235"/>
      <c r="AM526" s="235"/>
      <c r="AN526" s="235"/>
      <c r="AO526" s="235"/>
      <c r="AP526" s="235"/>
      <c r="AQ526" s="235"/>
      <c r="AR526" s="235"/>
      <c r="AS526" s="235"/>
      <c r="AT526" s="235"/>
      <c r="AU526" s="236"/>
      <c r="AV526" s="235"/>
      <c r="AW526" s="235"/>
      <c r="AX526" s="235"/>
      <c r="AY526" s="235"/>
      <c r="AZ526" s="235"/>
      <c r="BA526" s="235"/>
      <c r="BB526" s="235"/>
      <c r="BC526" s="235"/>
      <c r="BD526" s="236"/>
      <c r="BE526" s="235"/>
      <c r="BF526" s="235"/>
      <c r="BG526" s="235"/>
      <c r="BH526" s="235"/>
      <c r="BI526" s="236"/>
      <c r="BJ526" s="236"/>
      <c r="BK526" s="238"/>
      <c r="BL526" s="239"/>
      <c r="BM526" s="239"/>
      <c r="BN526" s="239"/>
      <c r="BP526" s="236"/>
      <c r="BQ526" s="236"/>
      <c r="BR526" s="236"/>
      <c r="BS526" s="236"/>
      <c r="BT526" s="236"/>
      <c r="BU526" s="236"/>
      <c r="BV526" s="236"/>
      <c r="BW526" s="236"/>
      <c r="BX526" s="236"/>
      <c r="BY526" s="236"/>
      <c r="BZ526" s="236"/>
      <c r="CA526" s="236"/>
      <c r="CB526" s="236"/>
      <c r="CC526" s="236"/>
      <c r="CD526" s="236"/>
      <c r="CE526" s="236"/>
      <c r="CF526" s="236"/>
      <c r="CG526" s="236"/>
      <c r="CH526" s="236"/>
      <c r="CI526" s="236"/>
      <c r="CJ526" s="236"/>
      <c r="CK526" s="236"/>
      <c r="CL526" s="236"/>
      <c r="CM526" s="236"/>
      <c r="CN526" s="236"/>
      <c r="CO526" s="236"/>
    </row>
    <row r="527" spans="5:93" s="230" customFormat="1">
      <c r="E527" s="234"/>
      <c r="F527" s="235"/>
      <c r="G527" s="235"/>
      <c r="H527" s="236"/>
      <c r="I527" s="235"/>
      <c r="J527" s="235"/>
      <c r="K527" s="235"/>
      <c r="L527" s="235"/>
      <c r="M527" s="236"/>
      <c r="N527" s="235"/>
      <c r="O527" s="235"/>
      <c r="P527" s="235"/>
      <c r="Q527" s="235"/>
      <c r="R527" s="235"/>
      <c r="S527" s="235"/>
      <c r="T527" s="235"/>
      <c r="U527" s="235"/>
      <c r="V527" s="235"/>
      <c r="W527" s="235"/>
      <c r="X527" s="235"/>
      <c r="Y527" s="235"/>
      <c r="Z527" s="235"/>
      <c r="AA527" s="235"/>
      <c r="AB527" s="235"/>
      <c r="AC527" s="235"/>
      <c r="AD527" s="235"/>
      <c r="AE527" s="236"/>
      <c r="AF527" s="235"/>
      <c r="AG527" s="235"/>
      <c r="AH527" s="235"/>
      <c r="AI527" s="235"/>
      <c r="AJ527" s="236"/>
      <c r="AK527" s="235"/>
      <c r="AL527" s="235"/>
      <c r="AM527" s="235"/>
      <c r="AN527" s="235"/>
      <c r="AO527" s="235"/>
      <c r="AP527" s="235"/>
      <c r="AQ527" s="235"/>
      <c r="AR527" s="235"/>
      <c r="AS527" s="235"/>
      <c r="AT527" s="235"/>
      <c r="AU527" s="236"/>
      <c r="AV527" s="235"/>
      <c r="AW527" s="235"/>
      <c r="AX527" s="235"/>
      <c r="AY527" s="235"/>
      <c r="AZ527" s="235"/>
      <c r="BA527" s="235"/>
      <c r="BB527" s="235"/>
      <c r="BC527" s="235"/>
      <c r="BD527" s="236"/>
      <c r="BE527" s="235"/>
      <c r="BF527" s="235"/>
      <c r="BG527" s="235"/>
      <c r="BH527" s="235"/>
      <c r="BI527" s="236"/>
      <c r="BJ527" s="236"/>
      <c r="BK527" s="238"/>
      <c r="BL527" s="239"/>
      <c r="BM527" s="239"/>
      <c r="BN527" s="239"/>
      <c r="BP527" s="236"/>
      <c r="BQ527" s="236"/>
      <c r="BR527" s="236"/>
      <c r="BS527" s="236"/>
      <c r="BT527" s="236"/>
      <c r="BU527" s="236"/>
      <c r="BV527" s="236"/>
      <c r="BW527" s="236"/>
      <c r="BX527" s="236"/>
      <c r="BY527" s="236"/>
      <c r="BZ527" s="236"/>
      <c r="CA527" s="236"/>
      <c r="CB527" s="236"/>
      <c r="CC527" s="236"/>
      <c r="CD527" s="236"/>
      <c r="CE527" s="236"/>
      <c r="CF527" s="236"/>
      <c r="CG527" s="236"/>
      <c r="CH527" s="236"/>
      <c r="CI527" s="236"/>
      <c r="CJ527" s="236"/>
      <c r="CK527" s="236"/>
      <c r="CL527" s="236"/>
      <c r="CM527" s="236"/>
      <c r="CN527" s="236"/>
      <c r="CO527" s="236"/>
    </row>
    <row r="528" spans="5:93" s="230" customFormat="1">
      <c r="E528" s="234"/>
      <c r="F528" s="235"/>
      <c r="G528" s="235"/>
      <c r="H528" s="236"/>
      <c r="I528" s="235"/>
      <c r="J528" s="235"/>
      <c r="K528" s="235"/>
      <c r="L528" s="235"/>
      <c r="M528" s="236"/>
      <c r="N528" s="235"/>
      <c r="O528" s="235"/>
      <c r="P528" s="235"/>
      <c r="Q528" s="235"/>
      <c r="R528" s="235"/>
      <c r="S528" s="235"/>
      <c r="T528" s="235"/>
      <c r="U528" s="235"/>
      <c r="V528" s="235"/>
      <c r="W528" s="235"/>
      <c r="X528" s="235"/>
      <c r="Y528" s="235"/>
      <c r="Z528" s="235"/>
      <c r="AA528" s="235"/>
      <c r="AB528" s="235"/>
      <c r="AC528" s="235"/>
      <c r="AD528" s="235"/>
      <c r="AE528" s="236"/>
      <c r="AF528" s="235"/>
      <c r="AG528" s="235"/>
      <c r="AH528" s="235"/>
      <c r="AI528" s="235"/>
      <c r="AJ528" s="236"/>
      <c r="AK528" s="235"/>
      <c r="AL528" s="235"/>
      <c r="AM528" s="235"/>
      <c r="AN528" s="235"/>
      <c r="AO528" s="235"/>
      <c r="AP528" s="235"/>
      <c r="AQ528" s="235"/>
      <c r="AR528" s="235"/>
      <c r="AS528" s="235"/>
      <c r="AT528" s="235"/>
      <c r="AU528" s="236"/>
      <c r="AV528" s="235"/>
      <c r="AW528" s="235"/>
      <c r="AX528" s="235"/>
      <c r="AY528" s="235"/>
      <c r="AZ528" s="235"/>
      <c r="BA528" s="235"/>
      <c r="BB528" s="235"/>
      <c r="BC528" s="235"/>
      <c r="BD528" s="236"/>
      <c r="BE528" s="235"/>
      <c r="BF528" s="235"/>
      <c r="BG528" s="235"/>
      <c r="BH528" s="235"/>
      <c r="BI528" s="236"/>
      <c r="BJ528" s="236"/>
      <c r="BK528" s="238"/>
      <c r="BL528" s="239"/>
      <c r="BM528" s="239"/>
      <c r="BN528" s="239"/>
      <c r="BP528" s="236"/>
      <c r="BQ528" s="236"/>
      <c r="BR528" s="236"/>
      <c r="BS528" s="236"/>
      <c r="BT528" s="236"/>
      <c r="BU528" s="236"/>
      <c r="BV528" s="236"/>
      <c r="BW528" s="236"/>
      <c r="BX528" s="236"/>
      <c r="BY528" s="236"/>
      <c r="BZ528" s="236"/>
      <c r="CA528" s="236"/>
      <c r="CB528" s="236"/>
      <c r="CC528" s="236"/>
      <c r="CD528" s="236"/>
      <c r="CE528" s="236"/>
      <c r="CF528" s="236"/>
      <c r="CG528" s="236"/>
      <c r="CH528" s="236"/>
      <c r="CI528" s="236"/>
      <c r="CJ528" s="236"/>
      <c r="CK528" s="236"/>
      <c r="CL528" s="236"/>
      <c r="CM528" s="236"/>
      <c r="CN528" s="236"/>
      <c r="CO528" s="236"/>
    </row>
    <row r="529" spans="5:93" s="230" customFormat="1">
      <c r="E529" s="234"/>
      <c r="F529" s="235"/>
      <c r="G529" s="235"/>
      <c r="H529" s="236"/>
      <c r="I529" s="235"/>
      <c r="J529" s="235"/>
      <c r="K529" s="235"/>
      <c r="L529" s="235"/>
      <c r="M529" s="236"/>
      <c r="N529" s="235"/>
      <c r="O529" s="235"/>
      <c r="P529" s="235"/>
      <c r="Q529" s="235"/>
      <c r="R529" s="235"/>
      <c r="S529" s="235"/>
      <c r="T529" s="235"/>
      <c r="U529" s="235"/>
      <c r="V529" s="235"/>
      <c r="W529" s="235"/>
      <c r="X529" s="235"/>
      <c r="Y529" s="235"/>
      <c r="Z529" s="235"/>
      <c r="AA529" s="235"/>
      <c r="AB529" s="235"/>
      <c r="AC529" s="235"/>
      <c r="AD529" s="235"/>
      <c r="AE529" s="236"/>
      <c r="AF529" s="235"/>
      <c r="AG529" s="235"/>
      <c r="AH529" s="235"/>
      <c r="AI529" s="235"/>
      <c r="AJ529" s="236"/>
      <c r="AK529" s="235"/>
      <c r="AL529" s="235"/>
      <c r="AM529" s="235"/>
      <c r="AN529" s="235"/>
      <c r="AO529" s="235"/>
      <c r="AP529" s="235"/>
      <c r="AQ529" s="235"/>
      <c r="AR529" s="235"/>
      <c r="AS529" s="235"/>
      <c r="AT529" s="235"/>
      <c r="AU529" s="236"/>
      <c r="AV529" s="235"/>
      <c r="AW529" s="235"/>
      <c r="AX529" s="235"/>
      <c r="AY529" s="235"/>
      <c r="AZ529" s="235"/>
      <c r="BA529" s="235"/>
      <c r="BB529" s="235"/>
      <c r="BC529" s="235"/>
      <c r="BD529" s="236"/>
      <c r="BE529" s="235"/>
      <c r="BF529" s="235"/>
      <c r="BG529" s="235"/>
      <c r="BH529" s="235"/>
      <c r="BI529" s="236"/>
      <c r="BJ529" s="236"/>
      <c r="BK529" s="238"/>
      <c r="BL529" s="239"/>
      <c r="BM529" s="239"/>
      <c r="BN529" s="239"/>
      <c r="BP529" s="236"/>
      <c r="BQ529" s="236"/>
      <c r="BR529" s="236"/>
      <c r="BS529" s="236"/>
      <c r="BT529" s="236"/>
      <c r="BU529" s="236"/>
      <c r="BV529" s="236"/>
      <c r="BW529" s="236"/>
      <c r="BX529" s="236"/>
      <c r="BY529" s="236"/>
      <c r="BZ529" s="236"/>
      <c r="CA529" s="236"/>
      <c r="CB529" s="236"/>
      <c r="CC529" s="236"/>
      <c r="CD529" s="236"/>
      <c r="CE529" s="236"/>
      <c r="CF529" s="236"/>
      <c r="CG529" s="236"/>
      <c r="CH529" s="236"/>
      <c r="CI529" s="236"/>
      <c r="CJ529" s="236"/>
      <c r="CK529" s="236"/>
      <c r="CL529" s="236"/>
      <c r="CM529" s="236"/>
      <c r="CN529" s="236"/>
      <c r="CO529" s="236"/>
    </row>
    <row r="530" spans="5:93" s="230" customFormat="1">
      <c r="E530" s="234"/>
      <c r="F530" s="235"/>
      <c r="G530" s="235"/>
      <c r="H530" s="236"/>
      <c r="I530" s="235"/>
      <c r="J530" s="235"/>
      <c r="K530" s="235"/>
      <c r="L530" s="235"/>
      <c r="M530" s="236"/>
      <c r="N530" s="235"/>
      <c r="O530" s="235"/>
      <c r="P530" s="235"/>
      <c r="Q530" s="235"/>
      <c r="R530" s="235"/>
      <c r="S530" s="235"/>
      <c r="T530" s="235"/>
      <c r="U530" s="235"/>
      <c r="V530" s="235"/>
      <c r="W530" s="235"/>
      <c r="X530" s="235"/>
      <c r="Y530" s="235"/>
      <c r="Z530" s="235"/>
      <c r="AA530" s="235"/>
      <c r="AB530" s="235"/>
      <c r="AC530" s="235"/>
      <c r="AD530" s="235"/>
      <c r="AE530" s="236"/>
      <c r="AF530" s="235"/>
      <c r="AG530" s="235"/>
      <c r="AH530" s="235"/>
      <c r="AI530" s="235"/>
      <c r="AJ530" s="236"/>
      <c r="AK530" s="235"/>
      <c r="AL530" s="235"/>
      <c r="AM530" s="235"/>
      <c r="AN530" s="235"/>
      <c r="AO530" s="235"/>
      <c r="AP530" s="235"/>
      <c r="AQ530" s="235"/>
      <c r="AR530" s="235"/>
      <c r="AS530" s="235"/>
      <c r="AT530" s="235"/>
      <c r="AU530" s="236"/>
      <c r="AV530" s="235"/>
      <c r="AW530" s="235"/>
      <c r="AX530" s="235"/>
      <c r="AY530" s="235"/>
      <c r="AZ530" s="235"/>
      <c r="BA530" s="235"/>
      <c r="BB530" s="235"/>
      <c r="BC530" s="235"/>
      <c r="BD530" s="236"/>
      <c r="BE530" s="235"/>
      <c r="BF530" s="235"/>
      <c r="BG530" s="235"/>
      <c r="BH530" s="235"/>
      <c r="BI530" s="236"/>
      <c r="BJ530" s="236"/>
      <c r="BK530" s="238"/>
      <c r="BL530" s="239"/>
      <c r="BM530" s="239"/>
      <c r="BN530" s="239"/>
      <c r="BP530" s="236"/>
      <c r="BQ530" s="236"/>
      <c r="BR530" s="236"/>
      <c r="BS530" s="236"/>
      <c r="BT530" s="236"/>
      <c r="BU530" s="236"/>
      <c r="BV530" s="236"/>
      <c r="BW530" s="236"/>
      <c r="BX530" s="236"/>
      <c r="BY530" s="236"/>
      <c r="BZ530" s="236"/>
      <c r="CA530" s="236"/>
      <c r="CB530" s="236"/>
      <c r="CC530" s="236"/>
      <c r="CD530" s="236"/>
      <c r="CE530" s="236"/>
      <c r="CF530" s="236"/>
      <c r="CG530" s="236"/>
      <c r="CH530" s="236"/>
      <c r="CI530" s="236"/>
      <c r="CJ530" s="236"/>
      <c r="CK530" s="236"/>
      <c r="CL530" s="236"/>
      <c r="CM530" s="236"/>
      <c r="CN530" s="236"/>
      <c r="CO530" s="236"/>
    </row>
    <row r="531" spans="5:93" s="230" customFormat="1">
      <c r="E531" s="234"/>
      <c r="F531" s="235"/>
      <c r="G531" s="235"/>
      <c r="H531" s="236"/>
      <c r="I531" s="235"/>
      <c r="J531" s="235"/>
      <c r="K531" s="235"/>
      <c r="L531" s="235"/>
      <c r="M531" s="236"/>
      <c r="N531" s="235"/>
      <c r="O531" s="235"/>
      <c r="P531" s="235"/>
      <c r="Q531" s="235"/>
      <c r="R531" s="235"/>
      <c r="S531" s="235"/>
      <c r="T531" s="235"/>
      <c r="U531" s="235"/>
      <c r="V531" s="235"/>
      <c r="W531" s="235"/>
      <c r="X531" s="235"/>
      <c r="Y531" s="235"/>
      <c r="Z531" s="235"/>
      <c r="AA531" s="235"/>
      <c r="AB531" s="235"/>
      <c r="AC531" s="235"/>
      <c r="AD531" s="235"/>
      <c r="AE531" s="236"/>
      <c r="AF531" s="235"/>
      <c r="AG531" s="235"/>
      <c r="AH531" s="235"/>
      <c r="AI531" s="235"/>
      <c r="AJ531" s="236"/>
      <c r="AK531" s="235"/>
      <c r="AL531" s="235"/>
      <c r="AM531" s="235"/>
      <c r="AN531" s="235"/>
      <c r="AO531" s="235"/>
      <c r="AP531" s="235"/>
      <c r="AQ531" s="235"/>
      <c r="AR531" s="235"/>
      <c r="AS531" s="235"/>
      <c r="AT531" s="235"/>
      <c r="AU531" s="236"/>
      <c r="AV531" s="235"/>
      <c r="AW531" s="235"/>
      <c r="AX531" s="235"/>
      <c r="AY531" s="235"/>
      <c r="AZ531" s="235"/>
      <c r="BA531" s="235"/>
      <c r="BB531" s="235"/>
      <c r="BC531" s="235"/>
      <c r="BD531" s="236"/>
      <c r="BE531" s="235"/>
      <c r="BF531" s="235"/>
      <c r="BG531" s="235"/>
      <c r="BH531" s="235"/>
      <c r="BI531" s="236"/>
      <c r="BJ531" s="236"/>
      <c r="BK531" s="238"/>
      <c r="BL531" s="239"/>
      <c r="BM531" s="239"/>
      <c r="BN531" s="239"/>
      <c r="BP531" s="236"/>
      <c r="BQ531" s="236"/>
      <c r="BR531" s="236"/>
      <c r="BS531" s="236"/>
      <c r="BT531" s="236"/>
      <c r="BU531" s="236"/>
      <c r="BV531" s="236"/>
      <c r="BW531" s="236"/>
      <c r="BX531" s="236"/>
      <c r="BY531" s="236"/>
      <c r="BZ531" s="236"/>
      <c r="CA531" s="236"/>
      <c r="CB531" s="236"/>
      <c r="CC531" s="236"/>
      <c r="CD531" s="236"/>
      <c r="CE531" s="236"/>
      <c r="CF531" s="236"/>
      <c r="CG531" s="236"/>
      <c r="CH531" s="236"/>
      <c r="CI531" s="236"/>
      <c r="CJ531" s="236"/>
      <c r="CK531" s="236"/>
      <c r="CL531" s="236"/>
      <c r="CM531" s="236"/>
      <c r="CN531" s="236"/>
      <c r="CO531" s="236"/>
    </row>
    <row r="532" spans="5:93" s="230" customFormat="1">
      <c r="E532" s="234"/>
      <c r="F532" s="235"/>
      <c r="G532" s="235"/>
      <c r="H532" s="236"/>
      <c r="I532" s="235"/>
      <c r="J532" s="235"/>
      <c r="K532" s="235"/>
      <c r="L532" s="235"/>
      <c r="M532" s="236"/>
      <c r="N532" s="235"/>
      <c r="O532" s="235"/>
      <c r="P532" s="235"/>
      <c r="Q532" s="235"/>
      <c r="R532" s="235"/>
      <c r="S532" s="235"/>
      <c r="T532" s="235"/>
      <c r="U532" s="235"/>
      <c r="V532" s="235"/>
      <c r="W532" s="235"/>
      <c r="X532" s="235"/>
      <c r="Y532" s="235"/>
      <c r="Z532" s="235"/>
      <c r="AA532" s="235"/>
      <c r="AB532" s="235"/>
      <c r="AC532" s="235"/>
      <c r="AD532" s="235"/>
      <c r="AE532" s="236"/>
      <c r="AF532" s="235"/>
      <c r="AG532" s="235"/>
      <c r="AH532" s="235"/>
      <c r="AI532" s="235"/>
      <c r="AJ532" s="236"/>
      <c r="AK532" s="235"/>
      <c r="AL532" s="235"/>
      <c r="AM532" s="235"/>
      <c r="AN532" s="235"/>
      <c r="AO532" s="235"/>
      <c r="AP532" s="235"/>
      <c r="AQ532" s="235"/>
      <c r="AR532" s="235"/>
      <c r="AS532" s="235"/>
      <c r="AT532" s="235"/>
      <c r="AU532" s="236"/>
      <c r="AV532" s="235"/>
      <c r="AW532" s="235"/>
      <c r="AX532" s="235"/>
      <c r="AY532" s="235"/>
      <c r="AZ532" s="235"/>
      <c r="BA532" s="235"/>
      <c r="BB532" s="235"/>
      <c r="BC532" s="235"/>
      <c r="BD532" s="236"/>
      <c r="BE532" s="235"/>
      <c r="BF532" s="235"/>
      <c r="BG532" s="235"/>
      <c r="BH532" s="235"/>
      <c r="BI532" s="236"/>
      <c r="BJ532" s="236"/>
      <c r="BK532" s="238"/>
      <c r="BL532" s="239"/>
      <c r="BM532" s="239"/>
      <c r="BN532" s="239"/>
      <c r="BP532" s="236"/>
      <c r="BQ532" s="236"/>
      <c r="BR532" s="236"/>
      <c r="BS532" s="236"/>
      <c r="BT532" s="236"/>
      <c r="BU532" s="236"/>
      <c r="BV532" s="236"/>
      <c r="BW532" s="236"/>
      <c r="BX532" s="236"/>
      <c r="BY532" s="236"/>
      <c r="BZ532" s="236"/>
      <c r="CA532" s="236"/>
      <c r="CB532" s="236"/>
      <c r="CC532" s="236"/>
      <c r="CD532" s="236"/>
      <c r="CE532" s="236"/>
      <c r="CF532" s="236"/>
      <c r="CG532" s="236"/>
      <c r="CH532" s="236"/>
      <c r="CI532" s="236"/>
      <c r="CJ532" s="236"/>
      <c r="CK532" s="236"/>
      <c r="CL532" s="236"/>
      <c r="CM532" s="236"/>
      <c r="CN532" s="236"/>
      <c r="CO532" s="236"/>
    </row>
    <row r="533" spans="5:93" s="230" customFormat="1">
      <c r="E533" s="234"/>
      <c r="F533" s="235"/>
      <c r="G533" s="235"/>
      <c r="H533" s="236"/>
      <c r="I533" s="235"/>
      <c r="J533" s="235"/>
      <c r="K533" s="235"/>
      <c r="L533" s="235"/>
      <c r="M533" s="236"/>
      <c r="N533" s="235"/>
      <c r="O533" s="235"/>
      <c r="P533" s="235"/>
      <c r="Q533" s="235"/>
      <c r="R533" s="235"/>
      <c r="S533" s="235"/>
      <c r="T533" s="235"/>
      <c r="U533" s="235"/>
      <c r="V533" s="235"/>
      <c r="W533" s="235"/>
      <c r="X533" s="235"/>
      <c r="Y533" s="235"/>
      <c r="Z533" s="235"/>
      <c r="AA533" s="235"/>
      <c r="AB533" s="235"/>
      <c r="AC533" s="235"/>
      <c r="AD533" s="235"/>
      <c r="AE533" s="236"/>
      <c r="AF533" s="235"/>
      <c r="AG533" s="235"/>
      <c r="AH533" s="235"/>
      <c r="AI533" s="235"/>
      <c r="AJ533" s="236"/>
      <c r="AK533" s="235"/>
      <c r="AL533" s="235"/>
      <c r="AM533" s="235"/>
      <c r="AN533" s="235"/>
      <c r="AO533" s="235"/>
      <c r="AP533" s="235"/>
      <c r="AQ533" s="235"/>
      <c r="AR533" s="235"/>
      <c r="AS533" s="235"/>
      <c r="AT533" s="235"/>
      <c r="AU533" s="236"/>
      <c r="AV533" s="235"/>
      <c r="AW533" s="235"/>
      <c r="AX533" s="235"/>
      <c r="AY533" s="235"/>
      <c r="AZ533" s="235"/>
      <c r="BA533" s="235"/>
      <c r="BB533" s="235"/>
      <c r="BC533" s="235"/>
      <c r="BD533" s="236"/>
      <c r="BE533" s="235"/>
      <c r="BF533" s="235"/>
      <c r="BG533" s="235"/>
      <c r="BH533" s="235"/>
      <c r="BI533" s="236"/>
      <c r="BJ533" s="236"/>
      <c r="BK533" s="238"/>
      <c r="BL533" s="239"/>
      <c r="BM533" s="239"/>
      <c r="BN533" s="239"/>
      <c r="BP533" s="236"/>
      <c r="BQ533" s="236"/>
      <c r="BR533" s="236"/>
      <c r="BS533" s="236"/>
      <c r="BT533" s="236"/>
      <c r="BU533" s="236"/>
      <c r="BV533" s="236"/>
      <c r="BW533" s="236"/>
      <c r="BX533" s="236"/>
      <c r="BY533" s="236"/>
      <c r="BZ533" s="236"/>
      <c r="CA533" s="236"/>
      <c r="CB533" s="236"/>
      <c r="CC533" s="236"/>
      <c r="CD533" s="236"/>
      <c r="CE533" s="236"/>
      <c r="CF533" s="236"/>
      <c r="CG533" s="236"/>
      <c r="CH533" s="236"/>
      <c r="CI533" s="236"/>
      <c r="CJ533" s="236"/>
      <c r="CK533" s="236"/>
      <c r="CL533" s="236"/>
      <c r="CM533" s="236"/>
      <c r="CN533" s="236"/>
      <c r="CO533" s="236"/>
    </row>
    <row r="534" spans="5:93" s="230" customFormat="1">
      <c r="E534" s="234"/>
      <c r="F534" s="235"/>
      <c r="G534" s="235"/>
      <c r="H534" s="236"/>
      <c r="I534" s="235"/>
      <c r="J534" s="235"/>
      <c r="K534" s="235"/>
      <c r="L534" s="235"/>
      <c r="M534" s="236"/>
      <c r="N534" s="235"/>
      <c r="O534" s="235"/>
      <c r="P534" s="235"/>
      <c r="Q534" s="235"/>
      <c r="R534" s="235"/>
      <c r="S534" s="235"/>
      <c r="T534" s="235"/>
      <c r="U534" s="235"/>
      <c r="V534" s="235"/>
      <c r="W534" s="235"/>
      <c r="X534" s="235"/>
      <c r="Y534" s="235"/>
      <c r="Z534" s="235"/>
      <c r="AA534" s="235"/>
      <c r="AB534" s="235"/>
      <c r="AC534" s="235"/>
      <c r="AD534" s="235"/>
      <c r="AE534" s="236"/>
      <c r="AF534" s="235"/>
      <c r="AG534" s="235"/>
      <c r="AH534" s="235"/>
      <c r="AI534" s="235"/>
      <c r="AJ534" s="236"/>
      <c r="AK534" s="235"/>
      <c r="AL534" s="235"/>
      <c r="AM534" s="235"/>
      <c r="AN534" s="235"/>
      <c r="AO534" s="235"/>
      <c r="AP534" s="235"/>
      <c r="AQ534" s="235"/>
      <c r="AR534" s="235"/>
      <c r="AS534" s="235"/>
      <c r="AT534" s="235"/>
      <c r="AU534" s="236"/>
      <c r="AV534" s="235"/>
      <c r="AW534" s="235"/>
      <c r="AX534" s="235"/>
      <c r="AY534" s="235"/>
      <c r="AZ534" s="235"/>
      <c r="BA534" s="235"/>
      <c r="BB534" s="235"/>
      <c r="BC534" s="235"/>
      <c r="BD534" s="236"/>
      <c r="BE534" s="235"/>
      <c r="BF534" s="235"/>
      <c r="BG534" s="235"/>
      <c r="BH534" s="235"/>
      <c r="BI534" s="236"/>
      <c r="BJ534" s="236"/>
      <c r="BK534" s="238"/>
      <c r="BL534" s="239"/>
      <c r="BM534" s="239"/>
      <c r="BN534" s="239"/>
      <c r="BP534" s="236"/>
      <c r="BQ534" s="236"/>
      <c r="BR534" s="236"/>
      <c r="BS534" s="236"/>
      <c r="BT534" s="236"/>
      <c r="BU534" s="236"/>
      <c r="BV534" s="236"/>
      <c r="BW534" s="236"/>
      <c r="BX534" s="236"/>
      <c r="BY534" s="236"/>
      <c r="BZ534" s="236"/>
      <c r="CA534" s="236"/>
      <c r="CB534" s="236"/>
      <c r="CC534" s="236"/>
      <c r="CD534" s="236"/>
      <c r="CE534" s="236"/>
      <c r="CF534" s="236"/>
      <c r="CG534" s="236"/>
      <c r="CH534" s="236"/>
      <c r="CI534" s="236"/>
      <c r="CJ534" s="236"/>
      <c r="CK534" s="236"/>
      <c r="CL534" s="236"/>
      <c r="CM534" s="236"/>
      <c r="CN534" s="236"/>
      <c r="CO534" s="236"/>
    </row>
    <row r="535" spans="5:93" s="230" customFormat="1">
      <c r="E535" s="234"/>
      <c r="F535" s="235"/>
      <c r="G535" s="235"/>
      <c r="H535" s="236"/>
      <c r="I535" s="235"/>
      <c r="J535" s="235"/>
      <c r="K535" s="235"/>
      <c r="L535" s="235"/>
      <c r="M535" s="236"/>
      <c r="N535" s="235"/>
      <c r="O535" s="235"/>
      <c r="P535" s="235"/>
      <c r="Q535" s="235"/>
      <c r="R535" s="235"/>
      <c r="S535" s="235"/>
      <c r="T535" s="235"/>
      <c r="U535" s="235"/>
      <c r="V535" s="235"/>
      <c r="W535" s="235"/>
      <c r="X535" s="235"/>
      <c r="Y535" s="235"/>
      <c r="Z535" s="235"/>
      <c r="AA535" s="235"/>
      <c r="AB535" s="235"/>
      <c r="AC535" s="235"/>
      <c r="AD535" s="235"/>
      <c r="AE535" s="236"/>
      <c r="AF535" s="235"/>
      <c r="AG535" s="235"/>
      <c r="AH535" s="235"/>
      <c r="AI535" s="235"/>
      <c r="AJ535" s="236"/>
      <c r="AK535" s="235"/>
      <c r="AL535" s="235"/>
      <c r="AM535" s="235"/>
      <c r="AN535" s="235"/>
      <c r="AO535" s="235"/>
      <c r="AP535" s="235"/>
      <c r="AQ535" s="235"/>
      <c r="AR535" s="235"/>
      <c r="AS535" s="235"/>
      <c r="AT535" s="235"/>
      <c r="AU535" s="236"/>
      <c r="AV535" s="235"/>
      <c r="AW535" s="235"/>
      <c r="AX535" s="235"/>
      <c r="AY535" s="235"/>
      <c r="AZ535" s="235"/>
      <c r="BA535" s="235"/>
      <c r="BB535" s="235"/>
      <c r="BC535" s="235"/>
      <c r="BD535" s="236"/>
      <c r="BE535" s="235"/>
      <c r="BF535" s="235"/>
      <c r="BG535" s="235"/>
      <c r="BH535" s="235"/>
      <c r="BI535" s="236"/>
      <c r="BJ535" s="236"/>
      <c r="BK535" s="238"/>
      <c r="BL535" s="239"/>
      <c r="BM535" s="239"/>
      <c r="BN535" s="239"/>
      <c r="BP535" s="236"/>
      <c r="BQ535" s="236"/>
      <c r="BR535" s="236"/>
      <c r="BS535" s="236"/>
      <c r="BT535" s="236"/>
      <c r="BU535" s="236"/>
      <c r="BV535" s="236"/>
      <c r="BW535" s="236"/>
      <c r="BX535" s="236"/>
      <c r="BY535" s="236"/>
      <c r="BZ535" s="236"/>
      <c r="CA535" s="236"/>
      <c r="CB535" s="236"/>
      <c r="CC535" s="236"/>
      <c r="CD535" s="236"/>
      <c r="CE535" s="236"/>
      <c r="CF535" s="236"/>
      <c r="CG535" s="236"/>
      <c r="CH535" s="236"/>
      <c r="CI535" s="236"/>
      <c r="CJ535" s="236"/>
      <c r="CK535" s="236"/>
      <c r="CL535" s="236"/>
      <c r="CM535" s="236"/>
      <c r="CN535" s="236"/>
      <c r="CO535" s="236"/>
    </row>
    <row r="536" spans="5:93" s="230" customFormat="1">
      <c r="E536" s="234"/>
      <c r="F536" s="235"/>
      <c r="G536" s="235"/>
      <c r="H536" s="236"/>
      <c r="I536" s="235"/>
      <c r="J536" s="235"/>
      <c r="K536" s="235"/>
      <c r="L536" s="235"/>
      <c r="M536" s="236"/>
      <c r="N536" s="235"/>
      <c r="O536" s="235"/>
      <c r="P536" s="235"/>
      <c r="Q536" s="235"/>
      <c r="R536" s="235"/>
      <c r="S536" s="235"/>
      <c r="T536" s="235"/>
      <c r="U536" s="235"/>
      <c r="V536" s="235"/>
      <c r="W536" s="235"/>
      <c r="X536" s="235"/>
      <c r="Y536" s="235"/>
      <c r="Z536" s="235"/>
      <c r="AA536" s="235"/>
      <c r="AB536" s="235"/>
      <c r="AC536" s="235"/>
      <c r="AD536" s="235"/>
      <c r="AE536" s="236"/>
      <c r="AF536" s="235"/>
      <c r="AG536" s="235"/>
      <c r="AH536" s="235"/>
      <c r="AI536" s="235"/>
      <c r="AJ536" s="236"/>
      <c r="AK536" s="235"/>
      <c r="AL536" s="235"/>
      <c r="AM536" s="235"/>
      <c r="AN536" s="235"/>
      <c r="AO536" s="235"/>
      <c r="AP536" s="235"/>
      <c r="AQ536" s="235"/>
      <c r="AR536" s="235"/>
      <c r="AS536" s="235"/>
      <c r="AT536" s="235"/>
      <c r="AU536" s="236"/>
      <c r="AV536" s="235"/>
      <c r="AW536" s="235"/>
      <c r="AX536" s="235"/>
      <c r="AY536" s="235"/>
      <c r="AZ536" s="235"/>
      <c r="BA536" s="235"/>
      <c r="BB536" s="235"/>
      <c r="BC536" s="235"/>
      <c r="BD536" s="236"/>
      <c r="BE536" s="235"/>
      <c r="BF536" s="235"/>
      <c r="BG536" s="235"/>
      <c r="BH536" s="235"/>
      <c r="BI536" s="236"/>
      <c r="BJ536" s="236"/>
      <c r="BK536" s="238"/>
      <c r="BL536" s="239"/>
      <c r="BM536" s="239"/>
      <c r="BN536" s="239"/>
      <c r="BP536" s="236"/>
      <c r="BQ536" s="236"/>
      <c r="BR536" s="236"/>
      <c r="BS536" s="236"/>
      <c r="BT536" s="236"/>
      <c r="BU536" s="236"/>
      <c r="BV536" s="236"/>
      <c r="BW536" s="236"/>
      <c r="BX536" s="236"/>
      <c r="BY536" s="236"/>
      <c r="BZ536" s="236"/>
      <c r="CA536" s="236"/>
      <c r="CB536" s="236"/>
      <c r="CC536" s="236"/>
      <c r="CD536" s="236"/>
      <c r="CE536" s="236"/>
      <c r="CF536" s="236"/>
      <c r="CG536" s="236"/>
      <c r="CH536" s="236"/>
      <c r="CI536" s="236"/>
      <c r="CJ536" s="236"/>
      <c r="CK536" s="236"/>
      <c r="CL536" s="236"/>
      <c r="CM536" s="236"/>
      <c r="CN536" s="236"/>
      <c r="CO536" s="236"/>
    </row>
    <row r="537" spans="5:93" s="230" customFormat="1">
      <c r="E537" s="234"/>
      <c r="F537" s="235"/>
      <c r="G537" s="235"/>
      <c r="H537" s="236"/>
      <c r="I537" s="235"/>
      <c r="J537" s="235"/>
      <c r="K537" s="235"/>
      <c r="L537" s="235"/>
      <c r="M537" s="236"/>
      <c r="N537" s="235"/>
      <c r="O537" s="235"/>
      <c r="P537" s="235"/>
      <c r="Q537" s="235"/>
      <c r="R537" s="235"/>
      <c r="S537" s="235"/>
      <c r="T537" s="235"/>
      <c r="U537" s="235"/>
      <c r="V537" s="235"/>
      <c r="W537" s="235"/>
      <c r="X537" s="235"/>
      <c r="Y537" s="235"/>
      <c r="Z537" s="235"/>
      <c r="AA537" s="235"/>
      <c r="AB537" s="235"/>
      <c r="AC537" s="235"/>
      <c r="AD537" s="235"/>
      <c r="AE537" s="236"/>
      <c r="AF537" s="235"/>
      <c r="AG537" s="235"/>
      <c r="AH537" s="235"/>
      <c r="AI537" s="235"/>
      <c r="AJ537" s="236"/>
      <c r="AK537" s="235"/>
      <c r="AL537" s="235"/>
      <c r="AM537" s="235"/>
      <c r="AN537" s="235"/>
      <c r="AO537" s="235"/>
      <c r="AP537" s="235"/>
      <c r="AQ537" s="235"/>
      <c r="AR537" s="235"/>
      <c r="AS537" s="235"/>
      <c r="AT537" s="235"/>
      <c r="AU537" s="236"/>
      <c r="AV537" s="235"/>
      <c r="AW537" s="235"/>
      <c r="AX537" s="235"/>
      <c r="AY537" s="235"/>
      <c r="AZ537" s="235"/>
      <c r="BA537" s="235"/>
      <c r="BB537" s="235"/>
      <c r="BC537" s="235"/>
      <c r="BD537" s="236"/>
      <c r="BE537" s="235"/>
      <c r="BF537" s="235"/>
      <c r="BG537" s="235"/>
      <c r="BH537" s="235"/>
      <c r="BI537" s="236"/>
      <c r="BJ537" s="236"/>
      <c r="BK537" s="238"/>
      <c r="BL537" s="239"/>
      <c r="BM537" s="239"/>
      <c r="BN537" s="239"/>
      <c r="BP537" s="236"/>
      <c r="BQ537" s="236"/>
      <c r="BR537" s="236"/>
      <c r="BS537" s="236"/>
      <c r="BT537" s="236"/>
      <c r="BU537" s="236"/>
      <c r="BV537" s="236"/>
      <c r="BW537" s="236"/>
      <c r="BX537" s="236"/>
      <c r="BY537" s="236"/>
      <c r="BZ537" s="236"/>
      <c r="CA537" s="236"/>
      <c r="CB537" s="236"/>
      <c r="CC537" s="236"/>
      <c r="CD537" s="236"/>
      <c r="CE537" s="236"/>
      <c r="CF537" s="236"/>
      <c r="CG537" s="236"/>
      <c r="CH537" s="236"/>
      <c r="CI537" s="236"/>
      <c r="CJ537" s="236"/>
      <c r="CK537" s="236"/>
      <c r="CL537" s="236"/>
      <c r="CM537" s="236"/>
      <c r="CN537" s="236"/>
      <c r="CO537" s="236"/>
    </row>
    <row r="538" spans="5:93" s="230" customFormat="1">
      <c r="E538" s="234"/>
      <c r="F538" s="235"/>
      <c r="G538" s="235"/>
      <c r="H538" s="236"/>
      <c r="I538" s="235"/>
      <c r="J538" s="235"/>
      <c r="K538" s="235"/>
      <c r="L538" s="235"/>
      <c r="M538" s="236"/>
      <c r="N538" s="235"/>
      <c r="O538" s="235"/>
      <c r="P538" s="235"/>
      <c r="Q538" s="235"/>
      <c r="R538" s="235"/>
      <c r="S538" s="235"/>
      <c r="T538" s="235"/>
      <c r="U538" s="235"/>
      <c r="V538" s="235"/>
      <c r="W538" s="235"/>
      <c r="X538" s="235"/>
      <c r="Y538" s="235"/>
      <c r="Z538" s="235"/>
      <c r="AA538" s="235"/>
      <c r="AB538" s="235"/>
      <c r="AC538" s="235"/>
      <c r="AD538" s="235"/>
      <c r="AE538" s="236"/>
      <c r="AF538" s="235"/>
      <c r="AG538" s="235"/>
      <c r="AH538" s="235"/>
      <c r="AI538" s="235"/>
      <c r="AJ538" s="236"/>
      <c r="AK538" s="235"/>
      <c r="AL538" s="235"/>
      <c r="AM538" s="235"/>
      <c r="AN538" s="235"/>
      <c r="AO538" s="235"/>
      <c r="AP538" s="235"/>
      <c r="AQ538" s="235"/>
      <c r="AR538" s="235"/>
      <c r="AS538" s="235"/>
      <c r="AT538" s="235"/>
      <c r="AU538" s="236"/>
      <c r="AV538" s="235"/>
      <c r="AW538" s="235"/>
      <c r="AX538" s="235"/>
      <c r="AY538" s="235"/>
      <c r="AZ538" s="235"/>
      <c r="BA538" s="235"/>
      <c r="BB538" s="235"/>
      <c r="BC538" s="235"/>
      <c r="BD538" s="236"/>
      <c r="BE538" s="235"/>
      <c r="BF538" s="235"/>
      <c r="BG538" s="235"/>
      <c r="BH538" s="235"/>
      <c r="BI538" s="236"/>
      <c r="BJ538" s="236"/>
      <c r="BK538" s="238"/>
      <c r="BL538" s="239"/>
      <c r="BM538" s="239"/>
      <c r="BN538" s="239"/>
      <c r="BP538" s="236"/>
      <c r="BQ538" s="236"/>
      <c r="BR538" s="236"/>
      <c r="BS538" s="236"/>
      <c r="BT538" s="236"/>
      <c r="BU538" s="236"/>
      <c r="BV538" s="236"/>
      <c r="BW538" s="236"/>
      <c r="BX538" s="236"/>
      <c r="BY538" s="236"/>
      <c r="BZ538" s="236"/>
      <c r="CA538" s="236"/>
      <c r="CB538" s="236"/>
      <c r="CC538" s="236"/>
      <c r="CD538" s="236"/>
      <c r="CE538" s="236"/>
      <c r="CF538" s="236"/>
      <c r="CG538" s="236"/>
      <c r="CH538" s="236"/>
      <c r="CI538" s="236"/>
      <c r="CJ538" s="236"/>
      <c r="CK538" s="236"/>
      <c r="CL538" s="236"/>
      <c r="CM538" s="236"/>
      <c r="CN538" s="236"/>
      <c r="CO538" s="236"/>
    </row>
    <row r="539" spans="5:93" s="230" customFormat="1">
      <c r="E539" s="234"/>
      <c r="F539" s="235"/>
      <c r="G539" s="235"/>
      <c r="H539" s="236"/>
      <c r="I539" s="235"/>
      <c r="J539" s="235"/>
      <c r="K539" s="235"/>
      <c r="L539" s="235"/>
      <c r="M539" s="236"/>
      <c r="N539" s="235"/>
      <c r="O539" s="235"/>
      <c r="P539" s="235"/>
      <c r="Q539" s="235"/>
      <c r="R539" s="235"/>
      <c r="S539" s="235"/>
      <c r="T539" s="235"/>
      <c r="U539" s="235"/>
      <c r="V539" s="235"/>
      <c r="W539" s="235"/>
      <c r="X539" s="235"/>
      <c r="Y539" s="235"/>
      <c r="Z539" s="235"/>
      <c r="AA539" s="235"/>
      <c r="AB539" s="235"/>
      <c r="AC539" s="235"/>
      <c r="AD539" s="235"/>
      <c r="AE539" s="236"/>
      <c r="AF539" s="235"/>
      <c r="AG539" s="235"/>
      <c r="AH539" s="235"/>
      <c r="AI539" s="235"/>
      <c r="AJ539" s="236"/>
      <c r="AK539" s="235"/>
      <c r="AL539" s="235"/>
      <c r="AM539" s="235"/>
      <c r="AN539" s="235"/>
      <c r="AO539" s="235"/>
      <c r="AP539" s="235"/>
      <c r="AQ539" s="235"/>
      <c r="AR539" s="235"/>
      <c r="AS539" s="235"/>
      <c r="AT539" s="235"/>
      <c r="AU539" s="236"/>
      <c r="AV539" s="235"/>
      <c r="AW539" s="235"/>
      <c r="AX539" s="235"/>
      <c r="AY539" s="235"/>
      <c r="AZ539" s="235"/>
      <c r="BA539" s="235"/>
      <c r="BB539" s="235"/>
      <c r="BC539" s="235"/>
      <c r="BD539" s="236"/>
      <c r="BE539" s="235"/>
      <c r="BF539" s="235"/>
      <c r="BG539" s="235"/>
      <c r="BH539" s="235"/>
      <c r="BI539" s="236"/>
      <c r="BJ539" s="236"/>
      <c r="BK539" s="238"/>
      <c r="BL539" s="239"/>
      <c r="BM539" s="239"/>
      <c r="BN539" s="239"/>
      <c r="BP539" s="236"/>
      <c r="BQ539" s="236"/>
      <c r="BR539" s="236"/>
      <c r="BS539" s="236"/>
      <c r="BT539" s="236"/>
      <c r="BU539" s="236"/>
      <c r="BV539" s="236"/>
      <c r="BW539" s="236"/>
      <c r="BX539" s="236"/>
      <c r="BY539" s="236"/>
      <c r="BZ539" s="236"/>
      <c r="CA539" s="236"/>
      <c r="CB539" s="236"/>
      <c r="CC539" s="236"/>
      <c r="CD539" s="236"/>
      <c r="CE539" s="236"/>
      <c r="CF539" s="236"/>
      <c r="CG539" s="236"/>
      <c r="CH539" s="236"/>
      <c r="CI539" s="236"/>
      <c r="CJ539" s="236"/>
      <c r="CK539" s="236"/>
      <c r="CL539" s="236"/>
      <c r="CM539" s="236"/>
      <c r="CN539" s="236"/>
      <c r="CO539" s="236"/>
    </row>
    <row r="540" spans="5:93" s="230" customFormat="1">
      <c r="E540" s="234"/>
      <c r="F540" s="235"/>
      <c r="G540" s="235"/>
      <c r="H540" s="236"/>
      <c r="I540" s="235"/>
      <c r="J540" s="235"/>
      <c r="K540" s="235"/>
      <c r="L540" s="235"/>
      <c r="M540" s="236"/>
      <c r="N540" s="235"/>
      <c r="O540" s="235"/>
      <c r="P540" s="235"/>
      <c r="Q540" s="235"/>
      <c r="R540" s="235"/>
      <c r="S540" s="235"/>
      <c r="T540" s="235"/>
      <c r="U540" s="235"/>
      <c r="V540" s="235"/>
      <c r="W540" s="235"/>
      <c r="X540" s="235"/>
      <c r="Y540" s="235"/>
      <c r="Z540" s="235"/>
      <c r="AA540" s="235"/>
      <c r="AB540" s="235"/>
      <c r="AC540" s="235"/>
      <c r="AD540" s="235"/>
      <c r="AE540" s="236"/>
      <c r="AF540" s="235"/>
      <c r="AG540" s="235"/>
      <c r="AH540" s="235"/>
      <c r="AI540" s="235"/>
      <c r="AJ540" s="236"/>
      <c r="AK540" s="235"/>
      <c r="AL540" s="235"/>
      <c r="AM540" s="235"/>
      <c r="AN540" s="235"/>
      <c r="AO540" s="235"/>
      <c r="AP540" s="235"/>
      <c r="AQ540" s="235"/>
      <c r="AR540" s="235"/>
      <c r="AS540" s="235"/>
      <c r="AT540" s="235"/>
      <c r="AU540" s="236"/>
      <c r="AV540" s="235"/>
      <c r="AW540" s="235"/>
      <c r="AX540" s="235"/>
      <c r="AY540" s="235"/>
      <c r="AZ540" s="235"/>
      <c r="BA540" s="235"/>
      <c r="BB540" s="235"/>
      <c r="BC540" s="235"/>
      <c r="BD540" s="236"/>
      <c r="BE540" s="235"/>
      <c r="BF540" s="235"/>
      <c r="BG540" s="235"/>
      <c r="BH540" s="235"/>
      <c r="BI540" s="236"/>
      <c r="BJ540" s="236"/>
      <c r="BK540" s="238"/>
      <c r="BL540" s="239"/>
      <c r="BM540" s="239"/>
      <c r="BN540" s="239"/>
      <c r="BP540" s="236"/>
      <c r="BQ540" s="236"/>
      <c r="BR540" s="236"/>
      <c r="BS540" s="236"/>
      <c r="BT540" s="236"/>
      <c r="BU540" s="236"/>
      <c r="BV540" s="236"/>
      <c r="BW540" s="236"/>
      <c r="BX540" s="236"/>
      <c r="BY540" s="236"/>
      <c r="BZ540" s="236"/>
      <c r="CA540" s="236"/>
      <c r="CB540" s="236"/>
      <c r="CC540" s="236"/>
      <c r="CD540" s="236"/>
      <c r="CE540" s="236"/>
      <c r="CF540" s="236"/>
      <c r="CG540" s="236"/>
      <c r="CH540" s="236"/>
      <c r="CI540" s="236"/>
      <c r="CJ540" s="236"/>
      <c r="CK540" s="236"/>
      <c r="CL540" s="236"/>
      <c r="CM540" s="236"/>
      <c r="CN540" s="236"/>
      <c r="CO540" s="236"/>
    </row>
    <row r="541" spans="5:93" s="230" customFormat="1">
      <c r="E541" s="234"/>
      <c r="F541" s="235"/>
      <c r="G541" s="235"/>
      <c r="H541" s="236"/>
      <c r="I541" s="235"/>
      <c r="J541" s="235"/>
      <c r="K541" s="235"/>
      <c r="L541" s="235"/>
      <c r="M541" s="236"/>
      <c r="N541" s="235"/>
      <c r="O541" s="235"/>
      <c r="P541" s="235"/>
      <c r="Q541" s="235"/>
      <c r="R541" s="235"/>
      <c r="S541" s="235"/>
      <c r="T541" s="235"/>
      <c r="U541" s="235"/>
      <c r="V541" s="235"/>
      <c r="W541" s="235"/>
      <c r="X541" s="235"/>
      <c r="Y541" s="235"/>
      <c r="Z541" s="235"/>
      <c r="AA541" s="235"/>
      <c r="AB541" s="235"/>
      <c r="AC541" s="235"/>
      <c r="AD541" s="235"/>
      <c r="AE541" s="236"/>
      <c r="AF541" s="235"/>
      <c r="AG541" s="235"/>
      <c r="AH541" s="235"/>
      <c r="AI541" s="235"/>
      <c r="AJ541" s="236"/>
      <c r="AK541" s="235"/>
      <c r="AL541" s="235"/>
      <c r="AM541" s="235"/>
      <c r="AN541" s="235"/>
      <c r="AO541" s="235"/>
      <c r="AP541" s="235"/>
      <c r="AQ541" s="235"/>
      <c r="AR541" s="235"/>
      <c r="AS541" s="235"/>
      <c r="AT541" s="235"/>
      <c r="AU541" s="236"/>
      <c r="AV541" s="235"/>
      <c r="AW541" s="235"/>
      <c r="AX541" s="235"/>
      <c r="AY541" s="235"/>
      <c r="AZ541" s="235"/>
      <c r="BA541" s="235"/>
      <c r="BB541" s="235"/>
      <c r="BC541" s="235"/>
      <c r="BD541" s="236"/>
      <c r="BE541" s="235"/>
      <c r="BF541" s="235"/>
      <c r="BG541" s="235"/>
      <c r="BH541" s="235"/>
      <c r="BI541" s="236"/>
      <c r="BJ541" s="236"/>
      <c r="BK541" s="238"/>
      <c r="BL541" s="239"/>
      <c r="BM541" s="239"/>
      <c r="BN541" s="239"/>
      <c r="BP541" s="236"/>
      <c r="BQ541" s="236"/>
      <c r="BR541" s="236"/>
      <c r="BS541" s="236"/>
      <c r="BT541" s="236"/>
      <c r="BU541" s="236"/>
      <c r="BV541" s="236"/>
      <c r="BW541" s="236"/>
      <c r="BX541" s="236"/>
      <c r="BY541" s="236"/>
      <c r="BZ541" s="236"/>
      <c r="CA541" s="236"/>
      <c r="CB541" s="236"/>
      <c r="CC541" s="236"/>
      <c r="CD541" s="236"/>
      <c r="CE541" s="236"/>
      <c r="CF541" s="236"/>
      <c r="CG541" s="236"/>
      <c r="CH541" s="236"/>
      <c r="CI541" s="236"/>
      <c r="CJ541" s="236"/>
      <c r="CK541" s="236"/>
      <c r="CL541" s="236"/>
      <c r="CM541" s="236"/>
      <c r="CN541" s="236"/>
      <c r="CO541" s="236"/>
    </row>
    <row r="542" spans="5:93" s="230" customFormat="1">
      <c r="E542" s="234"/>
      <c r="F542" s="235"/>
      <c r="G542" s="235"/>
      <c r="H542" s="236"/>
      <c r="I542" s="235"/>
      <c r="J542" s="235"/>
      <c r="K542" s="235"/>
      <c r="L542" s="235"/>
      <c r="M542" s="236"/>
      <c r="N542" s="235"/>
      <c r="O542" s="235"/>
      <c r="P542" s="235"/>
      <c r="Q542" s="235"/>
      <c r="R542" s="235"/>
      <c r="S542" s="235"/>
      <c r="T542" s="235"/>
      <c r="U542" s="235"/>
      <c r="V542" s="235"/>
      <c r="W542" s="235"/>
      <c r="X542" s="235"/>
      <c r="Y542" s="235"/>
      <c r="Z542" s="235"/>
      <c r="AA542" s="235"/>
      <c r="AB542" s="235"/>
      <c r="AC542" s="235"/>
      <c r="AD542" s="235"/>
      <c r="AE542" s="236"/>
      <c r="AF542" s="235"/>
      <c r="AG542" s="235"/>
      <c r="AH542" s="235"/>
      <c r="AI542" s="235"/>
      <c r="AJ542" s="236"/>
      <c r="AK542" s="235"/>
      <c r="AL542" s="235"/>
      <c r="AM542" s="235"/>
      <c r="AN542" s="235"/>
      <c r="AO542" s="235"/>
      <c r="AP542" s="235"/>
      <c r="AQ542" s="235"/>
      <c r="AR542" s="235"/>
      <c r="AS542" s="235"/>
      <c r="AT542" s="235"/>
      <c r="AU542" s="236"/>
      <c r="AV542" s="235"/>
      <c r="AW542" s="235"/>
      <c r="AX542" s="235"/>
      <c r="AY542" s="235"/>
      <c r="AZ542" s="235"/>
      <c r="BA542" s="235"/>
      <c r="BB542" s="235"/>
      <c r="BC542" s="235"/>
      <c r="BD542" s="236"/>
      <c r="BE542" s="235"/>
      <c r="BF542" s="235"/>
      <c r="BG542" s="235"/>
      <c r="BH542" s="235"/>
      <c r="BI542" s="236"/>
      <c r="BJ542" s="236"/>
      <c r="BK542" s="238"/>
      <c r="BL542" s="239"/>
      <c r="BM542" s="239"/>
      <c r="BN542" s="239"/>
      <c r="BP542" s="236"/>
      <c r="BQ542" s="236"/>
      <c r="BR542" s="236"/>
      <c r="BS542" s="236"/>
      <c r="BT542" s="236"/>
      <c r="BU542" s="236"/>
      <c r="BV542" s="236"/>
      <c r="BW542" s="236"/>
      <c r="BX542" s="236"/>
      <c r="BY542" s="236"/>
      <c r="BZ542" s="236"/>
      <c r="CA542" s="236"/>
      <c r="CB542" s="236"/>
      <c r="CC542" s="236"/>
      <c r="CD542" s="236"/>
      <c r="CE542" s="236"/>
      <c r="CF542" s="236"/>
      <c r="CG542" s="236"/>
      <c r="CH542" s="236"/>
      <c r="CI542" s="236"/>
      <c r="CJ542" s="236"/>
      <c r="CK542" s="236"/>
      <c r="CL542" s="236"/>
      <c r="CM542" s="236"/>
      <c r="CN542" s="236"/>
      <c r="CO542" s="236"/>
    </row>
    <row r="543" spans="5:93" s="230" customFormat="1">
      <c r="E543" s="234"/>
      <c r="F543" s="235"/>
      <c r="G543" s="235"/>
      <c r="H543" s="236"/>
      <c r="I543" s="235"/>
      <c r="J543" s="235"/>
      <c r="K543" s="235"/>
      <c r="L543" s="235"/>
      <c r="M543" s="236"/>
      <c r="N543" s="235"/>
      <c r="O543" s="235"/>
      <c r="P543" s="235"/>
      <c r="Q543" s="235"/>
      <c r="R543" s="235"/>
      <c r="S543" s="235"/>
      <c r="T543" s="235"/>
      <c r="U543" s="235"/>
      <c r="V543" s="235"/>
      <c r="W543" s="235"/>
      <c r="X543" s="235"/>
      <c r="Y543" s="235"/>
      <c r="Z543" s="235"/>
      <c r="AA543" s="235"/>
      <c r="AB543" s="235"/>
      <c r="AC543" s="235"/>
      <c r="AD543" s="235"/>
      <c r="AE543" s="236"/>
      <c r="AF543" s="235"/>
      <c r="AG543" s="235"/>
      <c r="AH543" s="235"/>
      <c r="AI543" s="235"/>
      <c r="AJ543" s="236"/>
      <c r="AK543" s="235"/>
      <c r="AL543" s="235"/>
      <c r="AM543" s="235"/>
      <c r="AN543" s="235"/>
      <c r="AO543" s="235"/>
      <c r="AP543" s="235"/>
      <c r="AQ543" s="235"/>
      <c r="AR543" s="235"/>
      <c r="AS543" s="235"/>
      <c r="AT543" s="235"/>
      <c r="AU543" s="236"/>
      <c r="AV543" s="235"/>
      <c r="AW543" s="235"/>
      <c r="AX543" s="235"/>
      <c r="AY543" s="235"/>
      <c r="AZ543" s="235"/>
      <c r="BA543" s="235"/>
      <c r="BB543" s="235"/>
      <c r="BC543" s="235"/>
      <c r="BD543" s="236"/>
      <c r="BE543" s="235"/>
      <c r="BF543" s="235"/>
      <c r="BG543" s="235"/>
      <c r="BH543" s="235"/>
      <c r="BI543" s="236"/>
      <c r="BJ543" s="236"/>
      <c r="BK543" s="238"/>
      <c r="BL543" s="239"/>
      <c r="BM543" s="239"/>
      <c r="BN543" s="239"/>
      <c r="BP543" s="236"/>
      <c r="BQ543" s="236"/>
      <c r="BR543" s="236"/>
      <c r="BS543" s="236"/>
      <c r="BT543" s="236"/>
      <c r="BU543" s="236"/>
      <c r="BV543" s="236"/>
      <c r="BW543" s="236"/>
      <c r="BX543" s="236"/>
      <c r="BY543" s="236"/>
      <c r="BZ543" s="236"/>
      <c r="CA543" s="236"/>
      <c r="CB543" s="236"/>
      <c r="CC543" s="236"/>
      <c r="CD543" s="236"/>
      <c r="CE543" s="236"/>
      <c r="CF543" s="236"/>
      <c r="CG543" s="236"/>
      <c r="CH543" s="236"/>
      <c r="CI543" s="236"/>
      <c r="CJ543" s="236"/>
      <c r="CK543" s="236"/>
      <c r="CL543" s="236"/>
      <c r="CM543" s="236"/>
      <c r="CN543" s="236"/>
      <c r="CO543" s="236"/>
    </row>
    <row r="544" spans="5:93" s="230" customFormat="1">
      <c r="E544" s="234"/>
      <c r="F544" s="235"/>
      <c r="G544" s="235"/>
      <c r="H544" s="236"/>
      <c r="I544" s="235"/>
      <c r="J544" s="235"/>
      <c r="K544" s="235"/>
      <c r="L544" s="235"/>
      <c r="M544" s="236"/>
      <c r="N544" s="235"/>
      <c r="O544" s="235"/>
      <c r="P544" s="235"/>
      <c r="Q544" s="235"/>
      <c r="R544" s="235"/>
      <c r="S544" s="235"/>
      <c r="T544" s="235"/>
      <c r="U544" s="235"/>
      <c r="V544" s="235"/>
      <c r="W544" s="235"/>
      <c r="X544" s="235"/>
      <c r="Y544" s="235"/>
      <c r="Z544" s="235"/>
      <c r="AA544" s="235"/>
      <c r="AB544" s="235"/>
      <c r="AC544" s="235"/>
      <c r="AD544" s="235"/>
      <c r="AE544" s="236"/>
      <c r="AF544" s="235"/>
      <c r="AG544" s="235"/>
      <c r="AH544" s="235"/>
      <c r="AI544" s="235"/>
      <c r="AJ544" s="236"/>
      <c r="AK544" s="235"/>
      <c r="AL544" s="235"/>
      <c r="AM544" s="235"/>
      <c r="AN544" s="235"/>
      <c r="AO544" s="235"/>
      <c r="AP544" s="235"/>
      <c r="AQ544" s="235"/>
      <c r="AR544" s="235"/>
      <c r="AS544" s="235"/>
      <c r="AT544" s="235"/>
      <c r="AU544" s="236"/>
      <c r="AV544" s="235"/>
      <c r="AW544" s="235"/>
      <c r="AX544" s="235"/>
      <c r="AY544" s="235"/>
      <c r="AZ544" s="235"/>
      <c r="BA544" s="235"/>
      <c r="BB544" s="235"/>
      <c r="BC544" s="235"/>
      <c r="BD544" s="236"/>
      <c r="BE544" s="235"/>
      <c r="BF544" s="235"/>
      <c r="BG544" s="235"/>
      <c r="BH544" s="235"/>
      <c r="BI544" s="236"/>
      <c r="BJ544" s="236"/>
      <c r="BK544" s="238"/>
      <c r="BL544" s="239"/>
      <c r="BM544" s="239"/>
      <c r="BN544" s="239"/>
      <c r="BP544" s="236"/>
      <c r="BQ544" s="236"/>
      <c r="BR544" s="236"/>
      <c r="BS544" s="236"/>
      <c r="BT544" s="236"/>
      <c r="BU544" s="236"/>
      <c r="BV544" s="236"/>
      <c r="BW544" s="236"/>
      <c r="BX544" s="236"/>
      <c r="BY544" s="236"/>
      <c r="BZ544" s="236"/>
      <c r="CA544" s="236"/>
      <c r="CB544" s="236"/>
      <c r="CC544" s="236"/>
      <c r="CD544" s="236"/>
      <c r="CE544" s="236"/>
      <c r="CF544" s="236"/>
      <c r="CG544" s="236"/>
      <c r="CH544" s="236"/>
      <c r="CI544" s="236"/>
      <c r="CJ544" s="236"/>
      <c r="CK544" s="236"/>
      <c r="CL544" s="236"/>
      <c r="CM544" s="236"/>
      <c r="CN544" s="236"/>
      <c r="CO544" s="236"/>
    </row>
    <row r="545" spans="5:93" s="230" customFormat="1">
      <c r="E545" s="234"/>
      <c r="F545" s="235"/>
      <c r="G545" s="235"/>
      <c r="H545" s="236"/>
      <c r="I545" s="235"/>
      <c r="J545" s="235"/>
      <c r="K545" s="235"/>
      <c r="L545" s="235"/>
      <c r="M545" s="236"/>
      <c r="N545" s="235"/>
      <c r="O545" s="235"/>
      <c r="P545" s="235"/>
      <c r="Q545" s="235"/>
      <c r="R545" s="235"/>
      <c r="S545" s="235"/>
      <c r="T545" s="235"/>
      <c r="U545" s="235"/>
      <c r="V545" s="235"/>
      <c r="W545" s="235"/>
      <c r="X545" s="235"/>
      <c r="Y545" s="235"/>
      <c r="Z545" s="235"/>
      <c r="AA545" s="235"/>
      <c r="AB545" s="235"/>
      <c r="AC545" s="235"/>
      <c r="AD545" s="235"/>
      <c r="AE545" s="236"/>
      <c r="AF545" s="235"/>
      <c r="AG545" s="235"/>
      <c r="AH545" s="235"/>
      <c r="AI545" s="235"/>
      <c r="AJ545" s="236"/>
      <c r="AK545" s="235"/>
      <c r="AL545" s="235"/>
      <c r="AM545" s="235"/>
      <c r="AN545" s="235"/>
      <c r="AO545" s="235"/>
      <c r="AP545" s="235"/>
      <c r="AQ545" s="235"/>
      <c r="AR545" s="235"/>
      <c r="AS545" s="235"/>
      <c r="AT545" s="235"/>
      <c r="AU545" s="236"/>
      <c r="AV545" s="235"/>
      <c r="AW545" s="235"/>
      <c r="AX545" s="235"/>
      <c r="AY545" s="235"/>
      <c r="AZ545" s="235"/>
      <c r="BA545" s="235"/>
      <c r="BB545" s="235"/>
      <c r="BC545" s="235"/>
      <c r="BD545" s="236"/>
      <c r="BE545" s="235"/>
      <c r="BF545" s="235"/>
      <c r="BG545" s="235"/>
      <c r="BH545" s="235"/>
      <c r="BI545" s="236"/>
      <c r="BJ545" s="236"/>
      <c r="BK545" s="238"/>
      <c r="BL545" s="239"/>
      <c r="BM545" s="239"/>
      <c r="BN545" s="239"/>
      <c r="BP545" s="236"/>
      <c r="BQ545" s="236"/>
      <c r="BR545" s="236"/>
      <c r="BS545" s="236"/>
      <c r="BT545" s="236"/>
      <c r="BU545" s="236"/>
      <c r="BV545" s="236"/>
      <c r="BW545" s="236"/>
      <c r="BX545" s="236"/>
      <c r="BY545" s="236"/>
      <c r="BZ545" s="236"/>
      <c r="CA545" s="236"/>
      <c r="CB545" s="236"/>
      <c r="CC545" s="236"/>
      <c r="CD545" s="236"/>
      <c r="CE545" s="236"/>
      <c r="CF545" s="236"/>
      <c r="CG545" s="236"/>
      <c r="CH545" s="236"/>
      <c r="CI545" s="236"/>
      <c r="CJ545" s="236"/>
      <c r="CK545" s="236"/>
      <c r="CL545" s="236"/>
      <c r="CM545" s="236"/>
      <c r="CN545" s="236"/>
      <c r="CO545" s="236"/>
    </row>
    <row r="546" spans="5:93" s="230" customFormat="1">
      <c r="E546" s="234"/>
      <c r="F546" s="235"/>
      <c r="G546" s="235"/>
      <c r="H546" s="236"/>
      <c r="I546" s="235"/>
      <c r="J546" s="235"/>
      <c r="K546" s="235"/>
      <c r="L546" s="235"/>
      <c r="M546" s="236"/>
      <c r="N546" s="235"/>
      <c r="O546" s="235"/>
      <c r="P546" s="235"/>
      <c r="Q546" s="235"/>
      <c r="R546" s="235"/>
      <c r="S546" s="235"/>
      <c r="T546" s="235"/>
      <c r="U546" s="235"/>
      <c r="V546" s="235"/>
      <c r="W546" s="235"/>
      <c r="X546" s="235"/>
      <c r="Y546" s="235"/>
      <c r="Z546" s="235"/>
      <c r="AA546" s="235"/>
      <c r="AB546" s="235"/>
      <c r="AC546" s="235"/>
      <c r="AD546" s="235"/>
      <c r="AE546" s="236"/>
      <c r="AF546" s="235"/>
      <c r="AG546" s="235"/>
      <c r="AH546" s="235"/>
      <c r="AI546" s="235"/>
      <c r="AJ546" s="236"/>
      <c r="AK546" s="235"/>
      <c r="AL546" s="235"/>
      <c r="AM546" s="235"/>
      <c r="AN546" s="235"/>
      <c r="AO546" s="235"/>
      <c r="AP546" s="235"/>
      <c r="AQ546" s="235"/>
      <c r="AR546" s="235"/>
      <c r="AS546" s="235"/>
      <c r="AT546" s="235"/>
      <c r="AU546" s="236"/>
      <c r="AV546" s="235"/>
      <c r="AW546" s="235"/>
      <c r="AX546" s="235"/>
      <c r="AY546" s="235"/>
      <c r="AZ546" s="235"/>
      <c r="BA546" s="235"/>
      <c r="BB546" s="235"/>
      <c r="BC546" s="235"/>
      <c r="BD546" s="236"/>
      <c r="BE546" s="235"/>
      <c r="BF546" s="235"/>
      <c r="BG546" s="235"/>
      <c r="BH546" s="235"/>
      <c r="BI546" s="236"/>
      <c r="BJ546" s="236"/>
      <c r="BK546" s="238"/>
      <c r="BL546" s="239"/>
      <c r="BM546" s="239"/>
      <c r="BN546" s="239"/>
      <c r="BP546" s="236"/>
      <c r="BQ546" s="236"/>
      <c r="BR546" s="236"/>
      <c r="BS546" s="236"/>
      <c r="BT546" s="236"/>
      <c r="BU546" s="236"/>
      <c r="BV546" s="236"/>
      <c r="BW546" s="236"/>
      <c r="BX546" s="236"/>
      <c r="BY546" s="236"/>
      <c r="BZ546" s="236"/>
      <c r="CA546" s="236"/>
      <c r="CB546" s="236"/>
      <c r="CC546" s="236"/>
      <c r="CD546" s="236"/>
      <c r="CE546" s="236"/>
      <c r="CF546" s="236"/>
      <c r="CG546" s="236"/>
      <c r="CH546" s="236"/>
      <c r="CI546" s="236"/>
      <c r="CJ546" s="236"/>
      <c r="CK546" s="236"/>
      <c r="CL546" s="236"/>
      <c r="CM546" s="236"/>
      <c r="CN546" s="236"/>
      <c r="CO546" s="236"/>
    </row>
    <row r="547" spans="5:93" s="230" customFormat="1">
      <c r="E547" s="234"/>
      <c r="F547" s="235"/>
      <c r="G547" s="235"/>
      <c r="H547" s="236"/>
      <c r="I547" s="235"/>
      <c r="J547" s="235"/>
      <c r="K547" s="235"/>
      <c r="L547" s="235"/>
      <c r="M547" s="236"/>
      <c r="N547" s="235"/>
      <c r="O547" s="235"/>
      <c r="P547" s="235"/>
      <c r="Q547" s="235"/>
      <c r="R547" s="235"/>
      <c r="S547" s="235"/>
      <c r="T547" s="235"/>
      <c r="U547" s="235"/>
      <c r="V547" s="235"/>
      <c r="W547" s="235"/>
      <c r="X547" s="235"/>
      <c r="Y547" s="235"/>
      <c r="Z547" s="235"/>
      <c r="AA547" s="235"/>
      <c r="AB547" s="235"/>
      <c r="AC547" s="235"/>
      <c r="AD547" s="235"/>
      <c r="AE547" s="236"/>
      <c r="AF547" s="235"/>
      <c r="AG547" s="235"/>
      <c r="AH547" s="235"/>
      <c r="AI547" s="235"/>
      <c r="AJ547" s="236"/>
      <c r="AK547" s="235"/>
      <c r="AL547" s="235"/>
      <c r="AM547" s="235"/>
      <c r="AN547" s="235"/>
      <c r="AO547" s="235"/>
      <c r="AP547" s="235"/>
      <c r="AQ547" s="235"/>
      <c r="AR547" s="235"/>
      <c r="AS547" s="235"/>
      <c r="AT547" s="235"/>
      <c r="AU547" s="236"/>
      <c r="AV547" s="235"/>
      <c r="AW547" s="235"/>
      <c r="AX547" s="235"/>
      <c r="AY547" s="235"/>
      <c r="AZ547" s="235"/>
      <c r="BA547" s="235"/>
      <c r="BB547" s="235"/>
      <c r="BC547" s="235"/>
      <c r="BD547" s="236"/>
      <c r="BE547" s="235"/>
      <c r="BF547" s="235"/>
      <c r="BG547" s="235"/>
      <c r="BH547" s="235"/>
      <c r="BI547" s="236"/>
      <c r="BJ547" s="236"/>
      <c r="BK547" s="238"/>
      <c r="BL547" s="239"/>
      <c r="BM547" s="239"/>
      <c r="BN547" s="239"/>
      <c r="BP547" s="236"/>
      <c r="BQ547" s="236"/>
      <c r="BR547" s="236"/>
      <c r="BS547" s="236"/>
      <c r="BT547" s="236"/>
      <c r="BU547" s="236"/>
      <c r="BV547" s="236"/>
      <c r="BW547" s="236"/>
      <c r="BX547" s="236"/>
      <c r="BY547" s="236"/>
      <c r="BZ547" s="236"/>
      <c r="CA547" s="236"/>
      <c r="CB547" s="236"/>
      <c r="CC547" s="236"/>
      <c r="CD547" s="236"/>
      <c r="CE547" s="236"/>
      <c r="CF547" s="236"/>
      <c r="CG547" s="236"/>
      <c r="CH547" s="236"/>
      <c r="CI547" s="236"/>
      <c r="CJ547" s="236"/>
      <c r="CK547" s="236"/>
      <c r="CL547" s="236"/>
      <c r="CM547" s="236"/>
      <c r="CN547" s="236"/>
      <c r="CO547" s="236"/>
    </row>
    <row r="548" spans="5:93" s="230" customFormat="1">
      <c r="E548" s="234"/>
      <c r="F548" s="235"/>
      <c r="G548" s="235"/>
      <c r="H548" s="236"/>
      <c r="I548" s="235"/>
      <c r="J548" s="235"/>
      <c r="K548" s="235"/>
      <c r="L548" s="235"/>
      <c r="M548" s="236"/>
      <c r="N548" s="235"/>
      <c r="O548" s="235"/>
      <c r="P548" s="235"/>
      <c r="Q548" s="235"/>
      <c r="R548" s="235"/>
      <c r="S548" s="235"/>
      <c r="T548" s="235"/>
      <c r="U548" s="235"/>
      <c r="V548" s="235"/>
      <c r="W548" s="235"/>
      <c r="X548" s="235"/>
      <c r="Y548" s="235"/>
      <c r="Z548" s="235"/>
      <c r="AA548" s="235"/>
      <c r="AB548" s="235"/>
      <c r="AC548" s="235"/>
      <c r="AD548" s="235"/>
      <c r="AE548" s="236"/>
      <c r="AF548" s="235"/>
      <c r="AG548" s="235"/>
      <c r="AH548" s="235"/>
      <c r="AI548" s="235"/>
      <c r="AJ548" s="236"/>
      <c r="AK548" s="235"/>
      <c r="AL548" s="235"/>
      <c r="AM548" s="235"/>
      <c r="AN548" s="235"/>
      <c r="AO548" s="235"/>
      <c r="AP548" s="235"/>
      <c r="AQ548" s="235"/>
      <c r="AR548" s="235"/>
      <c r="AS548" s="235"/>
      <c r="AT548" s="235"/>
      <c r="AU548" s="236"/>
      <c r="AV548" s="235"/>
      <c r="AW548" s="235"/>
      <c r="AX548" s="235"/>
      <c r="AY548" s="235"/>
      <c r="AZ548" s="235"/>
      <c r="BA548" s="235"/>
      <c r="BB548" s="235"/>
      <c r="BC548" s="235"/>
      <c r="BD548" s="236"/>
      <c r="BE548" s="235"/>
      <c r="BF548" s="235"/>
      <c r="BG548" s="235"/>
      <c r="BH548" s="235"/>
      <c r="BI548" s="236"/>
      <c r="BJ548" s="236"/>
      <c r="BK548" s="238"/>
      <c r="BL548" s="239"/>
      <c r="BM548" s="239"/>
      <c r="BN548" s="239"/>
      <c r="BP548" s="236"/>
      <c r="BQ548" s="236"/>
      <c r="BR548" s="236"/>
      <c r="BS548" s="236"/>
      <c r="BT548" s="236"/>
      <c r="BU548" s="236"/>
      <c r="BV548" s="236"/>
      <c r="BW548" s="236"/>
      <c r="BX548" s="236"/>
      <c r="BY548" s="236"/>
      <c r="BZ548" s="236"/>
      <c r="CA548" s="236"/>
      <c r="CB548" s="236"/>
      <c r="CC548" s="236"/>
      <c r="CD548" s="236"/>
      <c r="CE548" s="236"/>
      <c r="CF548" s="236"/>
      <c r="CG548" s="236"/>
      <c r="CH548" s="236"/>
      <c r="CI548" s="236"/>
      <c r="CJ548" s="236"/>
      <c r="CK548" s="236"/>
      <c r="CL548" s="236"/>
      <c r="CM548" s="236"/>
      <c r="CN548" s="236"/>
      <c r="CO548" s="236"/>
    </row>
    <row r="549" spans="5:93" s="230" customFormat="1">
      <c r="E549" s="234"/>
      <c r="F549" s="235"/>
      <c r="G549" s="235"/>
      <c r="H549" s="236"/>
      <c r="I549" s="235"/>
      <c r="J549" s="235"/>
      <c r="K549" s="235"/>
      <c r="L549" s="235"/>
      <c r="M549" s="236"/>
      <c r="N549" s="235"/>
      <c r="O549" s="235"/>
      <c r="P549" s="235"/>
      <c r="Q549" s="235"/>
      <c r="R549" s="235"/>
      <c r="S549" s="235"/>
      <c r="T549" s="235"/>
      <c r="U549" s="235"/>
      <c r="V549" s="235"/>
      <c r="W549" s="235"/>
      <c r="X549" s="235"/>
      <c r="Y549" s="235"/>
      <c r="Z549" s="235"/>
      <c r="AA549" s="235"/>
      <c r="AB549" s="235"/>
      <c r="AC549" s="235"/>
      <c r="AD549" s="235"/>
      <c r="AE549" s="236"/>
      <c r="AF549" s="235"/>
      <c r="AG549" s="235"/>
      <c r="AH549" s="235"/>
      <c r="AI549" s="235"/>
      <c r="AJ549" s="236"/>
      <c r="AK549" s="235"/>
      <c r="AL549" s="235"/>
      <c r="AM549" s="235"/>
      <c r="AN549" s="235"/>
      <c r="AO549" s="235"/>
      <c r="AP549" s="235"/>
      <c r="AQ549" s="235"/>
      <c r="AR549" s="235"/>
      <c r="AS549" s="235"/>
      <c r="AT549" s="235"/>
      <c r="AU549" s="236"/>
      <c r="AV549" s="235"/>
      <c r="AW549" s="235"/>
      <c r="AX549" s="235"/>
      <c r="AY549" s="235"/>
      <c r="AZ549" s="235"/>
      <c r="BA549" s="235"/>
      <c r="BB549" s="235"/>
      <c r="BC549" s="235"/>
      <c r="BD549" s="236"/>
      <c r="BE549" s="235"/>
      <c r="BF549" s="235"/>
      <c r="BG549" s="235"/>
      <c r="BH549" s="235"/>
      <c r="BI549" s="236"/>
      <c r="BJ549" s="236"/>
      <c r="BK549" s="238"/>
      <c r="BL549" s="239"/>
      <c r="BM549" s="239"/>
      <c r="BN549" s="239"/>
      <c r="BP549" s="236"/>
      <c r="BQ549" s="236"/>
      <c r="BR549" s="236"/>
      <c r="BS549" s="236"/>
      <c r="BT549" s="236"/>
      <c r="BU549" s="236"/>
      <c r="BV549" s="236"/>
      <c r="BW549" s="236"/>
      <c r="BX549" s="236"/>
      <c r="BY549" s="236"/>
      <c r="BZ549" s="236"/>
      <c r="CA549" s="236"/>
      <c r="CB549" s="236"/>
      <c r="CC549" s="236"/>
      <c r="CD549" s="236"/>
      <c r="CE549" s="236"/>
      <c r="CF549" s="236"/>
      <c r="CG549" s="236"/>
      <c r="CH549" s="236"/>
      <c r="CI549" s="236"/>
      <c r="CJ549" s="236"/>
      <c r="CK549" s="236"/>
      <c r="CL549" s="236"/>
      <c r="CM549" s="236"/>
      <c r="CN549" s="236"/>
      <c r="CO549" s="236"/>
    </row>
    <row r="550" spans="5:93" s="230" customFormat="1">
      <c r="E550" s="234"/>
      <c r="F550" s="235"/>
      <c r="G550" s="235"/>
      <c r="H550" s="236"/>
      <c r="I550" s="235"/>
      <c r="J550" s="235"/>
      <c r="K550" s="235"/>
      <c r="L550" s="235"/>
      <c r="M550" s="236"/>
      <c r="N550" s="235"/>
      <c r="O550" s="235"/>
      <c r="P550" s="235"/>
      <c r="Q550" s="235"/>
      <c r="R550" s="235"/>
      <c r="S550" s="235"/>
      <c r="T550" s="235"/>
      <c r="U550" s="235"/>
      <c r="V550" s="235"/>
      <c r="W550" s="235"/>
      <c r="X550" s="235"/>
      <c r="Y550" s="235"/>
      <c r="Z550" s="235"/>
      <c r="AA550" s="235"/>
      <c r="AB550" s="235"/>
      <c r="AC550" s="235"/>
      <c r="AD550" s="235"/>
      <c r="AE550" s="236"/>
      <c r="AF550" s="235"/>
      <c r="AG550" s="235"/>
      <c r="AH550" s="235"/>
      <c r="AI550" s="235"/>
      <c r="AJ550" s="236"/>
      <c r="AK550" s="235"/>
      <c r="AL550" s="235"/>
      <c r="AM550" s="235"/>
      <c r="AN550" s="235"/>
      <c r="AO550" s="235"/>
      <c r="AP550" s="235"/>
      <c r="AQ550" s="235"/>
      <c r="AR550" s="235"/>
      <c r="AS550" s="235"/>
      <c r="AT550" s="235"/>
      <c r="AU550" s="236"/>
      <c r="AV550" s="235"/>
      <c r="AW550" s="235"/>
      <c r="AX550" s="235"/>
      <c r="AY550" s="235"/>
      <c r="AZ550" s="235"/>
      <c r="BA550" s="235"/>
      <c r="BB550" s="235"/>
      <c r="BC550" s="235"/>
      <c r="BD550" s="236"/>
      <c r="BE550" s="235"/>
      <c r="BF550" s="235"/>
      <c r="BG550" s="235"/>
      <c r="BH550" s="235"/>
      <c r="BI550" s="236"/>
      <c r="BJ550" s="236"/>
      <c r="BK550" s="238"/>
      <c r="BL550" s="239"/>
      <c r="BM550" s="239"/>
      <c r="BN550" s="239"/>
      <c r="BP550" s="236"/>
      <c r="BQ550" s="236"/>
      <c r="BR550" s="236"/>
      <c r="BS550" s="236"/>
      <c r="BT550" s="236"/>
      <c r="BU550" s="236"/>
      <c r="BV550" s="236"/>
      <c r="BW550" s="236"/>
      <c r="BX550" s="236"/>
      <c r="BY550" s="236"/>
      <c r="BZ550" s="236"/>
      <c r="CA550" s="236"/>
      <c r="CB550" s="236"/>
      <c r="CC550" s="236"/>
      <c r="CD550" s="236"/>
      <c r="CE550" s="236"/>
      <c r="CF550" s="236"/>
      <c r="CG550" s="236"/>
      <c r="CH550" s="236"/>
      <c r="CI550" s="236"/>
      <c r="CJ550" s="236"/>
      <c r="CK550" s="236"/>
      <c r="CL550" s="236"/>
      <c r="CM550" s="236"/>
      <c r="CN550" s="236"/>
      <c r="CO550" s="236"/>
    </row>
    <row r="551" spans="5:93" s="230" customFormat="1">
      <c r="E551" s="234"/>
      <c r="F551" s="235"/>
      <c r="G551" s="235"/>
      <c r="H551" s="236"/>
      <c r="I551" s="235"/>
      <c r="J551" s="235"/>
      <c r="K551" s="235"/>
      <c r="L551" s="235"/>
      <c r="M551" s="236"/>
      <c r="N551" s="235"/>
      <c r="O551" s="235"/>
      <c r="P551" s="235"/>
      <c r="Q551" s="235"/>
      <c r="R551" s="235"/>
      <c r="S551" s="235"/>
      <c r="T551" s="235"/>
      <c r="U551" s="235"/>
      <c r="V551" s="235"/>
      <c r="W551" s="235"/>
      <c r="X551" s="235"/>
      <c r="Y551" s="235"/>
      <c r="Z551" s="235"/>
      <c r="AA551" s="235"/>
      <c r="AB551" s="235"/>
      <c r="AC551" s="235"/>
      <c r="AD551" s="235"/>
      <c r="AE551" s="236"/>
      <c r="AF551" s="235"/>
      <c r="AG551" s="235"/>
      <c r="AH551" s="235"/>
      <c r="AI551" s="235"/>
      <c r="AJ551" s="236"/>
      <c r="AK551" s="235"/>
      <c r="AL551" s="235"/>
      <c r="AM551" s="235"/>
      <c r="AN551" s="235"/>
      <c r="AO551" s="235"/>
      <c r="AP551" s="235"/>
      <c r="AQ551" s="235"/>
      <c r="AR551" s="235"/>
      <c r="AS551" s="235"/>
      <c r="AT551" s="235"/>
      <c r="AU551" s="236"/>
      <c r="AV551" s="235"/>
      <c r="AW551" s="235"/>
      <c r="AX551" s="235"/>
      <c r="AY551" s="235"/>
      <c r="AZ551" s="235"/>
      <c r="BA551" s="235"/>
      <c r="BB551" s="235"/>
      <c r="BC551" s="235"/>
      <c r="BD551" s="236"/>
      <c r="BE551" s="235"/>
      <c r="BF551" s="235"/>
      <c r="BG551" s="235"/>
      <c r="BH551" s="235"/>
      <c r="BI551" s="236"/>
      <c r="BJ551" s="236"/>
      <c r="BK551" s="238"/>
      <c r="BL551" s="239"/>
      <c r="BM551" s="239"/>
      <c r="BN551" s="239"/>
      <c r="BP551" s="236"/>
      <c r="BQ551" s="236"/>
      <c r="BR551" s="236"/>
      <c r="BS551" s="236"/>
      <c r="BT551" s="236"/>
      <c r="BU551" s="236"/>
      <c r="BV551" s="236"/>
      <c r="BW551" s="236"/>
      <c r="BX551" s="236"/>
      <c r="BY551" s="236"/>
      <c r="BZ551" s="236"/>
      <c r="CA551" s="236"/>
      <c r="CB551" s="236"/>
      <c r="CC551" s="236"/>
      <c r="CD551" s="236"/>
      <c r="CE551" s="236"/>
      <c r="CF551" s="236"/>
      <c r="CG551" s="236"/>
      <c r="CH551" s="236"/>
      <c r="CI551" s="236"/>
      <c r="CJ551" s="236"/>
      <c r="CK551" s="236"/>
      <c r="CL551" s="236"/>
      <c r="CM551" s="236"/>
      <c r="CN551" s="236"/>
      <c r="CO551" s="236"/>
    </row>
    <row r="552" spans="5:93" s="230" customFormat="1">
      <c r="E552" s="234"/>
      <c r="F552" s="235"/>
      <c r="G552" s="235"/>
      <c r="H552" s="236"/>
      <c r="I552" s="235"/>
      <c r="J552" s="235"/>
      <c r="K552" s="235"/>
      <c r="L552" s="235"/>
      <c r="M552" s="236"/>
      <c r="N552" s="235"/>
      <c r="O552" s="235"/>
      <c r="P552" s="235"/>
      <c r="Q552" s="235"/>
      <c r="R552" s="235"/>
      <c r="S552" s="235"/>
      <c r="T552" s="235"/>
      <c r="U552" s="235"/>
      <c r="V552" s="235"/>
      <c r="W552" s="235"/>
      <c r="X552" s="235"/>
      <c r="Y552" s="235"/>
      <c r="Z552" s="235"/>
      <c r="AA552" s="235"/>
      <c r="AB552" s="235"/>
      <c r="AC552" s="235"/>
      <c r="AD552" s="235"/>
      <c r="AE552" s="236"/>
      <c r="AF552" s="235"/>
      <c r="AG552" s="235"/>
      <c r="AH552" s="235"/>
      <c r="AI552" s="235"/>
      <c r="AJ552" s="236"/>
      <c r="AK552" s="235"/>
      <c r="AL552" s="235"/>
      <c r="AM552" s="235"/>
      <c r="AN552" s="235"/>
      <c r="AO552" s="235"/>
      <c r="AP552" s="235"/>
      <c r="AQ552" s="235"/>
      <c r="AR552" s="235"/>
      <c r="AS552" s="235"/>
      <c r="AT552" s="235"/>
      <c r="AU552" s="236"/>
      <c r="AV552" s="235"/>
      <c r="AW552" s="235"/>
      <c r="AX552" s="235"/>
      <c r="AY552" s="235"/>
      <c r="AZ552" s="235"/>
      <c r="BA552" s="235"/>
      <c r="BB552" s="235"/>
      <c r="BC552" s="235"/>
      <c r="BD552" s="236"/>
      <c r="BE552" s="235"/>
      <c r="BF552" s="235"/>
      <c r="BG552" s="235"/>
      <c r="BH552" s="235"/>
      <c r="BI552" s="236"/>
      <c r="BJ552" s="236"/>
      <c r="BK552" s="238"/>
      <c r="BL552" s="239"/>
      <c r="BM552" s="239"/>
      <c r="BN552" s="239"/>
      <c r="BP552" s="236"/>
      <c r="BQ552" s="236"/>
      <c r="BR552" s="236"/>
      <c r="BS552" s="236"/>
      <c r="BT552" s="236"/>
      <c r="BU552" s="236"/>
      <c r="BV552" s="236"/>
      <c r="BW552" s="236"/>
      <c r="BX552" s="236"/>
      <c r="BY552" s="236"/>
      <c r="BZ552" s="236"/>
      <c r="CA552" s="236"/>
      <c r="CB552" s="236"/>
      <c r="CC552" s="236"/>
      <c r="CD552" s="236"/>
      <c r="CE552" s="236"/>
      <c r="CF552" s="236"/>
      <c r="CG552" s="236"/>
      <c r="CH552" s="236"/>
      <c r="CI552" s="236"/>
      <c r="CJ552" s="236"/>
      <c r="CK552" s="236"/>
      <c r="CL552" s="236"/>
      <c r="CM552" s="236"/>
      <c r="CN552" s="236"/>
      <c r="CO552" s="236"/>
    </row>
    <row r="553" spans="5:93" s="230" customFormat="1">
      <c r="E553" s="234"/>
      <c r="F553" s="235"/>
      <c r="G553" s="235"/>
      <c r="H553" s="236"/>
      <c r="I553" s="235"/>
      <c r="J553" s="235"/>
      <c r="K553" s="235"/>
      <c r="L553" s="235"/>
      <c r="M553" s="236"/>
      <c r="N553" s="235"/>
      <c r="O553" s="235"/>
      <c r="P553" s="235"/>
      <c r="Q553" s="235"/>
      <c r="R553" s="235"/>
      <c r="S553" s="235"/>
      <c r="T553" s="235"/>
      <c r="U553" s="235"/>
      <c r="V553" s="235"/>
      <c r="W553" s="235"/>
      <c r="X553" s="235"/>
      <c r="Y553" s="235"/>
      <c r="Z553" s="235"/>
      <c r="AA553" s="235"/>
      <c r="AB553" s="235"/>
      <c r="AC553" s="235"/>
      <c r="AD553" s="235"/>
      <c r="AE553" s="236"/>
      <c r="AF553" s="235"/>
      <c r="AG553" s="235"/>
      <c r="AH553" s="235"/>
      <c r="AI553" s="235"/>
      <c r="AJ553" s="236"/>
      <c r="AK553" s="235"/>
      <c r="AL553" s="235"/>
      <c r="AM553" s="235"/>
      <c r="AN553" s="235"/>
      <c r="AO553" s="235"/>
      <c r="AP553" s="235"/>
      <c r="AQ553" s="235"/>
      <c r="AR553" s="235"/>
      <c r="AS553" s="235"/>
      <c r="AT553" s="235"/>
      <c r="AU553" s="236"/>
      <c r="AV553" s="235"/>
      <c r="AW553" s="235"/>
      <c r="AX553" s="235"/>
      <c r="AY553" s="235"/>
      <c r="AZ553" s="235"/>
      <c r="BA553" s="235"/>
      <c r="BB553" s="235"/>
      <c r="BC553" s="235"/>
      <c r="BD553" s="236"/>
      <c r="BE553" s="235"/>
      <c r="BF553" s="235"/>
      <c r="BG553" s="235"/>
      <c r="BH553" s="235"/>
      <c r="BI553" s="236"/>
      <c r="BJ553" s="236"/>
      <c r="BK553" s="238"/>
      <c r="BL553" s="239"/>
      <c r="BM553" s="239"/>
      <c r="BN553" s="239"/>
      <c r="BP553" s="236"/>
      <c r="BQ553" s="236"/>
      <c r="BR553" s="236"/>
      <c r="BS553" s="236"/>
      <c r="BT553" s="236"/>
      <c r="BU553" s="236"/>
      <c r="BV553" s="236"/>
      <c r="BW553" s="236"/>
      <c r="BX553" s="236"/>
      <c r="BY553" s="236"/>
      <c r="BZ553" s="236"/>
      <c r="CA553" s="236"/>
      <c r="CB553" s="236"/>
      <c r="CC553" s="236"/>
      <c r="CD553" s="236"/>
      <c r="CE553" s="236"/>
      <c r="CF553" s="236"/>
      <c r="CG553" s="236"/>
      <c r="CH553" s="236"/>
      <c r="CI553" s="236"/>
      <c r="CJ553" s="236"/>
      <c r="CK553" s="236"/>
      <c r="CL553" s="236"/>
      <c r="CM553" s="236"/>
      <c r="CN553" s="236"/>
      <c r="CO553" s="236"/>
    </row>
    <row r="554" spans="5:93" s="230" customFormat="1">
      <c r="E554" s="234"/>
      <c r="F554" s="235"/>
      <c r="G554" s="235"/>
      <c r="H554" s="236"/>
      <c r="I554" s="235"/>
      <c r="J554" s="235"/>
      <c r="K554" s="235"/>
      <c r="L554" s="235"/>
      <c r="M554" s="236"/>
      <c r="N554" s="235"/>
      <c r="O554" s="235"/>
      <c r="P554" s="235"/>
      <c r="Q554" s="235"/>
      <c r="R554" s="235"/>
      <c r="S554" s="235"/>
      <c r="T554" s="235"/>
      <c r="U554" s="235"/>
      <c r="V554" s="235"/>
      <c r="W554" s="235"/>
      <c r="X554" s="235"/>
      <c r="Y554" s="235"/>
      <c r="Z554" s="235"/>
      <c r="AA554" s="235"/>
      <c r="AB554" s="235"/>
      <c r="AC554" s="235"/>
      <c r="AD554" s="235"/>
      <c r="AE554" s="236"/>
      <c r="AF554" s="235"/>
      <c r="AG554" s="235"/>
      <c r="AH554" s="235"/>
      <c r="AI554" s="235"/>
      <c r="AJ554" s="236"/>
      <c r="AK554" s="235"/>
      <c r="AL554" s="235"/>
      <c r="AM554" s="235"/>
      <c r="AN554" s="235"/>
      <c r="AO554" s="235"/>
      <c r="AP554" s="235"/>
      <c r="AQ554" s="235"/>
      <c r="AR554" s="235"/>
      <c r="AS554" s="235"/>
      <c r="AT554" s="235"/>
      <c r="AU554" s="236"/>
      <c r="AV554" s="235"/>
      <c r="AW554" s="235"/>
      <c r="AX554" s="235"/>
      <c r="AY554" s="235"/>
      <c r="AZ554" s="235"/>
      <c r="BA554" s="235"/>
      <c r="BB554" s="235"/>
      <c r="BC554" s="235"/>
      <c r="BD554" s="236"/>
      <c r="BE554" s="235"/>
      <c r="BF554" s="235"/>
      <c r="BG554" s="235"/>
      <c r="BH554" s="235"/>
      <c r="BI554" s="236"/>
      <c r="BJ554" s="236"/>
      <c r="BK554" s="238"/>
      <c r="BL554" s="239"/>
      <c r="BM554" s="239"/>
      <c r="BN554" s="239"/>
      <c r="BP554" s="236"/>
      <c r="BQ554" s="236"/>
      <c r="BR554" s="236"/>
      <c r="BS554" s="236"/>
      <c r="BT554" s="236"/>
      <c r="BU554" s="236"/>
      <c r="BV554" s="236"/>
      <c r="BW554" s="236"/>
      <c r="BX554" s="236"/>
      <c r="BY554" s="236"/>
      <c r="BZ554" s="236"/>
      <c r="CA554" s="236"/>
      <c r="CB554" s="236"/>
      <c r="CC554" s="236"/>
      <c r="CD554" s="236"/>
      <c r="CE554" s="236"/>
      <c r="CF554" s="236"/>
      <c r="CG554" s="236"/>
      <c r="CH554" s="236"/>
      <c r="CI554" s="236"/>
      <c r="CJ554" s="236"/>
      <c r="CK554" s="236"/>
      <c r="CL554" s="236"/>
      <c r="CM554" s="236"/>
      <c r="CN554" s="236"/>
      <c r="CO554" s="236"/>
    </row>
    <row r="555" spans="5:93" s="230" customFormat="1">
      <c r="E555" s="234"/>
      <c r="F555" s="235"/>
      <c r="G555" s="235"/>
      <c r="H555" s="236"/>
      <c r="I555" s="235"/>
      <c r="J555" s="235"/>
      <c r="K555" s="235"/>
      <c r="L555" s="235"/>
      <c r="M555" s="236"/>
      <c r="N555" s="235"/>
      <c r="O555" s="235"/>
      <c r="P555" s="235"/>
      <c r="Q555" s="235"/>
      <c r="R555" s="235"/>
      <c r="S555" s="235"/>
      <c r="T555" s="235"/>
      <c r="U555" s="235"/>
      <c r="V555" s="235"/>
      <c r="W555" s="235"/>
      <c r="X555" s="235"/>
      <c r="Y555" s="235"/>
      <c r="Z555" s="235"/>
      <c r="AA555" s="235"/>
      <c r="AB555" s="235"/>
      <c r="AC555" s="235"/>
      <c r="AD555" s="235"/>
      <c r="AE555" s="236"/>
      <c r="AF555" s="235"/>
      <c r="AG555" s="235"/>
      <c r="AH555" s="235"/>
      <c r="AI555" s="235"/>
      <c r="AJ555" s="236"/>
      <c r="AK555" s="235"/>
      <c r="AL555" s="235"/>
      <c r="AM555" s="235"/>
      <c r="AN555" s="235"/>
      <c r="AO555" s="235"/>
      <c r="AP555" s="235"/>
      <c r="AQ555" s="235"/>
      <c r="AR555" s="235"/>
      <c r="AS555" s="235"/>
      <c r="AT555" s="235"/>
      <c r="AU555" s="236"/>
      <c r="AV555" s="235"/>
      <c r="AW555" s="235"/>
      <c r="AX555" s="235"/>
      <c r="AY555" s="235"/>
      <c r="AZ555" s="235"/>
      <c r="BA555" s="235"/>
      <c r="BB555" s="235"/>
      <c r="BC555" s="235"/>
      <c r="BD555" s="236"/>
      <c r="BE555" s="235"/>
      <c r="BF555" s="235"/>
      <c r="BG555" s="235"/>
      <c r="BH555" s="235"/>
      <c r="BI555" s="236"/>
      <c r="BJ555" s="236"/>
      <c r="BK555" s="238"/>
      <c r="BL555" s="239"/>
      <c r="BM555" s="239"/>
      <c r="BN555" s="239"/>
      <c r="BP555" s="236"/>
      <c r="BQ555" s="236"/>
      <c r="BR555" s="236"/>
      <c r="BS555" s="236"/>
      <c r="BT555" s="236"/>
      <c r="BU555" s="236"/>
      <c r="BV555" s="236"/>
      <c r="BW555" s="236"/>
      <c r="BX555" s="236"/>
      <c r="BY555" s="236"/>
      <c r="BZ555" s="236"/>
      <c r="CA555" s="236"/>
      <c r="CB555" s="236"/>
      <c r="CC555" s="236"/>
      <c r="CD555" s="236"/>
      <c r="CE555" s="236"/>
      <c r="CF555" s="236"/>
      <c r="CG555" s="236"/>
      <c r="CH555" s="236"/>
      <c r="CI555" s="236"/>
      <c r="CJ555" s="236"/>
      <c r="CK555" s="236"/>
      <c r="CL555" s="236"/>
      <c r="CM555" s="236"/>
      <c r="CN555" s="236"/>
      <c r="CO555" s="236"/>
    </row>
    <row r="556" spans="5:93" s="230" customFormat="1">
      <c r="E556" s="234"/>
      <c r="F556" s="235"/>
      <c r="G556" s="235"/>
      <c r="H556" s="236"/>
      <c r="I556" s="235"/>
      <c r="J556" s="235"/>
      <c r="K556" s="235"/>
      <c r="L556" s="235"/>
      <c r="M556" s="236"/>
      <c r="N556" s="235"/>
      <c r="O556" s="235"/>
      <c r="P556" s="235"/>
      <c r="Q556" s="235"/>
      <c r="R556" s="235"/>
      <c r="S556" s="235"/>
      <c r="T556" s="235"/>
      <c r="U556" s="235"/>
      <c r="V556" s="235"/>
      <c r="W556" s="235"/>
      <c r="X556" s="235"/>
      <c r="Y556" s="235"/>
      <c r="Z556" s="235"/>
      <c r="AA556" s="235"/>
      <c r="AB556" s="235"/>
      <c r="AC556" s="235"/>
      <c r="AD556" s="235"/>
      <c r="AE556" s="236"/>
      <c r="AF556" s="235"/>
      <c r="AG556" s="235"/>
      <c r="AH556" s="235"/>
      <c r="AI556" s="235"/>
      <c r="AJ556" s="236"/>
      <c r="AK556" s="235"/>
      <c r="AL556" s="235"/>
      <c r="AM556" s="235"/>
      <c r="AN556" s="235"/>
      <c r="AO556" s="235"/>
      <c r="AP556" s="235"/>
      <c r="AQ556" s="235"/>
      <c r="AR556" s="235"/>
      <c r="AS556" s="235"/>
      <c r="AT556" s="235"/>
      <c r="AU556" s="236"/>
      <c r="AV556" s="235"/>
      <c r="AW556" s="235"/>
      <c r="AX556" s="235"/>
      <c r="AY556" s="235"/>
      <c r="AZ556" s="235"/>
      <c r="BA556" s="235"/>
      <c r="BB556" s="235"/>
      <c r="BC556" s="235"/>
      <c r="BD556" s="236"/>
      <c r="BE556" s="235"/>
      <c r="BF556" s="235"/>
      <c r="BG556" s="235"/>
      <c r="BH556" s="235"/>
      <c r="BI556" s="236"/>
      <c r="BJ556" s="236"/>
      <c r="BK556" s="238"/>
      <c r="BL556" s="239"/>
      <c r="BM556" s="239"/>
      <c r="BN556" s="239"/>
      <c r="BP556" s="236"/>
      <c r="BQ556" s="236"/>
      <c r="BR556" s="236"/>
      <c r="BS556" s="236"/>
      <c r="BT556" s="236"/>
      <c r="BU556" s="236"/>
      <c r="BV556" s="236"/>
      <c r="BW556" s="236"/>
      <c r="BX556" s="236"/>
      <c r="BY556" s="236"/>
      <c r="BZ556" s="236"/>
      <c r="CA556" s="236"/>
      <c r="CB556" s="236"/>
      <c r="CC556" s="236"/>
      <c r="CD556" s="236"/>
      <c r="CE556" s="236"/>
      <c r="CF556" s="236"/>
      <c r="CG556" s="236"/>
      <c r="CH556" s="236"/>
      <c r="CI556" s="236"/>
      <c r="CJ556" s="236"/>
      <c r="CK556" s="236"/>
      <c r="CL556" s="236"/>
      <c r="CM556" s="236"/>
      <c r="CN556" s="236"/>
      <c r="CO556" s="236"/>
    </row>
    <row r="557" spans="5:93" s="230" customFormat="1">
      <c r="E557" s="234"/>
      <c r="F557" s="235"/>
      <c r="G557" s="235"/>
      <c r="H557" s="236"/>
      <c r="I557" s="235"/>
      <c r="J557" s="235"/>
      <c r="K557" s="235"/>
      <c r="L557" s="235"/>
      <c r="M557" s="236"/>
      <c r="N557" s="235"/>
      <c r="O557" s="235"/>
      <c r="P557" s="235"/>
      <c r="Q557" s="235"/>
      <c r="R557" s="235"/>
      <c r="S557" s="235"/>
      <c r="T557" s="235"/>
      <c r="U557" s="235"/>
      <c r="V557" s="235"/>
      <c r="W557" s="235"/>
      <c r="X557" s="235"/>
      <c r="Y557" s="235"/>
      <c r="Z557" s="235"/>
      <c r="AA557" s="235"/>
      <c r="AB557" s="235"/>
      <c r="AC557" s="235"/>
      <c r="AD557" s="235"/>
      <c r="AE557" s="236"/>
      <c r="AF557" s="235"/>
      <c r="AG557" s="235"/>
      <c r="AH557" s="235"/>
      <c r="AI557" s="235"/>
      <c r="AJ557" s="236"/>
      <c r="AK557" s="235"/>
      <c r="AL557" s="235"/>
      <c r="AM557" s="235"/>
      <c r="AN557" s="235"/>
      <c r="AO557" s="235"/>
      <c r="AP557" s="235"/>
      <c r="AQ557" s="235"/>
      <c r="AR557" s="235"/>
      <c r="AS557" s="235"/>
      <c r="AT557" s="235"/>
      <c r="AU557" s="236"/>
      <c r="AV557" s="235"/>
      <c r="AW557" s="235"/>
      <c r="AX557" s="235"/>
      <c r="AY557" s="235"/>
      <c r="AZ557" s="235"/>
      <c r="BA557" s="235"/>
      <c r="BB557" s="235"/>
      <c r="BC557" s="235"/>
      <c r="BD557" s="236"/>
      <c r="BE557" s="235"/>
      <c r="BF557" s="235"/>
      <c r="BG557" s="235"/>
      <c r="BH557" s="235"/>
      <c r="BI557" s="236"/>
      <c r="BJ557" s="236"/>
      <c r="BK557" s="238"/>
      <c r="BL557" s="239"/>
      <c r="BM557" s="239"/>
      <c r="BN557" s="239"/>
      <c r="BP557" s="236"/>
      <c r="BQ557" s="236"/>
      <c r="BR557" s="236"/>
      <c r="BS557" s="236"/>
      <c r="BT557" s="236"/>
      <c r="BU557" s="236"/>
      <c r="BV557" s="236"/>
      <c r="BW557" s="236"/>
      <c r="BX557" s="236"/>
      <c r="BY557" s="236"/>
      <c r="BZ557" s="236"/>
      <c r="CA557" s="236"/>
      <c r="CB557" s="236"/>
      <c r="CC557" s="236"/>
      <c r="CD557" s="236"/>
      <c r="CE557" s="236"/>
      <c r="CF557" s="236"/>
      <c r="CG557" s="236"/>
      <c r="CH557" s="236"/>
      <c r="CI557" s="236"/>
      <c r="CJ557" s="236"/>
      <c r="CK557" s="236"/>
      <c r="CL557" s="236"/>
      <c r="CM557" s="236"/>
      <c r="CN557" s="236"/>
      <c r="CO557" s="236"/>
    </row>
    <row r="558" spans="5:93" s="230" customFormat="1">
      <c r="E558" s="234"/>
      <c r="F558" s="235"/>
      <c r="G558" s="235"/>
      <c r="H558" s="236"/>
      <c r="I558" s="235"/>
      <c r="J558" s="235"/>
      <c r="K558" s="235"/>
      <c r="L558" s="235"/>
      <c r="M558" s="236"/>
      <c r="N558" s="235"/>
      <c r="O558" s="235"/>
      <c r="P558" s="235"/>
      <c r="Q558" s="235"/>
      <c r="R558" s="235"/>
      <c r="S558" s="235"/>
      <c r="T558" s="235"/>
      <c r="U558" s="235"/>
      <c r="V558" s="235"/>
      <c r="W558" s="235"/>
      <c r="X558" s="235"/>
      <c r="Y558" s="235"/>
      <c r="Z558" s="235"/>
      <c r="AA558" s="235"/>
      <c r="AB558" s="235"/>
      <c r="AC558" s="235"/>
      <c r="AD558" s="235"/>
      <c r="AE558" s="236"/>
      <c r="AF558" s="235"/>
      <c r="AG558" s="235"/>
      <c r="AH558" s="235"/>
      <c r="AI558" s="235"/>
      <c r="AJ558" s="236"/>
      <c r="AK558" s="235"/>
      <c r="AL558" s="235"/>
      <c r="AM558" s="235"/>
      <c r="AN558" s="235"/>
      <c r="AO558" s="235"/>
      <c r="AP558" s="235"/>
      <c r="AQ558" s="235"/>
      <c r="AR558" s="235"/>
      <c r="AS558" s="235"/>
      <c r="AT558" s="235"/>
      <c r="AU558" s="236"/>
      <c r="AV558" s="235"/>
      <c r="AW558" s="235"/>
      <c r="AX558" s="235"/>
      <c r="AY558" s="235"/>
      <c r="AZ558" s="235"/>
      <c r="BA558" s="235"/>
      <c r="BB558" s="235"/>
      <c r="BC558" s="235"/>
      <c r="BD558" s="236"/>
      <c r="BE558" s="235"/>
      <c r="BF558" s="235"/>
      <c r="BG558" s="235"/>
      <c r="BH558" s="235"/>
      <c r="BI558" s="236"/>
      <c r="BJ558" s="236"/>
      <c r="BK558" s="238"/>
      <c r="BL558" s="239"/>
      <c r="BM558" s="239"/>
      <c r="BN558" s="239"/>
      <c r="BP558" s="236"/>
      <c r="BQ558" s="236"/>
      <c r="BR558" s="236"/>
      <c r="BS558" s="236"/>
      <c r="BT558" s="236"/>
      <c r="BU558" s="236"/>
      <c r="BV558" s="236"/>
      <c r="BW558" s="236"/>
      <c r="BX558" s="236"/>
      <c r="BY558" s="236"/>
      <c r="BZ558" s="236"/>
      <c r="CA558" s="236"/>
      <c r="CB558" s="236"/>
      <c r="CC558" s="236"/>
      <c r="CD558" s="236"/>
      <c r="CE558" s="236"/>
      <c r="CF558" s="236"/>
      <c r="CG558" s="236"/>
      <c r="CH558" s="236"/>
      <c r="CI558" s="236"/>
      <c r="CJ558" s="236"/>
      <c r="CK558" s="236"/>
      <c r="CL558" s="236"/>
      <c r="CM558" s="236"/>
      <c r="CN558" s="236"/>
      <c r="CO558" s="236"/>
    </row>
    <row r="559" spans="5:93" s="230" customFormat="1">
      <c r="E559" s="234"/>
      <c r="F559" s="235"/>
      <c r="G559" s="235"/>
      <c r="H559" s="236"/>
      <c r="I559" s="235"/>
      <c r="J559" s="235"/>
      <c r="K559" s="235"/>
      <c r="L559" s="235"/>
      <c r="M559" s="236"/>
      <c r="N559" s="235"/>
      <c r="O559" s="235"/>
      <c r="P559" s="235"/>
      <c r="Q559" s="235"/>
      <c r="R559" s="235"/>
      <c r="S559" s="235"/>
      <c r="T559" s="235"/>
      <c r="U559" s="235"/>
      <c r="V559" s="235"/>
      <c r="W559" s="235"/>
      <c r="X559" s="235"/>
      <c r="Y559" s="235"/>
      <c r="Z559" s="235"/>
      <c r="AA559" s="235"/>
      <c r="AB559" s="235"/>
      <c r="AC559" s="235"/>
      <c r="AD559" s="235"/>
      <c r="AE559" s="236"/>
      <c r="AF559" s="235"/>
      <c r="AG559" s="235"/>
      <c r="AH559" s="235"/>
      <c r="AI559" s="235"/>
      <c r="AJ559" s="236"/>
      <c r="AK559" s="235"/>
      <c r="AL559" s="235"/>
      <c r="AM559" s="235"/>
      <c r="AN559" s="235"/>
      <c r="AO559" s="235"/>
      <c r="AP559" s="235"/>
      <c r="AQ559" s="235"/>
      <c r="AR559" s="235"/>
      <c r="AS559" s="235"/>
      <c r="AT559" s="235"/>
      <c r="AU559" s="236"/>
      <c r="AV559" s="235"/>
      <c r="AW559" s="235"/>
      <c r="AX559" s="235"/>
      <c r="AY559" s="235"/>
      <c r="AZ559" s="235"/>
      <c r="BA559" s="235"/>
      <c r="BB559" s="235"/>
      <c r="BC559" s="235"/>
      <c r="BD559" s="236"/>
      <c r="BE559" s="235"/>
      <c r="BF559" s="235"/>
      <c r="BG559" s="235"/>
      <c r="BH559" s="235"/>
      <c r="BI559" s="236"/>
      <c r="BJ559" s="236"/>
      <c r="BK559" s="238"/>
      <c r="BL559" s="239"/>
      <c r="BM559" s="239"/>
      <c r="BN559" s="239"/>
      <c r="BP559" s="236"/>
      <c r="BQ559" s="236"/>
      <c r="BR559" s="236"/>
      <c r="BS559" s="236"/>
      <c r="BT559" s="236"/>
      <c r="BU559" s="236"/>
      <c r="BV559" s="236"/>
      <c r="BW559" s="236"/>
      <c r="BX559" s="236"/>
      <c r="BY559" s="236"/>
      <c r="BZ559" s="236"/>
      <c r="CA559" s="236"/>
      <c r="CB559" s="236"/>
      <c r="CC559" s="236"/>
      <c r="CD559" s="236"/>
      <c r="CE559" s="236"/>
      <c r="CF559" s="236"/>
      <c r="CG559" s="236"/>
      <c r="CH559" s="236"/>
      <c r="CI559" s="236"/>
      <c r="CJ559" s="236"/>
      <c r="CK559" s="236"/>
      <c r="CL559" s="236"/>
      <c r="CM559" s="236"/>
      <c r="CN559" s="236"/>
      <c r="CO559" s="236"/>
    </row>
    <row r="560" spans="5:93" s="230" customFormat="1">
      <c r="E560" s="234"/>
      <c r="F560" s="235"/>
      <c r="G560" s="235"/>
      <c r="H560" s="236"/>
      <c r="I560" s="235"/>
      <c r="J560" s="235"/>
      <c r="K560" s="235"/>
      <c r="L560" s="235"/>
      <c r="M560" s="236"/>
      <c r="N560" s="235"/>
      <c r="O560" s="235"/>
      <c r="P560" s="235"/>
      <c r="Q560" s="235"/>
      <c r="R560" s="235"/>
      <c r="S560" s="235"/>
      <c r="T560" s="235"/>
      <c r="U560" s="235"/>
      <c r="V560" s="235"/>
      <c r="W560" s="235"/>
      <c r="X560" s="235"/>
      <c r="Y560" s="235"/>
      <c r="Z560" s="235"/>
      <c r="AA560" s="235"/>
      <c r="AB560" s="235"/>
      <c r="AC560" s="235"/>
      <c r="AD560" s="235"/>
      <c r="AE560" s="236"/>
      <c r="AF560" s="235"/>
      <c r="AG560" s="235"/>
      <c r="AH560" s="235"/>
      <c r="AI560" s="235"/>
      <c r="AJ560" s="236"/>
      <c r="AK560" s="235"/>
      <c r="AL560" s="235"/>
      <c r="AM560" s="235"/>
      <c r="AN560" s="235"/>
      <c r="AO560" s="235"/>
      <c r="AP560" s="235"/>
      <c r="AQ560" s="235"/>
      <c r="AR560" s="235"/>
      <c r="AS560" s="235"/>
      <c r="AT560" s="235"/>
      <c r="AU560" s="236"/>
      <c r="AV560" s="235"/>
      <c r="AW560" s="235"/>
      <c r="AX560" s="235"/>
      <c r="AY560" s="235"/>
      <c r="AZ560" s="235"/>
      <c r="BA560" s="235"/>
      <c r="BB560" s="235"/>
      <c r="BC560" s="235"/>
      <c r="BD560" s="236"/>
      <c r="BE560" s="235"/>
      <c r="BF560" s="235"/>
      <c r="BG560" s="235"/>
      <c r="BH560" s="235"/>
      <c r="BI560" s="236"/>
      <c r="BJ560" s="236"/>
      <c r="BK560" s="238"/>
      <c r="BL560" s="239"/>
      <c r="BM560" s="239"/>
      <c r="BN560" s="239"/>
      <c r="BP560" s="236"/>
      <c r="BQ560" s="236"/>
      <c r="BR560" s="236"/>
      <c r="BS560" s="236"/>
      <c r="BT560" s="236"/>
      <c r="BU560" s="236"/>
      <c r="BV560" s="236"/>
      <c r="BW560" s="236"/>
      <c r="BX560" s="236"/>
      <c r="BY560" s="236"/>
      <c r="BZ560" s="236"/>
      <c r="CA560" s="236"/>
      <c r="CB560" s="236"/>
      <c r="CC560" s="236"/>
      <c r="CD560" s="236"/>
      <c r="CE560" s="236"/>
      <c r="CF560" s="236"/>
      <c r="CG560" s="236"/>
      <c r="CH560" s="236"/>
      <c r="CI560" s="236"/>
      <c r="CJ560" s="236"/>
      <c r="CK560" s="236"/>
      <c r="CL560" s="236"/>
      <c r="CM560" s="236"/>
      <c r="CN560" s="236"/>
      <c r="CO560" s="236"/>
    </row>
    <row r="561" spans="5:93" s="230" customFormat="1">
      <c r="E561" s="234"/>
      <c r="F561" s="235"/>
      <c r="G561" s="235"/>
      <c r="H561" s="236"/>
      <c r="I561" s="235"/>
      <c r="J561" s="235"/>
      <c r="K561" s="235"/>
      <c r="L561" s="235"/>
      <c r="M561" s="236"/>
      <c r="N561" s="235"/>
      <c r="O561" s="235"/>
      <c r="P561" s="235"/>
      <c r="Q561" s="235"/>
      <c r="R561" s="235"/>
      <c r="S561" s="235"/>
      <c r="T561" s="235"/>
      <c r="U561" s="235"/>
      <c r="V561" s="235"/>
      <c r="W561" s="235"/>
      <c r="X561" s="235"/>
      <c r="Y561" s="235"/>
      <c r="Z561" s="235"/>
      <c r="AA561" s="235"/>
      <c r="AB561" s="235"/>
      <c r="AC561" s="235"/>
      <c r="AD561" s="235"/>
      <c r="AE561" s="236"/>
      <c r="AF561" s="235"/>
      <c r="AG561" s="235"/>
      <c r="AH561" s="235"/>
      <c r="AI561" s="235"/>
      <c r="AJ561" s="236"/>
      <c r="AK561" s="235"/>
      <c r="AL561" s="235"/>
      <c r="AM561" s="235"/>
      <c r="AN561" s="235"/>
      <c r="AO561" s="235"/>
      <c r="AP561" s="235"/>
      <c r="AQ561" s="235"/>
      <c r="AR561" s="235"/>
      <c r="AS561" s="235"/>
      <c r="AT561" s="235"/>
      <c r="AU561" s="236"/>
      <c r="AV561" s="235"/>
      <c r="AW561" s="235"/>
      <c r="AX561" s="235"/>
      <c r="AY561" s="235"/>
      <c r="AZ561" s="235"/>
      <c r="BA561" s="235"/>
      <c r="BB561" s="235"/>
      <c r="BC561" s="235"/>
      <c r="BD561" s="236"/>
      <c r="BE561" s="235"/>
      <c r="BF561" s="235"/>
      <c r="BG561" s="235"/>
      <c r="BH561" s="235"/>
      <c r="BI561" s="236"/>
      <c r="BJ561" s="236"/>
      <c r="BK561" s="238"/>
      <c r="BL561" s="239"/>
      <c r="BM561" s="239"/>
      <c r="BN561" s="239"/>
      <c r="BP561" s="236"/>
      <c r="BQ561" s="236"/>
      <c r="BR561" s="236"/>
      <c r="BS561" s="236"/>
      <c r="BT561" s="236"/>
      <c r="BU561" s="236"/>
      <c r="BV561" s="236"/>
      <c r="BW561" s="236"/>
      <c r="BX561" s="236"/>
      <c r="BY561" s="236"/>
      <c r="BZ561" s="236"/>
      <c r="CA561" s="236"/>
      <c r="CB561" s="236"/>
      <c r="CC561" s="236"/>
      <c r="CD561" s="236"/>
      <c r="CE561" s="236"/>
      <c r="CF561" s="236"/>
      <c r="CG561" s="236"/>
      <c r="CH561" s="236"/>
      <c r="CI561" s="236"/>
      <c r="CJ561" s="236"/>
      <c r="CK561" s="236"/>
      <c r="CL561" s="236"/>
      <c r="CM561" s="236"/>
      <c r="CN561" s="236"/>
      <c r="CO561" s="236"/>
    </row>
    <row r="562" spans="5:93" s="230" customFormat="1">
      <c r="E562" s="234"/>
      <c r="F562" s="235"/>
      <c r="G562" s="235"/>
      <c r="H562" s="236"/>
      <c r="I562" s="235"/>
      <c r="J562" s="235"/>
      <c r="K562" s="235"/>
      <c r="L562" s="235"/>
      <c r="M562" s="236"/>
      <c r="N562" s="235"/>
      <c r="O562" s="235"/>
      <c r="P562" s="235"/>
      <c r="Q562" s="235"/>
      <c r="R562" s="235"/>
      <c r="S562" s="235"/>
      <c r="T562" s="235"/>
      <c r="U562" s="235"/>
      <c r="V562" s="235"/>
      <c r="W562" s="235"/>
      <c r="X562" s="235"/>
      <c r="Y562" s="235"/>
      <c r="Z562" s="235"/>
      <c r="AA562" s="235"/>
      <c r="AB562" s="235"/>
      <c r="AC562" s="235"/>
      <c r="AD562" s="235"/>
      <c r="AE562" s="236"/>
      <c r="AF562" s="235"/>
      <c r="AG562" s="235"/>
      <c r="AH562" s="235"/>
      <c r="AI562" s="235"/>
      <c r="AJ562" s="236"/>
      <c r="AK562" s="235"/>
      <c r="AL562" s="235"/>
      <c r="AM562" s="235"/>
      <c r="AN562" s="235"/>
      <c r="AO562" s="235"/>
      <c r="AP562" s="235"/>
      <c r="AQ562" s="235"/>
      <c r="AR562" s="235"/>
      <c r="AS562" s="235"/>
      <c r="AT562" s="235"/>
      <c r="AU562" s="236"/>
      <c r="AV562" s="235"/>
      <c r="AW562" s="235"/>
      <c r="AX562" s="235"/>
      <c r="AY562" s="235"/>
      <c r="AZ562" s="235"/>
      <c r="BA562" s="235"/>
      <c r="BB562" s="235"/>
      <c r="BC562" s="235"/>
      <c r="BD562" s="236"/>
      <c r="BE562" s="235"/>
      <c r="BF562" s="235"/>
      <c r="BG562" s="235"/>
      <c r="BH562" s="235"/>
      <c r="BI562" s="236"/>
      <c r="BJ562" s="236"/>
      <c r="BK562" s="238"/>
      <c r="BL562" s="239"/>
      <c r="BM562" s="239"/>
      <c r="BN562" s="239"/>
      <c r="BP562" s="236"/>
      <c r="BQ562" s="236"/>
      <c r="BR562" s="236"/>
      <c r="BS562" s="236"/>
      <c r="BT562" s="236"/>
      <c r="BU562" s="236"/>
      <c r="BV562" s="236"/>
      <c r="BW562" s="236"/>
      <c r="BX562" s="236"/>
      <c r="BY562" s="236"/>
      <c r="BZ562" s="236"/>
      <c r="CA562" s="236"/>
      <c r="CB562" s="236"/>
      <c r="CC562" s="236"/>
      <c r="CD562" s="236"/>
      <c r="CE562" s="236"/>
      <c r="CF562" s="236"/>
      <c r="CG562" s="236"/>
      <c r="CH562" s="236"/>
      <c r="CI562" s="236"/>
      <c r="CJ562" s="236"/>
      <c r="CK562" s="236"/>
      <c r="CL562" s="236"/>
      <c r="CM562" s="236"/>
      <c r="CN562" s="236"/>
      <c r="CO562" s="236"/>
    </row>
    <row r="563" spans="5:93" s="230" customFormat="1">
      <c r="E563" s="234"/>
      <c r="F563" s="235"/>
      <c r="G563" s="235"/>
      <c r="H563" s="236"/>
      <c r="I563" s="235"/>
      <c r="J563" s="235"/>
      <c r="K563" s="235"/>
      <c r="L563" s="235"/>
      <c r="M563" s="236"/>
      <c r="N563" s="235"/>
      <c r="O563" s="235"/>
      <c r="P563" s="235"/>
      <c r="Q563" s="235"/>
      <c r="R563" s="235"/>
      <c r="S563" s="235"/>
      <c r="T563" s="235"/>
      <c r="U563" s="235"/>
      <c r="V563" s="235"/>
      <c r="W563" s="235"/>
      <c r="X563" s="235"/>
      <c r="Y563" s="235"/>
      <c r="Z563" s="235"/>
      <c r="AA563" s="235"/>
      <c r="AB563" s="235"/>
      <c r="AC563" s="235"/>
      <c r="AD563" s="235"/>
      <c r="AE563" s="236"/>
      <c r="AF563" s="235"/>
      <c r="AG563" s="235"/>
      <c r="AH563" s="235"/>
      <c r="AI563" s="235"/>
      <c r="AJ563" s="236"/>
      <c r="AK563" s="235"/>
      <c r="AL563" s="235"/>
      <c r="AM563" s="235"/>
      <c r="AN563" s="235"/>
      <c r="AO563" s="235"/>
      <c r="AP563" s="235"/>
      <c r="AQ563" s="235"/>
      <c r="AR563" s="235"/>
      <c r="AS563" s="235"/>
      <c r="AT563" s="235"/>
      <c r="AU563" s="236"/>
      <c r="AV563" s="235"/>
      <c r="AW563" s="235"/>
      <c r="AX563" s="235"/>
      <c r="AY563" s="235"/>
      <c r="AZ563" s="235"/>
      <c r="BA563" s="235"/>
      <c r="BB563" s="235"/>
      <c r="BC563" s="235"/>
      <c r="BD563" s="236"/>
      <c r="BE563" s="235"/>
      <c r="BF563" s="235"/>
      <c r="BG563" s="235"/>
      <c r="BH563" s="235"/>
      <c r="BI563" s="236"/>
      <c r="BJ563" s="236"/>
      <c r="BK563" s="238"/>
      <c r="BL563" s="239"/>
      <c r="BM563" s="239"/>
      <c r="BN563" s="239"/>
      <c r="BP563" s="236"/>
      <c r="BQ563" s="236"/>
      <c r="BR563" s="236"/>
      <c r="BS563" s="236"/>
      <c r="BT563" s="236"/>
      <c r="BU563" s="236"/>
      <c r="BV563" s="236"/>
      <c r="BW563" s="236"/>
      <c r="BX563" s="236"/>
      <c r="BY563" s="236"/>
      <c r="BZ563" s="236"/>
      <c r="CA563" s="236"/>
      <c r="CB563" s="236"/>
      <c r="CC563" s="236"/>
      <c r="CD563" s="236"/>
      <c r="CE563" s="236"/>
      <c r="CF563" s="236"/>
      <c r="CG563" s="236"/>
      <c r="CH563" s="236"/>
      <c r="CI563" s="236"/>
      <c r="CJ563" s="236"/>
      <c r="CK563" s="236"/>
      <c r="CL563" s="236"/>
      <c r="CM563" s="236"/>
      <c r="CN563" s="236"/>
      <c r="CO563" s="236"/>
    </row>
    <row r="564" spans="5:93" s="230" customFormat="1">
      <c r="E564" s="234"/>
      <c r="F564" s="235"/>
      <c r="G564" s="235"/>
      <c r="H564" s="236"/>
      <c r="I564" s="235"/>
      <c r="J564" s="235"/>
      <c r="K564" s="235"/>
      <c r="L564" s="235"/>
      <c r="M564" s="236"/>
      <c r="N564" s="235"/>
      <c r="O564" s="235"/>
      <c r="P564" s="235"/>
      <c r="Q564" s="235"/>
      <c r="R564" s="235"/>
      <c r="S564" s="235"/>
      <c r="T564" s="235"/>
      <c r="U564" s="235"/>
      <c r="V564" s="235"/>
      <c r="W564" s="235"/>
      <c r="X564" s="235"/>
      <c r="Y564" s="235"/>
      <c r="Z564" s="235"/>
      <c r="AA564" s="235"/>
      <c r="AB564" s="235"/>
      <c r="AC564" s="235"/>
      <c r="AD564" s="235"/>
      <c r="AE564" s="236"/>
      <c r="AF564" s="235"/>
      <c r="AG564" s="235"/>
      <c r="AH564" s="235"/>
      <c r="AI564" s="235"/>
      <c r="AJ564" s="236"/>
      <c r="AK564" s="235"/>
      <c r="AL564" s="235"/>
      <c r="AM564" s="235"/>
      <c r="AN564" s="235"/>
      <c r="AO564" s="235"/>
      <c r="AP564" s="235"/>
      <c r="AQ564" s="235"/>
      <c r="AR564" s="235"/>
      <c r="AS564" s="235"/>
      <c r="AT564" s="235"/>
      <c r="AU564" s="236"/>
      <c r="AV564" s="235"/>
      <c r="AW564" s="235"/>
      <c r="AX564" s="235"/>
      <c r="AY564" s="235"/>
      <c r="AZ564" s="235"/>
      <c r="BA564" s="235"/>
      <c r="BB564" s="235"/>
      <c r="BC564" s="235"/>
      <c r="BD564" s="236"/>
      <c r="BE564" s="235"/>
      <c r="BF564" s="235"/>
      <c r="BG564" s="235"/>
      <c r="BH564" s="235"/>
      <c r="BI564" s="236"/>
      <c r="BJ564" s="236"/>
      <c r="BK564" s="238"/>
      <c r="BL564" s="239"/>
      <c r="BM564" s="239"/>
      <c r="BN564" s="239"/>
      <c r="BP564" s="236"/>
      <c r="BQ564" s="236"/>
      <c r="BR564" s="236"/>
      <c r="BS564" s="236"/>
      <c r="BT564" s="236"/>
      <c r="BU564" s="236"/>
      <c r="BV564" s="236"/>
      <c r="BW564" s="236"/>
      <c r="BX564" s="236"/>
      <c r="BY564" s="236"/>
      <c r="BZ564" s="236"/>
      <c r="CA564" s="236"/>
      <c r="CB564" s="236"/>
      <c r="CC564" s="236"/>
      <c r="CD564" s="236"/>
      <c r="CE564" s="236"/>
      <c r="CF564" s="236"/>
      <c r="CG564" s="236"/>
      <c r="CH564" s="236"/>
      <c r="CI564" s="236"/>
      <c r="CJ564" s="236"/>
      <c r="CK564" s="236"/>
      <c r="CL564" s="236"/>
      <c r="CM564" s="236"/>
      <c r="CN564" s="236"/>
      <c r="CO564" s="236"/>
    </row>
    <row r="565" spans="5:93" s="230" customFormat="1">
      <c r="E565" s="234"/>
      <c r="F565" s="235"/>
      <c r="G565" s="235"/>
      <c r="H565" s="236"/>
      <c r="I565" s="235"/>
      <c r="J565" s="235"/>
      <c r="K565" s="235"/>
      <c r="L565" s="235"/>
      <c r="M565" s="236"/>
      <c r="N565" s="235"/>
      <c r="O565" s="235"/>
      <c r="P565" s="235"/>
      <c r="Q565" s="235"/>
      <c r="R565" s="235"/>
      <c r="S565" s="235"/>
      <c r="T565" s="235"/>
      <c r="U565" s="235"/>
      <c r="V565" s="235"/>
      <c r="W565" s="235"/>
      <c r="X565" s="235"/>
      <c r="Y565" s="235"/>
      <c r="Z565" s="235"/>
      <c r="AA565" s="235"/>
      <c r="AB565" s="235"/>
      <c r="AC565" s="235"/>
      <c r="AD565" s="235"/>
      <c r="AE565" s="236"/>
      <c r="AF565" s="235"/>
      <c r="AG565" s="235"/>
      <c r="AH565" s="235"/>
      <c r="AI565" s="235"/>
      <c r="AJ565" s="236"/>
      <c r="AK565" s="235"/>
      <c r="AL565" s="235"/>
      <c r="AM565" s="235"/>
      <c r="AN565" s="235"/>
      <c r="AO565" s="235"/>
      <c r="AP565" s="235"/>
      <c r="AQ565" s="235"/>
      <c r="AR565" s="235"/>
      <c r="AS565" s="235"/>
      <c r="AT565" s="235"/>
      <c r="AU565" s="236"/>
      <c r="AV565" s="235"/>
      <c r="AW565" s="235"/>
      <c r="AX565" s="235"/>
      <c r="AY565" s="235"/>
      <c r="AZ565" s="235"/>
      <c r="BA565" s="235"/>
      <c r="BB565" s="235"/>
      <c r="BC565" s="235"/>
      <c r="BD565" s="236"/>
      <c r="BE565" s="235"/>
      <c r="BF565" s="235"/>
      <c r="BG565" s="235"/>
      <c r="BH565" s="235"/>
      <c r="BI565" s="236"/>
      <c r="BJ565" s="236"/>
      <c r="BK565" s="238"/>
      <c r="BL565" s="239"/>
      <c r="BM565" s="239"/>
      <c r="BN565" s="239"/>
      <c r="BP565" s="236"/>
      <c r="BQ565" s="236"/>
      <c r="BR565" s="236"/>
      <c r="BS565" s="236"/>
      <c r="BT565" s="236"/>
      <c r="BU565" s="236"/>
      <c r="BV565" s="236"/>
      <c r="BW565" s="236"/>
      <c r="BX565" s="236"/>
      <c r="BY565" s="236"/>
      <c r="BZ565" s="236"/>
      <c r="CA565" s="236"/>
      <c r="CB565" s="236"/>
      <c r="CC565" s="236"/>
      <c r="CD565" s="236"/>
      <c r="CE565" s="236"/>
      <c r="CF565" s="236"/>
      <c r="CG565" s="236"/>
      <c r="CH565" s="236"/>
      <c r="CI565" s="236"/>
      <c r="CJ565" s="236"/>
      <c r="CK565" s="236"/>
      <c r="CL565" s="236"/>
      <c r="CM565" s="236"/>
      <c r="CN565" s="236"/>
      <c r="CO565" s="236"/>
    </row>
    <row r="566" spans="5:93" s="230" customFormat="1">
      <c r="E566" s="234"/>
      <c r="F566" s="235"/>
      <c r="G566" s="235"/>
      <c r="H566" s="236"/>
      <c r="I566" s="235"/>
      <c r="J566" s="235"/>
      <c r="K566" s="235"/>
      <c r="L566" s="235"/>
      <c r="M566" s="236"/>
      <c r="N566" s="235"/>
      <c r="O566" s="235"/>
      <c r="P566" s="235"/>
      <c r="Q566" s="235"/>
      <c r="R566" s="235"/>
      <c r="S566" s="235"/>
      <c r="T566" s="235"/>
      <c r="U566" s="235"/>
      <c r="V566" s="235"/>
      <c r="W566" s="235"/>
      <c r="X566" s="235"/>
      <c r="Y566" s="235"/>
      <c r="Z566" s="235"/>
      <c r="AA566" s="235"/>
      <c r="AB566" s="235"/>
      <c r="AC566" s="235"/>
      <c r="AD566" s="235"/>
      <c r="AE566" s="236"/>
      <c r="AF566" s="235"/>
      <c r="AG566" s="235"/>
      <c r="AH566" s="235"/>
      <c r="AI566" s="235"/>
      <c r="AJ566" s="236"/>
      <c r="AK566" s="235"/>
      <c r="AL566" s="235"/>
      <c r="AM566" s="235"/>
      <c r="AN566" s="235"/>
      <c r="AO566" s="235"/>
      <c r="AP566" s="235"/>
      <c r="AQ566" s="235"/>
      <c r="AR566" s="235"/>
      <c r="AS566" s="235"/>
      <c r="AT566" s="235"/>
      <c r="AU566" s="236"/>
      <c r="AV566" s="235"/>
      <c r="AW566" s="235"/>
      <c r="AX566" s="235"/>
      <c r="AY566" s="235"/>
      <c r="AZ566" s="235"/>
      <c r="BA566" s="235"/>
      <c r="BB566" s="235"/>
      <c r="BC566" s="235"/>
      <c r="BD566" s="236"/>
      <c r="BE566" s="235"/>
      <c r="BF566" s="235"/>
      <c r="BG566" s="235"/>
      <c r="BH566" s="235"/>
      <c r="BI566" s="236"/>
      <c r="BJ566" s="236"/>
      <c r="BK566" s="238"/>
      <c r="BL566" s="239"/>
      <c r="BM566" s="239"/>
      <c r="BN566" s="239"/>
      <c r="BP566" s="236"/>
      <c r="BQ566" s="236"/>
      <c r="BR566" s="236"/>
      <c r="BS566" s="236"/>
      <c r="BT566" s="236"/>
      <c r="BU566" s="236"/>
      <c r="BV566" s="236"/>
      <c r="BW566" s="236"/>
      <c r="BX566" s="236"/>
      <c r="BY566" s="236"/>
      <c r="BZ566" s="236"/>
      <c r="CA566" s="236"/>
      <c r="CB566" s="236"/>
      <c r="CC566" s="236"/>
      <c r="CD566" s="236"/>
      <c r="CE566" s="236"/>
      <c r="CF566" s="236"/>
      <c r="CG566" s="236"/>
      <c r="CH566" s="236"/>
      <c r="CI566" s="236"/>
      <c r="CJ566" s="236"/>
      <c r="CK566" s="236"/>
      <c r="CL566" s="236"/>
      <c r="CM566" s="236"/>
      <c r="CN566" s="236"/>
      <c r="CO566" s="236"/>
    </row>
    <row r="567" spans="5:93" s="230" customFormat="1">
      <c r="E567" s="234"/>
      <c r="F567" s="235"/>
      <c r="G567" s="235"/>
      <c r="H567" s="236"/>
      <c r="I567" s="235"/>
      <c r="J567" s="235"/>
      <c r="K567" s="235"/>
      <c r="L567" s="235"/>
      <c r="M567" s="236"/>
      <c r="N567" s="235"/>
      <c r="O567" s="235"/>
      <c r="P567" s="235"/>
      <c r="Q567" s="235"/>
      <c r="R567" s="235"/>
      <c r="S567" s="235"/>
      <c r="T567" s="235"/>
      <c r="U567" s="235"/>
      <c r="V567" s="235"/>
      <c r="W567" s="235"/>
      <c r="X567" s="235"/>
      <c r="Y567" s="235"/>
      <c r="Z567" s="235"/>
      <c r="AA567" s="235"/>
      <c r="AB567" s="235"/>
      <c r="AC567" s="235"/>
      <c r="AD567" s="235"/>
      <c r="AE567" s="236"/>
      <c r="AF567" s="235"/>
      <c r="AG567" s="235"/>
      <c r="AH567" s="235"/>
      <c r="AI567" s="235"/>
      <c r="AJ567" s="236"/>
      <c r="AK567" s="235"/>
      <c r="AL567" s="235"/>
      <c r="AM567" s="235"/>
      <c r="AN567" s="235"/>
      <c r="AO567" s="235"/>
      <c r="AP567" s="235"/>
      <c r="AQ567" s="235"/>
      <c r="AR567" s="235"/>
      <c r="AS567" s="235"/>
      <c r="AT567" s="235"/>
      <c r="AU567" s="236"/>
      <c r="AV567" s="235"/>
      <c r="AW567" s="235"/>
      <c r="AX567" s="235"/>
      <c r="AY567" s="235"/>
      <c r="AZ567" s="235"/>
      <c r="BA567" s="235"/>
      <c r="BB567" s="235"/>
      <c r="BC567" s="235"/>
      <c r="BD567" s="236"/>
      <c r="BE567" s="235"/>
      <c r="BF567" s="235"/>
      <c r="BG567" s="235"/>
      <c r="BH567" s="235"/>
      <c r="BI567" s="236"/>
      <c r="BJ567" s="236"/>
      <c r="BK567" s="238"/>
      <c r="BL567" s="239"/>
      <c r="BM567" s="239"/>
      <c r="BN567" s="239"/>
      <c r="BP567" s="236"/>
      <c r="BQ567" s="236"/>
      <c r="BR567" s="236"/>
      <c r="BS567" s="236"/>
      <c r="BT567" s="236"/>
      <c r="BU567" s="236"/>
      <c r="BV567" s="236"/>
      <c r="BW567" s="236"/>
      <c r="BX567" s="236"/>
      <c r="BY567" s="236"/>
      <c r="BZ567" s="236"/>
      <c r="CA567" s="236"/>
      <c r="CB567" s="236"/>
      <c r="CC567" s="236"/>
      <c r="CD567" s="236"/>
      <c r="CE567" s="236"/>
      <c r="CF567" s="236"/>
      <c r="CG567" s="236"/>
      <c r="CH567" s="236"/>
      <c r="CI567" s="236"/>
      <c r="CJ567" s="236"/>
      <c r="CK567" s="236"/>
      <c r="CL567" s="236"/>
      <c r="CM567" s="236"/>
      <c r="CN567" s="236"/>
      <c r="CO567" s="236"/>
    </row>
    <row r="568" spans="5:93" s="230" customFormat="1">
      <c r="E568" s="234"/>
      <c r="F568" s="235"/>
      <c r="G568" s="235"/>
      <c r="H568" s="236"/>
      <c r="I568" s="235"/>
      <c r="J568" s="235"/>
      <c r="K568" s="235"/>
      <c r="L568" s="235"/>
      <c r="M568" s="236"/>
      <c r="N568" s="235"/>
      <c r="O568" s="235"/>
      <c r="P568" s="235"/>
      <c r="Q568" s="235"/>
      <c r="R568" s="235"/>
      <c r="S568" s="235"/>
      <c r="T568" s="235"/>
      <c r="U568" s="235"/>
      <c r="V568" s="235"/>
      <c r="W568" s="235"/>
      <c r="X568" s="235"/>
      <c r="Y568" s="235"/>
      <c r="Z568" s="235"/>
      <c r="AA568" s="235"/>
      <c r="AB568" s="235"/>
      <c r="AC568" s="235"/>
      <c r="AD568" s="235"/>
      <c r="AE568" s="236"/>
      <c r="AF568" s="235"/>
      <c r="AG568" s="235"/>
      <c r="AH568" s="235"/>
      <c r="AI568" s="235"/>
      <c r="AJ568" s="236"/>
      <c r="AK568" s="235"/>
      <c r="AL568" s="235"/>
      <c r="AM568" s="235"/>
      <c r="AN568" s="235"/>
      <c r="AO568" s="235"/>
      <c r="AP568" s="235"/>
      <c r="AQ568" s="235"/>
      <c r="AR568" s="235"/>
      <c r="AS568" s="235"/>
      <c r="AT568" s="235"/>
      <c r="AU568" s="236"/>
      <c r="AV568" s="235"/>
      <c r="AW568" s="235"/>
      <c r="AX568" s="235"/>
      <c r="AY568" s="235"/>
      <c r="AZ568" s="235"/>
      <c r="BA568" s="235"/>
      <c r="BB568" s="235"/>
      <c r="BC568" s="235"/>
      <c r="BD568" s="236"/>
      <c r="BE568" s="235"/>
      <c r="BF568" s="235"/>
      <c r="BG568" s="235"/>
      <c r="BH568" s="235"/>
      <c r="BI568" s="236"/>
      <c r="BJ568" s="236"/>
      <c r="BK568" s="238"/>
      <c r="BL568" s="239"/>
      <c r="BM568" s="239"/>
      <c r="BN568" s="239"/>
      <c r="BP568" s="236"/>
      <c r="BQ568" s="236"/>
      <c r="BR568" s="236"/>
      <c r="BS568" s="236"/>
      <c r="BT568" s="236"/>
      <c r="BU568" s="236"/>
      <c r="BV568" s="236"/>
      <c r="BW568" s="236"/>
      <c r="BX568" s="236"/>
      <c r="BY568" s="236"/>
      <c r="BZ568" s="236"/>
      <c r="CA568" s="236"/>
      <c r="CB568" s="236"/>
      <c r="CC568" s="236"/>
      <c r="CD568" s="236"/>
      <c r="CE568" s="236"/>
      <c r="CF568" s="236"/>
      <c r="CG568" s="236"/>
      <c r="CH568" s="236"/>
      <c r="CI568" s="236"/>
      <c r="CJ568" s="236"/>
      <c r="CK568" s="236"/>
      <c r="CL568" s="236"/>
      <c r="CM568" s="236"/>
      <c r="CN568" s="236"/>
      <c r="CO568" s="236"/>
    </row>
    <row r="569" spans="5:93" s="230" customFormat="1">
      <c r="E569" s="234"/>
      <c r="F569" s="235"/>
      <c r="G569" s="235"/>
      <c r="H569" s="236"/>
      <c r="I569" s="235"/>
      <c r="J569" s="235"/>
      <c r="K569" s="235"/>
      <c r="L569" s="235"/>
      <c r="M569" s="236"/>
      <c r="N569" s="235"/>
      <c r="O569" s="235"/>
      <c r="P569" s="235"/>
      <c r="Q569" s="235"/>
      <c r="R569" s="235"/>
      <c r="S569" s="235"/>
      <c r="T569" s="235"/>
      <c r="U569" s="235"/>
      <c r="V569" s="235"/>
      <c r="W569" s="235"/>
      <c r="X569" s="235"/>
      <c r="Y569" s="235"/>
      <c r="Z569" s="235"/>
      <c r="AA569" s="235"/>
      <c r="AB569" s="235"/>
      <c r="AC569" s="235"/>
      <c r="AD569" s="235"/>
      <c r="AE569" s="236"/>
      <c r="AF569" s="235"/>
      <c r="AG569" s="235"/>
      <c r="AH569" s="235"/>
      <c r="AI569" s="235"/>
      <c r="AJ569" s="236"/>
      <c r="AK569" s="235"/>
      <c r="AL569" s="235"/>
      <c r="AM569" s="235"/>
      <c r="AN569" s="235"/>
      <c r="AO569" s="235"/>
      <c r="AP569" s="235"/>
      <c r="AQ569" s="235"/>
      <c r="AR569" s="235"/>
      <c r="AS569" s="235"/>
      <c r="AT569" s="235"/>
      <c r="AU569" s="236"/>
      <c r="AV569" s="235"/>
      <c r="AW569" s="235"/>
      <c r="AX569" s="235"/>
      <c r="AY569" s="235"/>
      <c r="AZ569" s="235"/>
      <c r="BA569" s="235"/>
      <c r="BB569" s="235"/>
      <c r="BC569" s="235"/>
      <c r="BD569" s="236"/>
      <c r="BE569" s="235"/>
      <c r="BF569" s="235"/>
      <c r="BG569" s="235"/>
      <c r="BH569" s="235"/>
      <c r="BI569" s="236"/>
      <c r="BJ569" s="236"/>
      <c r="BK569" s="238"/>
      <c r="BL569" s="239"/>
      <c r="BM569" s="239"/>
      <c r="BN569" s="239"/>
      <c r="BP569" s="236"/>
      <c r="BQ569" s="236"/>
      <c r="BR569" s="236"/>
      <c r="BS569" s="236"/>
      <c r="BT569" s="236"/>
      <c r="BU569" s="236"/>
      <c r="BV569" s="236"/>
      <c r="BW569" s="236"/>
      <c r="BX569" s="236"/>
      <c r="BY569" s="236"/>
      <c r="BZ569" s="236"/>
      <c r="CA569" s="236"/>
      <c r="CB569" s="236"/>
      <c r="CC569" s="236"/>
      <c r="CD569" s="236"/>
      <c r="CE569" s="236"/>
      <c r="CF569" s="236"/>
      <c r="CG569" s="236"/>
      <c r="CH569" s="236"/>
      <c r="CI569" s="236"/>
      <c r="CJ569" s="236"/>
      <c r="CK569" s="236"/>
      <c r="CL569" s="236"/>
      <c r="CM569" s="236"/>
      <c r="CN569" s="236"/>
      <c r="CO569" s="236"/>
    </row>
    <row r="570" spans="5:93" s="230" customFormat="1">
      <c r="E570" s="234"/>
      <c r="F570" s="235"/>
      <c r="G570" s="235"/>
      <c r="H570" s="236"/>
      <c r="I570" s="235"/>
      <c r="J570" s="235"/>
      <c r="K570" s="235"/>
      <c r="L570" s="235"/>
      <c r="M570" s="236"/>
      <c r="N570" s="235"/>
      <c r="O570" s="235"/>
      <c r="P570" s="235"/>
      <c r="Q570" s="235"/>
      <c r="R570" s="235"/>
      <c r="S570" s="235"/>
      <c r="T570" s="235"/>
      <c r="U570" s="235"/>
      <c r="V570" s="235"/>
      <c r="W570" s="235"/>
      <c r="X570" s="235"/>
      <c r="Y570" s="235"/>
      <c r="Z570" s="235"/>
      <c r="AA570" s="235"/>
      <c r="AB570" s="235"/>
      <c r="AC570" s="235"/>
      <c r="AD570" s="235"/>
      <c r="AE570" s="236"/>
      <c r="AF570" s="235"/>
      <c r="AG570" s="235"/>
      <c r="AH570" s="235"/>
      <c r="AI570" s="235"/>
      <c r="AJ570" s="236"/>
      <c r="AK570" s="235"/>
      <c r="AL570" s="235"/>
      <c r="AM570" s="235"/>
      <c r="AN570" s="235"/>
      <c r="AO570" s="235"/>
      <c r="AP570" s="235"/>
      <c r="AQ570" s="235"/>
      <c r="AR570" s="235"/>
      <c r="AS570" s="235"/>
      <c r="AT570" s="235"/>
      <c r="AU570" s="236"/>
      <c r="AV570" s="235"/>
      <c r="AW570" s="235"/>
      <c r="AX570" s="235"/>
      <c r="AY570" s="235"/>
      <c r="AZ570" s="235"/>
      <c r="BA570" s="235"/>
      <c r="BB570" s="235"/>
      <c r="BC570" s="235"/>
      <c r="BD570" s="236"/>
      <c r="BE570" s="235"/>
      <c r="BF570" s="235"/>
      <c r="BG570" s="235"/>
      <c r="BH570" s="235"/>
      <c r="BI570" s="236"/>
      <c r="BJ570" s="236"/>
      <c r="BK570" s="238"/>
      <c r="BL570" s="239"/>
      <c r="BM570" s="239"/>
      <c r="BN570" s="239"/>
      <c r="BP570" s="236"/>
      <c r="BQ570" s="236"/>
      <c r="BR570" s="236"/>
      <c r="BS570" s="236"/>
      <c r="BT570" s="236"/>
      <c r="BU570" s="236"/>
      <c r="BV570" s="236"/>
      <c r="BW570" s="236"/>
      <c r="BX570" s="236"/>
      <c r="BY570" s="236"/>
      <c r="BZ570" s="236"/>
      <c r="CA570" s="236"/>
      <c r="CB570" s="236"/>
      <c r="CC570" s="236"/>
      <c r="CD570" s="236"/>
      <c r="CE570" s="236"/>
      <c r="CF570" s="236"/>
      <c r="CG570" s="236"/>
      <c r="CH570" s="236"/>
      <c r="CI570" s="236"/>
      <c r="CJ570" s="236"/>
      <c r="CK570" s="236"/>
      <c r="CL570" s="236"/>
      <c r="CM570" s="236"/>
      <c r="CN570" s="236"/>
      <c r="CO570" s="236"/>
    </row>
    <row r="571" spans="5:93" s="230" customFormat="1">
      <c r="E571" s="234"/>
      <c r="F571" s="235"/>
      <c r="G571" s="235"/>
      <c r="H571" s="236"/>
      <c r="I571" s="235"/>
      <c r="J571" s="235"/>
      <c r="K571" s="235"/>
      <c r="L571" s="235"/>
      <c r="M571" s="236"/>
      <c r="N571" s="235"/>
      <c r="O571" s="235"/>
      <c r="P571" s="235"/>
      <c r="Q571" s="235"/>
      <c r="R571" s="235"/>
      <c r="S571" s="235"/>
      <c r="T571" s="235"/>
      <c r="U571" s="235"/>
      <c r="V571" s="235"/>
      <c r="W571" s="235"/>
      <c r="X571" s="235"/>
      <c r="Y571" s="235"/>
      <c r="Z571" s="235"/>
      <c r="AA571" s="235"/>
      <c r="AB571" s="235"/>
      <c r="AC571" s="235"/>
      <c r="AD571" s="235"/>
      <c r="AE571" s="236"/>
      <c r="AF571" s="235"/>
      <c r="AG571" s="235"/>
      <c r="AH571" s="235"/>
      <c r="AI571" s="235"/>
      <c r="AJ571" s="236"/>
      <c r="AK571" s="235"/>
      <c r="AL571" s="235"/>
      <c r="AM571" s="235"/>
      <c r="AN571" s="235"/>
      <c r="AO571" s="235"/>
      <c r="AP571" s="235"/>
      <c r="AQ571" s="235"/>
      <c r="AR571" s="235"/>
      <c r="AS571" s="235"/>
      <c r="AT571" s="235"/>
      <c r="AU571" s="236"/>
      <c r="AV571" s="235"/>
      <c r="AW571" s="235"/>
      <c r="AX571" s="235"/>
      <c r="AY571" s="235"/>
      <c r="AZ571" s="235"/>
      <c r="BA571" s="235"/>
      <c r="BB571" s="235"/>
      <c r="BC571" s="235"/>
      <c r="BD571" s="236"/>
      <c r="BE571" s="235"/>
      <c r="BF571" s="235"/>
      <c r="BG571" s="235"/>
      <c r="BH571" s="235"/>
      <c r="BI571" s="236"/>
      <c r="BJ571" s="236"/>
      <c r="BK571" s="238"/>
      <c r="BL571" s="239"/>
      <c r="BM571" s="239"/>
      <c r="BN571" s="239"/>
      <c r="BP571" s="236"/>
      <c r="BQ571" s="236"/>
      <c r="BR571" s="236"/>
      <c r="BS571" s="236"/>
      <c r="BT571" s="236"/>
      <c r="BU571" s="236"/>
      <c r="BV571" s="236"/>
      <c r="BW571" s="236"/>
      <c r="BX571" s="236"/>
      <c r="BY571" s="236"/>
      <c r="BZ571" s="236"/>
      <c r="CA571" s="236"/>
      <c r="CB571" s="236"/>
      <c r="CC571" s="236"/>
      <c r="CD571" s="236"/>
      <c r="CE571" s="236"/>
      <c r="CF571" s="236"/>
      <c r="CG571" s="236"/>
      <c r="CH571" s="236"/>
      <c r="CI571" s="236"/>
      <c r="CJ571" s="236"/>
      <c r="CK571" s="236"/>
      <c r="CL571" s="236"/>
      <c r="CM571" s="236"/>
      <c r="CN571" s="236"/>
      <c r="CO571" s="236"/>
    </row>
    <row r="572" spans="5:93" s="230" customFormat="1">
      <c r="E572" s="234"/>
      <c r="F572" s="235"/>
      <c r="G572" s="235"/>
      <c r="H572" s="236"/>
      <c r="I572" s="235"/>
      <c r="J572" s="235"/>
      <c r="K572" s="235"/>
      <c r="L572" s="235"/>
      <c r="M572" s="236"/>
      <c r="N572" s="235"/>
      <c r="O572" s="235"/>
      <c r="P572" s="235"/>
      <c r="Q572" s="235"/>
      <c r="R572" s="235"/>
      <c r="S572" s="235"/>
      <c r="T572" s="235"/>
      <c r="U572" s="235"/>
      <c r="V572" s="235"/>
      <c r="W572" s="235"/>
      <c r="X572" s="235"/>
      <c r="Y572" s="235"/>
      <c r="Z572" s="235"/>
      <c r="AA572" s="235"/>
      <c r="AB572" s="235"/>
      <c r="AC572" s="235"/>
      <c r="AD572" s="235"/>
      <c r="AE572" s="236"/>
      <c r="AF572" s="235"/>
      <c r="AG572" s="235"/>
      <c r="AH572" s="235"/>
      <c r="AI572" s="235"/>
      <c r="AJ572" s="236"/>
      <c r="AK572" s="235"/>
      <c r="AL572" s="235"/>
      <c r="AM572" s="235"/>
      <c r="AN572" s="235"/>
      <c r="AO572" s="235"/>
      <c r="AP572" s="235"/>
      <c r="AQ572" s="235"/>
      <c r="AR572" s="235"/>
      <c r="AS572" s="235"/>
      <c r="AT572" s="235"/>
      <c r="AU572" s="236"/>
      <c r="AV572" s="235"/>
      <c r="AW572" s="235"/>
      <c r="AX572" s="235"/>
      <c r="AY572" s="235"/>
      <c r="AZ572" s="235"/>
      <c r="BA572" s="235"/>
      <c r="BB572" s="235"/>
      <c r="BC572" s="235"/>
      <c r="BD572" s="236"/>
      <c r="BE572" s="235"/>
      <c r="BF572" s="235"/>
      <c r="BG572" s="235"/>
      <c r="BH572" s="235"/>
      <c r="BI572" s="236"/>
      <c r="BJ572" s="236"/>
      <c r="BK572" s="238"/>
      <c r="BL572" s="239"/>
      <c r="BM572" s="239"/>
      <c r="BN572" s="239"/>
      <c r="BP572" s="236"/>
      <c r="BQ572" s="236"/>
      <c r="BR572" s="236"/>
      <c r="BS572" s="236"/>
      <c r="BT572" s="236"/>
      <c r="BU572" s="236"/>
      <c r="BV572" s="236"/>
      <c r="BW572" s="236"/>
      <c r="BX572" s="236"/>
      <c r="BY572" s="236"/>
      <c r="BZ572" s="236"/>
      <c r="CA572" s="236"/>
      <c r="CB572" s="236"/>
      <c r="CC572" s="236"/>
      <c r="CD572" s="236"/>
      <c r="CE572" s="236"/>
      <c r="CF572" s="236"/>
      <c r="CG572" s="236"/>
      <c r="CH572" s="236"/>
      <c r="CI572" s="236"/>
      <c r="CJ572" s="236"/>
      <c r="CK572" s="236"/>
      <c r="CL572" s="236"/>
      <c r="CM572" s="236"/>
      <c r="CN572" s="236"/>
      <c r="CO572" s="236"/>
    </row>
    <row r="573" spans="5:93" s="230" customFormat="1">
      <c r="E573" s="234"/>
      <c r="F573" s="235"/>
      <c r="G573" s="235"/>
      <c r="H573" s="236"/>
      <c r="I573" s="235"/>
      <c r="J573" s="235"/>
      <c r="K573" s="235"/>
      <c r="L573" s="235"/>
      <c r="M573" s="236"/>
      <c r="N573" s="235"/>
      <c r="O573" s="235"/>
      <c r="P573" s="235"/>
      <c r="Q573" s="235"/>
      <c r="R573" s="235"/>
      <c r="S573" s="235"/>
      <c r="T573" s="235"/>
      <c r="U573" s="235"/>
      <c r="V573" s="235"/>
      <c r="W573" s="235"/>
      <c r="X573" s="235"/>
      <c r="Y573" s="235"/>
      <c r="Z573" s="235"/>
      <c r="AA573" s="235"/>
      <c r="AB573" s="235"/>
      <c r="AC573" s="235"/>
      <c r="AD573" s="235"/>
      <c r="AE573" s="236"/>
      <c r="AF573" s="235"/>
      <c r="AG573" s="235"/>
      <c r="AH573" s="235"/>
      <c r="AI573" s="235"/>
      <c r="AJ573" s="236"/>
      <c r="AK573" s="235"/>
      <c r="AL573" s="235"/>
      <c r="AM573" s="235"/>
      <c r="AN573" s="235"/>
      <c r="AO573" s="235"/>
      <c r="AP573" s="235"/>
      <c r="AQ573" s="235"/>
      <c r="AR573" s="235"/>
      <c r="AS573" s="235"/>
      <c r="AT573" s="235"/>
      <c r="AU573" s="236"/>
      <c r="AV573" s="235"/>
      <c r="AW573" s="235"/>
      <c r="AX573" s="235"/>
      <c r="AY573" s="235"/>
      <c r="AZ573" s="235"/>
      <c r="BA573" s="235"/>
      <c r="BB573" s="235"/>
      <c r="BC573" s="235"/>
      <c r="BD573" s="236"/>
      <c r="BE573" s="235"/>
      <c r="BF573" s="235"/>
      <c r="BG573" s="235"/>
      <c r="BH573" s="235"/>
      <c r="BI573" s="236"/>
      <c r="BJ573" s="236"/>
      <c r="BK573" s="238"/>
      <c r="BL573" s="239"/>
      <c r="BM573" s="239"/>
      <c r="BN573" s="239"/>
      <c r="BP573" s="236"/>
      <c r="BQ573" s="236"/>
      <c r="BR573" s="236"/>
      <c r="BS573" s="236"/>
      <c r="BT573" s="236"/>
      <c r="BU573" s="236"/>
      <c r="BV573" s="236"/>
      <c r="BW573" s="236"/>
      <c r="BX573" s="236"/>
      <c r="BY573" s="236"/>
      <c r="BZ573" s="236"/>
      <c r="CA573" s="236"/>
      <c r="CB573" s="236"/>
      <c r="CC573" s="236"/>
      <c r="CD573" s="236"/>
      <c r="CE573" s="236"/>
      <c r="CF573" s="236"/>
      <c r="CG573" s="236"/>
      <c r="CH573" s="236"/>
      <c r="CI573" s="236"/>
      <c r="CJ573" s="236"/>
      <c r="CK573" s="236"/>
      <c r="CL573" s="236"/>
      <c r="CM573" s="236"/>
      <c r="CN573" s="236"/>
      <c r="CO573" s="236"/>
    </row>
    <row r="574" spans="5:93" s="230" customFormat="1">
      <c r="E574" s="234"/>
      <c r="F574" s="235"/>
      <c r="G574" s="235"/>
      <c r="H574" s="236"/>
      <c r="I574" s="235"/>
      <c r="J574" s="235"/>
      <c r="K574" s="235"/>
      <c r="L574" s="235"/>
      <c r="M574" s="236"/>
      <c r="N574" s="235"/>
      <c r="O574" s="235"/>
      <c r="P574" s="235"/>
      <c r="Q574" s="235"/>
      <c r="R574" s="235"/>
      <c r="S574" s="235"/>
      <c r="T574" s="235"/>
      <c r="U574" s="235"/>
      <c r="V574" s="235"/>
      <c r="W574" s="235"/>
      <c r="X574" s="235"/>
      <c r="Y574" s="235"/>
      <c r="Z574" s="235"/>
      <c r="AA574" s="235"/>
      <c r="AB574" s="235"/>
      <c r="AC574" s="235"/>
      <c r="AD574" s="235"/>
      <c r="AE574" s="236"/>
      <c r="AF574" s="235"/>
      <c r="AG574" s="235"/>
      <c r="AH574" s="235"/>
      <c r="AI574" s="235"/>
      <c r="AJ574" s="236"/>
      <c r="AK574" s="235"/>
      <c r="AL574" s="235"/>
      <c r="AM574" s="235"/>
      <c r="AN574" s="235"/>
      <c r="AO574" s="235"/>
      <c r="AP574" s="235"/>
      <c r="AQ574" s="235"/>
      <c r="AR574" s="235"/>
      <c r="AS574" s="235"/>
      <c r="AT574" s="235"/>
      <c r="AU574" s="236"/>
      <c r="AV574" s="235"/>
      <c r="AW574" s="235"/>
      <c r="AX574" s="235"/>
      <c r="AY574" s="235"/>
      <c r="AZ574" s="235"/>
      <c r="BA574" s="235"/>
      <c r="BB574" s="235"/>
      <c r="BC574" s="235"/>
      <c r="BD574" s="236"/>
      <c r="BE574" s="235"/>
      <c r="BF574" s="235"/>
      <c r="BG574" s="235"/>
      <c r="BH574" s="235"/>
      <c r="BI574" s="236"/>
      <c r="BJ574" s="236"/>
      <c r="BK574" s="238"/>
      <c r="BL574" s="239"/>
      <c r="BM574" s="239"/>
      <c r="BN574" s="239"/>
      <c r="BP574" s="236"/>
      <c r="BQ574" s="236"/>
      <c r="BR574" s="236"/>
      <c r="BS574" s="236"/>
      <c r="BT574" s="236"/>
      <c r="BU574" s="236"/>
      <c r="BV574" s="236"/>
      <c r="BW574" s="236"/>
      <c r="BX574" s="236"/>
      <c r="BY574" s="236"/>
      <c r="BZ574" s="236"/>
      <c r="CA574" s="236"/>
      <c r="CB574" s="236"/>
      <c r="CC574" s="236"/>
      <c r="CD574" s="236"/>
      <c r="CE574" s="236"/>
      <c r="CF574" s="236"/>
      <c r="CG574" s="236"/>
      <c r="CH574" s="236"/>
      <c r="CI574" s="236"/>
      <c r="CJ574" s="236"/>
      <c r="CK574" s="236"/>
      <c r="CL574" s="236"/>
      <c r="CM574" s="236"/>
      <c r="CN574" s="236"/>
      <c r="CO574" s="236"/>
    </row>
    <row r="575" spans="5:93" s="230" customFormat="1">
      <c r="E575" s="234"/>
      <c r="F575" s="235"/>
      <c r="G575" s="235"/>
      <c r="H575" s="236"/>
      <c r="I575" s="235"/>
      <c r="J575" s="235"/>
      <c r="K575" s="235"/>
      <c r="L575" s="235"/>
      <c r="M575" s="236"/>
      <c r="N575" s="235"/>
      <c r="O575" s="235"/>
      <c r="P575" s="235"/>
      <c r="Q575" s="235"/>
      <c r="R575" s="235"/>
      <c r="S575" s="235"/>
      <c r="T575" s="235"/>
      <c r="U575" s="235"/>
      <c r="V575" s="235"/>
      <c r="W575" s="235"/>
      <c r="X575" s="235"/>
      <c r="Y575" s="235"/>
      <c r="Z575" s="235"/>
      <c r="AA575" s="235"/>
      <c r="AB575" s="235"/>
      <c r="AC575" s="235"/>
      <c r="AD575" s="235"/>
      <c r="AE575" s="236"/>
      <c r="AF575" s="235"/>
      <c r="AG575" s="235"/>
      <c r="AH575" s="235"/>
      <c r="AI575" s="235"/>
      <c r="AJ575" s="236"/>
      <c r="AK575" s="235"/>
      <c r="AL575" s="235"/>
      <c r="AM575" s="235"/>
      <c r="AN575" s="235"/>
      <c r="AO575" s="235"/>
      <c r="AP575" s="235"/>
      <c r="AQ575" s="235"/>
      <c r="AR575" s="235"/>
      <c r="AS575" s="235"/>
      <c r="AT575" s="235"/>
      <c r="AU575" s="236"/>
      <c r="AV575" s="235"/>
      <c r="AW575" s="235"/>
      <c r="AX575" s="235"/>
      <c r="AY575" s="235"/>
      <c r="AZ575" s="235"/>
      <c r="BA575" s="235"/>
      <c r="BB575" s="235"/>
      <c r="BC575" s="235"/>
      <c r="BD575" s="236"/>
      <c r="BE575" s="235"/>
      <c r="BF575" s="235"/>
      <c r="BG575" s="235"/>
      <c r="BH575" s="235"/>
      <c r="BI575" s="236"/>
      <c r="BJ575" s="236"/>
      <c r="BK575" s="238"/>
      <c r="BL575" s="239"/>
      <c r="BM575" s="239"/>
      <c r="BN575" s="239"/>
      <c r="BP575" s="236"/>
      <c r="BQ575" s="236"/>
      <c r="BR575" s="236"/>
      <c r="BS575" s="236"/>
      <c r="BT575" s="236"/>
      <c r="BU575" s="236"/>
      <c r="BV575" s="236"/>
      <c r="BW575" s="236"/>
      <c r="BX575" s="236"/>
      <c r="BY575" s="236"/>
      <c r="BZ575" s="236"/>
      <c r="CA575" s="236"/>
      <c r="CB575" s="236"/>
      <c r="CC575" s="236"/>
      <c r="CD575" s="236"/>
      <c r="CE575" s="236"/>
      <c r="CF575" s="236"/>
      <c r="CG575" s="236"/>
      <c r="CH575" s="236"/>
      <c r="CI575" s="236"/>
      <c r="CJ575" s="236"/>
      <c r="CK575" s="236"/>
      <c r="CL575" s="236"/>
      <c r="CM575" s="236"/>
      <c r="CN575" s="236"/>
      <c r="CO575" s="236"/>
    </row>
    <row r="576" spans="5:93" s="230" customFormat="1">
      <c r="E576" s="234"/>
      <c r="F576" s="235"/>
      <c r="G576" s="235"/>
      <c r="H576" s="236"/>
      <c r="I576" s="235"/>
      <c r="J576" s="235"/>
      <c r="K576" s="235"/>
      <c r="L576" s="235"/>
      <c r="M576" s="236"/>
      <c r="N576" s="235"/>
      <c r="O576" s="235"/>
      <c r="P576" s="235"/>
      <c r="Q576" s="235"/>
      <c r="R576" s="235"/>
      <c r="S576" s="235"/>
      <c r="T576" s="235"/>
      <c r="U576" s="235"/>
      <c r="V576" s="235"/>
      <c r="W576" s="235"/>
      <c r="X576" s="235"/>
      <c r="Y576" s="235"/>
      <c r="Z576" s="235"/>
      <c r="AA576" s="235"/>
      <c r="AB576" s="235"/>
      <c r="AC576" s="235"/>
      <c r="AD576" s="235"/>
      <c r="AE576" s="236"/>
      <c r="AF576" s="235"/>
      <c r="AG576" s="235"/>
      <c r="AH576" s="235"/>
      <c r="AI576" s="235"/>
      <c r="AJ576" s="236"/>
      <c r="AK576" s="235"/>
      <c r="AL576" s="235"/>
      <c r="AM576" s="235"/>
      <c r="AN576" s="235"/>
      <c r="AO576" s="235"/>
      <c r="AP576" s="235"/>
      <c r="AQ576" s="235"/>
      <c r="AR576" s="235"/>
      <c r="AS576" s="235"/>
      <c r="AT576" s="235"/>
      <c r="AU576" s="236"/>
      <c r="AV576" s="235"/>
      <c r="AW576" s="235"/>
      <c r="AX576" s="235"/>
      <c r="AY576" s="235"/>
      <c r="AZ576" s="235"/>
      <c r="BA576" s="235"/>
      <c r="BB576" s="235"/>
      <c r="BC576" s="235"/>
      <c r="BD576" s="236"/>
      <c r="BE576" s="235"/>
      <c r="BF576" s="235"/>
      <c r="BG576" s="235"/>
      <c r="BH576" s="235"/>
      <c r="BI576" s="236"/>
      <c r="BJ576" s="236"/>
      <c r="BK576" s="238"/>
      <c r="BL576" s="239"/>
      <c r="BM576" s="239"/>
      <c r="BN576" s="239"/>
      <c r="BP576" s="236"/>
      <c r="BQ576" s="236"/>
      <c r="BR576" s="236"/>
      <c r="BS576" s="236"/>
      <c r="BT576" s="236"/>
      <c r="BU576" s="236"/>
      <c r="BV576" s="236"/>
      <c r="BW576" s="236"/>
      <c r="BX576" s="236"/>
      <c r="BY576" s="236"/>
      <c r="BZ576" s="236"/>
      <c r="CA576" s="236"/>
      <c r="CB576" s="236"/>
      <c r="CC576" s="236"/>
      <c r="CD576" s="236"/>
      <c r="CE576" s="236"/>
      <c r="CF576" s="236"/>
      <c r="CG576" s="236"/>
      <c r="CH576" s="236"/>
      <c r="CI576" s="236"/>
      <c r="CJ576" s="236"/>
      <c r="CK576" s="236"/>
      <c r="CL576" s="236"/>
      <c r="CM576" s="236"/>
      <c r="CN576" s="236"/>
      <c r="CO576" s="236"/>
    </row>
    <row r="577" spans="5:93" s="230" customFormat="1">
      <c r="E577" s="234"/>
      <c r="F577" s="235"/>
      <c r="G577" s="235"/>
      <c r="H577" s="236"/>
      <c r="I577" s="235"/>
      <c r="J577" s="235"/>
      <c r="K577" s="235"/>
      <c r="L577" s="235"/>
      <c r="M577" s="236"/>
      <c r="N577" s="235"/>
      <c r="O577" s="235"/>
      <c r="P577" s="235"/>
      <c r="Q577" s="235"/>
      <c r="R577" s="235"/>
      <c r="S577" s="235"/>
      <c r="T577" s="235"/>
      <c r="U577" s="235"/>
      <c r="V577" s="235"/>
      <c r="W577" s="235"/>
      <c r="X577" s="235"/>
      <c r="Y577" s="235"/>
      <c r="Z577" s="235"/>
      <c r="AA577" s="235"/>
      <c r="AB577" s="235"/>
      <c r="AC577" s="235"/>
      <c r="AD577" s="235"/>
      <c r="AE577" s="236"/>
      <c r="AF577" s="235"/>
      <c r="AG577" s="235"/>
      <c r="AH577" s="235"/>
      <c r="AI577" s="235"/>
      <c r="AJ577" s="236"/>
      <c r="AK577" s="235"/>
      <c r="AL577" s="235"/>
      <c r="AM577" s="235"/>
      <c r="AN577" s="235"/>
      <c r="AO577" s="235"/>
      <c r="AP577" s="235"/>
      <c r="AQ577" s="235"/>
      <c r="AR577" s="235"/>
      <c r="AS577" s="235"/>
      <c r="AT577" s="235"/>
      <c r="AU577" s="236"/>
      <c r="AV577" s="235"/>
      <c r="AW577" s="235"/>
      <c r="AX577" s="235"/>
      <c r="AY577" s="235"/>
      <c r="AZ577" s="235"/>
      <c r="BA577" s="235"/>
      <c r="BB577" s="235"/>
      <c r="BC577" s="235"/>
      <c r="BD577" s="236"/>
      <c r="BE577" s="235"/>
      <c r="BF577" s="235"/>
      <c r="BG577" s="235"/>
      <c r="BH577" s="235"/>
      <c r="BI577" s="236"/>
      <c r="BJ577" s="236"/>
      <c r="BK577" s="238"/>
      <c r="BL577" s="239"/>
      <c r="BM577" s="239"/>
      <c r="BN577" s="239"/>
      <c r="BP577" s="236"/>
      <c r="BQ577" s="236"/>
      <c r="BR577" s="236"/>
      <c r="BS577" s="236"/>
      <c r="BT577" s="236"/>
      <c r="BU577" s="236"/>
      <c r="BV577" s="236"/>
      <c r="BW577" s="236"/>
      <c r="BX577" s="236"/>
      <c r="BY577" s="236"/>
      <c r="BZ577" s="236"/>
      <c r="CA577" s="236"/>
      <c r="CB577" s="236"/>
      <c r="CC577" s="236"/>
      <c r="CD577" s="236"/>
      <c r="CE577" s="236"/>
      <c r="CF577" s="236"/>
      <c r="CG577" s="236"/>
      <c r="CH577" s="236"/>
      <c r="CI577" s="236"/>
      <c r="CJ577" s="236"/>
      <c r="CK577" s="236"/>
      <c r="CL577" s="236"/>
      <c r="CM577" s="236"/>
      <c r="CN577" s="236"/>
      <c r="CO577" s="236"/>
    </row>
    <row r="578" spans="5:93" s="230" customFormat="1">
      <c r="E578" s="234"/>
      <c r="F578" s="235"/>
      <c r="G578" s="235"/>
      <c r="H578" s="236"/>
      <c r="I578" s="235"/>
      <c r="J578" s="235"/>
      <c r="K578" s="235"/>
      <c r="L578" s="235"/>
      <c r="M578" s="236"/>
      <c r="N578" s="235"/>
      <c r="O578" s="235"/>
      <c r="P578" s="235"/>
      <c r="Q578" s="235"/>
      <c r="R578" s="235"/>
      <c r="S578" s="235"/>
      <c r="T578" s="235"/>
      <c r="U578" s="235"/>
      <c r="V578" s="235"/>
      <c r="W578" s="235"/>
      <c r="X578" s="235"/>
      <c r="Y578" s="235"/>
      <c r="Z578" s="235"/>
      <c r="AA578" s="235"/>
      <c r="AB578" s="235"/>
      <c r="AC578" s="235"/>
      <c r="AD578" s="235"/>
      <c r="AE578" s="236"/>
      <c r="AF578" s="235"/>
      <c r="AG578" s="235"/>
      <c r="AH578" s="235"/>
      <c r="AI578" s="235"/>
      <c r="AJ578" s="236"/>
      <c r="AK578" s="235"/>
      <c r="AL578" s="235"/>
      <c r="AM578" s="235"/>
      <c r="AN578" s="235"/>
      <c r="AO578" s="235"/>
      <c r="AP578" s="235"/>
      <c r="AQ578" s="235"/>
      <c r="AR578" s="235"/>
      <c r="AS578" s="235"/>
      <c r="AT578" s="235"/>
      <c r="AU578" s="236"/>
      <c r="AV578" s="235"/>
      <c r="AW578" s="235"/>
      <c r="AX578" s="235"/>
      <c r="AY578" s="235"/>
      <c r="AZ578" s="235"/>
      <c r="BA578" s="235"/>
      <c r="BB578" s="235"/>
      <c r="BC578" s="235"/>
      <c r="BD578" s="236"/>
      <c r="BE578" s="235"/>
      <c r="BF578" s="235"/>
      <c r="BG578" s="235"/>
      <c r="BH578" s="235"/>
      <c r="BI578" s="236"/>
      <c r="BJ578" s="236"/>
      <c r="BK578" s="238"/>
      <c r="BL578" s="239"/>
      <c r="BM578" s="239"/>
      <c r="BN578" s="239"/>
      <c r="BP578" s="236"/>
      <c r="BQ578" s="236"/>
      <c r="BR578" s="236"/>
      <c r="BS578" s="236"/>
      <c r="BT578" s="236"/>
      <c r="BU578" s="236"/>
      <c r="BV578" s="236"/>
      <c r="BW578" s="236"/>
      <c r="BX578" s="236"/>
      <c r="BY578" s="236"/>
      <c r="BZ578" s="236"/>
      <c r="CA578" s="236"/>
      <c r="CB578" s="236"/>
      <c r="CC578" s="236"/>
      <c r="CD578" s="236"/>
      <c r="CE578" s="236"/>
      <c r="CF578" s="236"/>
      <c r="CG578" s="236"/>
      <c r="CH578" s="236"/>
      <c r="CI578" s="236"/>
      <c r="CJ578" s="236"/>
      <c r="CK578" s="236"/>
      <c r="CL578" s="236"/>
      <c r="CM578" s="236"/>
      <c r="CN578" s="236"/>
      <c r="CO578" s="236"/>
    </row>
    <row r="579" spans="5:93" s="230" customFormat="1">
      <c r="E579" s="234"/>
      <c r="F579" s="235"/>
      <c r="G579" s="235"/>
      <c r="H579" s="236"/>
      <c r="I579" s="235"/>
      <c r="J579" s="235"/>
      <c r="K579" s="235"/>
      <c r="L579" s="235"/>
      <c r="M579" s="236"/>
      <c r="N579" s="235"/>
      <c r="O579" s="235"/>
      <c r="P579" s="235"/>
      <c r="Q579" s="235"/>
      <c r="R579" s="235"/>
      <c r="S579" s="235"/>
      <c r="T579" s="235"/>
      <c r="U579" s="235"/>
      <c r="V579" s="235"/>
      <c r="W579" s="235"/>
      <c r="X579" s="235"/>
      <c r="Y579" s="235"/>
      <c r="Z579" s="235"/>
      <c r="AA579" s="235"/>
      <c r="AB579" s="235"/>
      <c r="AC579" s="235"/>
      <c r="AD579" s="235"/>
      <c r="AE579" s="236"/>
      <c r="AF579" s="235"/>
      <c r="AG579" s="235"/>
      <c r="AH579" s="235"/>
      <c r="AI579" s="235"/>
      <c r="AJ579" s="236"/>
      <c r="AK579" s="235"/>
      <c r="AL579" s="235"/>
      <c r="AM579" s="235"/>
      <c r="AN579" s="235"/>
      <c r="AO579" s="235"/>
      <c r="AP579" s="235"/>
      <c r="AQ579" s="235"/>
      <c r="AR579" s="235"/>
      <c r="AS579" s="235"/>
      <c r="AT579" s="235"/>
      <c r="AU579" s="236"/>
      <c r="AV579" s="235"/>
      <c r="AW579" s="235"/>
      <c r="AX579" s="235"/>
      <c r="AY579" s="235"/>
      <c r="AZ579" s="235"/>
      <c r="BA579" s="235"/>
      <c r="BB579" s="235"/>
      <c r="BC579" s="235"/>
      <c r="BD579" s="236"/>
      <c r="BE579" s="235"/>
      <c r="BF579" s="235"/>
      <c r="BG579" s="235"/>
      <c r="BH579" s="235"/>
      <c r="BI579" s="236"/>
      <c r="BJ579" s="236"/>
      <c r="BK579" s="238"/>
      <c r="BL579" s="239"/>
      <c r="BM579" s="239"/>
      <c r="BN579" s="239"/>
      <c r="BP579" s="236"/>
      <c r="BQ579" s="236"/>
      <c r="BR579" s="236"/>
      <c r="BS579" s="236"/>
      <c r="BT579" s="236"/>
      <c r="BU579" s="236"/>
      <c r="BV579" s="236"/>
      <c r="BW579" s="236"/>
      <c r="BX579" s="236"/>
      <c r="BY579" s="236"/>
      <c r="BZ579" s="236"/>
      <c r="CA579" s="236"/>
      <c r="CB579" s="236"/>
      <c r="CC579" s="236"/>
      <c r="CD579" s="236"/>
      <c r="CE579" s="236"/>
      <c r="CF579" s="236"/>
      <c r="CG579" s="236"/>
      <c r="CH579" s="236"/>
      <c r="CI579" s="236"/>
      <c r="CJ579" s="236"/>
      <c r="CK579" s="236"/>
      <c r="CL579" s="236"/>
      <c r="CM579" s="236"/>
      <c r="CN579" s="236"/>
      <c r="CO579" s="236"/>
    </row>
    <row r="580" spans="5:93" s="230" customFormat="1">
      <c r="E580" s="234"/>
      <c r="F580" s="235"/>
      <c r="G580" s="235"/>
      <c r="H580" s="236"/>
      <c r="I580" s="235"/>
      <c r="J580" s="235"/>
      <c r="K580" s="235"/>
      <c r="L580" s="235"/>
      <c r="M580" s="236"/>
      <c r="N580" s="235"/>
      <c r="O580" s="235"/>
      <c r="P580" s="235"/>
      <c r="Q580" s="235"/>
      <c r="R580" s="235"/>
      <c r="S580" s="235"/>
      <c r="T580" s="235"/>
      <c r="U580" s="235"/>
      <c r="V580" s="235"/>
      <c r="W580" s="235"/>
      <c r="X580" s="235"/>
      <c r="Y580" s="235"/>
      <c r="Z580" s="235"/>
      <c r="AA580" s="235"/>
      <c r="AB580" s="235"/>
      <c r="AC580" s="235"/>
      <c r="AD580" s="235"/>
      <c r="AE580" s="236"/>
      <c r="AF580" s="235"/>
      <c r="AG580" s="235"/>
      <c r="AH580" s="235"/>
      <c r="AI580" s="235"/>
      <c r="AJ580" s="236"/>
      <c r="AK580" s="235"/>
      <c r="AL580" s="235"/>
      <c r="AM580" s="235"/>
      <c r="AN580" s="235"/>
      <c r="AO580" s="235"/>
      <c r="AP580" s="235"/>
      <c r="AQ580" s="235"/>
      <c r="AR580" s="235"/>
      <c r="AS580" s="235"/>
      <c r="AT580" s="235"/>
      <c r="AU580" s="236"/>
      <c r="AV580" s="235"/>
      <c r="AW580" s="235"/>
      <c r="AX580" s="235"/>
      <c r="AY580" s="235"/>
      <c r="AZ580" s="235"/>
      <c r="BA580" s="235"/>
      <c r="BB580" s="235"/>
      <c r="BC580" s="235"/>
      <c r="BD580" s="236"/>
      <c r="BE580" s="235"/>
      <c r="BF580" s="235"/>
      <c r="BG580" s="235"/>
      <c r="BH580" s="235"/>
      <c r="BI580" s="236"/>
      <c r="BJ580" s="236"/>
      <c r="BK580" s="238"/>
      <c r="BL580" s="239"/>
      <c r="BM580" s="239"/>
      <c r="BN580" s="239"/>
      <c r="BP580" s="236"/>
      <c r="BQ580" s="236"/>
      <c r="BR580" s="236"/>
      <c r="BS580" s="236"/>
      <c r="BT580" s="236"/>
      <c r="BU580" s="236"/>
      <c r="BV580" s="236"/>
      <c r="BW580" s="236"/>
      <c r="BX580" s="236"/>
      <c r="BY580" s="236"/>
      <c r="BZ580" s="236"/>
      <c r="CA580" s="236"/>
      <c r="CB580" s="236"/>
      <c r="CC580" s="236"/>
      <c r="CD580" s="236"/>
      <c r="CE580" s="236"/>
      <c r="CF580" s="236"/>
      <c r="CG580" s="236"/>
      <c r="CH580" s="236"/>
      <c r="CI580" s="236"/>
      <c r="CJ580" s="236"/>
      <c r="CK580" s="236"/>
      <c r="CL580" s="236"/>
      <c r="CM580" s="236"/>
      <c r="CN580" s="236"/>
      <c r="CO580" s="236"/>
    </row>
    <row r="581" spans="5:93" s="230" customFormat="1">
      <c r="E581" s="234"/>
      <c r="F581" s="235"/>
      <c r="G581" s="235"/>
      <c r="H581" s="236"/>
      <c r="I581" s="235"/>
      <c r="J581" s="235"/>
      <c r="K581" s="235"/>
      <c r="L581" s="235"/>
      <c r="M581" s="236"/>
      <c r="N581" s="235"/>
      <c r="O581" s="235"/>
      <c r="P581" s="235"/>
      <c r="Q581" s="235"/>
      <c r="R581" s="235"/>
      <c r="S581" s="235"/>
      <c r="T581" s="235"/>
      <c r="U581" s="235"/>
      <c r="V581" s="235"/>
      <c r="W581" s="235"/>
      <c r="X581" s="235"/>
      <c r="Y581" s="235"/>
      <c r="Z581" s="235"/>
      <c r="AA581" s="235"/>
      <c r="AB581" s="235"/>
      <c r="AC581" s="235"/>
      <c r="AD581" s="235"/>
      <c r="AE581" s="236"/>
      <c r="AF581" s="235"/>
      <c r="AG581" s="235"/>
      <c r="AH581" s="235"/>
      <c r="AI581" s="235"/>
      <c r="AJ581" s="236"/>
      <c r="AK581" s="235"/>
      <c r="AL581" s="235"/>
      <c r="AM581" s="235"/>
      <c r="AN581" s="235"/>
      <c r="AO581" s="235"/>
      <c r="AP581" s="235"/>
      <c r="AQ581" s="235"/>
      <c r="AR581" s="235"/>
      <c r="AS581" s="235"/>
      <c r="AT581" s="235"/>
      <c r="AU581" s="236"/>
      <c r="AV581" s="235"/>
      <c r="AW581" s="235"/>
      <c r="AX581" s="235"/>
      <c r="AY581" s="235"/>
      <c r="AZ581" s="235"/>
      <c r="BA581" s="235"/>
      <c r="BB581" s="235"/>
      <c r="BC581" s="235"/>
      <c r="BD581" s="236"/>
      <c r="BE581" s="235"/>
      <c r="BF581" s="235"/>
      <c r="BG581" s="235"/>
      <c r="BH581" s="235"/>
      <c r="BI581" s="236"/>
      <c r="BJ581" s="236"/>
      <c r="BK581" s="238"/>
      <c r="BL581" s="239"/>
      <c r="BM581" s="239"/>
      <c r="BN581" s="239"/>
      <c r="BP581" s="236"/>
      <c r="BQ581" s="236"/>
      <c r="BR581" s="236"/>
      <c r="BS581" s="236"/>
      <c r="BT581" s="236"/>
      <c r="BU581" s="236"/>
      <c r="BV581" s="236"/>
      <c r="BW581" s="236"/>
      <c r="BX581" s="236"/>
      <c r="BY581" s="236"/>
      <c r="BZ581" s="236"/>
      <c r="CA581" s="236"/>
      <c r="CB581" s="236"/>
      <c r="CC581" s="236"/>
      <c r="CD581" s="236"/>
      <c r="CE581" s="236"/>
      <c r="CF581" s="236"/>
      <c r="CG581" s="236"/>
      <c r="CH581" s="236"/>
      <c r="CI581" s="236"/>
      <c r="CJ581" s="236"/>
      <c r="CK581" s="236"/>
      <c r="CL581" s="236"/>
      <c r="CM581" s="236"/>
      <c r="CN581" s="236"/>
      <c r="CO581" s="236"/>
    </row>
    <row r="582" spans="5:93" s="230" customFormat="1">
      <c r="E582" s="234"/>
      <c r="F582" s="235"/>
      <c r="G582" s="235"/>
      <c r="H582" s="236"/>
      <c r="I582" s="235"/>
      <c r="J582" s="235"/>
      <c r="K582" s="235"/>
      <c r="L582" s="235"/>
      <c r="M582" s="236"/>
      <c r="N582" s="235"/>
      <c r="O582" s="235"/>
      <c r="P582" s="235"/>
      <c r="Q582" s="235"/>
      <c r="R582" s="235"/>
      <c r="S582" s="235"/>
      <c r="T582" s="235"/>
      <c r="U582" s="235"/>
      <c r="V582" s="235"/>
      <c r="W582" s="235"/>
      <c r="X582" s="235"/>
      <c r="Y582" s="235"/>
      <c r="Z582" s="235"/>
      <c r="AA582" s="235"/>
      <c r="AB582" s="235"/>
      <c r="AC582" s="235"/>
      <c r="AD582" s="235"/>
      <c r="AE582" s="236"/>
      <c r="AF582" s="235"/>
      <c r="AG582" s="235"/>
      <c r="AH582" s="235"/>
      <c r="AI582" s="235"/>
      <c r="AJ582" s="236"/>
      <c r="AK582" s="235"/>
      <c r="AL582" s="235"/>
      <c r="AM582" s="235"/>
      <c r="AN582" s="235"/>
      <c r="AO582" s="235"/>
      <c r="AP582" s="235"/>
      <c r="AQ582" s="235"/>
      <c r="AR582" s="235"/>
      <c r="AS582" s="235"/>
      <c r="AT582" s="235"/>
      <c r="AU582" s="236"/>
      <c r="AV582" s="235"/>
      <c r="AW582" s="235"/>
      <c r="AX582" s="235"/>
      <c r="AY582" s="235"/>
      <c r="AZ582" s="235"/>
      <c r="BA582" s="235"/>
      <c r="BB582" s="235"/>
      <c r="BC582" s="235"/>
      <c r="BD582" s="236"/>
      <c r="BE582" s="235"/>
      <c r="BF582" s="235"/>
      <c r="BG582" s="235"/>
      <c r="BH582" s="235"/>
      <c r="BI582" s="236"/>
      <c r="BJ582" s="236"/>
      <c r="BK582" s="238"/>
      <c r="BL582" s="239"/>
      <c r="BM582" s="239"/>
      <c r="BN582" s="239"/>
      <c r="BP582" s="236"/>
      <c r="BQ582" s="236"/>
      <c r="BR582" s="236"/>
      <c r="BS582" s="236"/>
      <c r="BT582" s="236"/>
      <c r="BU582" s="236"/>
      <c r="BV582" s="236"/>
      <c r="BW582" s="236"/>
      <c r="BX582" s="236"/>
      <c r="BY582" s="236"/>
      <c r="BZ582" s="236"/>
      <c r="CA582" s="236"/>
      <c r="CB582" s="236"/>
      <c r="CC582" s="236"/>
      <c r="CD582" s="236"/>
      <c r="CE582" s="236"/>
      <c r="CF582" s="236"/>
      <c r="CG582" s="236"/>
      <c r="CH582" s="236"/>
      <c r="CI582" s="236"/>
      <c r="CJ582" s="236"/>
      <c r="CK582" s="236"/>
      <c r="CL582" s="236"/>
      <c r="CM582" s="236"/>
      <c r="CN582" s="236"/>
      <c r="CO582" s="236"/>
    </row>
    <row r="583" spans="5:93" s="230" customFormat="1">
      <c r="E583" s="234"/>
      <c r="F583" s="235"/>
      <c r="G583" s="235"/>
      <c r="H583" s="236"/>
      <c r="I583" s="235"/>
      <c r="J583" s="235"/>
      <c r="K583" s="235"/>
      <c r="L583" s="235"/>
      <c r="M583" s="236"/>
      <c r="N583" s="235"/>
      <c r="O583" s="235"/>
      <c r="P583" s="235"/>
      <c r="Q583" s="235"/>
      <c r="R583" s="235"/>
      <c r="S583" s="235"/>
      <c r="T583" s="235"/>
      <c r="U583" s="235"/>
      <c r="V583" s="235"/>
      <c r="W583" s="235"/>
      <c r="X583" s="235"/>
      <c r="Y583" s="235"/>
      <c r="Z583" s="235"/>
      <c r="AA583" s="235"/>
      <c r="AB583" s="235"/>
      <c r="AC583" s="235"/>
      <c r="AD583" s="235"/>
      <c r="AE583" s="236"/>
      <c r="AF583" s="235"/>
      <c r="AG583" s="235"/>
      <c r="AH583" s="235"/>
      <c r="AI583" s="235"/>
      <c r="AJ583" s="236"/>
      <c r="AK583" s="235"/>
      <c r="AL583" s="235"/>
      <c r="AM583" s="235"/>
      <c r="AN583" s="235"/>
      <c r="AO583" s="235"/>
      <c r="AP583" s="235"/>
      <c r="AQ583" s="235"/>
      <c r="AR583" s="235"/>
      <c r="AS583" s="235"/>
      <c r="AT583" s="235"/>
      <c r="AU583" s="236"/>
      <c r="AV583" s="235"/>
      <c r="AW583" s="235"/>
      <c r="AX583" s="235"/>
      <c r="AY583" s="235"/>
      <c r="AZ583" s="235"/>
      <c r="BA583" s="235"/>
      <c r="BB583" s="235"/>
      <c r="BC583" s="235"/>
      <c r="BD583" s="236"/>
      <c r="BE583" s="235"/>
      <c r="BF583" s="235"/>
      <c r="BG583" s="235"/>
      <c r="BH583" s="235"/>
      <c r="BI583" s="236"/>
      <c r="BJ583" s="236"/>
      <c r="BK583" s="238"/>
      <c r="BL583" s="239"/>
      <c r="BM583" s="239"/>
      <c r="BN583" s="239"/>
      <c r="BP583" s="236"/>
      <c r="BQ583" s="236"/>
      <c r="BR583" s="236"/>
      <c r="BS583" s="236"/>
      <c r="BT583" s="236"/>
      <c r="BU583" s="236"/>
      <c r="BV583" s="236"/>
      <c r="BW583" s="236"/>
      <c r="BX583" s="236"/>
      <c r="BY583" s="236"/>
      <c r="BZ583" s="236"/>
      <c r="CA583" s="236"/>
      <c r="CB583" s="236"/>
      <c r="CC583" s="236"/>
      <c r="CD583" s="236"/>
      <c r="CE583" s="236"/>
      <c r="CF583" s="236"/>
      <c r="CG583" s="236"/>
      <c r="CH583" s="236"/>
      <c r="CI583" s="236"/>
      <c r="CJ583" s="236"/>
      <c r="CK583" s="236"/>
      <c r="CL583" s="236"/>
      <c r="CM583" s="236"/>
      <c r="CN583" s="236"/>
      <c r="CO583" s="236"/>
    </row>
    <row r="584" spans="5:93" s="230" customFormat="1">
      <c r="E584" s="234"/>
      <c r="F584" s="235"/>
      <c r="G584" s="235"/>
      <c r="H584" s="236"/>
      <c r="I584" s="235"/>
      <c r="J584" s="235"/>
      <c r="K584" s="235"/>
      <c r="L584" s="235"/>
      <c r="M584" s="236"/>
      <c r="N584" s="235"/>
      <c r="O584" s="235"/>
      <c r="P584" s="235"/>
      <c r="Q584" s="235"/>
      <c r="R584" s="235"/>
      <c r="S584" s="235"/>
      <c r="T584" s="235"/>
      <c r="U584" s="235"/>
      <c r="V584" s="235"/>
      <c r="W584" s="235"/>
      <c r="X584" s="235"/>
      <c r="Y584" s="235"/>
      <c r="Z584" s="235"/>
      <c r="AA584" s="235"/>
      <c r="AB584" s="235"/>
      <c r="AC584" s="235"/>
      <c r="AD584" s="235"/>
      <c r="AE584" s="236"/>
      <c r="AF584" s="235"/>
      <c r="AG584" s="235"/>
      <c r="AH584" s="235"/>
      <c r="AI584" s="235"/>
      <c r="AJ584" s="236"/>
      <c r="AK584" s="235"/>
      <c r="AL584" s="235"/>
      <c r="AM584" s="235"/>
      <c r="AN584" s="235"/>
      <c r="AO584" s="235"/>
      <c r="AP584" s="235"/>
      <c r="AQ584" s="235"/>
      <c r="AR584" s="235"/>
      <c r="AS584" s="235"/>
      <c r="AT584" s="235"/>
      <c r="AU584" s="236"/>
      <c r="AV584" s="235"/>
      <c r="AW584" s="235"/>
      <c r="AX584" s="235"/>
      <c r="AY584" s="235"/>
      <c r="AZ584" s="235"/>
      <c r="BA584" s="235"/>
      <c r="BB584" s="235"/>
      <c r="BC584" s="235"/>
      <c r="BD584" s="236"/>
      <c r="BE584" s="235"/>
      <c r="BF584" s="235"/>
      <c r="BG584" s="235"/>
      <c r="BH584" s="235"/>
      <c r="BI584" s="236"/>
      <c r="BJ584" s="236"/>
      <c r="BK584" s="238"/>
      <c r="BL584" s="239"/>
      <c r="BM584" s="239"/>
      <c r="BN584" s="239"/>
      <c r="BP584" s="236"/>
      <c r="BQ584" s="236"/>
      <c r="BR584" s="236"/>
      <c r="BS584" s="236"/>
      <c r="BT584" s="236"/>
      <c r="BU584" s="236"/>
      <c r="BV584" s="236"/>
      <c r="BW584" s="236"/>
      <c r="BX584" s="236"/>
      <c r="BY584" s="236"/>
      <c r="BZ584" s="236"/>
      <c r="CA584" s="236"/>
      <c r="CB584" s="236"/>
      <c r="CC584" s="236"/>
      <c r="CD584" s="236"/>
      <c r="CE584" s="236"/>
      <c r="CF584" s="236"/>
      <c r="CG584" s="236"/>
      <c r="CH584" s="236"/>
      <c r="CI584" s="236"/>
      <c r="CJ584" s="236"/>
      <c r="CK584" s="236"/>
      <c r="CL584" s="236"/>
      <c r="CM584" s="236"/>
      <c r="CN584" s="236"/>
      <c r="CO584" s="236"/>
    </row>
    <row r="585" spans="5:93" s="230" customFormat="1">
      <c r="E585" s="234"/>
      <c r="F585" s="235"/>
      <c r="G585" s="235"/>
      <c r="H585" s="236"/>
      <c r="I585" s="235"/>
      <c r="J585" s="235"/>
      <c r="K585" s="235"/>
      <c r="L585" s="235"/>
      <c r="M585" s="236"/>
      <c r="N585" s="235"/>
      <c r="O585" s="235"/>
      <c r="P585" s="235"/>
      <c r="Q585" s="235"/>
      <c r="R585" s="235"/>
      <c r="S585" s="235"/>
      <c r="T585" s="235"/>
      <c r="U585" s="235"/>
      <c r="V585" s="235"/>
      <c r="W585" s="235"/>
      <c r="X585" s="235"/>
      <c r="Y585" s="235"/>
      <c r="Z585" s="235"/>
      <c r="AA585" s="235"/>
      <c r="AB585" s="235"/>
      <c r="AC585" s="235"/>
      <c r="AD585" s="235"/>
      <c r="AE585" s="236"/>
      <c r="AF585" s="235"/>
      <c r="AG585" s="235"/>
      <c r="AH585" s="235"/>
      <c r="AI585" s="235"/>
      <c r="AJ585" s="236"/>
      <c r="AK585" s="235"/>
      <c r="AL585" s="235"/>
      <c r="AM585" s="235"/>
      <c r="AN585" s="235"/>
      <c r="AO585" s="235"/>
      <c r="AP585" s="235"/>
      <c r="AQ585" s="235"/>
      <c r="AR585" s="235"/>
      <c r="AS585" s="235"/>
      <c r="AT585" s="235"/>
      <c r="AU585" s="236"/>
      <c r="AV585" s="235"/>
      <c r="AW585" s="235"/>
      <c r="AX585" s="235"/>
      <c r="AY585" s="235"/>
      <c r="AZ585" s="235"/>
      <c r="BA585" s="235"/>
      <c r="BB585" s="235"/>
      <c r="BC585" s="235"/>
      <c r="BD585" s="236"/>
      <c r="BE585" s="235"/>
      <c r="BF585" s="235"/>
      <c r="BG585" s="235"/>
      <c r="BH585" s="235"/>
      <c r="BI585" s="236"/>
      <c r="BJ585" s="236"/>
      <c r="BK585" s="238"/>
      <c r="BL585" s="239"/>
      <c r="BM585" s="239"/>
      <c r="BN585" s="239"/>
      <c r="BP585" s="236"/>
      <c r="BQ585" s="236"/>
      <c r="BR585" s="236"/>
      <c r="BS585" s="236"/>
      <c r="BT585" s="236"/>
      <c r="BU585" s="236"/>
      <c r="BV585" s="236"/>
      <c r="BW585" s="236"/>
      <c r="BX585" s="236"/>
      <c r="BY585" s="236"/>
      <c r="BZ585" s="236"/>
      <c r="CA585" s="236"/>
      <c r="CB585" s="236"/>
      <c r="CC585" s="236"/>
      <c r="CD585" s="236"/>
      <c r="CE585" s="236"/>
      <c r="CF585" s="236"/>
      <c r="CG585" s="236"/>
      <c r="CH585" s="236"/>
      <c r="CI585" s="236"/>
      <c r="CJ585" s="236"/>
      <c r="CK585" s="236"/>
      <c r="CL585" s="236"/>
      <c r="CM585" s="236"/>
      <c r="CN585" s="236"/>
      <c r="CO585" s="236"/>
    </row>
    <row r="586" spans="5:93" s="230" customFormat="1">
      <c r="E586" s="234"/>
      <c r="F586" s="235"/>
      <c r="G586" s="235"/>
      <c r="H586" s="236"/>
      <c r="I586" s="235"/>
      <c r="J586" s="235"/>
      <c r="K586" s="235"/>
      <c r="L586" s="235"/>
      <c r="M586" s="236"/>
      <c r="N586" s="235"/>
      <c r="O586" s="235"/>
      <c r="P586" s="235"/>
      <c r="Q586" s="235"/>
      <c r="R586" s="235"/>
      <c r="S586" s="235"/>
      <c r="T586" s="235"/>
      <c r="U586" s="235"/>
      <c r="V586" s="235"/>
      <c r="W586" s="235"/>
      <c r="X586" s="235"/>
      <c r="Y586" s="235"/>
      <c r="Z586" s="235"/>
      <c r="AA586" s="235"/>
      <c r="AB586" s="235"/>
      <c r="AC586" s="235"/>
      <c r="AD586" s="235"/>
      <c r="AE586" s="236"/>
      <c r="AF586" s="235"/>
      <c r="AG586" s="235"/>
      <c r="AH586" s="235"/>
      <c r="AI586" s="235"/>
      <c r="AJ586" s="236"/>
      <c r="AK586" s="235"/>
      <c r="AL586" s="235"/>
      <c r="AM586" s="235"/>
      <c r="AN586" s="235"/>
      <c r="AO586" s="235"/>
      <c r="AP586" s="235"/>
      <c r="AQ586" s="235"/>
      <c r="AR586" s="235"/>
      <c r="AS586" s="235"/>
      <c r="AT586" s="235"/>
      <c r="AU586" s="236"/>
      <c r="AV586" s="235"/>
      <c r="AW586" s="235"/>
      <c r="AX586" s="235"/>
      <c r="AY586" s="235"/>
      <c r="AZ586" s="235"/>
      <c r="BA586" s="235"/>
      <c r="BB586" s="235"/>
      <c r="BC586" s="235"/>
      <c r="BD586" s="236"/>
      <c r="BE586" s="235"/>
      <c r="BF586" s="235"/>
      <c r="BG586" s="235"/>
      <c r="BH586" s="235"/>
      <c r="BI586" s="236"/>
      <c r="BJ586" s="236"/>
      <c r="BK586" s="238"/>
      <c r="BL586" s="239"/>
      <c r="BM586" s="239"/>
      <c r="BN586" s="239"/>
      <c r="BP586" s="236"/>
      <c r="BQ586" s="236"/>
      <c r="BR586" s="236"/>
      <c r="BS586" s="236"/>
      <c r="BT586" s="236"/>
      <c r="BU586" s="236"/>
      <c r="BV586" s="236"/>
      <c r="BW586" s="236"/>
      <c r="BX586" s="236"/>
      <c r="BY586" s="236"/>
      <c r="BZ586" s="236"/>
      <c r="CA586" s="236"/>
      <c r="CB586" s="236"/>
      <c r="CC586" s="236"/>
      <c r="CD586" s="236"/>
      <c r="CE586" s="236"/>
      <c r="CF586" s="236"/>
      <c r="CG586" s="236"/>
      <c r="CH586" s="236"/>
      <c r="CI586" s="236"/>
      <c r="CJ586" s="236"/>
      <c r="CK586" s="236"/>
      <c r="CL586" s="236"/>
      <c r="CM586" s="236"/>
      <c r="CN586" s="236"/>
      <c r="CO586" s="236"/>
    </row>
    <row r="587" spans="5:93" s="230" customFormat="1">
      <c r="E587" s="234"/>
      <c r="F587" s="235"/>
      <c r="G587" s="235"/>
      <c r="H587" s="236"/>
      <c r="I587" s="235"/>
      <c r="J587" s="235"/>
      <c r="K587" s="235"/>
      <c r="L587" s="235"/>
      <c r="M587" s="236"/>
      <c r="N587" s="235"/>
      <c r="O587" s="235"/>
      <c r="P587" s="235"/>
      <c r="Q587" s="235"/>
      <c r="R587" s="235"/>
      <c r="S587" s="235"/>
      <c r="T587" s="235"/>
      <c r="U587" s="235"/>
      <c r="V587" s="235"/>
      <c r="W587" s="235"/>
      <c r="X587" s="235"/>
      <c r="Y587" s="235"/>
      <c r="Z587" s="235"/>
      <c r="AA587" s="235"/>
      <c r="AB587" s="235"/>
      <c r="AC587" s="235"/>
      <c r="AD587" s="235"/>
      <c r="AE587" s="236"/>
      <c r="AF587" s="235"/>
      <c r="AG587" s="235"/>
      <c r="AH587" s="235"/>
      <c r="AI587" s="235"/>
      <c r="AJ587" s="236"/>
      <c r="AK587" s="235"/>
      <c r="AL587" s="235"/>
      <c r="AM587" s="235"/>
      <c r="AN587" s="235"/>
      <c r="AO587" s="235"/>
      <c r="AP587" s="235"/>
      <c r="AQ587" s="235"/>
      <c r="AR587" s="235"/>
      <c r="AS587" s="235"/>
      <c r="AT587" s="235"/>
      <c r="AU587" s="236"/>
      <c r="AV587" s="235"/>
      <c r="AW587" s="235"/>
      <c r="AX587" s="235"/>
      <c r="AY587" s="235"/>
      <c r="AZ587" s="235"/>
      <c r="BA587" s="235"/>
      <c r="BB587" s="235"/>
      <c r="BC587" s="235"/>
      <c r="BD587" s="236"/>
      <c r="BE587" s="235"/>
      <c r="BF587" s="235"/>
      <c r="BG587" s="235"/>
      <c r="BH587" s="235"/>
      <c r="BI587" s="236"/>
      <c r="BJ587" s="236"/>
      <c r="BK587" s="238"/>
      <c r="BL587" s="239"/>
      <c r="BM587" s="239"/>
      <c r="BN587" s="239"/>
      <c r="BP587" s="236"/>
      <c r="BQ587" s="236"/>
      <c r="BR587" s="236"/>
      <c r="BS587" s="236"/>
      <c r="BT587" s="236"/>
      <c r="BU587" s="236"/>
      <c r="BV587" s="236"/>
      <c r="BW587" s="236"/>
      <c r="BX587" s="236"/>
      <c r="BY587" s="236"/>
      <c r="BZ587" s="236"/>
      <c r="CA587" s="236"/>
      <c r="CB587" s="236"/>
      <c r="CC587" s="236"/>
      <c r="CD587" s="236"/>
      <c r="CE587" s="236"/>
      <c r="CF587" s="236"/>
      <c r="CG587" s="236"/>
      <c r="CH587" s="236"/>
      <c r="CI587" s="236"/>
      <c r="CJ587" s="236"/>
      <c r="CK587" s="236"/>
      <c r="CL587" s="236"/>
      <c r="CM587" s="236"/>
      <c r="CN587" s="236"/>
      <c r="CO587" s="236"/>
    </row>
    <row r="588" spans="5:93" s="230" customFormat="1">
      <c r="E588" s="234"/>
      <c r="F588" s="235"/>
      <c r="G588" s="235"/>
      <c r="H588" s="236"/>
      <c r="I588" s="235"/>
      <c r="J588" s="235"/>
      <c r="K588" s="235"/>
      <c r="L588" s="235"/>
      <c r="M588" s="236"/>
      <c r="N588" s="235"/>
      <c r="O588" s="235"/>
      <c r="P588" s="235"/>
      <c r="Q588" s="235"/>
      <c r="R588" s="235"/>
      <c r="S588" s="235"/>
      <c r="T588" s="235"/>
      <c r="U588" s="235"/>
      <c r="V588" s="235"/>
      <c r="W588" s="235"/>
      <c r="X588" s="235"/>
      <c r="Y588" s="235"/>
      <c r="Z588" s="235"/>
      <c r="AA588" s="235"/>
      <c r="AB588" s="235"/>
      <c r="AC588" s="235"/>
      <c r="AD588" s="235"/>
      <c r="AE588" s="236"/>
      <c r="AF588" s="235"/>
      <c r="AG588" s="235"/>
      <c r="AH588" s="235"/>
      <c r="AI588" s="235"/>
      <c r="AJ588" s="236"/>
      <c r="AK588" s="235"/>
      <c r="AL588" s="235"/>
      <c r="AM588" s="235"/>
      <c r="AN588" s="235"/>
      <c r="AO588" s="235"/>
      <c r="AP588" s="235"/>
      <c r="AQ588" s="235"/>
      <c r="AR588" s="235"/>
      <c r="AS588" s="235"/>
      <c r="AT588" s="235"/>
      <c r="AU588" s="236"/>
      <c r="AV588" s="235"/>
      <c r="AW588" s="235"/>
      <c r="AX588" s="235"/>
      <c r="AY588" s="235"/>
      <c r="AZ588" s="235"/>
      <c r="BA588" s="235"/>
      <c r="BB588" s="235"/>
      <c r="BC588" s="235"/>
      <c r="BD588" s="236"/>
      <c r="BE588" s="235"/>
      <c r="BF588" s="235"/>
      <c r="BG588" s="235"/>
      <c r="BH588" s="235"/>
      <c r="BI588" s="236"/>
      <c r="BJ588" s="236"/>
      <c r="BK588" s="238"/>
      <c r="BL588" s="239"/>
      <c r="BM588" s="239"/>
      <c r="BN588" s="239"/>
      <c r="BP588" s="236"/>
      <c r="BQ588" s="236"/>
      <c r="BR588" s="236"/>
      <c r="BS588" s="236"/>
      <c r="BT588" s="236"/>
      <c r="BU588" s="236"/>
      <c r="BV588" s="236"/>
      <c r="BW588" s="236"/>
      <c r="BX588" s="236"/>
      <c r="BY588" s="236"/>
      <c r="BZ588" s="236"/>
      <c r="CA588" s="236"/>
      <c r="CB588" s="236"/>
      <c r="CC588" s="236"/>
      <c r="CD588" s="236"/>
      <c r="CE588" s="236"/>
      <c r="CF588" s="236"/>
      <c r="CG588" s="236"/>
      <c r="CH588" s="236"/>
      <c r="CI588" s="236"/>
      <c r="CJ588" s="236"/>
      <c r="CK588" s="236"/>
      <c r="CL588" s="236"/>
      <c r="CM588" s="236"/>
      <c r="CN588" s="236"/>
      <c r="CO588" s="236"/>
    </row>
    <row r="589" spans="5:93" s="230" customFormat="1">
      <c r="E589" s="234"/>
      <c r="F589" s="235"/>
      <c r="G589" s="235"/>
      <c r="H589" s="236"/>
      <c r="I589" s="235"/>
      <c r="J589" s="235"/>
      <c r="K589" s="235"/>
      <c r="L589" s="235"/>
      <c r="M589" s="236"/>
      <c r="N589" s="235"/>
      <c r="O589" s="235"/>
      <c r="P589" s="235"/>
      <c r="Q589" s="235"/>
      <c r="R589" s="235"/>
      <c r="S589" s="235"/>
      <c r="T589" s="235"/>
      <c r="U589" s="235"/>
      <c r="V589" s="235"/>
      <c r="W589" s="235"/>
      <c r="X589" s="235"/>
      <c r="Y589" s="235"/>
      <c r="Z589" s="235"/>
      <c r="AA589" s="235"/>
      <c r="AB589" s="235"/>
      <c r="AC589" s="235"/>
      <c r="AD589" s="235"/>
      <c r="AE589" s="236"/>
      <c r="AF589" s="235"/>
      <c r="AG589" s="235"/>
      <c r="AH589" s="235"/>
      <c r="AI589" s="235"/>
      <c r="AJ589" s="236"/>
      <c r="AK589" s="235"/>
      <c r="AL589" s="235"/>
      <c r="AM589" s="235"/>
      <c r="AN589" s="235"/>
      <c r="AO589" s="235"/>
      <c r="AP589" s="235"/>
      <c r="AQ589" s="235"/>
      <c r="AR589" s="235"/>
      <c r="AS589" s="235"/>
      <c r="AT589" s="235"/>
      <c r="AU589" s="236"/>
      <c r="AV589" s="235"/>
      <c r="AW589" s="235"/>
      <c r="AX589" s="235"/>
      <c r="AY589" s="235"/>
      <c r="AZ589" s="235"/>
      <c r="BA589" s="235"/>
      <c r="BB589" s="235"/>
      <c r="BC589" s="235"/>
      <c r="BD589" s="236"/>
      <c r="BE589" s="235"/>
      <c r="BF589" s="235"/>
      <c r="BG589" s="235"/>
      <c r="BH589" s="235"/>
      <c r="BI589" s="236"/>
      <c r="BJ589" s="236"/>
      <c r="BK589" s="238"/>
      <c r="BL589" s="239"/>
      <c r="BM589" s="239"/>
      <c r="BN589" s="239"/>
      <c r="BP589" s="236"/>
      <c r="BQ589" s="236"/>
      <c r="BR589" s="236"/>
      <c r="BS589" s="236"/>
      <c r="BT589" s="236"/>
      <c r="BU589" s="236"/>
      <c r="BV589" s="236"/>
      <c r="BW589" s="236"/>
      <c r="BX589" s="236"/>
      <c r="BY589" s="236"/>
      <c r="BZ589" s="236"/>
      <c r="CA589" s="236"/>
      <c r="CB589" s="236"/>
      <c r="CC589" s="236"/>
      <c r="CD589" s="236"/>
      <c r="CE589" s="236"/>
      <c r="CF589" s="236"/>
      <c r="CG589" s="236"/>
      <c r="CH589" s="236"/>
      <c r="CI589" s="236"/>
      <c r="CJ589" s="236"/>
      <c r="CK589" s="236"/>
      <c r="CL589" s="236"/>
      <c r="CM589" s="236"/>
      <c r="CN589" s="236"/>
      <c r="CO589" s="236"/>
    </row>
    <row r="590" spans="5:93" s="230" customFormat="1">
      <c r="E590" s="234"/>
      <c r="F590" s="235"/>
      <c r="G590" s="235"/>
      <c r="H590" s="236"/>
      <c r="I590" s="235"/>
      <c r="J590" s="235"/>
      <c r="K590" s="235"/>
      <c r="L590" s="235"/>
      <c r="M590" s="236"/>
      <c r="N590" s="235"/>
      <c r="O590" s="235"/>
      <c r="P590" s="235"/>
      <c r="Q590" s="235"/>
      <c r="R590" s="235"/>
      <c r="S590" s="235"/>
      <c r="T590" s="235"/>
      <c r="U590" s="235"/>
      <c r="V590" s="235"/>
      <c r="W590" s="235"/>
      <c r="X590" s="235"/>
      <c r="Y590" s="235"/>
      <c r="Z590" s="235"/>
      <c r="AA590" s="235"/>
      <c r="AB590" s="235"/>
      <c r="AC590" s="235"/>
      <c r="AD590" s="235"/>
      <c r="AE590" s="236"/>
      <c r="AF590" s="235"/>
      <c r="AG590" s="235"/>
      <c r="AH590" s="235"/>
      <c r="AI590" s="235"/>
      <c r="AJ590" s="236"/>
      <c r="AK590" s="235"/>
      <c r="AL590" s="235"/>
      <c r="AM590" s="235"/>
      <c r="AN590" s="235"/>
      <c r="AO590" s="235"/>
      <c r="AP590" s="235"/>
      <c r="AQ590" s="235"/>
      <c r="AR590" s="235"/>
      <c r="AS590" s="235"/>
      <c r="AT590" s="235"/>
      <c r="AU590" s="236"/>
      <c r="AV590" s="235"/>
      <c r="AW590" s="235"/>
      <c r="AX590" s="235"/>
      <c r="AY590" s="235"/>
      <c r="AZ590" s="235"/>
      <c r="BA590" s="235"/>
      <c r="BB590" s="235"/>
      <c r="BC590" s="235"/>
      <c r="BD590" s="236"/>
      <c r="BE590" s="235"/>
      <c r="BF590" s="235"/>
      <c r="BG590" s="235"/>
      <c r="BH590" s="235"/>
      <c r="BI590" s="236"/>
      <c r="BJ590" s="236"/>
      <c r="BK590" s="238"/>
      <c r="BL590" s="239"/>
      <c r="BM590" s="239"/>
      <c r="BN590" s="239"/>
      <c r="BP590" s="236"/>
      <c r="BQ590" s="236"/>
      <c r="BR590" s="236"/>
      <c r="BS590" s="236"/>
      <c r="BT590" s="236"/>
      <c r="BU590" s="236"/>
      <c r="BV590" s="236"/>
      <c r="BW590" s="236"/>
      <c r="BX590" s="236"/>
      <c r="BY590" s="236"/>
      <c r="BZ590" s="236"/>
      <c r="CA590" s="236"/>
      <c r="CB590" s="236"/>
      <c r="CC590" s="236"/>
      <c r="CD590" s="236"/>
      <c r="CE590" s="236"/>
      <c r="CF590" s="236"/>
      <c r="CG590" s="236"/>
      <c r="CH590" s="236"/>
      <c r="CI590" s="236"/>
      <c r="CJ590" s="236"/>
      <c r="CK590" s="236"/>
      <c r="CL590" s="236"/>
      <c r="CM590" s="236"/>
      <c r="CN590" s="236"/>
      <c r="CO590" s="236"/>
    </row>
    <row r="591" spans="5:93" s="230" customFormat="1">
      <c r="E591" s="234"/>
      <c r="F591" s="235"/>
      <c r="G591" s="235"/>
      <c r="H591" s="236"/>
      <c r="I591" s="235"/>
      <c r="J591" s="235"/>
      <c r="K591" s="235"/>
      <c r="L591" s="235"/>
      <c r="M591" s="236"/>
      <c r="N591" s="235"/>
      <c r="O591" s="235"/>
      <c r="P591" s="235"/>
      <c r="Q591" s="235"/>
      <c r="R591" s="235"/>
      <c r="S591" s="235"/>
      <c r="T591" s="235"/>
      <c r="U591" s="235"/>
      <c r="V591" s="235"/>
      <c r="W591" s="235"/>
      <c r="X591" s="235"/>
      <c r="Y591" s="235"/>
      <c r="Z591" s="235"/>
      <c r="AA591" s="235"/>
      <c r="AB591" s="235"/>
      <c r="AC591" s="235"/>
      <c r="AD591" s="235"/>
      <c r="AE591" s="236"/>
      <c r="AF591" s="235"/>
      <c r="AG591" s="235"/>
      <c r="AH591" s="235"/>
      <c r="AI591" s="235"/>
      <c r="AJ591" s="236"/>
      <c r="AK591" s="235"/>
      <c r="AL591" s="235"/>
      <c r="AM591" s="235"/>
      <c r="AN591" s="235"/>
      <c r="AO591" s="235"/>
      <c r="AP591" s="235"/>
      <c r="AQ591" s="235"/>
      <c r="AR591" s="235"/>
      <c r="AS591" s="235"/>
      <c r="AT591" s="235"/>
      <c r="AU591" s="236"/>
      <c r="AV591" s="235"/>
      <c r="AW591" s="235"/>
      <c r="AX591" s="235"/>
      <c r="AY591" s="235"/>
      <c r="AZ591" s="235"/>
      <c r="BA591" s="235"/>
      <c r="BB591" s="235"/>
      <c r="BC591" s="235"/>
      <c r="BD591" s="236"/>
      <c r="BE591" s="235"/>
      <c r="BF591" s="235"/>
      <c r="BG591" s="235"/>
      <c r="BH591" s="235"/>
      <c r="BI591" s="236"/>
      <c r="BJ591" s="236"/>
      <c r="BK591" s="238"/>
      <c r="BL591" s="239"/>
      <c r="BM591" s="239"/>
      <c r="BN591" s="239"/>
      <c r="BP591" s="236"/>
      <c r="BQ591" s="236"/>
      <c r="BR591" s="236"/>
      <c r="BS591" s="236"/>
      <c r="BT591" s="236"/>
      <c r="BU591" s="236"/>
      <c r="BV591" s="236"/>
      <c r="BW591" s="236"/>
      <c r="BX591" s="236"/>
      <c r="BY591" s="236"/>
      <c r="BZ591" s="236"/>
      <c r="CA591" s="236"/>
      <c r="CB591" s="236"/>
      <c r="CC591" s="236"/>
      <c r="CD591" s="236"/>
      <c r="CE591" s="236"/>
      <c r="CF591" s="236"/>
      <c r="CG591" s="236"/>
      <c r="CH591" s="236"/>
      <c r="CI591" s="236"/>
      <c r="CJ591" s="236"/>
      <c r="CK591" s="236"/>
      <c r="CL591" s="236"/>
      <c r="CM591" s="236"/>
      <c r="CN591" s="236"/>
      <c r="CO591" s="236"/>
    </row>
    <row r="592" spans="5:93" s="230" customFormat="1">
      <c r="E592" s="234"/>
      <c r="F592" s="235"/>
      <c r="G592" s="235"/>
      <c r="H592" s="236"/>
      <c r="I592" s="235"/>
      <c r="J592" s="235"/>
      <c r="K592" s="235"/>
      <c r="L592" s="235"/>
      <c r="M592" s="236"/>
      <c r="N592" s="235"/>
      <c r="O592" s="235"/>
      <c r="P592" s="235"/>
      <c r="Q592" s="235"/>
      <c r="R592" s="235"/>
      <c r="S592" s="235"/>
      <c r="T592" s="235"/>
      <c r="U592" s="235"/>
      <c r="V592" s="235"/>
      <c r="W592" s="235"/>
      <c r="X592" s="235"/>
      <c r="Y592" s="235"/>
      <c r="Z592" s="235"/>
      <c r="AA592" s="235"/>
      <c r="AB592" s="235"/>
      <c r="AC592" s="235"/>
      <c r="AD592" s="235"/>
      <c r="AE592" s="236"/>
      <c r="AF592" s="235"/>
      <c r="AG592" s="235"/>
      <c r="AH592" s="235"/>
      <c r="AI592" s="235"/>
      <c r="AJ592" s="236"/>
      <c r="AK592" s="235"/>
      <c r="AL592" s="235"/>
      <c r="AM592" s="235"/>
      <c r="AN592" s="235"/>
      <c r="AO592" s="235"/>
      <c r="AP592" s="235"/>
      <c r="AQ592" s="235"/>
      <c r="AR592" s="235"/>
      <c r="AS592" s="235"/>
      <c r="AT592" s="235"/>
      <c r="AU592" s="236"/>
      <c r="AV592" s="235"/>
      <c r="AW592" s="235"/>
      <c r="AX592" s="235"/>
      <c r="AY592" s="235"/>
      <c r="AZ592" s="235"/>
      <c r="BA592" s="235"/>
      <c r="BB592" s="235"/>
      <c r="BC592" s="235"/>
      <c r="BD592" s="236"/>
      <c r="BE592" s="235"/>
      <c r="BF592" s="235"/>
      <c r="BG592" s="235"/>
      <c r="BH592" s="235"/>
      <c r="BI592" s="236"/>
      <c r="BJ592" s="236"/>
      <c r="BK592" s="238"/>
      <c r="BL592" s="239"/>
      <c r="BM592" s="239"/>
      <c r="BN592" s="239"/>
      <c r="BP592" s="236"/>
      <c r="BQ592" s="236"/>
      <c r="BR592" s="236"/>
      <c r="BS592" s="236"/>
      <c r="BT592" s="236"/>
      <c r="BU592" s="236"/>
      <c r="BV592" s="236"/>
      <c r="BW592" s="236"/>
      <c r="BX592" s="236"/>
      <c r="BY592" s="236"/>
      <c r="BZ592" s="236"/>
      <c r="CA592" s="236"/>
      <c r="CB592" s="236"/>
      <c r="CC592" s="236"/>
      <c r="CD592" s="236"/>
      <c r="CE592" s="236"/>
      <c r="CF592" s="236"/>
      <c r="CG592" s="236"/>
      <c r="CH592" s="236"/>
      <c r="CI592" s="236"/>
      <c r="CJ592" s="236"/>
      <c r="CK592" s="236"/>
      <c r="CL592" s="236"/>
      <c r="CM592" s="236"/>
      <c r="CN592" s="236"/>
      <c r="CO592" s="236"/>
    </row>
    <row r="593" spans="5:93" s="230" customFormat="1">
      <c r="E593" s="234"/>
      <c r="F593" s="235"/>
      <c r="G593" s="235"/>
      <c r="H593" s="236"/>
      <c r="I593" s="235"/>
      <c r="J593" s="235"/>
      <c r="K593" s="235"/>
      <c r="L593" s="235"/>
      <c r="M593" s="236"/>
      <c r="N593" s="235"/>
      <c r="O593" s="235"/>
      <c r="P593" s="235"/>
      <c r="Q593" s="235"/>
      <c r="R593" s="235"/>
      <c r="S593" s="235"/>
      <c r="T593" s="235"/>
      <c r="U593" s="235"/>
      <c r="V593" s="235"/>
      <c r="W593" s="235"/>
      <c r="X593" s="235"/>
      <c r="Y593" s="235"/>
      <c r="Z593" s="235"/>
      <c r="AA593" s="235"/>
      <c r="AB593" s="235"/>
      <c r="AC593" s="235"/>
      <c r="AD593" s="235"/>
      <c r="AE593" s="236"/>
      <c r="AF593" s="235"/>
      <c r="AG593" s="235"/>
      <c r="AH593" s="235"/>
      <c r="AI593" s="235"/>
      <c r="AJ593" s="236"/>
      <c r="AK593" s="235"/>
      <c r="AL593" s="235"/>
      <c r="AM593" s="235"/>
      <c r="AN593" s="235"/>
      <c r="AO593" s="235"/>
      <c r="AP593" s="235"/>
      <c r="AQ593" s="235"/>
      <c r="AR593" s="235"/>
      <c r="AS593" s="235"/>
      <c r="AT593" s="235"/>
      <c r="AU593" s="236"/>
      <c r="AV593" s="235"/>
      <c r="AW593" s="235"/>
      <c r="AX593" s="235"/>
      <c r="AY593" s="235"/>
      <c r="AZ593" s="235"/>
      <c r="BA593" s="235"/>
      <c r="BB593" s="235"/>
      <c r="BC593" s="235"/>
      <c r="BD593" s="236"/>
      <c r="BE593" s="235"/>
      <c r="BF593" s="235"/>
      <c r="BG593" s="235"/>
      <c r="BH593" s="235"/>
      <c r="BI593" s="236"/>
      <c r="BJ593" s="236"/>
      <c r="BK593" s="238"/>
      <c r="BL593" s="239"/>
      <c r="BM593" s="239"/>
      <c r="BN593" s="239"/>
      <c r="BP593" s="236"/>
      <c r="BQ593" s="236"/>
      <c r="BR593" s="236"/>
      <c r="BS593" s="236"/>
      <c r="BT593" s="236"/>
      <c r="BU593" s="236"/>
      <c r="BV593" s="236"/>
      <c r="BW593" s="236"/>
      <c r="BX593" s="236"/>
      <c r="BY593" s="236"/>
      <c r="BZ593" s="236"/>
      <c r="CA593" s="236"/>
      <c r="CB593" s="236"/>
      <c r="CC593" s="236"/>
      <c r="CD593" s="236"/>
      <c r="CE593" s="236"/>
      <c r="CF593" s="236"/>
      <c r="CG593" s="236"/>
      <c r="CH593" s="236"/>
      <c r="CI593" s="236"/>
      <c r="CJ593" s="236"/>
      <c r="CK593" s="236"/>
      <c r="CL593" s="236"/>
      <c r="CM593" s="236"/>
      <c r="CN593" s="236"/>
      <c r="CO593" s="236"/>
    </row>
    <row r="594" spans="5:93" s="230" customFormat="1">
      <c r="E594" s="234"/>
      <c r="F594" s="235"/>
      <c r="G594" s="235"/>
      <c r="H594" s="236"/>
      <c r="I594" s="235"/>
      <c r="J594" s="235"/>
      <c r="K594" s="235"/>
      <c r="L594" s="235"/>
      <c r="M594" s="236"/>
      <c r="N594" s="235"/>
      <c r="O594" s="235"/>
      <c r="P594" s="235"/>
      <c r="Q594" s="235"/>
      <c r="R594" s="235"/>
      <c r="S594" s="235"/>
      <c r="T594" s="235"/>
      <c r="U594" s="235"/>
      <c r="V594" s="235"/>
      <c r="W594" s="235"/>
      <c r="X594" s="235"/>
      <c r="Y594" s="235"/>
      <c r="Z594" s="235"/>
      <c r="AA594" s="235"/>
      <c r="AB594" s="235"/>
      <c r="AC594" s="235"/>
      <c r="AD594" s="235"/>
      <c r="AE594" s="236"/>
      <c r="AF594" s="235"/>
      <c r="AG594" s="235"/>
      <c r="AH594" s="235"/>
      <c r="AI594" s="235"/>
      <c r="AJ594" s="236"/>
      <c r="AK594" s="235"/>
      <c r="AL594" s="235"/>
      <c r="AM594" s="235"/>
      <c r="AN594" s="235"/>
      <c r="AO594" s="235"/>
      <c r="AP594" s="235"/>
      <c r="AQ594" s="235"/>
      <c r="AR594" s="235"/>
      <c r="AS594" s="235"/>
      <c r="AT594" s="235"/>
      <c r="AU594" s="236"/>
      <c r="AV594" s="235"/>
      <c r="AW594" s="235"/>
      <c r="AX594" s="235"/>
      <c r="AY594" s="235"/>
      <c r="AZ594" s="235"/>
      <c r="BA594" s="235"/>
      <c r="BB594" s="235"/>
      <c r="BC594" s="235"/>
      <c r="BD594" s="236"/>
      <c r="BE594" s="235"/>
      <c r="BF594" s="235"/>
      <c r="BG594" s="235"/>
      <c r="BH594" s="235"/>
      <c r="BI594" s="236"/>
      <c r="BJ594" s="236"/>
      <c r="BK594" s="238"/>
      <c r="BL594" s="239"/>
      <c r="BM594" s="239"/>
      <c r="BN594" s="239"/>
      <c r="BP594" s="236"/>
      <c r="BQ594" s="236"/>
      <c r="BR594" s="236"/>
      <c r="BS594" s="236"/>
      <c r="BT594" s="236"/>
      <c r="BU594" s="236"/>
      <c r="BV594" s="236"/>
      <c r="BW594" s="236"/>
      <c r="BX594" s="236"/>
      <c r="BY594" s="236"/>
      <c r="BZ594" s="236"/>
      <c r="CA594" s="236"/>
      <c r="CB594" s="236"/>
      <c r="CC594" s="236"/>
      <c r="CD594" s="236"/>
      <c r="CE594" s="236"/>
      <c r="CF594" s="236"/>
      <c r="CG594" s="236"/>
      <c r="CH594" s="236"/>
      <c r="CI594" s="236"/>
      <c r="CJ594" s="236"/>
      <c r="CK594" s="236"/>
      <c r="CL594" s="236"/>
      <c r="CM594" s="236"/>
      <c r="CN594" s="236"/>
      <c r="CO594" s="236"/>
    </row>
    <row r="595" spans="5:93" s="230" customFormat="1">
      <c r="E595" s="234"/>
      <c r="F595" s="235"/>
      <c r="G595" s="235"/>
      <c r="H595" s="236"/>
      <c r="I595" s="235"/>
      <c r="J595" s="235"/>
      <c r="K595" s="235"/>
      <c r="L595" s="235"/>
      <c r="M595" s="236"/>
      <c r="N595" s="235"/>
      <c r="O595" s="235"/>
      <c r="P595" s="235"/>
      <c r="Q595" s="235"/>
      <c r="R595" s="235"/>
      <c r="S595" s="235"/>
      <c r="T595" s="235"/>
      <c r="U595" s="235"/>
      <c r="V595" s="235"/>
      <c r="W595" s="235"/>
      <c r="X595" s="235"/>
      <c r="Y595" s="235"/>
      <c r="Z595" s="235"/>
      <c r="AA595" s="235"/>
      <c r="AB595" s="235"/>
      <c r="AC595" s="235"/>
      <c r="AD595" s="235"/>
      <c r="AE595" s="236"/>
      <c r="AF595" s="235"/>
      <c r="AG595" s="235"/>
      <c r="AH595" s="235"/>
      <c r="AI595" s="235"/>
      <c r="AJ595" s="236"/>
      <c r="AK595" s="235"/>
      <c r="AL595" s="235"/>
      <c r="AM595" s="235"/>
      <c r="AN595" s="235"/>
      <c r="AO595" s="235"/>
      <c r="AP595" s="235"/>
      <c r="AQ595" s="235"/>
      <c r="AR595" s="235"/>
      <c r="AS595" s="235"/>
      <c r="AT595" s="235"/>
      <c r="AU595" s="236"/>
      <c r="AV595" s="235"/>
      <c r="AW595" s="235"/>
      <c r="AX595" s="235"/>
      <c r="AY595" s="235"/>
      <c r="AZ595" s="235"/>
      <c r="BA595" s="235"/>
      <c r="BB595" s="235"/>
      <c r="BC595" s="235"/>
      <c r="BD595" s="236"/>
      <c r="BE595" s="235"/>
      <c r="BF595" s="235"/>
      <c r="BG595" s="235"/>
      <c r="BH595" s="235"/>
      <c r="BI595" s="236"/>
      <c r="BJ595" s="236"/>
      <c r="BK595" s="238"/>
      <c r="BL595" s="239"/>
      <c r="BM595" s="239"/>
      <c r="BN595" s="239"/>
      <c r="BP595" s="236"/>
      <c r="BQ595" s="236"/>
      <c r="BR595" s="236"/>
      <c r="BS595" s="236"/>
      <c r="BT595" s="236"/>
      <c r="BU595" s="236"/>
      <c r="BV595" s="236"/>
      <c r="BW595" s="236"/>
      <c r="BX595" s="236"/>
      <c r="BY595" s="236"/>
      <c r="BZ595" s="236"/>
      <c r="CA595" s="236"/>
      <c r="CB595" s="236"/>
      <c r="CC595" s="236"/>
      <c r="CD595" s="236"/>
      <c r="CE595" s="236"/>
      <c r="CF595" s="236"/>
      <c r="CG595" s="236"/>
      <c r="CH595" s="236"/>
      <c r="CI595" s="236"/>
      <c r="CJ595" s="236"/>
      <c r="CK595" s="236"/>
      <c r="CL595" s="236"/>
      <c r="CM595" s="236"/>
      <c r="CN595" s="236"/>
      <c r="CO595" s="236"/>
    </row>
    <row r="596" spans="5:93" s="230" customFormat="1">
      <c r="E596" s="234"/>
      <c r="F596" s="235"/>
      <c r="G596" s="235"/>
      <c r="H596" s="236"/>
      <c r="I596" s="235"/>
      <c r="J596" s="235"/>
      <c r="K596" s="235"/>
      <c r="L596" s="235"/>
      <c r="M596" s="236"/>
      <c r="N596" s="235"/>
      <c r="O596" s="235"/>
      <c r="P596" s="235"/>
      <c r="Q596" s="235"/>
      <c r="R596" s="235"/>
      <c r="S596" s="235"/>
      <c r="T596" s="235"/>
      <c r="U596" s="235"/>
      <c r="V596" s="235"/>
      <c r="W596" s="235"/>
      <c r="X596" s="235"/>
      <c r="Y596" s="235"/>
      <c r="Z596" s="235"/>
      <c r="AA596" s="235"/>
      <c r="AB596" s="235"/>
      <c r="AC596" s="235"/>
      <c r="AD596" s="235"/>
      <c r="AE596" s="236"/>
      <c r="AF596" s="235"/>
      <c r="AG596" s="235"/>
      <c r="AH596" s="235"/>
      <c r="AI596" s="235"/>
      <c r="AJ596" s="236"/>
      <c r="AK596" s="235"/>
      <c r="AL596" s="235"/>
      <c r="AM596" s="235"/>
      <c r="AN596" s="235"/>
      <c r="AO596" s="235"/>
      <c r="AP596" s="235"/>
      <c r="AQ596" s="235"/>
      <c r="AR596" s="235"/>
      <c r="AS596" s="235"/>
      <c r="AT596" s="235"/>
      <c r="AU596" s="236"/>
      <c r="AV596" s="235"/>
      <c r="AW596" s="235"/>
      <c r="AX596" s="235"/>
      <c r="AY596" s="235"/>
      <c r="AZ596" s="235"/>
      <c r="BA596" s="235"/>
      <c r="BB596" s="235"/>
      <c r="BC596" s="235"/>
      <c r="BD596" s="236"/>
      <c r="BE596" s="235"/>
      <c r="BF596" s="235"/>
      <c r="BG596" s="235"/>
      <c r="BH596" s="235"/>
      <c r="BI596" s="236"/>
      <c r="BJ596" s="236"/>
      <c r="BK596" s="238"/>
      <c r="BL596" s="239"/>
      <c r="BM596" s="239"/>
      <c r="BN596" s="239"/>
      <c r="BP596" s="236"/>
      <c r="BQ596" s="236"/>
      <c r="BR596" s="236"/>
      <c r="BS596" s="236"/>
      <c r="BT596" s="236"/>
      <c r="BU596" s="236"/>
      <c r="BV596" s="236"/>
      <c r="BW596" s="236"/>
      <c r="BX596" s="236"/>
      <c r="BY596" s="236"/>
      <c r="BZ596" s="236"/>
      <c r="CA596" s="236"/>
      <c r="CB596" s="236"/>
      <c r="CC596" s="236"/>
      <c r="CD596" s="236"/>
      <c r="CE596" s="236"/>
      <c r="CF596" s="236"/>
      <c r="CG596" s="236"/>
      <c r="CH596" s="236"/>
      <c r="CI596" s="236"/>
      <c r="CJ596" s="236"/>
      <c r="CK596" s="236"/>
      <c r="CL596" s="236"/>
      <c r="CM596" s="236"/>
      <c r="CN596" s="236"/>
      <c r="CO596" s="236"/>
    </row>
    <row r="597" spans="5:93" s="230" customFormat="1">
      <c r="E597" s="234"/>
      <c r="F597" s="235"/>
      <c r="G597" s="235"/>
      <c r="H597" s="236"/>
      <c r="I597" s="235"/>
      <c r="J597" s="235"/>
      <c r="K597" s="235"/>
      <c r="L597" s="235"/>
      <c r="M597" s="236"/>
      <c r="N597" s="235"/>
      <c r="O597" s="235"/>
      <c r="P597" s="235"/>
      <c r="Q597" s="235"/>
      <c r="R597" s="235"/>
      <c r="S597" s="235"/>
      <c r="T597" s="235"/>
      <c r="U597" s="235"/>
      <c r="V597" s="235"/>
      <c r="W597" s="235"/>
      <c r="X597" s="235"/>
      <c r="Y597" s="235"/>
      <c r="Z597" s="235"/>
      <c r="AA597" s="235"/>
      <c r="AB597" s="235"/>
      <c r="AC597" s="235"/>
      <c r="AD597" s="235"/>
      <c r="AE597" s="236"/>
      <c r="AF597" s="235"/>
      <c r="AG597" s="235"/>
      <c r="AH597" s="235"/>
      <c r="AI597" s="235"/>
      <c r="AJ597" s="236"/>
      <c r="AK597" s="235"/>
      <c r="AL597" s="235"/>
      <c r="AM597" s="235"/>
      <c r="AN597" s="235"/>
      <c r="AO597" s="235"/>
      <c r="AP597" s="235"/>
      <c r="AQ597" s="235"/>
      <c r="AR597" s="235"/>
      <c r="AS597" s="235"/>
      <c r="AT597" s="235"/>
      <c r="AU597" s="236"/>
      <c r="AV597" s="235"/>
      <c r="AW597" s="235"/>
      <c r="AX597" s="235"/>
      <c r="AY597" s="235"/>
      <c r="AZ597" s="235"/>
      <c r="BA597" s="235"/>
      <c r="BB597" s="235"/>
      <c r="BC597" s="235"/>
      <c r="BD597" s="236"/>
      <c r="BE597" s="235"/>
      <c r="BF597" s="235"/>
      <c r="BG597" s="235"/>
      <c r="BH597" s="235"/>
      <c r="BI597" s="236"/>
      <c r="BJ597" s="236"/>
      <c r="BK597" s="238"/>
      <c r="BL597" s="239"/>
      <c r="BM597" s="239"/>
      <c r="BN597" s="239"/>
      <c r="BP597" s="236"/>
      <c r="BQ597" s="236"/>
      <c r="BR597" s="236"/>
      <c r="BS597" s="236"/>
      <c r="BT597" s="236"/>
      <c r="BU597" s="236"/>
      <c r="BV597" s="236"/>
      <c r="BW597" s="236"/>
      <c r="BX597" s="236"/>
      <c r="BY597" s="236"/>
      <c r="BZ597" s="236"/>
      <c r="CA597" s="236"/>
      <c r="CB597" s="236"/>
      <c r="CC597" s="236"/>
      <c r="CD597" s="236"/>
      <c r="CE597" s="236"/>
      <c r="CF597" s="236"/>
      <c r="CG597" s="236"/>
      <c r="CH597" s="236"/>
      <c r="CI597" s="236"/>
      <c r="CJ597" s="236"/>
      <c r="CK597" s="236"/>
      <c r="CL597" s="236"/>
      <c r="CM597" s="236"/>
      <c r="CN597" s="236"/>
      <c r="CO597" s="236"/>
    </row>
    <row r="598" spans="5:93" s="230" customFormat="1">
      <c r="E598" s="234"/>
      <c r="F598" s="235"/>
      <c r="G598" s="235"/>
      <c r="H598" s="236"/>
      <c r="I598" s="235"/>
      <c r="J598" s="235"/>
      <c r="K598" s="235"/>
      <c r="L598" s="235"/>
      <c r="M598" s="236"/>
      <c r="N598" s="235"/>
      <c r="O598" s="235"/>
      <c r="P598" s="235"/>
      <c r="Q598" s="235"/>
      <c r="R598" s="235"/>
      <c r="S598" s="235"/>
      <c r="T598" s="235"/>
      <c r="U598" s="235"/>
      <c r="V598" s="235"/>
      <c r="W598" s="235"/>
      <c r="X598" s="235"/>
      <c r="Y598" s="235"/>
      <c r="Z598" s="235"/>
      <c r="AA598" s="235"/>
      <c r="AB598" s="235"/>
      <c r="AC598" s="235"/>
      <c r="AD598" s="235"/>
      <c r="AE598" s="236"/>
      <c r="AF598" s="235"/>
      <c r="AG598" s="235"/>
      <c r="AH598" s="235"/>
      <c r="AI598" s="235"/>
      <c r="AJ598" s="236"/>
      <c r="AK598" s="235"/>
      <c r="AL598" s="235"/>
      <c r="AM598" s="235"/>
      <c r="AN598" s="235"/>
      <c r="AO598" s="235"/>
      <c r="AP598" s="235"/>
      <c r="AQ598" s="235"/>
      <c r="AR598" s="235"/>
      <c r="AS598" s="235"/>
      <c r="AT598" s="235"/>
      <c r="AU598" s="236"/>
      <c r="AV598" s="235"/>
      <c r="AW598" s="235"/>
      <c r="AX598" s="235"/>
      <c r="AY598" s="235"/>
      <c r="AZ598" s="235"/>
      <c r="BA598" s="235"/>
      <c r="BB598" s="235"/>
      <c r="BC598" s="235"/>
      <c r="BD598" s="236"/>
      <c r="BE598" s="235"/>
      <c r="BF598" s="235"/>
      <c r="BG598" s="235"/>
      <c r="BH598" s="235"/>
      <c r="BI598" s="236"/>
      <c r="BJ598" s="236"/>
      <c r="BK598" s="238"/>
      <c r="BL598" s="239"/>
      <c r="BM598" s="239"/>
      <c r="BN598" s="239"/>
      <c r="BP598" s="236"/>
      <c r="BQ598" s="236"/>
      <c r="BR598" s="236"/>
      <c r="BS598" s="236"/>
      <c r="BT598" s="236"/>
      <c r="BU598" s="236"/>
      <c r="BV598" s="236"/>
      <c r="BW598" s="236"/>
      <c r="BX598" s="236"/>
      <c r="BY598" s="236"/>
      <c r="BZ598" s="236"/>
      <c r="CA598" s="236"/>
      <c r="CB598" s="236"/>
      <c r="CC598" s="236"/>
      <c r="CD598" s="236"/>
      <c r="CE598" s="236"/>
      <c r="CF598" s="236"/>
      <c r="CG598" s="236"/>
      <c r="CH598" s="236"/>
      <c r="CI598" s="236"/>
      <c r="CJ598" s="236"/>
      <c r="CK598" s="236"/>
      <c r="CL598" s="236"/>
      <c r="CM598" s="236"/>
      <c r="CN598" s="236"/>
      <c r="CO598" s="236"/>
    </row>
    <row r="599" spans="5:93" s="230" customFormat="1">
      <c r="E599" s="234"/>
      <c r="F599" s="235"/>
      <c r="G599" s="235"/>
      <c r="H599" s="236"/>
      <c r="I599" s="235"/>
      <c r="J599" s="235"/>
      <c r="K599" s="235"/>
      <c r="L599" s="235"/>
      <c r="M599" s="236"/>
      <c r="N599" s="235"/>
      <c r="O599" s="235"/>
      <c r="P599" s="235"/>
      <c r="Q599" s="235"/>
      <c r="R599" s="235"/>
      <c r="S599" s="235"/>
      <c r="T599" s="235"/>
      <c r="U599" s="235"/>
      <c r="V599" s="235"/>
      <c r="W599" s="235"/>
      <c r="X599" s="235"/>
      <c r="Y599" s="235"/>
      <c r="Z599" s="235"/>
      <c r="AA599" s="235"/>
      <c r="AB599" s="235"/>
      <c r="AC599" s="235"/>
      <c r="AD599" s="235"/>
      <c r="AE599" s="236"/>
      <c r="AF599" s="235"/>
      <c r="AG599" s="235"/>
      <c r="AH599" s="235"/>
      <c r="AI599" s="235"/>
      <c r="AJ599" s="236"/>
      <c r="AK599" s="235"/>
      <c r="AL599" s="235"/>
      <c r="AM599" s="235"/>
      <c r="AN599" s="235"/>
      <c r="AO599" s="235"/>
      <c r="AP599" s="235"/>
      <c r="AQ599" s="235"/>
      <c r="AR599" s="235"/>
      <c r="AS599" s="235"/>
      <c r="AT599" s="235"/>
      <c r="AU599" s="236"/>
      <c r="AV599" s="235"/>
      <c r="AW599" s="235"/>
      <c r="AX599" s="235"/>
      <c r="AY599" s="235"/>
      <c r="AZ599" s="235"/>
      <c r="BA599" s="235"/>
      <c r="BB599" s="235"/>
      <c r="BC599" s="235"/>
      <c r="BD599" s="236"/>
      <c r="BE599" s="235"/>
      <c r="BF599" s="235"/>
      <c r="BG599" s="235"/>
      <c r="BH599" s="235"/>
      <c r="BI599" s="236"/>
      <c r="BJ599" s="236"/>
      <c r="BK599" s="238"/>
      <c r="BL599" s="239"/>
      <c r="BM599" s="239"/>
      <c r="BN599" s="239"/>
      <c r="BP599" s="236"/>
      <c r="BQ599" s="236"/>
      <c r="BR599" s="236"/>
      <c r="BS599" s="236"/>
      <c r="BT599" s="236"/>
      <c r="BU599" s="236"/>
      <c r="BV599" s="236"/>
      <c r="BW599" s="236"/>
      <c r="BX599" s="236"/>
      <c r="BY599" s="236"/>
      <c r="BZ599" s="236"/>
      <c r="CA599" s="236"/>
      <c r="CB599" s="236"/>
      <c r="CC599" s="236"/>
      <c r="CD599" s="236"/>
      <c r="CE599" s="236"/>
      <c r="CF599" s="236"/>
      <c r="CG599" s="236"/>
      <c r="CH599" s="236"/>
      <c r="CI599" s="236"/>
      <c r="CJ599" s="236"/>
      <c r="CK599" s="236"/>
      <c r="CL599" s="236"/>
      <c r="CM599" s="236"/>
      <c r="CN599" s="236"/>
      <c r="CO599" s="236"/>
    </row>
    <row r="600" spans="5:93" s="230" customFormat="1">
      <c r="E600" s="234"/>
      <c r="F600" s="235"/>
      <c r="G600" s="235"/>
      <c r="H600" s="236"/>
      <c r="I600" s="235"/>
      <c r="J600" s="235"/>
      <c r="K600" s="235"/>
      <c r="L600" s="235"/>
      <c r="M600" s="236"/>
      <c r="N600" s="235"/>
      <c r="O600" s="235"/>
      <c r="P600" s="235"/>
      <c r="Q600" s="235"/>
      <c r="R600" s="235"/>
      <c r="S600" s="235"/>
      <c r="T600" s="235"/>
      <c r="U600" s="235"/>
      <c r="V600" s="235"/>
      <c r="W600" s="235"/>
      <c r="X600" s="235"/>
      <c r="Y600" s="235"/>
      <c r="Z600" s="235"/>
      <c r="AA600" s="235"/>
      <c r="AB600" s="235"/>
      <c r="AC600" s="235"/>
      <c r="AD600" s="235"/>
      <c r="AE600" s="236"/>
      <c r="AF600" s="235"/>
      <c r="AG600" s="235"/>
      <c r="AH600" s="235"/>
      <c r="AI600" s="235"/>
      <c r="AJ600" s="236"/>
      <c r="AK600" s="235"/>
      <c r="AL600" s="235"/>
      <c r="AM600" s="235"/>
      <c r="AN600" s="235"/>
      <c r="AO600" s="235"/>
      <c r="AP600" s="235"/>
      <c r="AQ600" s="235"/>
      <c r="AR600" s="235"/>
      <c r="AS600" s="235"/>
      <c r="AT600" s="235"/>
      <c r="AU600" s="236"/>
      <c r="AV600" s="235"/>
      <c r="AW600" s="235"/>
      <c r="AX600" s="235"/>
      <c r="AY600" s="235"/>
      <c r="AZ600" s="235"/>
      <c r="BA600" s="235"/>
      <c r="BB600" s="235"/>
      <c r="BC600" s="235"/>
      <c r="BD600" s="236"/>
      <c r="BE600" s="235"/>
      <c r="BF600" s="235"/>
      <c r="BG600" s="235"/>
      <c r="BH600" s="235"/>
      <c r="BI600" s="236"/>
      <c r="BJ600" s="236"/>
      <c r="BK600" s="238"/>
      <c r="BL600" s="239"/>
      <c r="BM600" s="239"/>
      <c r="BN600" s="239"/>
      <c r="BP600" s="236"/>
      <c r="BQ600" s="236"/>
      <c r="BR600" s="236"/>
      <c r="BS600" s="236"/>
      <c r="BT600" s="236"/>
      <c r="BU600" s="236"/>
      <c r="BV600" s="236"/>
      <c r="BW600" s="236"/>
      <c r="BX600" s="236"/>
      <c r="BY600" s="236"/>
      <c r="BZ600" s="236"/>
      <c r="CA600" s="236"/>
      <c r="CB600" s="236"/>
      <c r="CC600" s="236"/>
      <c r="CD600" s="236"/>
      <c r="CE600" s="236"/>
      <c r="CF600" s="236"/>
      <c r="CG600" s="236"/>
      <c r="CH600" s="236"/>
      <c r="CI600" s="236"/>
      <c r="CJ600" s="236"/>
      <c r="CK600" s="236"/>
      <c r="CL600" s="236"/>
      <c r="CM600" s="236"/>
      <c r="CN600" s="236"/>
      <c r="CO600" s="236"/>
    </row>
    <row r="601" spans="5:93" s="230" customFormat="1">
      <c r="E601" s="234"/>
      <c r="F601" s="235"/>
      <c r="G601" s="235"/>
      <c r="H601" s="236"/>
      <c r="I601" s="235"/>
      <c r="J601" s="235"/>
      <c r="K601" s="235"/>
      <c r="L601" s="235"/>
      <c r="M601" s="236"/>
      <c r="N601" s="235"/>
      <c r="O601" s="235"/>
      <c r="P601" s="235"/>
      <c r="Q601" s="235"/>
      <c r="R601" s="235"/>
      <c r="S601" s="235"/>
      <c r="T601" s="235"/>
      <c r="U601" s="235"/>
      <c r="V601" s="235"/>
      <c r="W601" s="235"/>
      <c r="X601" s="235"/>
      <c r="Y601" s="235"/>
      <c r="Z601" s="235"/>
      <c r="AA601" s="235"/>
      <c r="AB601" s="235"/>
      <c r="AC601" s="235"/>
      <c r="AD601" s="235"/>
      <c r="AE601" s="236"/>
      <c r="AF601" s="235"/>
      <c r="AG601" s="235"/>
      <c r="AH601" s="235"/>
      <c r="AI601" s="235"/>
      <c r="AJ601" s="236"/>
      <c r="AK601" s="235"/>
      <c r="AL601" s="235"/>
      <c r="AM601" s="235"/>
      <c r="AN601" s="235"/>
      <c r="AO601" s="235"/>
      <c r="AP601" s="235"/>
      <c r="AQ601" s="235"/>
      <c r="AR601" s="235"/>
      <c r="AS601" s="235"/>
      <c r="AT601" s="235"/>
      <c r="AU601" s="236"/>
      <c r="AV601" s="235"/>
      <c r="AW601" s="235"/>
      <c r="AX601" s="235"/>
      <c r="AY601" s="235"/>
      <c r="AZ601" s="235"/>
      <c r="BA601" s="235"/>
      <c r="BB601" s="235"/>
      <c r="BC601" s="235"/>
      <c r="BD601" s="236"/>
      <c r="BE601" s="235"/>
      <c r="BF601" s="235"/>
      <c r="BG601" s="235"/>
      <c r="BH601" s="235"/>
      <c r="BI601" s="236"/>
      <c r="BJ601" s="236"/>
      <c r="BK601" s="238"/>
      <c r="BL601" s="239"/>
      <c r="BM601" s="239"/>
      <c r="BN601" s="239"/>
      <c r="BP601" s="236"/>
      <c r="BQ601" s="236"/>
      <c r="BR601" s="236"/>
      <c r="BS601" s="236"/>
      <c r="BT601" s="236"/>
      <c r="BU601" s="236"/>
      <c r="BV601" s="236"/>
      <c r="BW601" s="236"/>
      <c r="BX601" s="236"/>
      <c r="BY601" s="236"/>
      <c r="BZ601" s="236"/>
      <c r="CA601" s="236"/>
      <c r="CB601" s="236"/>
      <c r="CC601" s="236"/>
      <c r="CD601" s="236"/>
      <c r="CE601" s="236"/>
      <c r="CF601" s="236"/>
      <c r="CG601" s="236"/>
      <c r="CH601" s="236"/>
      <c r="CI601" s="236"/>
      <c r="CJ601" s="236"/>
      <c r="CK601" s="236"/>
      <c r="CL601" s="236"/>
      <c r="CM601" s="236"/>
      <c r="CN601" s="236"/>
      <c r="CO601" s="236"/>
    </row>
    <row r="602" spans="5:93" s="230" customFormat="1">
      <c r="E602" s="234"/>
      <c r="F602" s="235"/>
      <c r="G602" s="235"/>
      <c r="H602" s="236"/>
      <c r="I602" s="235"/>
      <c r="J602" s="235"/>
      <c r="K602" s="235"/>
      <c r="L602" s="235"/>
      <c r="M602" s="236"/>
      <c r="N602" s="235"/>
      <c r="O602" s="235"/>
      <c r="P602" s="235"/>
      <c r="Q602" s="235"/>
      <c r="R602" s="235"/>
      <c r="S602" s="235"/>
      <c r="T602" s="235"/>
      <c r="U602" s="235"/>
      <c r="V602" s="235"/>
      <c r="W602" s="235"/>
      <c r="X602" s="235"/>
      <c r="Y602" s="235"/>
      <c r="Z602" s="235"/>
      <c r="AA602" s="235"/>
      <c r="AB602" s="235"/>
      <c r="AC602" s="235"/>
      <c r="AD602" s="235"/>
      <c r="AE602" s="236"/>
      <c r="AF602" s="235"/>
      <c r="AG602" s="235"/>
      <c r="AH602" s="235"/>
      <c r="AI602" s="235"/>
      <c r="AJ602" s="236"/>
      <c r="AK602" s="235"/>
      <c r="AL602" s="235"/>
      <c r="AM602" s="235"/>
      <c r="AN602" s="235"/>
      <c r="AO602" s="235"/>
      <c r="AP602" s="235"/>
      <c r="AQ602" s="235"/>
      <c r="AR602" s="235"/>
      <c r="AS602" s="235"/>
      <c r="AT602" s="235"/>
      <c r="AU602" s="236"/>
      <c r="AV602" s="235"/>
      <c r="AW602" s="235"/>
      <c r="AX602" s="235"/>
      <c r="AY602" s="235"/>
      <c r="AZ602" s="235"/>
      <c r="BA602" s="235"/>
      <c r="BB602" s="235"/>
      <c r="BC602" s="235"/>
      <c r="BD602" s="236"/>
      <c r="BE602" s="235"/>
      <c r="BF602" s="235"/>
      <c r="BG602" s="235"/>
      <c r="BH602" s="235"/>
      <c r="BI602" s="236"/>
      <c r="BJ602" s="236"/>
      <c r="BK602" s="238"/>
      <c r="BL602" s="239"/>
      <c r="BM602" s="239"/>
      <c r="BN602" s="239"/>
      <c r="BP602" s="236"/>
      <c r="BQ602" s="236"/>
      <c r="BR602" s="236"/>
      <c r="BS602" s="236"/>
      <c r="BT602" s="236"/>
      <c r="BU602" s="236"/>
      <c r="BV602" s="236"/>
      <c r="BW602" s="236"/>
      <c r="BX602" s="236"/>
      <c r="BY602" s="236"/>
      <c r="BZ602" s="236"/>
      <c r="CA602" s="236"/>
      <c r="CB602" s="236"/>
      <c r="CC602" s="236"/>
      <c r="CD602" s="236"/>
      <c r="CE602" s="236"/>
      <c r="CF602" s="236"/>
      <c r="CG602" s="236"/>
      <c r="CH602" s="236"/>
      <c r="CI602" s="236"/>
      <c r="CJ602" s="236"/>
      <c r="CK602" s="236"/>
      <c r="CL602" s="236"/>
      <c r="CM602" s="236"/>
      <c r="CN602" s="236"/>
      <c r="CO602" s="236"/>
    </row>
    <row r="603" spans="5:93" s="230" customFormat="1">
      <c r="E603" s="234"/>
      <c r="F603" s="235"/>
      <c r="G603" s="235"/>
      <c r="H603" s="236"/>
      <c r="I603" s="235"/>
      <c r="J603" s="235"/>
      <c r="K603" s="235"/>
      <c r="L603" s="235"/>
      <c r="M603" s="236"/>
      <c r="N603" s="235"/>
      <c r="O603" s="235"/>
      <c r="P603" s="235"/>
      <c r="Q603" s="235"/>
      <c r="R603" s="235"/>
      <c r="S603" s="235"/>
      <c r="T603" s="235"/>
      <c r="U603" s="235"/>
      <c r="V603" s="235"/>
      <c r="W603" s="235"/>
      <c r="X603" s="235"/>
      <c r="Y603" s="235"/>
      <c r="Z603" s="235"/>
      <c r="AA603" s="235"/>
      <c r="AB603" s="235"/>
      <c r="AC603" s="235"/>
      <c r="AD603" s="235"/>
      <c r="AE603" s="236"/>
      <c r="AF603" s="235"/>
      <c r="AG603" s="235"/>
      <c r="AH603" s="235"/>
      <c r="AI603" s="235"/>
      <c r="AJ603" s="236"/>
      <c r="AK603" s="235"/>
      <c r="AL603" s="235"/>
      <c r="AM603" s="235"/>
      <c r="AN603" s="235"/>
      <c r="AO603" s="235"/>
      <c r="AP603" s="235"/>
      <c r="AQ603" s="235"/>
      <c r="AR603" s="235"/>
      <c r="AS603" s="235"/>
      <c r="AT603" s="235"/>
      <c r="AU603" s="236"/>
      <c r="AV603" s="235"/>
      <c r="AW603" s="235"/>
      <c r="AX603" s="235"/>
      <c r="AY603" s="235"/>
      <c r="AZ603" s="235"/>
      <c r="BA603" s="235"/>
      <c r="BB603" s="235"/>
      <c r="BC603" s="235"/>
      <c r="BD603" s="236"/>
      <c r="BE603" s="235"/>
      <c r="BF603" s="235"/>
      <c r="BG603" s="235"/>
      <c r="BH603" s="235"/>
      <c r="BI603" s="236"/>
      <c r="BJ603" s="236"/>
      <c r="BK603" s="238"/>
      <c r="BL603" s="239"/>
      <c r="BM603" s="239"/>
      <c r="BN603" s="239"/>
      <c r="BP603" s="236"/>
      <c r="BQ603" s="236"/>
      <c r="BR603" s="236"/>
      <c r="BS603" s="236"/>
      <c r="BT603" s="236"/>
      <c r="BU603" s="236"/>
      <c r="BV603" s="236"/>
      <c r="BW603" s="236"/>
      <c r="BX603" s="236"/>
      <c r="BY603" s="236"/>
      <c r="BZ603" s="236"/>
      <c r="CA603" s="236"/>
      <c r="CB603" s="236"/>
      <c r="CC603" s="236"/>
      <c r="CD603" s="236"/>
      <c r="CE603" s="236"/>
      <c r="CF603" s="236"/>
      <c r="CG603" s="236"/>
      <c r="CH603" s="236"/>
      <c r="CI603" s="236"/>
      <c r="CJ603" s="236"/>
      <c r="CK603" s="236"/>
      <c r="CL603" s="236"/>
      <c r="CM603" s="236"/>
      <c r="CN603" s="236"/>
      <c r="CO603" s="236"/>
    </row>
    <row r="604" spans="5:93" s="230" customFormat="1">
      <c r="E604" s="234"/>
      <c r="F604" s="235"/>
      <c r="G604" s="235"/>
      <c r="H604" s="236"/>
      <c r="I604" s="235"/>
      <c r="J604" s="235"/>
      <c r="K604" s="235"/>
      <c r="L604" s="235"/>
      <c r="M604" s="236"/>
      <c r="N604" s="235"/>
      <c r="O604" s="235"/>
      <c r="P604" s="235"/>
      <c r="Q604" s="235"/>
      <c r="R604" s="235"/>
      <c r="S604" s="235"/>
      <c r="T604" s="235"/>
      <c r="U604" s="235"/>
      <c r="V604" s="235"/>
      <c r="W604" s="235"/>
      <c r="X604" s="235"/>
      <c r="Y604" s="235"/>
      <c r="Z604" s="235"/>
      <c r="AA604" s="235"/>
      <c r="AB604" s="235"/>
      <c r="AC604" s="235"/>
      <c r="AD604" s="235"/>
      <c r="AE604" s="236"/>
      <c r="AF604" s="235"/>
      <c r="AG604" s="235"/>
      <c r="AH604" s="235"/>
      <c r="AI604" s="235"/>
      <c r="AJ604" s="236"/>
      <c r="AK604" s="235"/>
      <c r="AL604" s="235"/>
      <c r="AM604" s="235"/>
      <c r="AN604" s="235"/>
      <c r="AO604" s="235"/>
      <c r="AP604" s="235"/>
      <c r="AQ604" s="235"/>
      <c r="AR604" s="235"/>
      <c r="AS604" s="235"/>
      <c r="AT604" s="235"/>
      <c r="AU604" s="236"/>
      <c r="AV604" s="235"/>
      <c r="AW604" s="235"/>
      <c r="AX604" s="235"/>
      <c r="AY604" s="235"/>
      <c r="AZ604" s="235"/>
      <c r="BA604" s="235"/>
      <c r="BB604" s="235"/>
      <c r="BC604" s="235"/>
      <c r="BD604" s="236"/>
      <c r="BE604" s="235"/>
      <c r="BF604" s="235"/>
      <c r="BG604" s="235"/>
      <c r="BH604" s="235"/>
      <c r="BI604" s="236"/>
      <c r="BJ604" s="236"/>
      <c r="BK604" s="238"/>
      <c r="BL604" s="239"/>
      <c r="BM604" s="239"/>
      <c r="BN604" s="239"/>
      <c r="BP604" s="236"/>
      <c r="BQ604" s="236"/>
      <c r="BR604" s="236"/>
      <c r="BS604" s="236"/>
      <c r="BT604" s="236"/>
      <c r="BU604" s="236"/>
      <c r="BV604" s="236"/>
      <c r="BW604" s="236"/>
      <c r="BX604" s="236"/>
      <c r="BY604" s="236"/>
      <c r="BZ604" s="236"/>
      <c r="CA604" s="236"/>
      <c r="CB604" s="236"/>
      <c r="CC604" s="236"/>
      <c r="CD604" s="236"/>
      <c r="CE604" s="236"/>
      <c r="CF604" s="236"/>
      <c r="CG604" s="236"/>
      <c r="CH604" s="236"/>
      <c r="CI604" s="236"/>
      <c r="CJ604" s="236"/>
      <c r="CK604" s="236"/>
      <c r="CL604" s="236"/>
      <c r="CM604" s="236"/>
      <c r="CN604" s="236"/>
      <c r="CO604" s="236"/>
    </row>
    <row r="605" spans="5:93" s="230" customFormat="1">
      <c r="E605" s="234"/>
      <c r="F605" s="235"/>
      <c r="G605" s="235"/>
      <c r="H605" s="236"/>
      <c r="I605" s="235"/>
      <c r="J605" s="235"/>
      <c r="K605" s="235"/>
      <c r="L605" s="235"/>
      <c r="M605" s="236"/>
      <c r="N605" s="235"/>
      <c r="O605" s="235"/>
      <c r="P605" s="235"/>
      <c r="Q605" s="235"/>
      <c r="R605" s="235"/>
      <c r="S605" s="235"/>
      <c r="T605" s="235"/>
      <c r="U605" s="235"/>
      <c r="V605" s="235"/>
      <c r="W605" s="235"/>
      <c r="X605" s="235"/>
      <c r="Y605" s="235"/>
      <c r="Z605" s="235"/>
      <c r="AA605" s="235"/>
      <c r="AB605" s="235"/>
      <c r="AC605" s="235"/>
      <c r="AD605" s="235"/>
      <c r="AE605" s="236"/>
      <c r="AF605" s="235"/>
      <c r="AG605" s="235"/>
      <c r="AH605" s="235"/>
      <c r="AI605" s="235"/>
      <c r="AJ605" s="236"/>
      <c r="AK605" s="235"/>
      <c r="AL605" s="235"/>
      <c r="AM605" s="235"/>
      <c r="AN605" s="235"/>
      <c r="AO605" s="235"/>
      <c r="AP605" s="235"/>
      <c r="AQ605" s="235"/>
      <c r="AR605" s="235"/>
      <c r="AS605" s="235"/>
      <c r="AT605" s="235"/>
      <c r="AU605" s="236"/>
      <c r="AV605" s="235"/>
      <c r="AW605" s="235"/>
      <c r="AX605" s="235"/>
      <c r="AY605" s="235"/>
      <c r="AZ605" s="235"/>
      <c r="BA605" s="235"/>
      <c r="BB605" s="235"/>
      <c r="BC605" s="235"/>
      <c r="BD605" s="236"/>
      <c r="BE605" s="235"/>
      <c r="BF605" s="235"/>
      <c r="BG605" s="235"/>
      <c r="BH605" s="235"/>
      <c r="BI605" s="236"/>
      <c r="BJ605" s="236"/>
      <c r="BK605" s="238"/>
      <c r="BL605" s="239"/>
      <c r="BM605" s="239"/>
      <c r="BN605" s="239"/>
      <c r="BP605" s="236"/>
      <c r="BQ605" s="236"/>
      <c r="BR605" s="236"/>
      <c r="BS605" s="236"/>
      <c r="BT605" s="236"/>
      <c r="BU605" s="236"/>
      <c r="BV605" s="236"/>
      <c r="BW605" s="236"/>
      <c r="BX605" s="236"/>
      <c r="BY605" s="236"/>
      <c r="BZ605" s="236"/>
      <c r="CA605" s="236"/>
      <c r="CB605" s="236"/>
      <c r="CC605" s="236"/>
      <c r="CD605" s="236"/>
      <c r="CE605" s="236"/>
      <c r="CF605" s="236"/>
      <c r="CG605" s="236"/>
      <c r="CH605" s="236"/>
      <c r="CI605" s="236"/>
      <c r="CJ605" s="236"/>
      <c r="CK605" s="236"/>
      <c r="CL605" s="236"/>
      <c r="CM605" s="236"/>
      <c r="CN605" s="236"/>
      <c r="CO605" s="236"/>
    </row>
    <row r="606" spans="5:93" s="230" customFormat="1">
      <c r="E606" s="234"/>
      <c r="F606" s="235"/>
      <c r="G606" s="235"/>
      <c r="H606" s="236"/>
      <c r="I606" s="235"/>
      <c r="J606" s="235"/>
      <c r="K606" s="235"/>
      <c r="L606" s="235"/>
      <c r="M606" s="236"/>
      <c r="N606" s="235"/>
      <c r="O606" s="235"/>
      <c r="P606" s="235"/>
      <c r="Q606" s="235"/>
      <c r="R606" s="235"/>
      <c r="S606" s="235"/>
      <c r="T606" s="235"/>
      <c r="U606" s="235"/>
      <c r="V606" s="235"/>
      <c r="W606" s="235"/>
      <c r="X606" s="235"/>
      <c r="Y606" s="235"/>
      <c r="Z606" s="235"/>
      <c r="AA606" s="235"/>
      <c r="AB606" s="235"/>
      <c r="AC606" s="235"/>
      <c r="AD606" s="235"/>
      <c r="AE606" s="236"/>
      <c r="AF606" s="235"/>
      <c r="AG606" s="235"/>
      <c r="AH606" s="235"/>
      <c r="AI606" s="235"/>
      <c r="AJ606" s="236"/>
      <c r="AK606" s="235"/>
      <c r="AL606" s="235"/>
      <c r="AM606" s="235"/>
      <c r="AN606" s="235"/>
      <c r="AO606" s="235"/>
      <c r="AP606" s="235"/>
      <c r="AQ606" s="235"/>
      <c r="AR606" s="235"/>
      <c r="AS606" s="235"/>
      <c r="AT606" s="235"/>
      <c r="AU606" s="236"/>
      <c r="AV606" s="235"/>
      <c r="AW606" s="235"/>
      <c r="AX606" s="235"/>
      <c r="AY606" s="235"/>
      <c r="AZ606" s="235"/>
      <c r="BA606" s="235"/>
      <c r="BB606" s="235"/>
      <c r="BC606" s="235"/>
      <c r="BD606" s="236"/>
      <c r="BE606" s="235"/>
      <c r="BF606" s="235"/>
      <c r="BG606" s="235"/>
      <c r="BH606" s="235"/>
      <c r="BI606" s="236"/>
      <c r="BJ606" s="236"/>
      <c r="BK606" s="238"/>
      <c r="BL606" s="239"/>
      <c r="BM606" s="239"/>
      <c r="BN606" s="239"/>
      <c r="BP606" s="236"/>
      <c r="BQ606" s="236"/>
      <c r="BR606" s="236"/>
      <c r="BS606" s="236"/>
      <c r="BT606" s="236"/>
      <c r="BU606" s="236"/>
      <c r="BV606" s="236"/>
      <c r="BW606" s="236"/>
      <c r="BX606" s="236"/>
      <c r="BY606" s="236"/>
      <c r="BZ606" s="236"/>
      <c r="CA606" s="236"/>
      <c r="CB606" s="236"/>
      <c r="CC606" s="236"/>
      <c r="CD606" s="236"/>
      <c r="CE606" s="236"/>
      <c r="CF606" s="236"/>
      <c r="CG606" s="236"/>
      <c r="CH606" s="236"/>
      <c r="CI606" s="236"/>
      <c r="CJ606" s="236"/>
      <c r="CK606" s="236"/>
      <c r="CL606" s="236"/>
      <c r="CM606" s="236"/>
      <c r="CN606" s="236"/>
      <c r="CO606" s="236"/>
    </row>
    <row r="607" spans="5:93" s="230" customFormat="1">
      <c r="E607" s="234"/>
      <c r="F607" s="235"/>
      <c r="G607" s="235"/>
      <c r="H607" s="236"/>
      <c r="I607" s="235"/>
      <c r="J607" s="235"/>
      <c r="K607" s="235"/>
      <c r="L607" s="235"/>
      <c r="M607" s="236"/>
      <c r="N607" s="235"/>
      <c r="O607" s="235"/>
      <c r="P607" s="235"/>
      <c r="Q607" s="235"/>
      <c r="R607" s="235"/>
      <c r="S607" s="235"/>
      <c r="T607" s="235"/>
      <c r="U607" s="235"/>
      <c r="V607" s="235"/>
      <c r="W607" s="235"/>
      <c r="X607" s="235"/>
      <c r="Y607" s="235"/>
      <c r="Z607" s="235"/>
      <c r="AA607" s="235"/>
      <c r="AB607" s="235"/>
      <c r="AC607" s="235"/>
      <c r="AD607" s="235"/>
      <c r="AE607" s="236"/>
      <c r="AF607" s="235"/>
      <c r="AG607" s="235"/>
      <c r="AH607" s="235"/>
      <c r="AI607" s="235"/>
      <c r="AJ607" s="236"/>
      <c r="AK607" s="235"/>
      <c r="AL607" s="235"/>
      <c r="AM607" s="235"/>
      <c r="AN607" s="235"/>
      <c r="AO607" s="235"/>
      <c r="AP607" s="235"/>
      <c r="AQ607" s="235"/>
      <c r="AR607" s="235"/>
      <c r="AS607" s="235"/>
      <c r="AT607" s="235"/>
      <c r="AU607" s="236"/>
      <c r="AV607" s="235"/>
      <c r="AW607" s="235"/>
      <c r="AX607" s="235"/>
      <c r="AY607" s="235"/>
      <c r="AZ607" s="235"/>
      <c r="BA607" s="235"/>
      <c r="BB607" s="235"/>
      <c r="BC607" s="235"/>
      <c r="BD607" s="236"/>
      <c r="BE607" s="235"/>
      <c r="BF607" s="235"/>
      <c r="BG607" s="235"/>
      <c r="BH607" s="235"/>
      <c r="BI607" s="236"/>
      <c r="BJ607" s="236"/>
      <c r="BK607" s="238"/>
      <c r="BL607" s="239"/>
      <c r="BM607" s="239"/>
      <c r="BN607" s="239"/>
      <c r="BP607" s="236"/>
      <c r="BQ607" s="236"/>
      <c r="BR607" s="236"/>
      <c r="BS607" s="236"/>
      <c r="BT607" s="236"/>
      <c r="BU607" s="236"/>
      <c r="BV607" s="236"/>
      <c r="BW607" s="236"/>
      <c r="BX607" s="236"/>
      <c r="BY607" s="236"/>
      <c r="BZ607" s="236"/>
      <c r="CA607" s="236"/>
      <c r="CB607" s="236"/>
      <c r="CC607" s="236"/>
      <c r="CD607" s="236"/>
      <c r="CE607" s="236"/>
      <c r="CF607" s="236"/>
      <c r="CG607" s="236"/>
      <c r="CH607" s="236"/>
      <c r="CI607" s="236"/>
      <c r="CJ607" s="236"/>
      <c r="CK607" s="236"/>
      <c r="CL607" s="236"/>
      <c r="CM607" s="236"/>
      <c r="CN607" s="236"/>
      <c r="CO607" s="236"/>
    </row>
    <row r="608" spans="5:93" s="230" customFormat="1">
      <c r="E608" s="234"/>
      <c r="F608" s="235"/>
      <c r="G608" s="235"/>
      <c r="H608" s="236"/>
      <c r="I608" s="235"/>
      <c r="J608" s="235"/>
      <c r="K608" s="235"/>
      <c r="L608" s="235"/>
      <c r="M608" s="236"/>
      <c r="N608" s="235"/>
      <c r="O608" s="235"/>
      <c r="P608" s="235"/>
      <c r="Q608" s="235"/>
      <c r="R608" s="235"/>
      <c r="S608" s="235"/>
      <c r="T608" s="235"/>
      <c r="U608" s="235"/>
      <c r="V608" s="235"/>
      <c r="W608" s="235"/>
      <c r="X608" s="235"/>
      <c r="Y608" s="235"/>
      <c r="Z608" s="235"/>
      <c r="AA608" s="235"/>
      <c r="AB608" s="235"/>
      <c r="AC608" s="235"/>
      <c r="AD608" s="235"/>
      <c r="AE608" s="236"/>
      <c r="AF608" s="235"/>
      <c r="AG608" s="235"/>
      <c r="AH608" s="235"/>
      <c r="AI608" s="235"/>
      <c r="AJ608" s="236"/>
      <c r="AK608" s="235"/>
      <c r="AL608" s="235"/>
      <c r="AM608" s="235"/>
      <c r="AN608" s="235"/>
      <c r="AO608" s="235"/>
      <c r="AP608" s="235"/>
      <c r="AQ608" s="235"/>
      <c r="AR608" s="235"/>
      <c r="AS608" s="235"/>
      <c r="AT608" s="235"/>
      <c r="AU608" s="236"/>
      <c r="AV608" s="235"/>
      <c r="AW608" s="235"/>
      <c r="AX608" s="235"/>
      <c r="AY608" s="235"/>
      <c r="AZ608" s="235"/>
      <c r="BA608" s="235"/>
      <c r="BB608" s="235"/>
      <c r="BC608" s="235"/>
      <c r="BD608" s="236"/>
      <c r="BE608" s="235"/>
      <c r="BF608" s="235"/>
      <c r="BG608" s="235"/>
      <c r="BH608" s="235"/>
      <c r="BI608" s="236"/>
      <c r="BJ608" s="236"/>
      <c r="BK608" s="238"/>
      <c r="BL608" s="239"/>
      <c r="BM608" s="239"/>
      <c r="BN608" s="239"/>
      <c r="BP608" s="236"/>
      <c r="BQ608" s="236"/>
      <c r="BR608" s="236"/>
      <c r="BS608" s="236"/>
      <c r="BT608" s="236"/>
      <c r="BU608" s="236"/>
      <c r="BV608" s="236"/>
      <c r="BW608" s="236"/>
      <c r="BX608" s="236"/>
      <c r="BY608" s="236"/>
      <c r="BZ608" s="236"/>
      <c r="CA608" s="236"/>
      <c r="CB608" s="236"/>
      <c r="CC608" s="236"/>
      <c r="CD608" s="236"/>
      <c r="CE608" s="236"/>
      <c r="CF608" s="236"/>
      <c r="CG608" s="236"/>
      <c r="CH608" s="236"/>
      <c r="CI608" s="236"/>
      <c r="CJ608" s="236"/>
      <c r="CK608" s="236"/>
      <c r="CL608" s="236"/>
      <c r="CM608" s="236"/>
      <c r="CN608" s="236"/>
      <c r="CO608" s="236"/>
    </row>
    <row r="609" spans="5:93" s="230" customFormat="1">
      <c r="E609" s="234"/>
      <c r="F609" s="235"/>
      <c r="G609" s="235"/>
      <c r="H609" s="236"/>
      <c r="I609" s="235"/>
      <c r="J609" s="235"/>
      <c r="K609" s="235"/>
      <c r="L609" s="235"/>
      <c r="M609" s="236"/>
      <c r="N609" s="235"/>
      <c r="O609" s="235"/>
      <c r="P609" s="235"/>
      <c r="Q609" s="235"/>
      <c r="R609" s="235"/>
      <c r="S609" s="235"/>
      <c r="T609" s="235"/>
      <c r="U609" s="235"/>
      <c r="V609" s="235"/>
      <c r="W609" s="235"/>
      <c r="X609" s="235"/>
      <c r="Y609" s="235"/>
      <c r="Z609" s="235"/>
      <c r="AA609" s="235"/>
      <c r="AB609" s="235"/>
      <c r="AC609" s="235"/>
      <c r="AD609" s="235"/>
      <c r="AE609" s="236"/>
      <c r="AF609" s="235"/>
      <c r="AG609" s="235"/>
      <c r="AH609" s="235"/>
      <c r="AI609" s="235"/>
      <c r="AJ609" s="236"/>
      <c r="AK609" s="235"/>
      <c r="AL609" s="235"/>
      <c r="AM609" s="235"/>
      <c r="AN609" s="235"/>
      <c r="AO609" s="235"/>
      <c r="AP609" s="235"/>
      <c r="AQ609" s="235"/>
      <c r="AR609" s="235"/>
      <c r="AS609" s="235"/>
      <c r="AT609" s="235"/>
      <c r="AU609" s="236"/>
      <c r="AV609" s="235"/>
      <c r="AW609" s="235"/>
      <c r="AX609" s="235"/>
      <c r="AY609" s="235"/>
      <c r="AZ609" s="235"/>
      <c r="BA609" s="235"/>
      <c r="BB609" s="235"/>
      <c r="BC609" s="235"/>
      <c r="BD609" s="236"/>
      <c r="BE609" s="235"/>
      <c r="BF609" s="235"/>
      <c r="BG609" s="235"/>
      <c r="BH609" s="235"/>
      <c r="BI609" s="236"/>
      <c r="BJ609" s="236"/>
      <c r="BK609" s="238"/>
      <c r="BL609" s="239"/>
      <c r="BM609" s="239"/>
      <c r="BN609" s="239"/>
      <c r="BP609" s="236"/>
      <c r="BQ609" s="236"/>
      <c r="BR609" s="236"/>
      <c r="BS609" s="236"/>
      <c r="BT609" s="236"/>
      <c r="BU609" s="236"/>
      <c r="BV609" s="236"/>
      <c r="BW609" s="236"/>
      <c r="BX609" s="236"/>
      <c r="BY609" s="236"/>
      <c r="BZ609" s="236"/>
      <c r="CA609" s="236"/>
      <c r="CB609" s="236"/>
      <c r="CC609" s="236"/>
      <c r="CD609" s="236"/>
      <c r="CE609" s="236"/>
      <c r="CF609" s="236"/>
      <c r="CG609" s="236"/>
      <c r="CH609" s="236"/>
      <c r="CI609" s="236"/>
      <c r="CJ609" s="236"/>
      <c r="CK609" s="236"/>
      <c r="CL609" s="236"/>
      <c r="CM609" s="236"/>
      <c r="CN609" s="236"/>
      <c r="CO609" s="236"/>
    </row>
    <row r="610" spans="5:93" s="230" customFormat="1">
      <c r="E610" s="234"/>
      <c r="F610" s="235"/>
      <c r="G610" s="235"/>
      <c r="H610" s="236"/>
      <c r="I610" s="235"/>
      <c r="J610" s="235"/>
      <c r="K610" s="235"/>
      <c r="L610" s="235"/>
      <c r="M610" s="236"/>
      <c r="N610" s="235"/>
      <c r="O610" s="235"/>
      <c r="P610" s="235"/>
      <c r="Q610" s="235"/>
      <c r="R610" s="235"/>
      <c r="S610" s="235"/>
      <c r="T610" s="235"/>
      <c r="U610" s="235"/>
      <c r="V610" s="235"/>
      <c r="W610" s="235"/>
      <c r="X610" s="235"/>
      <c r="Y610" s="235"/>
      <c r="Z610" s="235"/>
      <c r="AA610" s="235"/>
      <c r="AB610" s="235"/>
      <c r="AC610" s="235"/>
      <c r="AD610" s="235"/>
      <c r="AE610" s="236"/>
      <c r="AF610" s="235"/>
      <c r="AG610" s="235"/>
      <c r="AH610" s="235"/>
      <c r="AI610" s="235"/>
      <c r="AJ610" s="236"/>
      <c r="AK610" s="235"/>
      <c r="AL610" s="235"/>
      <c r="AM610" s="235"/>
      <c r="AN610" s="235"/>
      <c r="AO610" s="235"/>
      <c r="AP610" s="235"/>
      <c r="AQ610" s="235"/>
      <c r="AR610" s="235"/>
      <c r="AS610" s="235"/>
      <c r="AT610" s="235"/>
      <c r="AU610" s="236"/>
      <c r="AV610" s="235"/>
      <c r="AW610" s="235"/>
      <c r="AX610" s="235"/>
      <c r="AY610" s="235"/>
      <c r="AZ610" s="235"/>
      <c r="BA610" s="235"/>
      <c r="BB610" s="235"/>
      <c r="BC610" s="235"/>
      <c r="BD610" s="236"/>
      <c r="BE610" s="235"/>
      <c r="BF610" s="235"/>
      <c r="BG610" s="235"/>
      <c r="BH610" s="235"/>
      <c r="BI610" s="236"/>
      <c r="BJ610" s="236"/>
      <c r="BK610" s="238"/>
      <c r="BL610" s="239"/>
      <c r="BM610" s="239"/>
      <c r="BN610" s="239"/>
      <c r="BP610" s="236"/>
      <c r="BQ610" s="236"/>
      <c r="BR610" s="236"/>
      <c r="BS610" s="236"/>
      <c r="BT610" s="236"/>
      <c r="BU610" s="236"/>
      <c r="BV610" s="236"/>
      <c r="BW610" s="236"/>
      <c r="BX610" s="236"/>
      <c r="BY610" s="236"/>
      <c r="BZ610" s="236"/>
      <c r="CA610" s="236"/>
      <c r="CB610" s="236"/>
      <c r="CC610" s="236"/>
      <c r="CD610" s="236"/>
      <c r="CE610" s="236"/>
      <c r="CF610" s="236"/>
      <c r="CG610" s="236"/>
      <c r="CH610" s="236"/>
      <c r="CI610" s="236"/>
      <c r="CJ610" s="236"/>
      <c r="CK610" s="236"/>
      <c r="CL610" s="236"/>
      <c r="CM610" s="236"/>
      <c r="CN610" s="236"/>
      <c r="CO610" s="236"/>
    </row>
    <row r="611" spans="5:93" s="230" customFormat="1">
      <c r="E611" s="234"/>
      <c r="F611" s="235"/>
      <c r="G611" s="235"/>
      <c r="H611" s="236"/>
      <c r="I611" s="235"/>
      <c r="J611" s="235"/>
      <c r="K611" s="235"/>
      <c r="L611" s="235"/>
      <c r="M611" s="236"/>
      <c r="N611" s="235"/>
      <c r="O611" s="235"/>
      <c r="P611" s="235"/>
      <c r="Q611" s="235"/>
      <c r="R611" s="235"/>
      <c r="S611" s="235"/>
      <c r="T611" s="235"/>
      <c r="U611" s="235"/>
      <c r="V611" s="235"/>
      <c r="W611" s="235"/>
      <c r="X611" s="235"/>
      <c r="Y611" s="235"/>
      <c r="Z611" s="235"/>
      <c r="AA611" s="235"/>
      <c r="AB611" s="235"/>
      <c r="AC611" s="235"/>
      <c r="AD611" s="235"/>
      <c r="AE611" s="236"/>
      <c r="AF611" s="235"/>
      <c r="AG611" s="235"/>
      <c r="AH611" s="235"/>
      <c r="AI611" s="235"/>
      <c r="AJ611" s="236"/>
      <c r="AK611" s="235"/>
      <c r="AL611" s="235"/>
      <c r="AM611" s="235"/>
      <c r="AN611" s="235"/>
      <c r="AO611" s="235"/>
      <c r="AP611" s="235"/>
      <c r="AQ611" s="235"/>
      <c r="AR611" s="235"/>
      <c r="AS611" s="235"/>
      <c r="AT611" s="235"/>
      <c r="AU611" s="236"/>
      <c r="AV611" s="235"/>
      <c r="AW611" s="235"/>
      <c r="AX611" s="235"/>
      <c r="AY611" s="235"/>
      <c r="AZ611" s="235"/>
      <c r="BA611" s="235"/>
      <c r="BB611" s="235"/>
      <c r="BC611" s="235"/>
      <c r="BD611" s="236"/>
      <c r="BE611" s="235"/>
      <c r="BF611" s="235"/>
      <c r="BG611" s="235"/>
      <c r="BH611" s="235"/>
      <c r="BI611" s="236"/>
      <c r="BJ611" s="236"/>
      <c r="BK611" s="238"/>
      <c r="BL611" s="239"/>
      <c r="BM611" s="239"/>
      <c r="BN611" s="239"/>
      <c r="BP611" s="236"/>
      <c r="BQ611" s="236"/>
      <c r="BR611" s="236"/>
      <c r="BS611" s="236"/>
      <c r="BT611" s="236"/>
      <c r="BU611" s="236"/>
      <c r="BV611" s="236"/>
      <c r="BW611" s="236"/>
      <c r="BX611" s="236"/>
      <c r="BY611" s="236"/>
      <c r="BZ611" s="236"/>
      <c r="CA611" s="236"/>
      <c r="CB611" s="236"/>
      <c r="CC611" s="236"/>
      <c r="CD611" s="236"/>
      <c r="CE611" s="236"/>
      <c r="CF611" s="236"/>
      <c r="CG611" s="236"/>
      <c r="CH611" s="236"/>
      <c r="CI611" s="236"/>
      <c r="CJ611" s="236"/>
      <c r="CK611" s="236"/>
      <c r="CL611" s="236"/>
      <c r="CM611" s="236"/>
      <c r="CN611" s="236"/>
      <c r="CO611" s="236"/>
    </row>
    <row r="612" spans="5:93" s="230" customFormat="1">
      <c r="E612" s="234"/>
      <c r="F612" s="235"/>
      <c r="G612" s="235"/>
      <c r="H612" s="236"/>
      <c r="I612" s="235"/>
      <c r="J612" s="235"/>
      <c r="K612" s="235"/>
      <c r="L612" s="235"/>
      <c r="M612" s="236"/>
      <c r="N612" s="235"/>
      <c r="O612" s="235"/>
      <c r="P612" s="235"/>
      <c r="Q612" s="235"/>
      <c r="R612" s="235"/>
      <c r="S612" s="235"/>
      <c r="T612" s="235"/>
      <c r="U612" s="235"/>
      <c r="V612" s="235"/>
      <c r="W612" s="235"/>
      <c r="X612" s="235"/>
      <c r="Y612" s="235"/>
      <c r="Z612" s="235"/>
      <c r="AA612" s="235"/>
      <c r="AB612" s="235"/>
      <c r="AC612" s="235"/>
      <c r="AD612" s="235"/>
      <c r="AE612" s="236"/>
      <c r="AF612" s="235"/>
      <c r="AG612" s="235"/>
      <c r="AH612" s="235"/>
      <c r="AI612" s="235"/>
      <c r="AJ612" s="236"/>
      <c r="AK612" s="235"/>
      <c r="AL612" s="235"/>
      <c r="AM612" s="235"/>
      <c r="AN612" s="235"/>
      <c r="AO612" s="235"/>
      <c r="AP612" s="235"/>
      <c r="AQ612" s="235"/>
      <c r="AR612" s="235"/>
      <c r="AS612" s="235"/>
      <c r="AT612" s="235"/>
      <c r="AU612" s="236"/>
      <c r="AV612" s="235"/>
      <c r="AW612" s="235"/>
      <c r="AX612" s="235"/>
      <c r="AY612" s="235"/>
      <c r="AZ612" s="235"/>
      <c r="BA612" s="235"/>
      <c r="BB612" s="235"/>
      <c r="BC612" s="235"/>
      <c r="BD612" s="236"/>
      <c r="BE612" s="235"/>
      <c r="BF612" s="235"/>
      <c r="BG612" s="235"/>
      <c r="BH612" s="235"/>
      <c r="BI612" s="236"/>
      <c r="BJ612" s="236"/>
      <c r="BK612" s="238"/>
      <c r="BL612" s="239"/>
      <c r="BM612" s="239"/>
      <c r="BN612" s="239"/>
      <c r="BP612" s="236"/>
      <c r="BQ612" s="236"/>
      <c r="BR612" s="236"/>
      <c r="BS612" s="236"/>
      <c r="BT612" s="236"/>
      <c r="BU612" s="236"/>
      <c r="BV612" s="236"/>
      <c r="BW612" s="236"/>
      <c r="BX612" s="236"/>
      <c r="BY612" s="236"/>
      <c r="BZ612" s="236"/>
      <c r="CA612" s="236"/>
      <c r="CB612" s="236"/>
      <c r="CC612" s="236"/>
      <c r="CD612" s="236"/>
      <c r="CE612" s="236"/>
      <c r="CF612" s="236"/>
      <c r="CG612" s="236"/>
      <c r="CH612" s="236"/>
      <c r="CI612" s="236"/>
      <c r="CJ612" s="236"/>
      <c r="CK612" s="236"/>
      <c r="CL612" s="236"/>
      <c r="CM612" s="236"/>
      <c r="CN612" s="236"/>
      <c r="CO612" s="236"/>
    </row>
    <row r="613" spans="5:93" s="230" customFormat="1">
      <c r="E613" s="234"/>
      <c r="F613" s="235"/>
      <c r="G613" s="235"/>
      <c r="H613" s="236"/>
      <c r="I613" s="235"/>
      <c r="J613" s="235"/>
      <c r="K613" s="235"/>
      <c r="L613" s="235"/>
      <c r="M613" s="236"/>
      <c r="N613" s="235"/>
      <c r="O613" s="235"/>
      <c r="P613" s="235"/>
      <c r="Q613" s="235"/>
      <c r="R613" s="235"/>
      <c r="S613" s="235"/>
      <c r="T613" s="235"/>
      <c r="U613" s="235"/>
      <c r="V613" s="235"/>
      <c r="W613" s="235"/>
      <c r="X613" s="235"/>
      <c r="Y613" s="235"/>
      <c r="Z613" s="235"/>
      <c r="AA613" s="235"/>
      <c r="AB613" s="235"/>
      <c r="AC613" s="235"/>
      <c r="AD613" s="235"/>
      <c r="AE613" s="236"/>
      <c r="AF613" s="235"/>
      <c r="AG613" s="235"/>
      <c r="AH613" s="235"/>
      <c r="AI613" s="235"/>
      <c r="AJ613" s="236"/>
      <c r="AK613" s="235"/>
      <c r="AL613" s="235"/>
      <c r="AM613" s="235"/>
      <c r="AN613" s="235"/>
      <c r="AO613" s="235"/>
      <c r="AP613" s="235"/>
      <c r="AQ613" s="235"/>
      <c r="AR613" s="235"/>
      <c r="AS613" s="235"/>
      <c r="AT613" s="235"/>
      <c r="AU613" s="236"/>
      <c r="AV613" s="235"/>
      <c r="AW613" s="235"/>
      <c r="AX613" s="235"/>
      <c r="AY613" s="235"/>
      <c r="AZ613" s="235"/>
      <c r="BA613" s="235"/>
      <c r="BB613" s="235"/>
      <c r="BC613" s="235"/>
      <c r="BD613" s="236"/>
      <c r="BE613" s="235"/>
      <c r="BF613" s="235"/>
      <c r="BG613" s="235"/>
      <c r="BH613" s="235"/>
      <c r="BI613" s="236"/>
      <c r="BJ613" s="236"/>
      <c r="BK613" s="238"/>
      <c r="BL613" s="239"/>
      <c r="BM613" s="239"/>
      <c r="BN613" s="239"/>
      <c r="BP613" s="236"/>
      <c r="BQ613" s="236"/>
      <c r="BR613" s="236"/>
      <c r="BS613" s="236"/>
      <c r="BT613" s="236"/>
      <c r="BU613" s="236"/>
      <c r="BV613" s="236"/>
      <c r="BW613" s="236"/>
      <c r="BX613" s="236"/>
      <c r="BY613" s="236"/>
      <c r="BZ613" s="236"/>
      <c r="CA613" s="236"/>
      <c r="CB613" s="236"/>
      <c r="CC613" s="236"/>
      <c r="CD613" s="236"/>
      <c r="CE613" s="236"/>
      <c r="CF613" s="236"/>
      <c r="CG613" s="236"/>
      <c r="CH613" s="236"/>
      <c r="CI613" s="236"/>
      <c r="CJ613" s="236"/>
      <c r="CK613" s="236"/>
      <c r="CL613" s="236"/>
      <c r="CM613" s="236"/>
      <c r="CN613" s="236"/>
      <c r="CO613" s="236"/>
    </row>
    <row r="614" spans="5:93" s="230" customFormat="1">
      <c r="E614" s="234"/>
      <c r="F614" s="235"/>
      <c r="G614" s="235"/>
      <c r="H614" s="236"/>
      <c r="I614" s="235"/>
      <c r="J614" s="235"/>
      <c r="K614" s="235"/>
      <c r="L614" s="235"/>
      <c r="M614" s="236"/>
      <c r="N614" s="235"/>
      <c r="O614" s="235"/>
      <c r="P614" s="235"/>
      <c r="Q614" s="235"/>
      <c r="R614" s="235"/>
      <c r="S614" s="235"/>
      <c r="T614" s="235"/>
      <c r="U614" s="235"/>
      <c r="V614" s="235"/>
      <c r="W614" s="235"/>
      <c r="X614" s="235"/>
      <c r="Y614" s="235"/>
      <c r="Z614" s="235"/>
      <c r="AA614" s="235"/>
      <c r="AB614" s="235"/>
      <c r="AC614" s="235"/>
      <c r="AD614" s="235"/>
      <c r="AE614" s="236"/>
      <c r="AF614" s="235"/>
      <c r="AG614" s="235"/>
      <c r="AH614" s="235"/>
      <c r="AI614" s="235"/>
      <c r="AJ614" s="236"/>
      <c r="AK614" s="235"/>
      <c r="AL614" s="235"/>
      <c r="AM614" s="235"/>
      <c r="AN614" s="235"/>
      <c r="AO614" s="235"/>
      <c r="AP614" s="235"/>
      <c r="AQ614" s="235"/>
      <c r="AR614" s="235"/>
      <c r="AS614" s="235"/>
      <c r="AT614" s="235"/>
      <c r="AU614" s="236"/>
      <c r="AV614" s="235"/>
      <c r="AW614" s="235"/>
      <c r="AX614" s="235"/>
      <c r="AY614" s="235"/>
      <c r="AZ614" s="235"/>
      <c r="BA614" s="235"/>
      <c r="BB614" s="235"/>
      <c r="BC614" s="235"/>
      <c r="BD614" s="236"/>
      <c r="BE614" s="235"/>
      <c r="BF614" s="235"/>
      <c r="BG614" s="235"/>
      <c r="BH614" s="235"/>
      <c r="BI614" s="236"/>
      <c r="BJ614" s="236"/>
      <c r="BK614" s="238"/>
      <c r="BL614" s="239"/>
      <c r="BM614" s="239"/>
      <c r="BN614" s="239"/>
      <c r="BP614" s="236"/>
      <c r="BQ614" s="236"/>
      <c r="BR614" s="236"/>
      <c r="BS614" s="236"/>
      <c r="BT614" s="236"/>
      <c r="BU614" s="236"/>
      <c r="BV614" s="236"/>
      <c r="BW614" s="236"/>
      <c r="BX614" s="236"/>
      <c r="BY614" s="236"/>
      <c r="BZ614" s="236"/>
      <c r="CA614" s="236"/>
      <c r="CB614" s="236"/>
      <c r="CC614" s="236"/>
      <c r="CD614" s="236"/>
      <c r="CE614" s="236"/>
      <c r="CF614" s="236"/>
      <c r="CG614" s="236"/>
      <c r="CH614" s="236"/>
      <c r="CI614" s="236"/>
      <c r="CJ614" s="236"/>
      <c r="CK614" s="236"/>
      <c r="CL614" s="236"/>
      <c r="CM614" s="236"/>
      <c r="CN614" s="236"/>
      <c r="CO614" s="236"/>
    </row>
    <row r="615" spans="5:93" s="230" customFormat="1">
      <c r="E615" s="234"/>
      <c r="F615" s="235"/>
      <c r="G615" s="235"/>
      <c r="H615" s="236"/>
      <c r="I615" s="235"/>
      <c r="J615" s="235"/>
      <c r="K615" s="235"/>
      <c r="L615" s="235"/>
      <c r="M615" s="236"/>
      <c r="N615" s="235"/>
      <c r="O615" s="235"/>
      <c r="P615" s="235"/>
      <c r="Q615" s="235"/>
      <c r="R615" s="235"/>
      <c r="S615" s="235"/>
      <c r="T615" s="235"/>
      <c r="U615" s="235"/>
      <c r="V615" s="235"/>
      <c r="W615" s="235"/>
      <c r="X615" s="235"/>
      <c r="Y615" s="235"/>
      <c r="Z615" s="235"/>
      <c r="AA615" s="235"/>
      <c r="AB615" s="235"/>
      <c r="AC615" s="235"/>
      <c r="AD615" s="235"/>
      <c r="AE615" s="236"/>
      <c r="AF615" s="235"/>
      <c r="AG615" s="235"/>
      <c r="AH615" s="235"/>
      <c r="AI615" s="235"/>
      <c r="AJ615" s="236"/>
      <c r="AK615" s="235"/>
      <c r="AL615" s="235"/>
      <c r="AM615" s="235"/>
      <c r="AN615" s="235"/>
      <c r="AO615" s="235"/>
      <c r="AP615" s="235"/>
      <c r="AQ615" s="235"/>
      <c r="AR615" s="235"/>
      <c r="AS615" s="235"/>
      <c r="AT615" s="235"/>
      <c r="AU615" s="236"/>
      <c r="AV615" s="235"/>
      <c r="AW615" s="235"/>
      <c r="AX615" s="235"/>
      <c r="AY615" s="235"/>
      <c r="AZ615" s="235"/>
      <c r="BA615" s="235"/>
      <c r="BB615" s="235"/>
      <c r="BC615" s="235"/>
      <c r="BD615" s="236"/>
      <c r="BE615" s="235"/>
      <c r="BF615" s="235"/>
      <c r="BG615" s="235"/>
      <c r="BH615" s="235"/>
      <c r="BI615" s="236"/>
      <c r="BJ615" s="236"/>
      <c r="BK615" s="238"/>
      <c r="BL615" s="239"/>
      <c r="BM615" s="239"/>
      <c r="BN615" s="239"/>
      <c r="BP615" s="236"/>
      <c r="BQ615" s="236"/>
      <c r="BR615" s="236"/>
      <c r="BS615" s="236"/>
      <c r="BT615" s="236"/>
      <c r="BU615" s="236"/>
      <c r="BV615" s="236"/>
      <c r="BW615" s="236"/>
      <c r="BX615" s="236"/>
      <c r="BY615" s="236"/>
      <c r="BZ615" s="236"/>
      <c r="CA615" s="236"/>
      <c r="CB615" s="236"/>
      <c r="CC615" s="236"/>
      <c r="CD615" s="236"/>
      <c r="CE615" s="236"/>
      <c r="CF615" s="236"/>
      <c r="CG615" s="236"/>
      <c r="CH615" s="236"/>
      <c r="CI615" s="236"/>
      <c r="CJ615" s="236"/>
      <c r="CK615" s="236"/>
      <c r="CL615" s="236"/>
      <c r="CM615" s="236"/>
      <c r="CN615" s="236"/>
      <c r="CO615" s="236"/>
    </row>
    <row r="616" spans="5:93" s="230" customFormat="1">
      <c r="E616" s="234"/>
      <c r="F616" s="235"/>
      <c r="G616" s="235"/>
      <c r="H616" s="236"/>
      <c r="I616" s="235"/>
      <c r="J616" s="235"/>
      <c r="K616" s="235"/>
      <c r="L616" s="235"/>
      <c r="M616" s="236"/>
      <c r="N616" s="235"/>
      <c r="O616" s="235"/>
      <c r="P616" s="235"/>
      <c r="Q616" s="235"/>
      <c r="R616" s="235"/>
      <c r="S616" s="235"/>
      <c r="T616" s="235"/>
      <c r="U616" s="235"/>
      <c r="V616" s="235"/>
      <c r="W616" s="235"/>
      <c r="X616" s="235"/>
      <c r="Y616" s="235"/>
      <c r="Z616" s="235"/>
      <c r="AA616" s="235"/>
      <c r="AB616" s="235"/>
      <c r="AC616" s="235"/>
      <c r="AD616" s="235"/>
      <c r="AE616" s="236"/>
      <c r="AF616" s="235"/>
      <c r="AG616" s="235"/>
      <c r="AH616" s="235"/>
      <c r="AI616" s="235"/>
      <c r="AJ616" s="236"/>
      <c r="AK616" s="235"/>
      <c r="AL616" s="235"/>
      <c r="AM616" s="235"/>
      <c r="AN616" s="235"/>
      <c r="AO616" s="235"/>
      <c r="AP616" s="235"/>
      <c r="AQ616" s="235"/>
      <c r="AR616" s="235"/>
      <c r="AS616" s="235"/>
      <c r="AT616" s="235"/>
      <c r="AU616" s="236"/>
      <c r="AV616" s="235"/>
      <c r="AW616" s="235"/>
      <c r="AX616" s="235"/>
      <c r="AY616" s="235"/>
      <c r="AZ616" s="235"/>
      <c r="BA616" s="235"/>
      <c r="BB616" s="235"/>
      <c r="BC616" s="235"/>
      <c r="BD616" s="236"/>
      <c r="BE616" s="235"/>
      <c r="BF616" s="235"/>
      <c r="BG616" s="235"/>
      <c r="BH616" s="235"/>
      <c r="BI616" s="236"/>
      <c r="BJ616" s="236"/>
      <c r="BK616" s="238"/>
      <c r="BL616" s="239"/>
      <c r="BM616" s="239"/>
      <c r="BN616" s="239"/>
      <c r="BP616" s="236"/>
      <c r="BQ616" s="236"/>
      <c r="BR616" s="236"/>
      <c r="BS616" s="236"/>
      <c r="BT616" s="236"/>
      <c r="BU616" s="236"/>
      <c r="BV616" s="236"/>
      <c r="BW616" s="236"/>
      <c r="BX616" s="236"/>
      <c r="BY616" s="236"/>
      <c r="BZ616" s="236"/>
      <c r="CA616" s="236"/>
      <c r="CB616" s="236"/>
      <c r="CC616" s="236"/>
      <c r="CD616" s="236"/>
      <c r="CE616" s="236"/>
      <c r="CF616" s="236"/>
      <c r="CG616" s="236"/>
      <c r="CH616" s="236"/>
      <c r="CI616" s="236"/>
      <c r="CJ616" s="236"/>
      <c r="CK616" s="236"/>
      <c r="CL616" s="236"/>
      <c r="CM616" s="236"/>
      <c r="CN616" s="236"/>
      <c r="CO616" s="236"/>
    </row>
    <row r="617" spans="5:93" s="230" customFormat="1">
      <c r="E617" s="234"/>
      <c r="F617" s="235"/>
      <c r="G617" s="235"/>
      <c r="H617" s="236"/>
      <c r="I617" s="235"/>
      <c r="J617" s="235"/>
      <c r="K617" s="235"/>
      <c r="L617" s="235"/>
      <c r="M617" s="236"/>
      <c r="N617" s="235"/>
      <c r="O617" s="235"/>
      <c r="P617" s="235"/>
      <c r="Q617" s="235"/>
      <c r="R617" s="235"/>
      <c r="S617" s="235"/>
      <c r="T617" s="235"/>
      <c r="U617" s="235"/>
      <c r="V617" s="235"/>
      <c r="W617" s="235"/>
      <c r="X617" s="235"/>
      <c r="Y617" s="235"/>
      <c r="Z617" s="235"/>
      <c r="AA617" s="235"/>
      <c r="AB617" s="235"/>
      <c r="AC617" s="235"/>
      <c r="AD617" s="235"/>
      <c r="AE617" s="236"/>
      <c r="AF617" s="235"/>
      <c r="AG617" s="235"/>
      <c r="AH617" s="235"/>
      <c r="AI617" s="235"/>
      <c r="AJ617" s="236"/>
      <c r="AK617" s="235"/>
      <c r="AL617" s="235"/>
      <c r="AM617" s="235"/>
      <c r="AN617" s="235"/>
      <c r="AO617" s="235"/>
      <c r="AP617" s="235"/>
      <c r="AQ617" s="235"/>
      <c r="AR617" s="235"/>
      <c r="AS617" s="235"/>
      <c r="AT617" s="235"/>
      <c r="AU617" s="236"/>
      <c r="AV617" s="235"/>
      <c r="AW617" s="235"/>
      <c r="AX617" s="235"/>
      <c r="AY617" s="235"/>
      <c r="AZ617" s="235"/>
      <c r="BA617" s="235"/>
      <c r="BB617" s="235"/>
      <c r="BC617" s="235"/>
      <c r="BD617" s="236"/>
      <c r="BE617" s="235"/>
      <c r="BF617" s="235"/>
      <c r="BG617" s="235"/>
      <c r="BH617" s="235"/>
      <c r="BI617" s="236"/>
      <c r="BJ617" s="236"/>
      <c r="BK617" s="238"/>
      <c r="BL617" s="239"/>
      <c r="BM617" s="239"/>
      <c r="BN617" s="239"/>
      <c r="BP617" s="236"/>
      <c r="BQ617" s="236"/>
      <c r="BR617" s="236"/>
      <c r="BS617" s="236"/>
      <c r="BT617" s="236"/>
      <c r="BU617" s="236"/>
      <c r="BV617" s="236"/>
      <c r="BW617" s="236"/>
      <c r="BX617" s="236"/>
      <c r="BY617" s="236"/>
      <c r="BZ617" s="236"/>
      <c r="CA617" s="236"/>
      <c r="CB617" s="236"/>
      <c r="CC617" s="236"/>
      <c r="CD617" s="236"/>
      <c r="CE617" s="236"/>
      <c r="CF617" s="236"/>
      <c r="CG617" s="236"/>
      <c r="CH617" s="236"/>
      <c r="CI617" s="236"/>
      <c r="CJ617" s="236"/>
      <c r="CK617" s="236"/>
      <c r="CL617" s="236"/>
      <c r="CM617" s="236"/>
      <c r="CN617" s="236"/>
      <c r="CO617" s="236"/>
    </row>
    <row r="618" spans="5:93" s="230" customFormat="1">
      <c r="E618" s="234"/>
      <c r="F618" s="235"/>
      <c r="G618" s="235"/>
      <c r="H618" s="236"/>
      <c r="I618" s="235"/>
      <c r="J618" s="235"/>
      <c r="K618" s="235"/>
      <c r="L618" s="235"/>
      <c r="M618" s="236"/>
      <c r="N618" s="235"/>
      <c r="O618" s="235"/>
      <c r="P618" s="235"/>
      <c r="Q618" s="235"/>
      <c r="R618" s="235"/>
      <c r="S618" s="235"/>
      <c r="T618" s="235"/>
      <c r="U618" s="235"/>
      <c r="V618" s="235"/>
      <c r="W618" s="235"/>
      <c r="X618" s="235"/>
      <c r="Y618" s="235"/>
      <c r="Z618" s="235"/>
      <c r="AA618" s="235"/>
      <c r="AB618" s="235"/>
      <c r="AC618" s="235"/>
      <c r="AD618" s="235"/>
      <c r="AE618" s="236"/>
      <c r="AF618" s="235"/>
      <c r="AG618" s="235"/>
      <c r="AH618" s="235"/>
      <c r="AI618" s="235"/>
      <c r="AJ618" s="236"/>
      <c r="AK618" s="235"/>
      <c r="AL618" s="235"/>
      <c r="AM618" s="235"/>
      <c r="AN618" s="235"/>
      <c r="AO618" s="235"/>
      <c r="AP618" s="235"/>
      <c r="AQ618" s="235"/>
      <c r="AR618" s="235"/>
      <c r="AS618" s="235"/>
      <c r="AT618" s="235"/>
      <c r="AU618" s="236"/>
      <c r="AV618" s="235"/>
      <c r="AW618" s="235"/>
      <c r="AX618" s="235"/>
      <c r="AY618" s="235"/>
      <c r="AZ618" s="235"/>
      <c r="BA618" s="235"/>
      <c r="BB618" s="235"/>
      <c r="BC618" s="235"/>
      <c r="BD618" s="236"/>
      <c r="BE618" s="235"/>
      <c r="BF618" s="235"/>
      <c r="BG618" s="235"/>
      <c r="BH618" s="235"/>
      <c r="BI618" s="236"/>
      <c r="BJ618" s="236"/>
      <c r="BK618" s="238"/>
      <c r="BL618" s="239"/>
      <c r="BM618" s="239"/>
      <c r="BN618" s="239"/>
      <c r="BP618" s="236"/>
      <c r="BQ618" s="236"/>
      <c r="BR618" s="236"/>
      <c r="BS618" s="236"/>
      <c r="BT618" s="236"/>
      <c r="BU618" s="236"/>
      <c r="BV618" s="236"/>
      <c r="BW618" s="236"/>
      <c r="BX618" s="236"/>
      <c r="BY618" s="236"/>
      <c r="BZ618" s="236"/>
      <c r="CA618" s="236"/>
      <c r="CB618" s="236"/>
      <c r="CC618" s="236"/>
      <c r="CD618" s="236"/>
      <c r="CE618" s="236"/>
      <c r="CF618" s="236"/>
      <c r="CG618" s="236"/>
      <c r="CH618" s="236"/>
      <c r="CI618" s="236"/>
      <c r="CJ618" s="236"/>
      <c r="CK618" s="236"/>
      <c r="CL618" s="236"/>
      <c r="CM618" s="236"/>
      <c r="CN618" s="236"/>
      <c r="CO618" s="236"/>
    </row>
  </sheetData>
  <sheetProtection formatCells="0" formatColumns="0" formatRows="0" insertColumns="0" insertRows="0" insertHyperlinks="0" deleteColumns="0" deleteRows="0" sort="0" autoFilter="0"/>
  <autoFilter ref="A13:DB191" xr:uid="{ED2A559D-9530-4829-BED6-0EE2A8FEA4FA}"/>
  <mergeCells count="1">
    <mergeCell ref="CQ12:CW12"/>
  </mergeCells>
  <phoneticPr fontId="8" type="noConversion"/>
  <conditionalFormatting sqref="BM14 BM20:BM46 BM17:BM18 BM48:BM170">
    <cfRule type="expression" dxfId="172" priority="95" stopIfTrue="1">
      <formula>$BM14</formula>
    </cfRule>
  </conditionalFormatting>
  <conditionalFormatting sqref="BL14 BL20:BL46 BL17:BL18 BL48:BL170">
    <cfRule type="expression" dxfId="171" priority="94" stopIfTrue="1">
      <formula>$BL14</formula>
    </cfRule>
  </conditionalFormatting>
  <conditionalFormatting sqref="E14:E191">
    <cfRule type="expression" dxfId="170" priority="92" stopIfTrue="1">
      <formula>$BM14</formula>
    </cfRule>
    <cfRule type="expression" dxfId="169" priority="93" stopIfTrue="1">
      <formula>$BL14</formula>
    </cfRule>
  </conditionalFormatting>
  <conditionalFormatting sqref="BK14 BK172:BK191 CQ14:CY14 CQ172:CY191 CQ20:CY46 BK20:BK46 CQ17:CY18 BK17:BK18 CQ48:CY170 BK48:BK170">
    <cfRule type="cellIs" dxfId="168" priority="91" stopIfTrue="1" operator="greaterThan">
      <formula>0</formula>
    </cfRule>
  </conditionalFormatting>
  <conditionalFormatting sqref="BD172:BD191 BD14 BI14:BJ14 BI172:BJ191 CF172:CG191 CF14:CG14 BW14:BX14 BW172:BX191 CO172:CO191 CO14 AU172:AU191 AU14 AE172:AE191 H172:H191 M172:M191 AJ172:AJ191 AE14 AJ14 H14 M14 M20:M46 H20:H46 AJ20:AJ46 AE20:AE46 AU20:AU46 CO20:CO46 BW20:BX46 CF20:CG46 BI20:BJ46 BD20:BD46 M17:M18 H17:H18 AJ17:AJ18 AE17:AE18 AU17:AU18 CO17:CO18 BW17:BX18 CF17:CG18 BI17:BJ18 BD17:BD18 M48:M170 H48:H170 AJ48:AJ170 AE48:AE170 AU48:AU170 CO48:CO170 BW48:BX170 CF48:CG170 BI48:BJ170 BD48:BD170">
    <cfRule type="cellIs" dxfId="167" priority="90" operator="greaterThan">
      <formula>0</formula>
    </cfRule>
  </conditionalFormatting>
  <conditionalFormatting sqref="BM172">
    <cfRule type="expression" dxfId="166" priority="89" stopIfTrue="1">
      <formula>$BM172</formula>
    </cfRule>
  </conditionalFormatting>
  <conditionalFormatting sqref="BL172">
    <cfRule type="expression" dxfId="165" priority="88" stopIfTrue="1">
      <formula>$BL172</formula>
    </cfRule>
  </conditionalFormatting>
  <conditionalFormatting sqref="BM173:BM191">
    <cfRule type="expression" dxfId="164" priority="85" stopIfTrue="1">
      <formula>$BM173</formula>
    </cfRule>
  </conditionalFormatting>
  <conditionalFormatting sqref="BL173:BL191">
    <cfRule type="expression" dxfId="163" priority="84" stopIfTrue="1">
      <formula>$BL173</formula>
    </cfRule>
  </conditionalFormatting>
  <conditionalFormatting sqref="CO14">
    <cfRule type="colorScale" priority="81">
      <colorScale>
        <cfvo type="min"/>
        <cfvo type="max"/>
        <color theme="0"/>
        <color theme="0"/>
      </colorScale>
    </cfRule>
  </conditionalFormatting>
  <conditionalFormatting sqref="CO172:CO191">
    <cfRule type="colorScale" priority="79">
      <colorScale>
        <cfvo type="min"/>
        <cfvo type="max"/>
        <color theme="0"/>
        <color theme="0"/>
      </colorScale>
    </cfRule>
  </conditionalFormatting>
  <conditionalFormatting sqref="BW14:BX14">
    <cfRule type="colorScale" priority="78">
      <colorScale>
        <cfvo type="min"/>
        <cfvo type="max"/>
        <color theme="0"/>
        <color theme="0"/>
      </colorScale>
    </cfRule>
  </conditionalFormatting>
  <conditionalFormatting sqref="BW172:BX191">
    <cfRule type="colorScale" priority="75">
      <colorScale>
        <cfvo type="min"/>
        <cfvo type="max"/>
        <color theme="0"/>
        <color theme="0"/>
      </colorScale>
    </cfRule>
  </conditionalFormatting>
  <conditionalFormatting sqref="CF89:CG89">
    <cfRule type="colorScale" priority="74">
      <colorScale>
        <cfvo type="min"/>
        <cfvo type="max"/>
        <color theme="0"/>
        <color theme="0"/>
      </colorScale>
    </cfRule>
  </conditionalFormatting>
  <conditionalFormatting sqref="CF172:CG191">
    <cfRule type="colorScale" priority="72">
      <colorScale>
        <cfvo type="min"/>
        <cfvo type="max"/>
        <color theme="0"/>
        <color theme="0"/>
      </colorScale>
    </cfRule>
  </conditionalFormatting>
  <conditionalFormatting sqref="BD1:CY14 BB48:BB79 BC52:BC79 F17:BB18 F20:BB46 F95:BC191 BB80:BC94 BD17:CY65536 F48:BA94 E15:E191 A192:BC65536 B14:BB14 A101:D191 B15:D100 A1:BC13">
    <cfRule type="expression" dxfId="162" priority="69" stopIfTrue="1">
      <formula>ROW()=CELL("fila")</formula>
    </cfRule>
  </conditionalFormatting>
  <conditionalFormatting sqref="BM47">
    <cfRule type="expression" dxfId="161" priority="68" stopIfTrue="1">
      <formula>$BM47</formula>
    </cfRule>
  </conditionalFormatting>
  <conditionalFormatting sqref="BL47">
    <cfRule type="expression" dxfId="160" priority="67" stopIfTrue="1">
      <formula>$BL47</formula>
    </cfRule>
  </conditionalFormatting>
  <conditionalFormatting sqref="BK47 CQ47:CY47">
    <cfRule type="cellIs" dxfId="159" priority="64" stopIfTrue="1" operator="greaterThan">
      <formula>0</formula>
    </cfRule>
  </conditionalFormatting>
  <conditionalFormatting sqref="BD47 BI47:BJ47 CF47:CG47 BW47:BX47 CO47 AU47 AE47 AJ47 H47 M47">
    <cfRule type="cellIs" dxfId="158" priority="63" operator="greaterThan">
      <formula>0</formula>
    </cfRule>
  </conditionalFormatting>
  <conditionalFormatting sqref="CO47">
    <cfRule type="colorScale" priority="62">
      <colorScale>
        <cfvo type="min"/>
        <cfvo type="max"/>
        <color theme="0"/>
        <color theme="0"/>
      </colorScale>
    </cfRule>
  </conditionalFormatting>
  <conditionalFormatting sqref="BW47:BX47">
    <cfRule type="colorScale" priority="61">
      <colorScale>
        <cfvo type="min"/>
        <cfvo type="max"/>
        <color theme="0"/>
        <color theme="0"/>
      </colorScale>
    </cfRule>
  </conditionalFormatting>
  <conditionalFormatting sqref="BW47:BX47">
    <cfRule type="colorScale" priority="60">
      <colorScale>
        <cfvo type="min"/>
        <cfvo type="max"/>
        <color theme="0"/>
        <color theme="0"/>
      </colorScale>
    </cfRule>
  </conditionalFormatting>
  <conditionalFormatting sqref="CF47:CG47">
    <cfRule type="colorScale" priority="59">
      <colorScale>
        <cfvo type="min"/>
        <cfvo type="max"/>
        <color theme="0"/>
        <color theme="0"/>
      </colorScale>
    </cfRule>
  </conditionalFormatting>
  <conditionalFormatting sqref="CF47:CG47">
    <cfRule type="colorScale" priority="58">
      <colorScale>
        <cfvo type="min"/>
        <cfvo type="max"/>
        <color theme="0"/>
        <color theme="0"/>
      </colorScale>
    </cfRule>
  </conditionalFormatting>
  <conditionalFormatting sqref="F47:BB47">
    <cfRule type="expression" dxfId="157" priority="57" stopIfTrue="1">
      <formula>ROW()=CELL("fila")</formula>
    </cfRule>
  </conditionalFormatting>
  <conditionalFormatting sqref="BM19">
    <cfRule type="expression" dxfId="156" priority="51" stopIfTrue="1">
      <formula>$BM19</formula>
    </cfRule>
  </conditionalFormatting>
  <conditionalFormatting sqref="BL19">
    <cfRule type="expression" dxfId="155" priority="50" stopIfTrue="1">
      <formula>$BL19</formula>
    </cfRule>
  </conditionalFormatting>
  <conditionalFormatting sqref="BK19 CQ19:CY19">
    <cfRule type="cellIs" dxfId="154" priority="47" stopIfTrue="1" operator="greaterThan">
      <formula>0</formula>
    </cfRule>
  </conditionalFormatting>
  <conditionalFormatting sqref="BD19 BI19:BJ19 CF19:CG19 BW19:BX19 CO19 AU19 AE19 AJ19 H19 M19">
    <cfRule type="cellIs" dxfId="153" priority="46" operator="greaterThan">
      <formula>0</formula>
    </cfRule>
  </conditionalFormatting>
  <conditionalFormatting sqref="F19:BB19">
    <cfRule type="expression" dxfId="152" priority="45" stopIfTrue="1">
      <formula>ROW()=CELL("fila")</formula>
    </cfRule>
  </conditionalFormatting>
  <conditionalFormatting sqref="CO19">
    <cfRule type="colorScale" priority="52">
      <colorScale>
        <cfvo type="min"/>
        <cfvo type="max"/>
        <color theme="0"/>
        <color theme="0"/>
      </colorScale>
    </cfRule>
  </conditionalFormatting>
  <conditionalFormatting sqref="BW19:BX19">
    <cfRule type="colorScale" priority="53">
      <colorScale>
        <cfvo type="min"/>
        <cfvo type="max"/>
        <color theme="0"/>
        <color theme="0"/>
      </colorScale>
    </cfRule>
  </conditionalFormatting>
  <conditionalFormatting sqref="BW19:BX19">
    <cfRule type="colorScale" priority="54">
      <colorScale>
        <cfvo type="min"/>
        <cfvo type="max"/>
        <color theme="0"/>
        <color theme="0"/>
      </colorScale>
    </cfRule>
  </conditionalFormatting>
  <conditionalFormatting sqref="CF19:CG19">
    <cfRule type="colorScale" priority="55">
      <colorScale>
        <cfvo type="min"/>
        <cfvo type="max"/>
        <color theme="0"/>
        <color theme="0"/>
      </colorScale>
    </cfRule>
  </conditionalFormatting>
  <conditionalFormatting sqref="CF19:CG19">
    <cfRule type="colorScale" priority="56">
      <colorScale>
        <cfvo type="min"/>
        <cfvo type="max"/>
        <color theme="0"/>
        <color theme="0"/>
      </colorScale>
    </cfRule>
  </conditionalFormatting>
  <conditionalFormatting sqref="BC47">
    <cfRule type="expression" dxfId="151" priority="33" stopIfTrue="1">
      <formula>ROW()=CELL("fila")</formula>
    </cfRule>
  </conditionalFormatting>
  <conditionalFormatting sqref="BC20:BC41 BC14 BC17:BC18">
    <cfRule type="expression" dxfId="150" priority="36" stopIfTrue="1">
      <formula>ROW()=CELL("fila")</formula>
    </cfRule>
  </conditionalFormatting>
  <conditionalFormatting sqref="BC19">
    <cfRule type="expression" dxfId="149" priority="35" stopIfTrue="1">
      <formula>ROW()=CELL("fila")</formula>
    </cfRule>
  </conditionalFormatting>
  <conditionalFormatting sqref="BC42:BC46 BC48:BC51">
    <cfRule type="expression" dxfId="148" priority="34" stopIfTrue="1">
      <formula>ROW()=CELL("fila")</formula>
    </cfRule>
  </conditionalFormatting>
  <conditionalFormatting sqref="BM15">
    <cfRule type="expression" dxfId="147" priority="29" stopIfTrue="1">
      <formula>$BM15</formula>
    </cfRule>
  </conditionalFormatting>
  <conditionalFormatting sqref="BL15">
    <cfRule type="expression" dxfId="146" priority="28" stopIfTrue="1">
      <formula>$BL15</formula>
    </cfRule>
  </conditionalFormatting>
  <conditionalFormatting sqref="BK15 CQ15:CY15">
    <cfRule type="cellIs" dxfId="145" priority="25" stopIfTrue="1" operator="greaterThan">
      <formula>0</formula>
    </cfRule>
  </conditionalFormatting>
  <conditionalFormatting sqref="BD15 BI15:BJ15 CF15:CG15 BW15:BX15 CO15 AU15 AE15 AJ15 H15 M15">
    <cfRule type="cellIs" dxfId="144" priority="24" operator="greaterThan">
      <formula>0</formula>
    </cfRule>
  </conditionalFormatting>
  <conditionalFormatting sqref="CO15">
    <cfRule type="colorScale" priority="23">
      <colorScale>
        <cfvo type="min"/>
        <cfvo type="max"/>
        <color theme="0"/>
        <color theme="0"/>
      </colorScale>
    </cfRule>
  </conditionalFormatting>
  <conditionalFormatting sqref="BW15:BX15">
    <cfRule type="colorScale" priority="22">
      <colorScale>
        <cfvo type="min"/>
        <cfvo type="max"/>
        <color theme="0"/>
        <color theme="0"/>
      </colorScale>
    </cfRule>
  </conditionalFormatting>
  <conditionalFormatting sqref="BD15:CY15 F15:BB15">
    <cfRule type="expression" dxfId="143" priority="21" stopIfTrue="1">
      <formula>ROW()=CELL("fila")</formula>
    </cfRule>
  </conditionalFormatting>
  <conditionalFormatting sqref="BW15:BX15">
    <cfRule type="colorScale" priority="30">
      <colorScale>
        <cfvo type="min"/>
        <cfvo type="max"/>
        <color theme="0"/>
        <color theme="0"/>
      </colorScale>
    </cfRule>
  </conditionalFormatting>
  <conditionalFormatting sqref="CF15:CG15">
    <cfRule type="colorScale" priority="31">
      <colorScale>
        <cfvo type="min"/>
        <cfvo type="max"/>
        <color theme="0"/>
        <color theme="0"/>
      </colorScale>
    </cfRule>
  </conditionalFormatting>
  <conditionalFormatting sqref="CF15:CG15">
    <cfRule type="colorScale" priority="32">
      <colorScale>
        <cfvo type="min"/>
        <cfvo type="max"/>
        <color theme="0"/>
        <color theme="0"/>
      </colorScale>
    </cfRule>
  </conditionalFormatting>
  <conditionalFormatting sqref="BC15">
    <cfRule type="expression" dxfId="142" priority="18" stopIfTrue="1">
      <formula>ROW()=CELL("fila")</formula>
    </cfRule>
  </conditionalFormatting>
  <conditionalFormatting sqref="BM16">
    <cfRule type="expression" dxfId="141" priority="14" stopIfTrue="1">
      <formula>$BM16</formula>
    </cfRule>
  </conditionalFormatting>
  <conditionalFormatting sqref="BL16">
    <cfRule type="expression" dxfId="140" priority="13" stopIfTrue="1">
      <formula>$BL16</formula>
    </cfRule>
  </conditionalFormatting>
  <conditionalFormatting sqref="BK16 CQ16:CY16">
    <cfRule type="cellIs" dxfId="139" priority="10" stopIfTrue="1" operator="greaterThan">
      <formula>0</formula>
    </cfRule>
  </conditionalFormatting>
  <conditionalFormatting sqref="BD16 BI16:BJ16 CF16:CG16 BW16:BX16 CO16 AU16 AE16 AJ16 H16 M16">
    <cfRule type="cellIs" dxfId="138" priority="9" operator="greaterThan">
      <formula>0</formula>
    </cfRule>
  </conditionalFormatting>
  <conditionalFormatting sqref="CO16">
    <cfRule type="colorScale" priority="8">
      <colorScale>
        <cfvo type="min"/>
        <cfvo type="max"/>
        <color theme="0"/>
        <color theme="0"/>
      </colorScale>
    </cfRule>
  </conditionalFormatting>
  <conditionalFormatting sqref="BW16:BX16">
    <cfRule type="colorScale" priority="7">
      <colorScale>
        <cfvo type="min"/>
        <cfvo type="max"/>
        <color theme="0"/>
        <color theme="0"/>
      </colorScale>
    </cfRule>
  </conditionalFormatting>
  <conditionalFormatting sqref="BD16:CY16 F16:BB16">
    <cfRule type="expression" dxfId="137" priority="6" stopIfTrue="1">
      <formula>ROW()=CELL("fila")</formula>
    </cfRule>
  </conditionalFormatting>
  <conditionalFormatting sqref="BW16:BX16">
    <cfRule type="colorScale" priority="15">
      <colorScale>
        <cfvo type="min"/>
        <cfvo type="max"/>
        <color theme="0"/>
        <color theme="0"/>
      </colorScale>
    </cfRule>
  </conditionalFormatting>
  <conditionalFormatting sqref="CF16:CG16">
    <cfRule type="colorScale" priority="16">
      <colorScale>
        <cfvo type="min"/>
        <cfvo type="max"/>
        <color theme="0"/>
        <color theme="0"/>
      </colorScale>
    </cfRule>
  </conditionalFormatting>
  <conditionalFormatting sqref="CF16:CG16">
    <cfRule type="colorScale" priority="17">
      <colorScale>
        <cfvo type="min"/>
        <cfvo type="max"/>
        <color theme="0"/>
        <color theme="0"/>
      </colorScale>
    </cfRule>
  </conditionalFormatting>
  <conditionalFormatting sqref="BC16">
    <cfRule type="expression" dxfId="136" priority="3" stopIfTrue="1">
      <formula>ROW()=CELL("fila")</formula>
    </cfRule>
  </conditionalFormatting>
  <conditionalFormatting sqref="CF14:CG14 CF48:CG88 CF20:CG46 CF17:CG18">
    <cfRule type="colorScale" priority="1321">
      <colorScale>
        <cfvo type="min"/>
        <cfvo type="max"/>
        <color theme="0"/>
        <color theme="0"/>
      </colorScale>
    </cfRule>
  </conditionalFormatting>
  <conditionalFormatting sqref="CF90:CG170">
    <cfRule type="colorScale" priority="1704">
      <colorScale>
        <cfvo type="min"/>
        <cfvo type="max"/>
        <color theme="0"/>
        <color theme="0"/>
      </colorScale>
    </cfRule>
  </conditionalFormatting>
  <conditionalFormatting sqref="CO17:CO18 CO48:CO170 CO20:CO46">
    <cfRule type="colorScale" priority="1717">
      <colorScale>
        <cfvo type="min"/>
        <cfvo type="max"/>
        <color theme="0"/>
        <color theme="0"/>
      </colorScale>
    </cfRule>
  </conditionalFormatting>
  <conditionalFormatting sqref="BW14:BX14 BW48:BX170 BW20:BX46 BW17:BX18">
    <cfRule type="colorScale" priority="1721">
      <colorScale>
        <cfvo type="min"/>
        <cfvo type="max"/>
        <color theme="0"/>
        <color theme="0"/>
      </colorScale>
    </cfRule>
  </conditionalFormatting>
  <conditionalFormatting sqref="BW17:BX18 BW48:BX170 BW20:BX46">
    <cfRule type="colorScale" priority="1726">
      <colorScale>
        <cfvo type="min"/>
        <cfvo type="max"/>
        <color theme="0"/>
        <color theme="0"/>
      </colorScale>
    </cfRule>
  </conditionalFormatting>
  <conditionalFormatting sqref="CF14:CG14 CF48:CG170 CF20:CG46 CF17:CG18">
    <cfRule type="colorScale" priority="1730">
      <colorScale>
        <cfvo type="min"/>
        <cfvo type="max"/>
        <color theme="0"/>
        <color theme="0"/>
      </colorScale>
    </cfRule>
  </conditionalFormatting>
  <conditionalFormatting sqref="A14:A100">
    <cfRule type="expression" dxfId="135" priority="1" stopIfTrue="1">
      <formula>ROW()=CELL("fila")</formula>
    </cfRule>
  </conditionalFormatting>
  <conditionalFormatting sqref="A14:A100">
    <cfRule type="duplicateValues" dxfId="134" priority="2" stopIfTrue="1"/>
  </conditionalFormatting>
  <printOptions horizontalCentered="1"/>
  <pageMargins left="3.937007874015748E-2" right="3.937007874015748E-2" top="0.59055118110236227" bottom="0.59055118110236227" header="0" footer="0"/>
  <pageSetup paperSize="9" scale="27" orientation="landscape" r:id="rId1"/>
  <headerFooter alignWithMargins="0">
    <oddHeader>&amp;L&amp;"Arial,Negrita"&amp;9TECSUR  S.A.</oddHead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E756-215E-45D8-AEAC-61F232D0B390}">
  <sheetPr codeName="Hoja8"/>
  <dimension ref="A1:IV113"/>
  <sheetViews>
    <sheetView zoomScaleNormal="100" workbookViewId="0">
      <pane xSplit="5" ySplit="6" topLeftCell="F53" activePane="bottomRight" state="frozen"/>
      <selection pane="topRight" activeCell="F1" sqref="F1"/>
      <selection pane="bottomLeft" activeCell="A7" sqref="A7"/>
      <selection pane="bottomRight" activeCell="F69" sqref="F69"/>
    </sheetView>
  </sheetViews>
  <sheetFormatPr baseColWidth="10" defaultRowHeight="13.2"/>
  <cols>
    <col min="2" max="2" width="6.6640625" customWidth="1"/>
    <col min="3" max="3" width="75.88671875" customWidth="1"/>
    <col min="4" max="4" width="7.5546875" customWidth="1"/>
    <col min="5" max="5" width="9.33203125" customWidth="1"/>
    <col min="6" max="6" width="10.109375" bestFit="1" customWidth="1"/>
    <col min="7" max="10" width="11.5546875" customWidth="1"/>
    <col min="11" max="11" width="10.5546875" customWidth="1"/>
    <col min="14" max="14" width="5.33203125" customWidth="1"/>
    <col min="18" max="18" width="5.5546875" customWidth="1"/>
  </cols>
  <sheetData>
    <row r="1" spans="1:21" ht="13.8">
      <c r="A1" s="346" t="s">
        <v>5</v>
      </c>
      <c r="B1" s="346"/>
      <c r="C1" s="377"/>
      <c r="D1" s="377"/>
      <c r="E1" s="378"/>
      <c r="F1" s="381"/>
      <c r="G1" s="381"/>
      <c r="H1" s="381"/>
      <c r="I1" s="381"/>
      <c r="J1" s="381"/>
      <c r="K1" s="381"/>
      <c r="L1" s="380"/>
      <c r="M1" s="379"/>
      <c r="N1" s="225"/>
      <c r="O1" s="382"/>
      <c r="P1" s="382"/>
      <c r="Q1" s="383"/>
      <c r="R1" s="383"/>
      <c r="S1" s="383"/>
      <c r="T1" s="383"/>
    </row>
    <row r="2" spans="1:21">
      <c r="A2" s="232"/>
      <c r="B2" s="232"/>
      <c r="C2" s="384"/>
      <c r="D2" s="385"/>
      <c r="E2" s="386"/>
      <c r="F2" s="381"/>
      <c r="G2" s="381"/>
      <c r="H2" s="381"/>
      <c r="I2" s="381"/>
      <c r="J2" s="381"/>
      <c r="K2" s="381"/>
      <c r="L2" s="380"/>
      <c r="M2" s="380"/>
      <c r="N2" s="381"/>
      <c r="O2" s="387"/>
      <c r="P2" s="387"/>
      <c r="Q2" s="361"/>
      <c r="R2" s="361"/>
      <c r="S2" s="361"/>
      <c r="T2" s="361"/>
    </row>
    <row r="3" spans="1:21" ht="15.6">
      <c r="A3" s="240" t="s">
        <v>264</v>
      </c>
      <c r="B3" s="240"/>
      <c r="C3" s="388">
        <f>+'Caratula '!C8</f>
        <v>0</v>
      </c>
      <c r="D3" s="385"/>
      <c r="E3" s="386"/>
      <c r="F3" s="381"/>
      <c r="G3" s="381"/>
      <c r="H3" s="381"/>
      <c r="I3" s="381"/>
      <c r="J3" s="381"/>
      <c r="K3" s="381"/>
      <c r="L3" s="380"/>
      <c r="M3" s="380"/>
      <c r="N3" s="381"/>
      <c r="O3" s="387"/>
      <c r="P3" s="387"/>
      <c r="Q3" s="361"/>
      <c r="R3" s="361"/>
      <c r="S3" s="361"/>
      <c r="T3" s="361"/>
    </row>
    <row r="4" spans="1:21">
      <c r="A4" s="241"/>
      <c r="B4" s="241"/>
      <c r="C4" s="389"/>
      <c r="D4" s="385"/>
      <c r="E4" s="386"/>
      <c r="F4" s="381"/>
      <c r="G4" s="381"/>
      <c r="H4" s="381"/>
      <c r="I4" s="381"/>
      <c r="J4" s="381"/>
      <c r="K4" s="381"/>
      <c r="L4" s="380"/>
      <c r="M4" s="380"/>
      <c r="N4" s="381"/>
      <c r="O4" s="387"/>
      <c r="P4" s="387"/>
      <c r="Q4" s="361"/>
      <c r="R4" s="361"/>
      <c r="S4" s="361"/>
      <c r="T4" s="361"/>
    </row>
    <row r="5" spans="1:21" ht="13.8" thickBot="1">
      <c r="A5" s="241"/>
      <c r="B5" s="241"/>
      <c r="C5" s="389"/>
      <c r="D5" s="385"/>
      <c r="E5" s="386"/>
      <c r="F5" s="260"/>
      <c r="G5" s="263"/>
      <c r="H5" s="263"/>
      <c r="I5" s="263"/>
      <c r="J5" s="263"/>
      <c r="K5" s="260"/>
      <c r="L5" s="390"/>
      <c r="M5" s="390"/>
      <c r="N5" s="260"/>
      <c r="O5" s="387"/>
      <c r="P5" s="387"/>
      <c r="Q5" s="361"/>
      <c r="R5" s="361"/>
      <c r="S5" s="391"/>
      <c r="T5" s="361"/>
    </row>
    <row r="6" spans="1:21" ht="36.6" thickBot="1">
      <c r="A6" s="270" t="s">
        <v>6</v>
      </c>
      <c r="B6" s="276" t="s">
        <v>451</v>
      </c>
      <c r="C6" s="392" t="s">
        <v>2</v>
      </c>
      <c r="D6" s="392" t="s">
        <v>7</v>
      </c>
      <c r="E6" s="392" t="s">
        <v>136</v>
      </c>
      <c r="F6" s="274" t="s">
        <v>47</v>
      </c>
      <c r="G6" s="271" t="s">
        <v>48</v>
      </c>
      <c r="H6" s="271" t="s">
        <v>49</v>
      </c>
      <c r="I6" s="271" t="s">
        <v>50</v>
      </c>
      <c r="J6" s="271" t="s">
        <v>142</v>
      </c>
      <c r="K6" s="271" t="s">
        <v>143</v>
      </c>
      <c r="L6" s="393" t="s">
        <v>59</v>
      </c>
      <c r="M6" s="394" t="s">
        <v>371</v>
      </c>
      <c r="N6" s="348"/>
      <c r="O6" s="395" t="s">
        <v>308</v>
      </c>
      <c r="P6" s="396" t="s">
        <v>307</v>
      </c>
      <c r="Q6" s="349" t="s">
        <v>60</v>
      </c>
      <c r="R6" s="350"/>
      <c r="S6" s="397" t="s">
        <v>370</v>
      </c>
      <c r="T6" s="397" t="s">
        <v>369</v>
      </c>
    </row>
    <row r="7" spans="1:21" ht="13.8">
      <c r="A7" s="366" t="s">
        <v>374</v>
      </c>
      <c r="B7" s="414" t="s">
        <v>452</v>
      </c>
      <c r="C7" s="398" t="s">
        <v>601</v>
      </c>
      <c r="D7" s="399" t="str">
        <f>VLOOKUP(A7,[5]Hoja1!$B$6:$I$1424,3,FALSE)</f>
        <v>UN</v>
      </c>
      <c r="E7" s="400">
        <v>9.07</v>
      </c>
      <c r="F7" s="353"/>
      <c r="G7" s="352"/>
      <c r="H7" s="352"/>
      <c r="I7" s="352"/>
      <c r="J7" s="352"/>
      <c r="K7" s="352"/>
      <c r="L7" s="359">
        <f>SUM(F7:K7)</f>
        <v>0</v>
      </c>
      <c r="M7" s="360" t="str">
        <f>IF(L7=0,"",(L7*$E7))</f>
        <v/>
      </c>
      <c r="N7" s="354"/>
      <c r="O7" s="372">
        <f>L7</f>
        <v>0</v>
      </c>
      <c r="P7" s="373">
        <f>IF(A7=0,"",(O7*$E7))</f>
        <v>0</v>
      </c>
      <c r="Q7" s="374"/>
      <c r="R7" s="361"/>
      <c r="S7" s="401">
        <f>O7</f>
        <v>0</v>
      </c>
      <c r="T7" s="401">
        <f>S7*E7</f>
        <v>0</v>
      </c>
      <c r="U7" s="444">
        <f>+VLOOKUP(A7,'[6]Servicio Tercerizado'!$B$4:$Q$24,16,0)</f>
        <v>9.07</v>
      </c>
    </row>
    <row r="8" spans="1:21" ht="13.8">
      <c r="A8" s="366" t="s">
        <v>410</v>
      </c>
      <c r="B8" s="414" t="s">
        <v>452</v>
      </c>
      <c r="C8" s="398" t="s">
        <v>602</v>
      </c>
      <c r="D8" s="399" t="str">
        <f>VLOOKUP(A8,[5]Hoja1!$B$6:$I$1424,3,FALSE)</f>
        <v>UN</v>
      </c>
      <c r="E8" s="400">
        <v>53.302726399999997</v>
      </c>
      <c r="F8" s="353"/>
      <c r="G8" s="352"/>
      <c r="H8" s="352"/>
      <c r="I8" s="352"/>
      <c r="J8" s="352"/>
      <c r="K8" s="352"/>
      <c r="L8" s="359">
        <f>SUM(F8:K8)</f>
        <v>0</v>
      </c>
      <c r="M8" s="360" t="str">
        <f>IF(L8=0,"",(L8*$E8))</f>
        <v/>
      </c>
      <c r="N8" s="407"/>
      <c r="O8" s="408">
        <f>L8</f>
        <v>0</v>
      </c>
      <c r="P8" s="409">
        <f>IF(A8=0,"",(O8*$E8))</f>
        <v>0</v>
      </c>
      <c r="Q8" s="355"/>
      <c r="R8" s="347"/>
      <c r="S8" s="401">
        <f t="shared" ref="S8:S71" si="0">O8</f>
        <v>0</v>
      </c>
      <c r="T8" s="401">
        <f t="shared" ref="T8:T71" si="1">S8*E8</f>
        <v>0</v>
      </c>
    </row>
    <row r="9" spans="1:21" ht="13.8">
      <c r="A9" s="366" t="s">
        <v>375</v>
      </c>
      <c r="B9" s="414" t="s">
        <v>452</v>
      </c>
      <c r="C9" s="398" t="s">
        <v>603</v>
      </c>
      <c r="D9" s="399" t="str">
        <f>VLOOKUP(A9,[5]Hoja1!$B$6:$I$1424,3,FALSE)</f>
        <v>UN</v>
      </c>
      <c r="E9" s="400">
        <v>36.823740800000003</v>
      </c>
      <c r="F9" s="353"/>
      <c r="G9" s="352"/>
      <c r="H9" s="352"/>
      <c r="I9" s="352"/>
      <c r="J9" s="352"/>
      <c r="K9" s="352"/>
      <c r="L9" s="359">
        <f t="shared" ref="L9:L72" si="2">SUM(F9:K9)</f>
        <v>0</v>
      </c>
      <c r="M9" s="360" t="str">
        <f t="shared" ref="M9:M72" si="3">IF(L9=0,"",(L9*$E9))</f>
        <v/>
      </c>
      <c r="N9" s="407"/>
      <c r="O9" s="408">
        <f t="shared" ref="O9:O72" si="4">L9</f>
        <v>0</v>
      </c>
      <c r="P9" s="409">
        <f t="shared" ref="P9:P72" si="5">IF(A9=0,"",(O9*$E9))</f>
        <v>0</v>
      </c>
      <c r="Q9" s="374"/>
      <c r="R9" s="361"/>
      <c r="S9" s="401">
        <f t="shared" si="0"/>
        <v>0</v>
      </c>
      <c r="T9" s="401">
        <f t="shared" si="1"/>
        <v>0</v>
      </c>
    </row>
    <row r="10" spans="1:21" ht="13.8">
      <c r="A10" s="366" t="s">
        <v>376</v>
      </c>
      <c r="B10" s="414" t="s">
        <v>452</v>
      </c>
      <c r="C10" s="398" t="s">
        <v>604</v>
      </c>
      <c r="D10" s="399" t="str">
        <f>VLOOKUP(A10,[5]Hoja1!$B$6:$I$1424,3,FALSE)</f>
        <v>UN</v>
      </c>
      <c r="E10" s="400">
        <v>249.79009439999999</v>
      </c>
      <c r="F10" s="353"/>
      <c r="G10" s="352"/>
      <c r="H10" s="352"/>
      <c r="I10" s="352"/>
      <c r="J10" s="352"/>
      <c r="K10" s="356"/>
      <c r="L10" s="359">
        <f t="shared" si="2"/>
        <v>0</v>
      </c>
      <c r="M10" s="360" t="str">
        <f t="shared" si="3"/>
        <v/>
      </c>
      <c r="N10" s="407"/>
      <c r="O10" s="408">
        <f t="shared" si="4"/>
        <v>0</v>
      </c>
      <c r="P10" s="409">
        <f t="shared" si="5"/>
        <v>0</v>
      </c>
      <c r="Q10" s="371"/>
      <c r="R10" s="357"/>
      <c r="S10" s="401">
        <f t="shared" si="0"/>
        <v>0</v>
      </c>
      <c r="T10" s="401">
        <f t="shared" si="1"/>
        <v>0</v>
      </c>
    </row>
    <row r="11" spans="1:21" ht="13.8">
      <c r="A11" s="366" t="s">
        <v>448</v>
      </c>
      <c r="B11" s="414" t="s">
        <v>452</v>
      </c>
      <c r="C11" s="398" t="s">
        <v>605</v>
      </c>
      <c r="D11" s="399" t="str">
        <f>VLOOKUP(A11,[5]Hoja1!$B$6:$I$1424,3,FALSE)</f>
        <v>UN</v>
      </c>
      <c r="E11" s="400">
        <v>174.22870079999998</v>
      </c>
      <c r="F11" s="353"/>
      <c r="G11" s="352"/>
      <c r="H11" s="352"/>
      <c r="I11" s="352"/>
      <c r="J11" s="352"/>
      <c r="K11" s="356"/>
      <c r="L11" s="359">
        <f t="shared" si="2"/>
        <v>0</v>
      </c>
      <c r="M11" s="360" t="str">
        <f t="shared" si="3"/>
        <v/>
      </c>
      <c r="N11" s="407"/>
      <c r="O11" s="408">
        <f t="shared" si="4"/>
        <v>0</v>
      </c>
      <c r="P11" s="409">
        <f t="shared" si="5"/>
        <v>0</v>
      </c>
      <c r="Q11" s="371"/>
      <c r="R11" s="357"/>
      <c r="S11" s="401">
        <f>O11</f>
        <v>0</v>
      </c>
      <c r="T11" s="401">
        <f>S11*E11</f>
        <v>0</v>
      </c>
    </row>
    <row r="12" spans="1:21" ht="13.8">
      <c r="A12" s="366" t="s">
        <v>329</v>
      </c>
      <c r="B12" s="414" t="s">
        <v>452</v>
      </c>
      <c r="C12" s="398" t="s">
        <v>606</v>
      </c>
      <c r="D12" s="399" t="str">
        <f>VLOOKUP(A12,[5]Hoja1!$B$6:$I$1424,3,FALSE)</f>
        <v>UN</v>
      </c>
      <c r="E12" s="400">
        <v>13.046756800000001</v>
      </c>
      <c r="F12" s="353"/>
      <c r="G12" s="352"/>
      <c r="H12" s="352"/>
      <c r="I12" s="352"/>
      <c r="J12" s="352"/>
      <c r="K12" s="352"/>
      <c r="L12" s="359">
        <f t="shared" si="2"/>
        <v>0</v>
      </c>
      <c r="M12" s="360" t="str">
        <f t="shared" si="3"/>
        <v/>
      </c>
      <c r="N12" s="407"/>
      <c r="O12" s="408">
        <f t="shared" si="4"/>
        <v>0</v>
      </c>
      <c r="P12" s="409">
        <f t="shared" si="5"/>
        <v>0</v>
      </c>
      <c r="Q12" s="374"/>
      <c r="R12" s="361"/>
      <c r="S12" s="401">
        <f t="shared" si="0"/>
        <v>0</v>
      </c>
      <c r="T12" s="401">
        <f t="shared" si="1"/>
        <v>0</v>
      </c>
    </row>
    <row r="13" spans="1:21" ht="13.8">
      <c r="A13" s="366" t="s">
        <v>377</v>
      </c>
      <c r="B13" s="414" t="s">
        <v>452</v>
      </c>
      <c r="C13" s="398" t="s">
        <v>607</v>
      </c>
      <c r="D13" s="399" t="str">
        <f>VLOOKUP(A13,[5]Hoja1!$B$6:$I$1424,3,FALSE)</f>
        <v>UN</v>
      </c>
      <c r="E13" s="400">
        <v>86.969836799999996</v>
      </c>
      <c r="F13" s="353"/>
      <c r="G13" s="352"/>
      <c r="H13" s="352"/>
      <c r="I13" s="352"/>
      <c r="J13" s="352"/>
      <c r="K13" s="352"/>
      <c r="L13" s="359">
        <f t="shared" si="2"/>
        <v>0</v>
      </c>
      <c r="M13" s="360" t="str">
        <f t="shared" si="3"/>
        <v/>
      </c>
      <c r="N13" s="407"/>
      <c r="O13" s="408">
        <f t="shared" si="4"/>
        <v>0</v>
      </c>
      <c r="P13" s="409">
        <f t="shared" si="5"/>
        <v>0</v>
      </c>
      <c r="Q13" s="374"/>
      <c r="R13" s="361"/>
      <c r="S13" s="401">
        <f t="shared" si="0"/>
        <v>0</v>
      </c>
      <c r="T13" s="401">
        <f t="shared" si="1"/>
        <v>0</v>
      </c>
    </row>
    <row r="14" spans="1:21" ht="13.8">
      <c r="A14" s="366" t="s">
        <v>434</v>
      </c>
      <c r="B14" s="414" t="s">
        <v>452</v>
      </c>
      <c r="C14" s="398" t="s">
        <v>608</v>
      </c>
      <c r="D14" s="399" t="str">
        <f>VLOOKUP(A14,[5]Hoja1!$B$6:$I$1424,3,FALSE)</f>
        <v>UN</v>
      </c>
      <c r="E14" s="400">
        <v>60.878910399999995</v>
      </c>
      <c r="F14" s="353"/>
      <c r="G14" s="367"/>
      <c r="H14" s="367"/>
      <c r="I14" s="367"/>
      <c r="J14" s="367"/>
      <c r="K14" s="367"/>
      <c r="L14" s="359">
        <f t="shared" si="2"/>
        <v>0</v>
      </c>
      <c r="M14" s="360" t="str">
        <f t="shared" si="3"/>
        <v/>
      </c>
      <c r="N14" s="407"/>
      <c r="O14" s="408">
        <f t="shared" si="4"/>
        <v>0</v>
      </c>
      <c r="P14" s="409">
        <f t="shared" si="5"/>
        <v>0</v>
      </c>
      <c r="Q14" s="374"/>
      <c r="R14" s="361"/>
      <c r="S14" s="401">
        <f t="shared" si="0"/>
        <v>0</v>
      </c>
      <c r="T14" s="401">
        <f t="shared" si="1"/>
        <v>0</v>
      </c>
    </row>
    <row r="15" spans="1:21" ht="13.8">
      <c r="A15" s="366" t="s">
        <v>445</v>
      </c>
      <c r="B15" s="414" t="s">
        <v>452</v>
      </c>
      <c r="C15" s="398" t="s">
        <v>609</v>
      </c>
      <c r="D15" s="399" t="str">
        <f>VLOOKUP(A15,[5]Hoja1!$B$6:$I$1424,3,FALSE)</f>
        <v>UN</v>
      </c>
      <c r="E15" s="400">
        <v>113.0607632</v>
      </c>
      <c r="F15" s="353"/>
      <c r="G15" s="367"/>
      <c r="H15" s="367"/>
      <c r="I15" s="367"/>
      <c r="J15" s="367"/>
      <c r="K15" s="367"/>
      <c r="L15" s="359">
        <f t="shared" si="2"/>
        <v>0</v>
      </c>
      <c r="M15" s="360" t="str">
        <f t="shared" si="3"/>
        <v/>
      </c>
      <c r="N15" s="407"/>
      <c r="O15" s="408">
        <f t="shared" si="4"/>
        <v>0</v>
      </c>
      <c r="P15" s="409">
        <f t="shared" si="5"/>
        <v>0</v>
      </c>
      <c r="Q15" s="355"/>
      <c r="R15" s="347"/>
      <c r="S15" s="401">
        <f>O15</f>
        <v>0</v>
      </c>
      <c r="T15" s="401">
        <f>S15*E15</f>
        <v>0</v>
      </c>
    </row>
    <row r="16" spans="1:21" ht="13.8">
      <c r="A16" s="366" t="s">
        <v>378</v>
      </c>
      <c r="B16" s="414" t="s">
        <v>452</v>
      </c>
      <c r="C16" s="398" t="s">
        <v>610</v>
      </c>
      <c r="D16" s="399" t="str">
        <f>VLOOKUP(A16,[5]Hoja1!$B$6:$I$1424,3,FALSE)</f>
        <v>UN</v>
      </c>
      <c r="E16" s="400">
        <v>9.1793855999999998</v>
      </c>
      <c r="F16" s="353"/>
      <c r="G16" s="367"/>
      <c r="H16" s="367"/>
      <c r="I16" s="367"/>
      <c r="J16" s="367"/>
      <c r="K16" s="367"/>
      <c r="L16" s="359">
        <f t="shared" si="2"/>
        <v>0</v>
      </c>
      <c r="M16" s="360" t="str">
        <f t="shared" si="3"/>
        <v/>
      </c>
      <c r="N16" s="407"/>
      <c r="O16" s="408">
        <f t="shared" si="4"/>
        <v>0</v>
      </c>
      <c r="P16" s="409">
        <f t="shared" si="5"/>
        <v>0</v>
      </c>
      <c r="Q16" s="374"/>
      <c r="R16" s="361"/>
      <c r="S16" s="401">
        <f t="shared" si="0"/>
        <v>0</v>
      </c>
      <c r="T16" s="401">
        <f t="shared" si="1"/>
        <v>0</v>
      </c>
    </row>
    <row r="17" spans="1:256" ht="13.8">
      <c r="A17" s="366" t="s">
        <v>395</v>
      </c>
      <c r="B17" s="414" t="s">
        <v>452</v>
      </c>
      <c r="C17" s="398" t="s">
        <v>611</v>
      </c>
      <c r="D17" s="399" t="str">
        <f>VLOOKUP(A17,[5]Hoja1!$B$6:$I$1424,3,FALSE)</f>
        <v>UN</v>
      </c>
      <c r="E17" s="400">
        <v>113.34671040000001</v>
      </c>
      <c r="F17" s="353"/>
      <c r="G17" s="367"/>
      <c r="H17" s="367"/>
      <c r="I17" s="367"/>
      <c r="J17" s="367"/>
      <c r="K17" s="367"/>
      <c r="L17" s="359">
        <f t="shared" si="2"/>
        <v>0</v>
      </c>
      <c r="M17" s="360" t="str">
        <f t="shared" si="3"/>
        <v/>
      </c>
      <c r="N17" s="407"/>
      <c r="O17" s="408">
        <f t="shared" si="4"/>
        <v>0</v>
      </c>
      <c r="P17" s="409">
        <f t="shared" si="5"/>
        <v>0</v>
      </c>
      <c r="Q17" s="374"/>
      <c r="R17" s="361"/>
      <c r="S17" s="401">
        <f t="shared" ref="S17:S35" si="6">O17</f>
        <v>0</v>
      </c>
      <c r="T17" s="401">
        <f t="shared" ref="T17:T35" si="7">S17*E17</f>
        <v>0</v>
      </c>
    </row>
    <row r="18" spans="1:256" ht="13.8">
      <c r="A18" s="366" t="s">
        <v>450</v>
      </c>
      <c r="B18" s="414" t="s">
        <v>452</v>
      </c>
      <c r="C18" s="398" t="s">
        <v>612</v>
      </c>
      <c r="D18" s="399" t="str">
        <f>VLOOKUP(A18,[5]Hoja1!$B$6:$I$1424,3,FALSE)</f>
        <v>UN</v>
      </c>
      <c r="E18" s="400">
        <v>79.342647999999997</v>
      </c>
      <c r="F18" s="370"/>
      <c r="G18" s="367"/>
      <c r="H18" s="367"/>
      <c r="I18" s="367"/>
      <c r="J18" s="367"/>
      <c r="K18" s="367"/>
      <c r="L18" s="359">
        <f t="shared" si="2"/>
        <v>0</v>
      </c>
      <c r="M18" s="360" t="str">
        <f t="shared" si="3"/>
        <v/>
      </c>
      <c r="N18" s="407"/>
      <c r="O18" s="408">
        <f t="shared" si="4"/>
        <v>0</v>
      </c>
      <c r="P18" s="409">
        <f t="shared" si="5"/>
        <v>0</v>
      </c>
      <c r="Q18" s="374"/>
      <c r="R18" s="361"/>
      <c r="S18" s="401">
        <f t="shared" si="6"/>
        <v>0</v>
      </c>
      <c r="T18" s="401">
        <f t="shared" si="7"/>
        <v>0</v>
      </c>
    </row>
    <row r="19" spans="1:256" ht="13.8">
      <c r="A19" s="366" t="s">
        <v>449</v>
      </c>
      <c r="B19" s="414" t="s">
        <v>452</v>
      </c>
      <c r="C19" s="398" t="s">
        <v>613</v>
      </c>
      <c r="D19" s="399" t="str">
        <f>VLOOKUP(A19,[5]Hoja1!$B$6:$I$1424,3,FALSE)</f>
        <v>UN</v>
      </c>
      <c r="E19" s="400">
        <v>147.35151199999999</v>
      </c>
      <c r="F19" s="368"/>
      <c r="G19" s="367"/>
      <c r="H19" s="367"/>
      <c r="I19" s="367"/>
      <c r="J19" s="367"/>
      <c r="K19" s="367"/>
      <c r="L19" s="359">
        <f t="shared" si="2"/>
        <v>0</v>
      </c>
      <c r="M19" s="360" t="str">
        <f t="shared" si="3"/>
        <v/>
      </c>
      <c r="N19" s="407"/>
      <c r="O19" s="408">
        <f t="shared" si="4"/>
        <v>0</v>
      </c>
      <c r="P19" s="409">
        <f t="shared" si="5"/>
        <v>0</v>
      </c>
      <c r="Q19" s="374"/>
      <c r="R19" s="361"/>
      <c r="S19" s="401">
        <f t="shared" si="6"/>
        <v>0</v>
      </c>
      <c r="T19" s="401">
        <f t="shared" si="7"/>
        <v>0</v>
      </c>
    </row>
    <row r="20" spans="1:256" ht="13.8">
      <c r="A20" s="366" t="s">
        <v>418</v>
      </c>
      <c r="B20" s="414" t="s">
        <v>452</v>
      </c>
      <c r="C20" s="398" t="s">
        <v>614</v>
      </c>
      <c r="D20" s="399" t="str">
        <f>VLOOKUP(A20,[5]Hoja1!$B$6:$I$1424,3,FALSE)</f>
        <v>M</v>
      </c>
      <c r="E20" s="400">
        <v>7.4724495999999991</v>
      </c>
      <c r="F20" s="368"/>
      <c r="G20" s="367"/>
      <c r="H20" s="367"/>
      <c r="I20" s="367"/>
      <c r="J20" s="367"/>
      <c r="K20" s="367"/>
      <c r="L20" s="359">
        <f t="shared" si="2"/>
        <v>0</v>
      </c>
      <c r="M20" s="360" t="str">
        <f t="shared" si="3"/>
        <v/>
      </c>
      <c r="N20" s="407"/>
      <c r="O20" s="408">
        <f t="shared" si="4"/>
        <v>0</v>
      </c>
      <c r="P20" s="409">
        <f t="shared" si="5"/>
        <v>0</v>
      </c>
      <c r="Q20" s="374"/>
      <c r="R20" s="361"/>
      <c r="S20" s="401">
        <f t="shared" si="6"/>
        <v>0</v>
      </c>
      <c r="T20" s="401">
        <f t="shared" si="7"/>
        <v>0</v>
      </c>
    </row>
    <row r="21" spans="1:256" ht="13.8">
      <c r="A21" s="366" t="s">
        <v>598</v>
      </c>
      <c r="B21" s="414" t="s">
        <v>452</v>
      </c>
      <c r="C21" s="398" t="s">
        <v>615</v>
      </c>
      <c r="D21" s="399" t="s">
        <v>482</v>
      </c>
      <c r="E21" s="400">
        <v>9.7141844799999983</v>
      </c>
      <c r="F21" s="368"/>
      <c r="G21" s="367"/>
      <c r="H21" s="367"/>
      <c r="I21" s="367"/>
      <c r="J21" s="367"/>
      <c r="K21" s="367"/>
      <c r="L21" s="359">
        <f t="shared" si="2"/>
        <v>0</v>
      </c>
      <c r="M21" s="360" t="str">
        <f t="shared" si="3"/>
        <v/>
      </c>
      <c r="N21" s="407"/>
      <c r="O21" s="408">
        <f t="shared" si="4"/>
        <v>0</v>
      </c>
      <c r="P21" s="409">
        <f t="shared" si="5"/>
        <v>0</v>
      </c>
      <c r="Q21" s="374"/>
      <c r="R21" s="361"/>
      <c r="S21" s="401">
        <f t="shared" si="6"/>
        <v>0</v>
      </c>
      <c r="T21" s="401">
        <f t="shared" si="7"/>
        <v>0</v>
      </c>
      <c r="Y21" s="445"/>
      <c r="Z21" s="445"/>
      <c r="AA21" s="445"/>
      <c r="AB21" s="445"/>
      <c r="AC21" s="445"/>
      <c r="AD21" s="445"/>
      <c r="AE21" s="445"/>
      <c r="AF21" s="445"/>
      <c r="AG21" s="445"/>
      <c r="AH21" s="445"/>
      <c r="AI21" s="445"/>
      <c r="AJ21" s="445"/>
      <c r="AK21" s="445"/>
      <c r="AL21" s="445"/>
      <c r="AM21" s="445"/>
      <c r="AN21" s="445"/>
      <c r="AO21" s="445"/>
      <c r="AP21" s="445"/>
      <c r="AQ21" s="445"/>
      <c r="AR21" s="445"/>
      <c r="AS21" s="445"/>
      <c r="AT21" s="445"/>
      <c r="AU21" s="445"/>
      <c r="AV21" s="445"/>
      <c r="AW21" s="445"/>
      <c r="AX21" s="445"/>
      <c r="AY21" s="445"/>
      <c r="AZ21" s="445"/>
      <c r="BA21" s="445"/>
      <c r="BB21" s="445"/>
      <c r="BC21" s="445"/>
      <c r="BD21" s="445"/>
      <c r="BE21" s="445"/>
      <c r="BF21" s="445"/>
      <c r="BG21" s="445"/>
      <c r="BH21" s="445"/>
      <c r="BI21" s="445"/>
      <c r="BJ21" s="445"/>
      <c r="BK21" s="445"/>
      <c r="BL21" s="445"/>
      <c r="BM21" s="445"/>
      <c r="BN21" s="445"/>
      <c r="BO21" s="445"/>
      <c r="BP21" s="445"/>
      <c r="BQ21" s="445"/>
      <c r="BR21" s="445"/>
      <c r="BS21" s="445"/>
      <c r="BT21" s="445"/>
      <c r="BU21" s="445"/>
      <c r="BV21" s="445"/>
      <c r="BW21" s="445"/>
      <c r="BX21" s="445"/>
      <c r="BY21" s="445"/>
      <c r="BZ21" s="445"/>
      <c r="CA21" s="445"/>
      <c r="CB21" s="445"/>
      <c r="CC21" s="445"/>
      <c r="CD21" s="445"/>
      <c r="CE21" s="445"/>
      <c r="CF21" s="445"/>
      <c r="CG21" s="445"/>
      <c r="CH21" s="445"/>
      <c r="CI21" s="445"/>
      <c r="CJ21" s="445"/>
      <c r="CK21" s="445"/>
      <c r="CL21" s="445"/>
      <c r="CM21" s="445"/>
      <c r="CN21" s="445"/>
      <c r="CO21" s="445"/>
      <c r="CP21" s="445"/>
      <c r="CQ21" s="445"/>
      <c r="CR21" s="445"/>
      <c r="CS21" s="445"/>
      <c r="CT21" s="445"/>
      <c r="CU21" s="445"/>
      <c r="CV21" s="445"/>
      <c r="CW21" s="445"/>
      <c r="CX21" s="445"/>
      <c r="CY21" s="445"/>
      <c r="CZ21" s="445"/>
      <c r="DA21" s="445"/>
      <c r="DB21" s="445"/>
      <c r="DC21" s="445"/>
      <c r="DD21" s="445"/>
      <c r="DE21" s="445"/>
      <c r="DF21" s="445"/>
      <c r="DG21" s="445"/>
      <c r="DH21" s="445"/>
      <c r="DI21" s="445"/>
      <c r="DJ21" s="445"/>
      <c r="DK21" s="445"/>
      <c r="DL21" s="445"/>
      <c r="DM21" s="445"/>
      <c r="DN21" s="445"/>
      <c r="DO21" s="445"/>
      <c r="DP21" s="445"/>
      <c r="DQ21" s="445"/>
      <c r="DR21" s="445"/>
      <c r="DS21" s="445"/>
      <c r="DT21" s="445"/>
      <c r="DU21" s="445"/>
      <c r="DV21" s="445"/>
      <c r="DW21" s="445"/>
      <c r="DX21" s="445"/>
      <c r="DY21" s="445"/>
      <c r="DZ21" s="445"/>
      <c r="EA21" s="445"/>
      <c r="EB21" s="445"/>
      <c r="EC21" s="445"/>
      <c r="ED21" s="445"/>
      <c r="EE21" s="445"/>
      <c r="EF21" s="445"/>
      <c r="EG21" s="445"/>
      <c r="EH21" s="445"/>
      <c r="EI21" s="445"/>
      <c r="EJ21" s="445"/>
      <c r="EK21" s="445"/>
      <c r="EL21" s="445"/>
      <c r="EM21" s="445"/>
      <c r="EN21" s="445"/>
      <c r="EO21" s="445"/>
      <c r="EP21" s="445"/>
      <c r="EQ21" s="445"/>
      <c r="ER21" s="445"/>
      <c r="ES21" s="445"/>
      <c r="ET21" s="445"/>
      <c r="EU21" s="445"/>
      <c r="EV21" s="445"/>
      <c r="EW21" s="445"/>
      <c r="EX21" s="445"/>
      <c r="EY21" s="445"/>
      <c r="EZ21" s="445"/>
      <c r="FA21" s="445"/>
      <c r="FB21" s="445"/>
      <c r="FC21" s="445"/>
      <c r="FD21" s="445"/>
      <c r="FE21" s="445"/>
      <c r="FF21" s="445"/>
      <c r="FG21" s="445"/>
      <c r="FH21" s="445"/>
      <c r="FI21" s="445"/>
      <c r="FJ21" s="445"/>
      <c r="FK21" s="445"/>
      <c r="FL21" s="445"/>
      <c r="FM21" s="445"/>
      <c r="FN21" s="445"/>
      <c r="FO21" s="445"/>
      <c r="FP21" s="445"/>
      <c r="FQ21" s="445"/>
      <c r="FR21" s="445"/>
      <c r="FS21" s="445"/>
      <c r="FT21" s="445"/>
      <c r="FU21" s="445"/>
      <c r="FV21" s="445"/>
      <c r="FW21" s="445"/>
      <c r="FX21" s="445"/>
      <c r="FY21" s="445"/>
      <c r="FZ21" s="445"/>
      <c r="GA21" s="445"/>
      <c r="GB21" s="445"/>
      <c r="GC21" s="445"/>
      <c r="GD21" s="445"/>
      <c r="GE21" s="445"/>
      <c r="GF21" s="445"/>
      <c r="GG21" s="445"/>
      <c r="GH21" s="445"/>
      <c r="GI21" s="445"/>
      <c r="GJ21" s="445"/>
      <c r="GK21" s="445"/>
      <c r="GL21" s="445"/>
      <c r="GM21" s="445"/>
      <c r="GN21" s="445"/>
      <c r="GO21" s="445"/>
      <c r="GP21" s="445"/>
      <c r="GQ21" s="445"/>
      <c r="GR21" s="445"/>
      <c r="GS21" s="445"/>
      <c r="GT21" s="445"/>
      <c r="GU21" s="445"/>
      <c r="GV21" s="445"/>
      <c r="GW21" s="445"/>
      <c r="GX21" s="445"/>
      <c r="GY21" s="445"/>
      <c r="GZ21" s="445"/>
      <c r="HA21" s="445"/>
      <c r="HB21" s="445"/>
      <c r="HC21" s="445"/>
      <c r="HD21" s="445"/>
      <c r="HE21" s="445"/>
      <c r="HF21" s="445"/>
      <c r="HG21" s="445"/>
      <c r="HH21" s="445"/>
      <c r="HI21" s="445"/>
      <c r="HJ21" s="445"/>
      <c r="HK21" s="445"/>
      <c r="HL21" s="445"/>
      <c r="HM21" s="445"/>
      <c r="HN21" s="445"/>
      <c r="HO21" s="445"/>
      <c r="HP21" s="445"/>
      <c r="HQ21" s="445"/>
      <c r="HR21" s="445"/>
      <c r="HS21" s="445"/>
      <c r="HT21" s="445"/>
      <c r="HU21" s="445"/>
      <c r="HV21" s="445"/>
      <c r="HW21" s="445"/>
      <c r="HX21" s="445"/>
      <c r="HY21" s="445"/>
      <c r="HZ21" s="445"/>
      <c r="IA21" s="445"/>
      <c r="IB21" s="445"/>
      <c r="IC21" s="445"/>
      <c r="ID21" s="445"/>
      <c r="IE21" s="445"/>
      <c r="IF21" s="445"/>
      <c r="IG21" s="445"/>
      <c r="IH21" s="445"/>
      <c r="II21" s="445"/>
      <c r="IJ21" s="445"/>
      <c r="IK21" s="445"/>
      <c r="IL21" s="445"/>
      <c r="IM21" s="445"/>
      <c r="IN21" s="445"/>
      <c r="IO21" s="445"/>
      <c r="IP21" s="445"/>
      <c r="IQ21" s="445"/>
      <c r="IR21" s="445"/>
      <c r="IS21" s="445"/>
      <c r="IT21" s="445"/>
      <c r="IU21" s="445"/>
      <c r="IV21" s="445"/>
    </row>
    <row r="22" spans="1:256" ht="13.8">
      <c r="A22" s="366" t="s">
        <v>512</v>
      </c>
      <c r="B22" s="414" t="s">
        <v>452</v>
      </c>
      <c r="C22" s="398" t="s">
        <v>513</v>
      </c>
      <c r="D22" s="399" t="str">
        <f>VLOOKUP(A22,[5]Hoja1!$B$6:$I$1424,3,FALSE)</f>
        <v>M</v>
      </c>
      <c r="E22" s="400">
        <v>5.230714719999999</v>
      </c>
      <c r="F22" s="368"/>
      <c r="G22" s="367"/>
      <c r="H22" s="367"/>
      <c r="I22" s="367"/>
      <c r="J22" s="367"/>
      <c r="K22" s="367"/>
      <c r="L22" s="359">
        <f t="shared" si="2"/>
        <v>0</v>
      </c>
      <c r="M22" s="360" t="str">
        <f t="shared" si="3"/>
        <v/>
      </c>
      <c r="N22" s="407"/>
      <c r="O22" s="408">
        <f t="shared" si="4"/>
        <v>0</v>
      </c>
      <c r="P22" s="409">
        <f t="shared" si="5"/>
        <v>0</v>
      </c>
      <c r="Q22" s="374"/>
      <c r="R22" s="361"/>
      <c r="S22" s="401">
        <f t="shared" si="6"/>
        <v>0</v>
      </c>
      <c r="T22" s="401">
        <f t="shared" si="7"/>
        <v>0</v>
      </c>
    </row>
    <row r="23" spans="1:256" ht="13.8">
      <c r="A23" s="366" t="s">
        <v>379</v>
      </c>
      <c r="B23" s="414" t="s">
        <v>452</v>
      </c>
      <c r="C23" s="398" t="s">
        <v>616</v>
      </c>
      <c r="D23" s="399" t="s">
        <v>482</v>
      </c>
      <c r="E23" s="400">
        <v>4.2343840000000004</v>
      </c>
      <c r="F23" s="368"/>
      <c r="G23" s="367"/>
      <c r="H23" s="367"/>
      <c r="I23" s="367"/>
      <c r="J23" s="367"/>
      <c r="K23" s="367"/>
      <c r="L23" s="359">
        <f t="shared" si="2"/>
        <v>0</v>
      </c>
      <c r="M23" s="360" t="str">
        <f t="shared" si="3"/>
        <v/>
      </c>
      <c r="N23" s="407"/>
      <c r="O23" s="408">
        <f t="shared" si="4"/>
        <v>0</v>
      </c>
      <c r="P23" s="409">
        <f t="shared" si="5"/>
        <v>0</v>
      </c>
      <c r="Q23" s="374"/>
      <c r="R23" s="361"/>
      <c r="S23" s="401">
        <f t="shared" si="6"/>
        <v>0</v>
      </c>
      <c r="T23" s="401">
        <f t="shared" si="7"/>
        <v>0</v>
      </c>
      <c r="Y23" s="445"/>
      <c r="Z23" s="445"/>
      <c r="AA23" s="445"/>
      <c r="AB23" s="445"/>
      <c r="AC23" s="445"/>
      <c r="AD23" s="445"/>
      <c r="AE23" s="445"/>
      <c r="AF23" s="445"/>
      <c r="AG23" s="445"/>
      <c r="AH23" s="445"/>
      <c r="AI23" s="445"/>
      <c r="AJ23" s="445"/>
      <c r="AK23" s="445"/>
      <c r="AL23" s="445"/>
      <c r="AM23" s="445"/>
      <c r="AN23" s="445"/>
      <c r="AO23" s="445"/>
      <c r="AP23" s="445"/>
      <c r="AQ23" s="445"/>
      <c r="AR23" s="445"/>
      <c r="AS23" s="445"/>
      <c r="AT23" s="445"/>
      <c r="AU23" s="445"/>
      <c r="AV23" s="445"/>
      <c r="AW23" s="445"/>
      <c r="AX23" s="445"/>
      <c r="AY23" s="445"/>
      <c r="AZ23" s="445"/>
      <c r="BA23" s="445"/>
      <c r="BB23" s="445"/>
      <c r="BC23" s="445"/>
      <c r="BD23" s="445"/>
      <c r="BE23" s="445"/>
      <c r="BF23" s="445"/>
      <c r="BG23" s="445"/>
      <c r="BH23" s="445"/>
      <c r="BI23" s="445"/>
      <c r="BJ23" s="445"/>
      <c r="BK23" s="445"/>
      <c r="BL23" s="445"/>
      <c r="BM23" s="445"/>
      <c r="BN23" s="445"/>
      <c r="BO23" s="445"/>
      <c r="BP23" s="445"/>
      <c r="BQ23" s="445"/>
      <c r="BR23" s="445"/>
      <c r="BS23" s="445"/>
      <c r="BT23" s="445"/>
      <c r="BU23" s="445"/>
      <c r="BV23" s="445"/>
      <c r="BW23" s="445"/>
      <c r="BX23" s="445"/>
      <c r="BY23" s="445"/>
      <c r="BZ23" s="445"/>
      <c r="CA23" s="445"/>
      <c r="CB23" s="445"/>
      <c r="CC23" s="445"/>
      <c r="CD23" s="445"/>
      <c r="CE23" s="445"/>
      <c r="CF23" s="445"/>
      <c r="CG23" s="445"/>
      <c r="CH23" s="445"/>
      <c r="CI23" s="445"/>
      <c r="CJ23" s="445"/>
      <c r="CK23" s="445"/>
      <c r="CL23" s="445"/>
      <c r="CM23" s="445"/>
      <c r="CN23" s="445"/>
      <c r="CO23" s="445"/>
      <c r="CP23" s="445"/>
      <c r="CQ23" s="445"/>
      <c r="CR23" s="445"/>
      <c r="CS23" s="445"/>
      <c r="CT23" s="445"/>
      <c r="CU23" s="445"/>
      <c r="CV23" s="445"/>
      <c r="CW23" s="445"/>
      <c r="CX23" s="445"/>
      <c r="CY23" s="445"/>
      <c r="CZ23" s="445"/>
      <c r="DA23" s="445"/>
      <c r="DB23" s="445"/>
      <c r="DC23" s="445"/>
      <c r="DD23" s="445"/>
      <c r="DE23" s="445"/>
      <c r="DF23" s="445"/>
      <c r="DG23" s="445"/>
      <c r="DH23" s="445"/>
      <c r="DI23" s="445"/>
      <c r="DJ23" s="445"/>
      <c r="DK23" s="445"/>
      <c r="DL23" s="445"/>
      <c r="DM23" s="445"/>
      <c r="DN23" s="445"/>
      <c r="DO23" s="445"/>
      <c r="DP23" s="445"/>
      <c r="DQ23" s="445"/>
      <c r="DR23" s="445"/>
      <c r="DS23" s="445"/>
      <c r="DT23" s="445"/>
      <c r="DU23" s="445"/>
      <c r="DV23" s="445"/>
      <c r="DW23" s="445"/>
      <c r="DX23" s="445"/>
      <c r="DY23" s="445"/>
      <c r="DZ23" s="445"/>
      <c r="EA23" s="445"/>
      <c r="EB23" s="445"/>
      <c r="EC23" s="445"/>
      <c r="ED23" s="445"/>
      <c r="EE23" s="445"/>
      <c r="EF23" s="445"/>
      <c r="EG23" s="445"/>
      <c r="EH23" s="445"/>
      <c r="EI23" s="445"/>
      <c r="EJ23" s="445"/>
      <c r="EK23" s="445"/>
      <c r="EL23" s="445"/>
      <c r="EM23" s="445"/>
      <c r="EN23" s="445"/>
      <c r="EO23" s="445"/>
      <c r="EP23" s="445"/>
      <c r="EQ23" s="445"/>
      <c r="ER23" s="445"/>
      <c r="ES23" s="445"/>
      <c r="ET23" s="445"/>
      <c r="EU23" s="445"/>
      <c r="EV23" s="445"/>
      <c r="EW23" s="445"/>
      <c r="EX23" s="445"/>
      <c r="EY23" s="445"/>
      <c r="EZ23" s="445"/>
      <c r="FA23" s="445"/>
      <c r="FB23" s="445"/>
      <c r="FC23" s="445"/>
      <c r="FD23" s="445"/>
      <c r="FE23" s="445"/>
      <c r="FF23" s="445"/>
      <c r="FG23" s="445"/>
      <c r="FH23" s="445"/>
      <c r="FI23" s="445"/>
      <c r="FJ23" s="445"/>
      <c r="FK23" s="445"/>
      <c r="FL23" s="445"/>
      <c r="FM23" s="445"/>
      <c r="FN23" s="445"/>
      <c r="FO23" s="445"/>
      <c r="FP23" s="445"/>
      <c r="FQ23" s="445"/>
      <c r="FR23" s="445"/>
      <c r="FS23" s="445"/>
      <c r="FT23" s="445"/>
      <c r="FU23" s="445"/>
      <c r="FV23" s="445"/>
      <c r="FW23" s="445"/>
      <c r="FX23" s="445"/>
      <c r="FY23" s="445"/>
      <c r="FZ23" s="445"/>
      <c r="GA23" s="445"/>
      <c r="GB23" s="445"/>
      <c r="GC23" s="445"/>
      <c r="GD23" s="445"/>
      <c r="GE23" s="445"/>
      <c r="GF23" s="445"/>
      <c r="GG23" s="445"/>
      <c r="GH23" s="445"/>
      <c r="GI23" s="445"/>
      <c r="GJ23" s="445"/>
      <c r="GK23" s="445"/>
      <c r="GL23" s="445"/>
      <c r="GM23" s="445"/>
      <c r="GN23" s="445"/>
      <c r="GO23" s="445"/>
      <c r="GP23" s="445"/>
      <c r="GQ23" s="445"/>
      <c r="GR23" s="445"/>
      <c r="GS23" s="445"/>
      <c r="GT23" s="445"/>
      <c r="GU23" s="445"/>
      <c r="GV23" s="445"/>
      <c r="GW23" s="445"/>
      <c r="GX23" s="445"/>
      <c r="GY23" s="445"/>
      <c r="GZ23" s="445"/>
      <c r="HA23" s="445"/>
      <c r="HB23" s="445"/>
      <c r="HC23" s="445"/>
      <c r="HD23" s="445"/>
      <c r="HE23" s="445"/>
      <c r="HF23" s="445"/>
      <c r="HG23" s="445"/>
      <c r="HH23" s="445"/>
      <c r="HI23" s="445"/>
      <c r="HJ23" s="445"/>
      <c r="HK23" s="445"/>
      <c r="HL23" s="445"/>
      <c r="HM23" s="445"/>
      <c r="HN23" s="445"/>
      <c r="HO23" s="445"/>
      <c r="HP23" s="445"/>
      <c r="HQ23" s="445"/>
      <c r="HR23" s="445"/>
      <c r="HS23" s="445"/>
      <c r="HT23" s="445"/>
      <c r="HU23" s="445"/>
      <c r="HV23" s="445"/>
      <c r="HW23" s="445"/>
      <c r="HX23" s="445"/>
      <c r="HY23" s="445"/>
      <c r="HZ23" s="445"/>
      <c r="IA23" s="445"/>
      <c r="IB23" s="445"/>
      <c r="IC23" s="445"/>
      <c r="ID23" s="445"/>
      <c r="IE23" s="445"/>
      <c r="IF23" s="445"/>
      <c r="IG23" s="445"/>
      <c r="IH23" s="445"/>
      <c r="II23" s="445"/>
      <c r="IJ23" s="445"/>
      <c r="IK23" s="445"/>
      <c r="IL23" s="445"/>
      <c r="IM23" s="445"/>
      <c r="IN23" s="445"/>
      <c r="IO23" s="445"/>
      <c r="IP23" s="445"/>
      <c r="IQ23" s="445"/>
      <c r="IR23" s="445"/>
      <c r="IS23" s="445"/>
      <c r="IT23" s="445"/>
      <c r="IU23" s="445"/>
      <c r="IV23" s="445"/>
    </row>
    <row r="24" spans="1:256" ht="13.8">
      <c r="A24" s="366" t="s">
        <v>510</v>
      </c>
      <c r="B24" s="414" t="s">
        <v>452</v>
      </c>
      <c r="C24" s="398" t="s">
        <v>511</v>
      </c>
      <c r="D24" s="399" t="str">
        <f>VLOOKUP(A24,[5]Hoja1!$B$6:$I$1424,3,FALSE)</f>
        <v>M</v>
      </c>
      <c r="E24" s="400">
        <v>2.9640688000000002</v>
      </c>
      <c r="F24" s="368"/>
      <c r="G24" s="367"/>
      <c r="H24" s="367"/>
      <c r="I24" s="367"/>
      <c r="J24" s="367"/>
      <c r="K24" s="367"/>
      <c r="L24" s="359">
        <f t="shared" si="2"/>
        <v>0</v>
      </c>
      <c r="M24" s="360" t="str">
        <f t="shared" si="3"/>
        <v/>
      </c>
      <c r="N24" s="407"/>
      <c r="O24" s="408">
        <f t="shared" si="4"/>
        <v>0</v>
      </c>
      <c r="P24" s="409">
        <f t="shared" si="5"/>
        <v>0</v>
      </c>
      <c r="Q24" s="374"/>
      <c r="R24" s="361"/>
      <c r="S24" s="401">
        <f t="shared" si="6"/>
        <v>0</v>
      </c>
      <c r="T24" s="401">
        <f t="shared" si="7"/>
        <v>0</v>
      </c>
    </row>
    <row r="25" spans="1:256" ht="13.8">
      <c r="A25" s="366" t="s">
        <v>380</v>
      </c>
      <c r="B25" s="414" t="s">
        <v>452</v>
      </c>
      <c r="C25" s="398" t="s">
        <v>496</v>
      </c>
      <c r="D25" s="399" t="s">
        <v>482</v>
      </c>
      <c r="E25" s="400">
        <v>2.0154288000000005</v>
      </c>
      <c r="F25" s="368"/>
      <c r="G25" s="367"/>
      <c r="H25" s="367"/>
      <c r="I25" s="367"/>
      <c r="J25" s="367"/>
      <c r="K25" s="367"/>
      <c r="L25" s="359">
        <f t="shared" si="2"/>
        <v>0</v>
      </c>
      <c r="M25" s="360" t="str">
        <f t="shared" si="3"/>
        <v/>
      </c>
      <c r="N25" s="407"/>
      <c r="O25" s="408">
        <f t="shared" si="4"/>
        <v>0</v>
      </c>
      <c r="P25" s="409">
        <f t="shared" si="5"/>
        <v>0</v>
      </c>
      <c r="Q25" s="374"/>
      <c r="R25" s="361"/>
      <c r="S25" s="401">
        <f t="shared" si="6"/>
        <v>0</v>
      </c>
      <c r="T25" s="401">
        <f t="shared" si="7"/>
        <v>0</v>
      </c>
      <c r="Y25" s="445"/>
      <c r="Z25" s="445"/>
      <c r="AA25" s="445"/>
      <c r="AB25" s="445"/>
      <c r="AC25" s="445"/>
      <c r="AD25" s="445"/>
      <c r="AE25" s="445"/>
      <c r="AF25" s="445"/>
      <c r="AG25" s="445"/>
      <c r="AH25" s="445"/>
      <c r="AI25" s="445"/>
      <c r="AJ25" s="445"/>
      <c r="AK25" s="445"/>
      <c r="AL25" s="445"/>
      <c r="AM25" s="445"/>
      <c r="AN25" s="445"/>
      <c r="AO25" s="445"/>
      <c r="AP25" s="445"/>
      <c r="AQ25" s="445"/>
      <c r="AR25" s="445"/>
      <c r="AS25" s="445"/>
      <c r="AT25" s="445"/>
      <c r="AU25" s="445"/>
      <c r="AV25" s="445"/>
      <c r="AW25" s="445"/>
      <c r="AX25" s="445"/>
      <c r="AY25" s="445"/>
      <c r="AZ25" s="445"/>
      <c r="BA25" s="445"/>
      <c r="BB25" s="445"/>
      <c r="BC25" s="445"/>
      <c r="BD25" s="445"/>
      <c r="BE25" s="445"/>
      <c r="BF25" s="445"/>
      <c r="BG25" s="445"/>
      <c r="BH25" s="445"/>
      <c r="BI25" s="445"/>
      <c r="BJ25" s="445"/>
      <c r="BK25" s="445"/>
      <c r="BL25" s="445"/>
      <c r="BM25" s="445"/>
      <c r="BN25" s="445"/>
      <c r="BO25" s="445"/>
      <c r="BP25" s="445"/>
      <c r="BQ25" s="445"/>
      <c r="BR25" s="445"/>
      <c r="BS25" s="445"/>
      <c r="BT25" s="445"/>
      <c r="BU25" s="445"/>
      <c r="BV25" s="445"/>
      <c r="BW25" s="445"/>
      <c r="BX25" s="445"/>
      <c r="BY25" s="445"/>
      <c r="BZ25" s="445"/>
      <c r="CA25" s="445"/>
      <c r="CB25" s="445"/>
      <c r="CC25" s="445"/>
      <c r="CD25" s="445"/>
      <c r="CE25" s="445"/>
      <c r="CF25" s="445"/>
      <c r="CG25" s="445"/>
      <c r="CH25" s="445"/>
      <c r="CI25" s="445"/>
      <c r="CJ25" s="445"/>
      <c r="CK25" s="445"/>
      <c r="CL25" s="445"/>
      <c r="CM25" s="445"/>
      <c r="CN25" s="445"/>
      <c r="CO25" s="445"/>
      <c r="CP25" s="445"/>
      <c r="CQ25" s="445"/>
      <c r="CR25" s="445"/>
      <c r="CS25" s="445"/>
      <c r="CT25" s="445"/>
      <c r="CU25" s="445"/>
      <c r="CV25" s="445"/>
      <c r="CW25" s="445"/>
      <c r="CX25" s="445"/>
      <c r="CY25" s="445"/>
      <c r="CZ25" s="445"/>
      <c r="DA25" s="445"/>
      <c r="DB25" s="445"/>
      <c r="DC25" s="445"/>
      <c r="DD25" s="445"/>
      <c r="DE25" s="445"/>
      <c r="DF25" s="445"/>
      <c r="DG25" s="445"/>
      <c r="DH25" s="445"/>
      <c r="DI25" s="445"/>
      <c r="DJ25" s="445"/>
      <c r="DK25" s="445"/>
      <c r="DL25" s="445"/>
      <c r="DM25" s="445"/>
      <c r="DN25" s="445"/>
      <c r="DO25" s="445"/>
      <c r="DP25" s="445"/>
      <c r="DQ25" s="445"/>
      <c r="DR25" s="445"/>
      <c r="DS25" s="445"/>
      <c r="DT25" s="445"/>
      <c r="DU25" s="445"/>
      <c r="DV25" s="445"/>
      <c r="DW25" s="445"/>
      <c r="DX25" s="445"/>
      <c r="DY25" s="445"/>
      <c r="DZ25" s="445"/>
      <c r="EA25" s="445"/>
      <c r="EB25" s="445"/>
      <c r="EC25" s="445"/>
      <c r="ED25" s="445"/>
      <c r="EE25" s="445"/>
      <c r="EF25" s="445"/>
      <c r="EG25" s="445"/>
      <c r="EH25" s="445"/>
      <c r="EI25" s="445"/>
      <c r="EJ25" s="445"/>
      <c r="EK25" s="445"/>
      <c r="EL25" s="445"/>
      <c r="EM25" s="445"/>
      <c r="EN25" s="445"/>
      <c r="EO25" s="445"/>
      <c r="EP25" s="445"/>
      <c r="EQ25" s="445"/>
      <c r="ER25" s="445"/>
      <c r="ES25" s="445"/>
      <c r="ET25" s="445"/>
      <c r="EU25" s="445"/>
      <c r="EV25" s="445"/>
      <c r="EW25" s="445"/>
      <c r="EX25" s="445"/>
      <c r="EY25" s="445"/>
      <c r="EZ25" s="445"/>
      <c r="FA25" s="445"/>
      <c r="FB25" s="445"/>
      <c r="FC25" s="445"/>
      <c r="FD25" s="445"/>
      <c r="FE25" s="445"/>
      <c r="FF25" s="445"/>
      <c r="FG25" s="445"/>
      <c r="FH25" s="445"/>
      <c r="FI25" s="445"/>
      <c r="FJ25" s="445"/>
      <c r="FK25" s="445"/>
      <c r="FL25" s="445"/>
      <c r="FM25" s="445"/>
      <c r="FN25" s="445"/>
      <c r="FO25" s="445"/>
      <c r="FP25" s="445"/>
      <c r="FQ25" s="445"/>
      <c r="FR25" s="445"/>
      <c r="FS25" s="445"/>
      <c r="FT25" s="445"/>
      <c r="FU25" s="445"/>
      <c r="FV25" s="445"/>
      <c r="FW25" s="445"/>
      <c r="FX25" s="445"/>
      <c r="FY25" s="445"/>
      <c r="FZ25" s="445"/>
      <c r="GA25" s="445"/>
      <c r="GB25" s="445"/>
      <c r="GC25" s="445"/>
      <c r="GD25" s="445"/>
      <c r="GE25" s="445"/>
      <c r="GF25" s="445"/>
      <c r="GG25" s="445"/>
      <c r="GH25" s="445"/>
      <c r="GI25" s="445"/>
      <c r="GJ25" s="445"/>
      <c r="GK25" s="445"/>
      <c r="GL25" s="445"/>
      <c r="GM25" s="445"/>
      <c r="GN25" s="445"/>
      <c r="GO25" s="445"/>
      <c r="GP25" s="445"/>
      <c r="GQ25" s="445"/>
      <c r="GR25" s="445"/>
      <c r="GS25" s="445"/>
      <c r="GT25" s="445"/>
      <c r="GU25" s="445"/>
      <c r="GV25" s="445"/>
      <c r="GW25" s="445"/>
      <c r="GX25" s="445"/>
      <c r="GY25" s="445"/>
      <c r="GZ25" s="445"/>
      <c r="HA25" s="445"/>
      <c r="HB25" s="445"/>
      <c r="HC25" s="445"/>
      <c r="HD25" s="445"/>
      <c r="HE25" s="445"/>
      <c r="HF25" s="445"/>
      <c r="HG25" s="445"/>
      <c r="HH25" s="445"/>
      <c r="HI25" s="445"/>
      <c r="HJ25" s="445"/>
      <c r="HK25" s="445"/>
      <c r="HL25" s="445"/>
      <c r="HM25" s="445"/>
      <c r="HN25" s="445"/>
      <c r="HO25" s="445"/>
      <c r="HP25" s="445"/>
      <c r="HQ25" s="445"/>
      <c r="HR25" s="445"/>
      <c r="HS25" s="445"/>
      <c r="HT25" s="445"/>
      <c r="HU25" s="445"/>
      <c r="HV25" s="445"/>
      <c r="HW25" s="445"/>
      <c r="HX25" s="445"/>
      <c r="HY25" s="445"/>
      <c r="HZ25" s="445"/>
      <c r="IA25" s="445"/>
      <c r="IB25" s="445"/>
      <c r="IC25" s="445"/>
      <c r="ID25" s="445"/>
      <c r="IE25" s="445"/>
      <c r="IF25" s="445"/>
      <c r="IG25" s="445"/>
      <c r="IH25" s="445"/>
      <c r="II25" s="445"/>
      <c r="IJ25" s="445"/>
      <c r="IK25" s="445"/>
      <c r="IL25" s="445"/>
      <c r="IM25" s="445"/>
      <c r="IN25" s="445"/>
      <c r="IO25" s="445"/>
      <c r="IP25" s="445"/>
      <c r="IQ25" s="445"/>
      <c r="IR25" s="445"/>
      <c r="IS25" s="445"/>
      <c r="IT25" s="445"/>
      <c r="IU25" s="445"/>
      <c r="IV25" s="445"/>
    </row>
    <row r="26" spans="1:256" ht="13.8">
      <c r="A26" s="366" t="s">
        <v>508</v>
      </c>
      <c r="B26" s="414" t="s">
        <v>452</v>
      </c>
      <c r="C26" s="403" t="s">
        <v>509</v>
      </c>
      <c r="D26" s="404" t="str">
        <f>VLOOKUP(A26,[5]Hoja1!$B$6:$I$1424,3,FALSE)</f>
        <v>M</v>
      </c>
      <c r="E26" s="405">
        <v>1.4108001600000002</v>
      </c>
      <c r="F26" s="369"/>
      <c r="G26" s="369"/>
      <c r="H26" s="369"/>
      <c r="I26" s="369"/>
      <c r="J26" s="369"/>
      <c r="K26" s="367"/>
      <c r="L26" s="359">
        <f t="shared" si="2"/>
        <v>0</v>
      </c>
      <c r="M26" s="360" t="str">
        <f t="shared" si="3"/>
        <v/>
      </c>
      <c r="N26" s="407"/>
      <c r="O26" s="408">
        <f t="shared" si="4"/>
        <v>0</v>
      </c>
      <c r="P26" s="409">
        <f t="shared" si="5"/>
        <v>0</v>
      </c>
      <c r="Q26" s="374"/>
      <c r="R26" s="361"/>
      <c r="S26" s="401">
        <f t="shared" si="6"/>
        <v>0</v>
      </c>
      <c r="T26" s="401">
        <f t="shared" si="7"/>
        <v>0</v>
      </c>
    </row>
    <row r="27" spans="1:256" ht="13.8">
      <c r="A27" s="366" t="s">
        <v>405</v>
      </c>
      <c r="B27" s="414" t="s">
        <v>452</v>
      </c>
      <c r="C27" s="398" t="s">
        <v>617</v>
      </c>
      <c r="D27" s="404" t="str">
        <f>VLOOKUP(A27,[5]Hoja1!$B$6:$I$1424,3,FALSE)</f>
        <v>HH</v>
      </c>
      <c r="E27" s="400">
        <v>19.73</v>
      </c>
      <c r="F27" s="370">
        <f>+Cables!P54/E27</f>
        <v>0</v>
      </c>
      <c r="G27" s="369"/>
      <c r="H27" s="369"/>
      <c r="I27" s="369"/>
      <c r="J27" s="369"/>
      <c r="K27" s="367"/>
      <c r="L27" s="359">
        <f t="shared" si="2"/>
        <v>0</v>
      </c>
      <c r="M27" s="360" t="str">
        <f t="shared" si="3"/>
        <v/>
      </c>
      <c r="N27" s="407"/>
      <c r="O27" s="408">
        <f t="shared" si="4"/>
        <v>0</v>
      </c>
      <c r="P27" s="409">
        <f t="shared" si="5"/>
        <v>0</v>
      </c>
      <c r="Q27" s="374"/>
      <c r="R27" s="361"/>
      <c r="S27" s="401"/>
      <c r="T27" s="401"/>
    </row>
    <row r="28" spans="1:256" ht="13.8">
      <c r="A28" s="366" t="s">
        <v>504</v>
      </c>
      <c r="B28" s="414" t="s">
        <v>452</v>
      </c>
      <c r="C28" s="398" t="s">
        <v>618</v>
      </c>
      <c r="D28" s="404" t="str">
        <f>VLOOKUP(A28,[5]Hoja1!$B$6:$I$1424,3,FALSE)</f>
        <v>UN</v>
      </c>
      <c r="E28" s="400">
        <v>139.91999999999999</v>
      </c>
      <c r="F28" s="368"/>
      <c r="G28" s="367"/>
      <c r="H28" s="367"/>
      <c r="I28" s="367"/>
      <c r="J28" s="367"/>
      <c r="K28" s="367"/>
      <c r="L28" s="359">
        <f t="shared" si="2"/>
        <v>0</v>
      </c>
      <c r="M28" s="360" t="str">
        <f t="shared" si="3"/>
        <v/>
      </c>
      <c r="N28" s="407"/>
      <c r="O28" s="408">
        <f t="shared" si="4"/>
        <v>0</v>
      </c>
      <c r="P28" s="409">
        <f t="shared" si="5"/>
        <v>0</v>
      </c>
      <c r="Q28" s="374"/>
      <c r="R28" s="361"/>
      <c r="S28" s="401">
        <f t="shared" si="6"/>
        <v>0</v>
      </c>
      <c r="T28" s="401">
        <f t="shared" si="7"/>
        <v>0</v>
      </c>
    </row>
    <row r="29" spans="1:256" ht="13.8">
      <c r="A29" s="366" t="s">
        <v>514</v>
      </c>
      <c r="B29" s="414" t="s">
        <v>452</v>
      </c>
      <c r="C29" s="398" t="s">
        <v>515</v>
      </c>
      <c r="D29" s="399" t="str">
        <f>VLOOKUP(A29,[5]Hoja1!$B$6:$I$1424,3,FALSE)</f>
        <v>UN</v>
      </c>
      <c r="E29" s="400">
        <v>139.91999999999999</v>
      </c>
      <c r="F29" s="368"/>
      <c r="G29" s="367"/>
      <c r="H29" s="367"/>
      <c r="I29" s="367"/>
      <c r="J29" s="367"/>
      <c r="K29" s="367"/>
      <c r="L29" s="359">
        <f t="shared" si="2"/>
        <v>0</v>
      </c>
      <c r="M29" s="360" t="str">
        <f t="shared" si="3"/>
        <v/>
      </c>
      <c r="N29" s="407"/>
      <c r="O29" s="408">
        <f t="shared" si="4"/>
        <v>0</v>
      </c>
      <c r="P29" s="409">
        <f t="shared" si="5"/>
        <v>0</v>
      </c>
      <c r="Q29" s="374"/>
      <c r="R29" s="361"/>
      <c r="S29" s="401">
        <f t="shared" si="6"/>
        <v>0</v>
      </c>
      <c r="T29" s="401">
        <f t="shared" si="7"/>
        <v>0</v>
      </c>
    </row>
    <row r="30" spans="1:256" ht="13.8">
      <c r="A30" s="366" t="s">
        <v>381</v>
      </c>
      <c r="B30" s="414" t="s">
        <v>452</v>
      </c>
      <c r="C30" s="398" t="s">
        <v>619</v>
      </c>
      <c r="D30" s="399" t="str">
        <f>VLOOKUP(A30,[5]Hoja1!$B$6:$I$1424,3,FALSE)</f>
        <v>UN</v>
      </c>
      <c r="E30" s="400">
        <v>42.887398399999995</v>
      </c>
      <c r="F30" s="368"/>
      <c r="G30" s="367"/>
      <c r="H30" s="367"/>
      <c r="I30" s="367"/>
      <c r="J30" s="367"/>
      <c r="K30" s="367"/>
      <c r="L30" s="359">
        <f t="shared" si="2"/>
        <v>0</v>
      </c>
      <c r="M30" s="360" t="str">
        <f t="shared" si="3"/>
        <v/>
      </c>
      <c r="N30" s="407"/>
      <c r="O30" s="408">
        <f t="shared" si="4"/>
        <v>0</v>
      </c>
      <c r="P30" s="409">
        <f t="shared" si="5"/>
        <v>0</v>
      </c>
      <c r="Q30" s="374"/>
      <c r="R30" s="361"/>
      <c r="S30" s="401">
        <f t="shared" si="6"/>
        <v>0</v>
      </c>
      <c r="T30" s="401">
        <f t="shared" si="7"/>
        <v>0</v>
      </c>
    </row>
    <row r="31" spans="1:256" ht="13.8">
      <c r="A31" s="366" t="s">
        <v>382</v>
      </c>
      <c r="B31" s="414" t="s">
        <v>452</v>
      </c>
      <c r="C31" s="398" t="s">
        <v>620</v>
      </c>
      <c r="D31" s="399" t="str">
        <f>VLOOKUP(A31,[5]Hoja1!$B$6:$I$1424,3,FALSE)</f>
        <v>M3</v>
      </c>
      <c r="E31" s="400">
        <v>82.423387199999979</v>
      </c>
      <c r="F31" s="368"/>
      <c r="G31" s="352"/>
      <c r="H31" s="352"/>
      <c r="I31" s="352"/>
      <c r="J31" s="352"/>
      <c r="K31" s="367"/>
      <c r="L31" s="359">
        <f t="shared" si="2"/>
        <v>0</v>
      </c>
      <c r="M31" s="360" t="str">
        <f t="shared" si="3"/>
        <v/>
      </c>
      <c r="N31" s="407"/>
      <c r="O31" s="408">
        <f t="shared" si="4"/>
        <v>0</v>
      </c>
      <c r="P31" s="409">
        <f t="shared" si="5"/>
        <v>0</v>
      </c>
      <c r="Q31" s="374"/>
      <c r="R31" s="361"/>
      <c r="S31" s="401">
        <f t="shared" si="6"/>
        <v>0</v>
      </c>
      <c r="T31" s="401">
        <f t="shared" si="7"/>
        <v>0</v>
      </c>
    </row>
    <row r="32" spans="1:256" ht="13.8">
      <c r="A32" s="366" t="s">
        <v>383</v>
      </c>
      <c r="B32" s="414" t="s">
        <v>452</v>
      </c>
      <c r="C32" s="398" t="s">
        <v>621</v>
      </c>
      <c r="D32" s="399" t="str">
        <f>VLOOKUP(A32,[5]Hoja1!$B$6:$I$1424,3,FALSE)</f>
        <v>UN</v>
      </c>
      <c r="E32" s="400">
        <v>136.76123999999999</v>
      </c>
      <c r="F32" s="368"/>
      <c r="G32" s="352"/>
      <c r="H32" s="352"/>
      <c r="I32" s="352"/>
      <c r="J32" s="352"/>
      <c r="K32" s="367"/>
      <c r="L32" s="359">
        <f t="shared" si="2"/>
        <v>0</v>
      </c>
      <c r="M32" s="360" t="str">
        <f t="shared" si="3"/>
        <v/>
      </c>
      <c r="N32" s="407"/>
      <c r="O32" s="408">
        <f t="shared" si="4"/>
        <v>0</v>
      </c>
      <c r="P32" s="409">
        <f t="shared" si="5"/>
        <v>0</v>
      </c>
      <c r="Q32" s="374"/>
      <c r="R32" s="361"/>
      <c r="S32" s="401">
        <f t="shared" si="6"/>
        <v>0</v>
      </c>
      <c r="T32" s="401">
        <f t="shared" si="7"/>
        <v>0</v>
      </c>
    </row>
    <row r="33" spans="1:21" ht="13.8">
      <c r="A33" s="366" t="s">
        <v>412</v>
      </c>
      <c r="B33" s="414" t="s">
        <v>452</v>
      </c>
      <c r="C33" s="403" t="s">
        <v>622</v>
      </c>
      <c r="D33" s="404" t="str">
        <f>VLOOKUP(A33,[5]Hoja1!$B$6:$I$1424,3,FALSE)</f>
        <v>UN</v>
      </c>
      <c r="E33" s="405">
        <v>55.427556800000005</v>
      </c>
      <c r="F33" s="370"/>
      <c r="G33" s="356"/>
      <c r="H33" s="356"/>
      <c r="I33" s="356"/>
      <c r="J33" s="356"/>
      <c r="K33" s="367"/>
      <c r="L33" s="359">
        <f t="shared" si="2"/>
        <v>0</v>
      </c>
      <c r="M33" s="360" t="str">
        <f t="shared" si="3"/>
        <v/>
      </c>
      <c r="N33" s="407"/>
      <c r="O33" s="408">
        <f t="shared" si="4"/>
        <v>0</v>
      </c>
      <c r="P33" s="409">
        <f t="shared" si="5"/>
        <v>0</v>
      </c>
      <c r="Q33" s="374"/>
      <c r="R33" s="361"/>
      <c r="S33" s="401">
        <f t="shared" si="6"/>
        <v>0</v>
      </c>
      <c r="T33" s="401">
        <f t="shared" si="7"/>
        <v>0</v>
      </c>
    </row>
    <row r="34" spans="1:21" ht="13.8">
      <c r="A34" s="366" t="s">
        <v>384</v>
      </c>
      <c r="B34" s="414" t="s">
        <v>452</v>
      </c>
      <c r="C34" s="398" t="s">
        <v>623</v>
      </c>
      <c r="D34" s="399" t="str">
        <f>VLOOKUP(A34,[5]Hoja1!$B$6:$I$1424,3,FALSE)</f>
        <v>M</v>
      </c>
      <c r="E34" s="400">
        <v>0.35395359999999998</v>
      </c>
      <c r="F34" s="368"/>
      <c r="G34" s="352"/>
      <c r="H34" s="352"/>
      <c r="I34" s="352"/>
      <c r="J34" s="352"/>
      <c r="K34" s="367"/>
      <c r="L34" s="359">
        <f t="shared" si="2"/>
        <v>0</v>
      </c>
      <c r="M34" s="360" t="str">
        <f t="shared" si="3"/>
        <v/>
      </c>
      <c r="N34" s="407"/>
      <c r="O34" s="408">
        <f t="shared" si="4"/>
        <v>0</v>
      </c>
      <c r="P34" s="409">
        <f t="shared" si="5"/>
        <v>0</v>
      </c>
      <c r="Q34" s="374"/>
      <c r="R34" s="361"/>
      <c r="S34" s="401">
        <f t="shared" si="6"/>
        <v>0</v>
      </c>
      <c r="T34" s="401">
        <f t="shared" si="7"/>
        <v>0</v>
      </c>
    </row>
    <row r="35" spans="1:21" ht="13.8">
      <c r="A35" s="366" t="s">
        <v>385</v>
      </c>
      <c r="B35" s="414" t="s">
        <v>452</v>
      </c>
      <c r="C35" s="398" t="s">
        <v>624</v>
      </c>
      <c r="D35" s="399" t="str">
        <f>VLOOKUP(A35,[5]Hoja1!$B$6:$I$1424,3,FALSE)</f>
        <v>UN</v>
      </c>
      <c r="E35" s="400">
        <v>83.381020800000002</v>
      </c>
      <c r="F35" s="368"/>
      <c r="G35" s="352"/>
      <c r="H35" s="352"/>
      <c r="I35" s="352"/>
      <c r="J35" s="352"/>
      <c r="K35" s="367"/>
      <c r="L35" s="359">
        <f t="shared" si="2"/>
        <v>0</v>
      </c>
      <c r="M35" s="360" t="str">
        <f t="shared" si="3"/>
        <v/>
      </c>
      <c r="N35" s="407"/>
      <c r="O35" s="408">
        <f t="shared" si="4"/>
        <v>0</v>
      </c>
      <c r="P35" s="409">
        <f t="shared" si="5"/>
        <v>0</v>
      </c>
      <c r="Q35" s="374"/>
      <c r="R35" s="361"/>
      <c r="S35" s="401">
        <f t="shared" si="6"/>
        <v>0</v>
      </c>
      <c r="T35" s="401">
        <f t="shared" si="7"/>
        <v>0</v>
      </c>
    </row>
    <row r="36" spans="1:21" ht="13.8">
      <c r="A36" s="366" t="s">
        <v>447</v>
      </c>
      <c r="B36" s="414" t="s">
        <v>452</v>
      </c>
      <c r="C36" s="398" t="s">
        <v>625</v>
      </c>
      <c r="D36" s="399" t="str">
        <f>VLOOKUP(A36,[5]Hoja1!$B$6:$I$1424,3,FALSE)</f>
        <v>UN</v>
      </c>
      <c r="E36" s="400">
        <v>58.366862400000002</v>
      </c>
      <c r="F36" s="368"/>
      <c r="G36" s="352"/>
      <c r="H36" s="352"/>
      <c r="I36" s="352"/>
      <c r="J36" s="352"/>
      <c r="K36" s="352"/>
      <c r="L36" s="359">
        <f t="shared" si="2"/>
        <v>0</v>
      </c>
      <c r="M36" s="360" t="str">
        <f t="shared" si="3"/>
        <v/>
      </c>
      <c r="N36" s="407"/>
      <c r="O36" s="408">
        <f t="shared" si="4"/>
        <v>0</v>
      </c>
      <c r="P36" s="409">
        <f t="shared" si="5"/>
        <v>0</v>
      </c>
      <c r="Q36" s="374"/>
      <c r="R36" s="361"/>
      <c r="S36" s="401">
        <f t="shared" si="0"/>
        <v>0</v>
      </c>
      <c r="T36" s="401">
        <f t="shared" si="1"/>
        <v>0</v>
      </c>
    </row>
    <row r="37" spans="1:21" ht="13.8">
      <c r="A37" s="366" t="s">
        <v>386</v>
      </c>
      <c r="B37" s="414" t="s">
        <v>452</v>
      </c>
      <c r="C37" s="398" t="s">
        <v>626</v>
      </c>
      <c r="D37" s="399" t="str">
        <f>VLOOKUP(A37,[5]Hoja1!$B$6:$I$1424,3,FALSE)</f>
        <v>UN</v>
      </c>
      <c r="E37" s="400">
        <v>9.7527583999999994</v>
      </c>
      <c r="F37" s="368"/>
      <c r="G37" s="352"/>
      <c r="H37" s="352"/>
      <c r="I37" s="352"/>
      <c r="J37" s="352"/>
      <c r="K37" s="352"/>
      <c r="L37" s="359">
        <f t="shared" si="2"/>
        <v>0</v>
      </c>
      <c r="M37" s="360" t="str">
        <f t="shared" si="3"/>
        <v/>
      </c>
      <c r="N37" s="407"/>
      <c r="O37" s="408">
        <f t="shared" si="4"/>
        <v>0</v>
      </c>
      <c r="P37" s="409">
        <f t="shared" si="5"/>
        <v>0</v>
      </c>
      <c r="Q37" s="374"/>
      <c r="R37" s="361"/>
      <c r="S37" s="401">
        <f t="shared" si="0"/>
        <v>0</v>
      </c>
      <c r="T37" s="401">
        <f t="shared" si="1"/>
        <v>0</v>
      </c>
    </row>
    <row r="38" spans="1:21" ht="13.8">
      <c r="A38" s="366" t="s">
        <v>435</v>
      </c>
      <c r="B38" s="414" t="s">
        <v>452</v>
      </c>
      <c r="C38" s="398" t="s">
        <v>627</v>
      </c>
      <c r="D38" s="399" t="str">
        <f>VLOOKUP(A38,[5]Hoja1!$B$6:$I$1424,3,FALSE)</f>
        <v>UN</v>
      </c>
      <c r="E38" s="400">
        <v>6.8271280000000001</v>
      </c>
      <c r="F38" s="368"/>
      <c r="G38" s="352"/>
      <c r="H38" s="352"/>
      <c r="I38" s="352"/>
      <c r="J38" s="352"/>
      <c r="K38" s="352"/>
      <c r="L38" s="359">
        <f t="shared" si="2"/>
        <v>0</v>
      </c>
      <c r="M38" s="360" t="str">
        <f t="shared" si="3"/>
        <v/>
      </c>
      <c r="N38" s="407"/>
      <c r="O38" s="408">
        <f t="shared" si="4"/>
        <v>0</v>
      </c>
      <c r="P38" s="409">
        <f t="shared" si="5"/>
        <v>0</v>
      </c>
      <c r="Q38" s="374"/>
      <c r="R38" s="361"/>
      <c r="S38" s="401">
        <f t="shared" si="0"/>
        <v>0</v>
      </c>
      <c r="T38" s="401">
        <f t="shared" si="1"/>
        <v>0</v>
      </c>
    </row>
    <row r="39" spans="1:21" ht="13.8">
      <c r="A39" s="366" t="s">
        <v>387</v>
      </c>
      <c r="B39" s="414" t="s">
        <v>452</v>
      </c>
      <c r="C39" s="398" t="s">
        <v>628</v>
      </c>
      <c r="D39" s="399" t="str">
        <f>VLOOKUP(A39,[5]Hoja1!$B$6:$I$1424,3,FALSE)</f>
        <v>UN</v>
      </c>
      <c r="E39" s="400">
        <v>23.748894399999998</v>
      </c>
      <c r="F39" s="368"/>
      <c r="G39" s="352"/>
      <c r="H39" s="352"/>
      <c r="I39" s="352"/>
      <c r="J39" s="352"/>
      <c r="K39" s="352"/>
      <c r="L39" s="359">
        <f t="shared" si="2"/>
        <v>0</v>
      </c>
      <c r="M39" s="360" t="str">
        <f t="shared" si="3"/>
        <v/>
      </c>
      <c r="N39" s="407"/>
      <c r="O39" s="408">
        <f t="shared" si="4"/>
        <v>0</v>
      </c>
      <c r="P39" s="409">
        <f t="shared" si="5"/>
        <v>0</v>
      </c>
      <c r="Q39" s="374"/>
      <c r="R39" s="361"/>
      <c r="S39" s="401">
        <f t="shared" si="0"/>
        <v>0</v>
      </c>
      <c r="T39" s="401">
        <f t="shared" si="1"/>
        <v>0</v>
      </c>
    </row>
    <row r="40" spans="1:21" ht="13.8">
      <c r="A40" s="366" t="s">
        <v>436</v>
      </c>
      <c r="B40" s="414" t="s">
        <v>452</v>
      </c>
      <c r="C40" s="398" t="s">
        <v>629</v>
      </c>
      <c r="D40" s="399" t="str">
        <f>VLOOKUP(A40,[5]Hoja1!$B$6:$I$1424,3,FALSE)</f>
        <v>UN</v>
      </c>
      <c r="E40" s="400">
        <v>16.624731199999999</v>
      </c>
      <c r="F40" s="368"/>
      <c r="G40" s="352"/>
      <c r="H40" s="352"/>
      <c r="I40" s="352"/>
      <c r="J40" s="352"/>
      <c r="K40" s="352"/>
      <c r="L40" s="359">
        <f t="shared" si="2"/>
        <v>0</v>
      </c>
      <c r="M40" s="360" t="str">
        <f t="shared" si="3"/>
        <v/>
      </c>
      <c r="N40" s="407"/>
      <c r="O40" s="408">
        <f t="shared" si="4"/>
        <v>0</v>
      </c>
      <c r="P40" s="409">
        <f t="shared" si="5"/>
        <v>0</v>
      </c>
      <c r="Q40" s="374"/>
      <c r="R40" s="361"/>
      <c r="S40" s="401">
        <f t="shared" si="0"/>
        <v>0</v>
      </c>
      <c r="T40" s="401">
        <f t="shared" si="1"/>
        <v>0</v>
      </c>
    </row>
    <row r="41" spans="1:21" ht="13.8">
      <c r="A41" s="366" t="s">
        <v>388</v>
      </c>
      <c r="B41" s="414" t="s">
        <v>452</v>
      </c>
      <c r="C41" s="398" t="s">
        <v>630</v>
      </c>
      <c r="D41" s="399" t="str">
        <f>VLOOKUP(A41,[5]Hoja1!$B$6:$I$1424,3,FALSE)</f>
        <v>M</v>
      </c>
      <c r="E41" s="400">
        <v>1.1721248</v>
      </c>
      <c r="F41" s="368"/>
      <c r="G41" s="352"/>
      <c r="H41" s="352"/>
      <c r="I41" s="352"/>
      <c r="J41" s="352"/>
      <c r="K41" s="352"/>
      <c r="L41" s="359">
        <f t="shared" si="2"/>
        <v>0</v>
      </c>
      <c r="M41" s="360" t="str">
        <f t="shared" si="3"/>
        <v/>
      </c>
      <c r="N41" s="407"/>
      <c r="O41" s="408">
        <f t="shared" si="4"/>
        <v>0</v>
      </c>
      <c r="P41" s="409">
        <f t="shared" si="5"/>
        <v>0</v>
      </c>
      <c r="Q41" s="374"/>
      <c r="R41" s="361"/>
      <c r="S41" s="401">
        <f t="shared" si="0"/>
        <v>0</v>
      </c>
      <c r="T41" s="401">
        <f t="shared" si="1"/>
        <v>0</v>
      </c>
    </row>
    <row r="42" spans="1:21" ht="13.8">
      <c r="A42" s="366" t="s">
        <v>389</v>
      </c>
      <c r="B42" s="414" t="s">
        <v>452</v>
      </c>
      <c r="C42" s="398" t="s">
        <v>631</v>
      </c>
      <c r="D42" s="399" t="str">
        <f>VLOOKUP(A42,[5]Hoja1!$B$6:$I$1424,3,FALSE)</f>
        <v>UN</v>
      </c>
      <c r="E42" s="400">
        <v>13.437916799999998</v>
      </c>
      <c r="F42" s="368"/>
      <c r="G42" s="352"/>
      <c r="H42" s="352"/>
      <c r="I42" s="352"/>
      <c r="J42" s="352"/>
      <c r="K42" s="352"/>
      <c r="L42" s="359">
        <f t="shared" si="2"/>
        <v>0</v>
      </c>
      <c r="M42" s="360" t="str">
        <f t="shared" si="3"/>
        <v/>
      </c>
      <c r="N42" s="407"/>
      <c r="O42" s="408">
        <f t="shared" si="4"/>
        <v>0</v>
      </c>
      <c r="P42" s="409">
        <f t="shared" si="5"/>
        <v>0</v>
      </c>
      <c r="Q42" s="374"/>
      <c r="R42" s="361"/>
      <c r="S42" s="401">
        <f t="shared" si="0"/>
        <v>0</v>
      </c>
      <c r="T42" s="401">
        <f t="shared" si="1"/>
        <v>0</v>
      </c>
    </row>
    <row r="43" spans="1:21" ht="13.8">
      <c r="A43" s="366" t="s">
        <v>390</v>
      </c>
      <c r="B43" s="414" t="s">
        <v>452</v>
      </c>
      <c r="C43" s="398" t="s">
        <v>632</v>
      </c>
      <c r="D43" s="399" t="str">
        <f>VLOOKUP(A43,[5]Hoja1!$B$6:$I$1424,3,FALSE)</f>
        <v>UN</v>
      </c>
      <c r="E43" s="400">
        <v>29.613953600000002</v>
      </c>
      <c r="F43" s="368"/>
      <c r="G43" s="352"/>
      <c r="H43" s="352"/>
      <c r="I43" s="352"/>
      <c r="J43" s="352"/>
      <c r="K43" s="352"/>
      <c r="L43" s="359">
        <f t="shared" si="2"/>
        <v>0</v>
      </c>
      <c r="M43" s="360" t="str">
        <f t="shared" si="3"/>
        <v/>
      </c>
      <c r="N43" s="407"/>
      <c r="O43" s="408">
        <f t="shared" si="4"/>
        <v>0</v>
      </c>
      <c r="P43" s="409">
        <f t="shared" si="5"/>
        <v>0</v>
      </c>
      <c r="Q43" s="374"/>
      <c r="R43" s="361"/>
      <c r="S43" s="401">
        <f t="shared" si="0"/>
        <v>0</v>
      </c>
      <c r="T43" s="401">
        <f t="shared" si="1"/>
        <v>0</v>
      </c>
    </row>
    <row r="44" spans="1:21" ht="13.8">
      <c r="A44" s="366" t="s">
        <v>416</v>
      </c>
      <c r="B44" s="414" t="s">
        <v>452</v>
      </c>
      <c r="C44" s="398" t="s">
        <v>633</v>
      </c>
      <c r="D44" s="399" t="str">
        <f>VLOOKUP(A44,[5]Hoja1!$B$6:$I$1424,3,FALSE)</f>
        <v>UN</v>
      </c>
      <c r="E44" s="400">
        <v>0</v>
      </c>
      <c r="F44" s="368"/>
      <c r="G44" s="352"/>
      <c r="H44" s="352"/>
      <c r="I44" s="352"/>
      <c r="J44" s="352"/>
      <c r="K44" s="352"/>
      <c r="L44" s="359">
        <f t="shared" si="2"/>
        <v>0</v>
      </c>
      <c r="M44" s="360" t="str">
        <f t="shared" si="3"/>
        <v/>
      </c>
      <c r="N44" s="407"/>
      <c r="O44" s="408">
        <f t="shared" si="4"/>
        <v>0</v>
      </c>
      <c r="P44" s="409">
        <f t="shared" si="5"/>
        <v>0</v>
      </c>
      <c r="Q44" s="374"/>
      <c r="R44" s="361"/>
      <c r="S44" s="401">
        <f>O44</f>
        <v>0</v>
      </c>
      <c r="T44" s="401">
        <f>S44*E44</f>
        <v>0</v>
      </c>
    </row>
    <row r="45" spans="1:21" ht="13.8">
      <c r="A45" s="366" t="s">
        <v>443</v>
      </c>
      <c r="B45" s="414" t="s">
        <v>452</v>
      </c>
      <c r="C45" s="398" t="s">
        <v>634</v>
      </c>
      <c r="D45" s="399" t="str">
        <f>VLOOKUP(A45,[5]Hoja1!$B$6:$I$1424,3,FALSE)</f>
        <v>UN</v>
      </c>
      <c r="E45" s="400">
        <v>37.588073600000008</v>
      </c>
      <c r="F45" s="368"/>
      <c r="G45" s="352"/>
      <c r="H45" s="352"/>
      <c r="I45" s="352"/>
      <c r="J45" s="352"/>
      <c r="K45" s="352"/>
      <c r="L45" s="359">
        <f t="shared" si="2"/>
        <v>0</v>
      </c>
      <c r="M45" s="360" t="str">
        <f t="shared" si="3"/>
        <v/>
      </c>
      <c r="N45" s="407"/>
      <c r="O45" s="408">
        <f t="shared" si="4"/>
        <v>0</v>
      </c>
      <c r="P45" s="409">
        <f t="shared" si="5"/>
        <v>0</v>
      </c>
      <c r="Q45" s="374"/>
      <c r="R45" s="361"/>
      <c r="S45" s="401">
        <f t="shared" si="0"/>
        <v>0</v>
      </c>
      <c r="T45" s="401">
        <f t="shared" si="1"/>
        <v>0</v>
      </c>
    </row>
    <row r="46" spans="1:21" ht="13.8">
      <c r="A46" s="366" t="s">
        <v>391</v>
      </c>
      <c r="B46" s="414" t="s">
        <v>452</v>
      </c>
      <c r="C46" s="398" t="s">
        <v>635</v>
      </c>
      <c r="D46" s="399" t="str">
        <f>VLOOKUP(A46,[5]Hoja1!$B$6:$I$1424,3,FALSE)</f>
        <v>UN</v>
      </c>
      <c r="E46" s="400">
        <v>1</v>
      </c>
      <c r="F46" s="368"/>
      <c r="G46" s="352"/>
      <c r="H46" s="352"/>
      <c r="I46" s="352"/>
      <c r="J46" s="352"/>
      <c r="K46" s="352"/>
      <c r="L46" s="359">
        <f t="shared" si="2"/>
        <v>0</v>
      </c>
      <c r="M46" s="360" t="str">
        <f t="shared" si="3"/>
        <v/>
      </c>
      <c r="N46" s="407"/>
      <c r="O46" s="408">
        <f t="shared" si="4"/>
        <v>0</v>
      </c>
      <c r="P46" s="409">
        <f t="shared" si="5"/>
        <v>0</v>
      </c>
      <c r="Q46" s="374"/>
      <c r="R46" s="361"/>
      <c r="S46" s="401">
        <f>O46</f>
        <v>0</v>
      </c>
      <c r="T46" s="401">
        <f>S46*E46</f>
        <v>0</v>
      </c>
    </row>
    <row r="47" spans="1:21" ht="13.8">
      <c r="A47" s="366" t="s">
        <v>444</v>
      </c>
      <c r="B47" s="414" t="s">
        <v>452</v>
      </c>
      <c r="C47" s="403" t="s">
        <v>636</v>
      </c>
      <c r="D47" s="404" t="str">
        <f>VLOOKUP(A47,[5]Hoja1!$B$6:$I$1424,3,FALSE)</f>
        <v>UN</v>
      </c>
      <c r="E47" s="400">
        <v>40.506312000000001</v>
      </c>
      <c r="F47" s="370"/>
      <c r="G47" s="356"/>
      <c r="H47" s="356"/>
      <c r="I47" s="356"/>
      <c r="J47" s="356"/>
      <c r="K47" s="356"/>
      <c r="L47" s="359">
        <f t="shared" si="2"/>
        <v>0</v>
      </c>
      <c r="M47" s="360" t="str">
        <f t="shared" si="3"/>
        <v/>
      </c>
      <c r="N47" s="407"/>
      <c r="O47" s="408">
        <f t="shared" si="4"/>
        <v>0</v>
      </c>
      <c r="P47" s="409">
        <f t="shared" si="5"/>
        <v>0</v>
      </c>
      <c r="Q47" s="371"/>
      <c r="R47" s="357"/>
      <c r="S47" s="406">
        <f t="shared" si="0"/>
        <v>0</v>
      </c>
      <c r="T47" s="406">
        <f t="shared" si="1"/>
        <v>0</v>
      </c>
      <c r="U47" s="444" t="e">
        <f>+VLOOKUP(A47,'[6]Servicio Tercerizado'!$B$4:$Q$24,16,0)</f>
        <v>#N/A</v>
      </c>
    </row>
    <row r="48" spans="1:21" ht="13.8">
      <c r="A48" s="366" t="s">
        <v>392</v>
      </c>
      <c r="B48" s="414" t="s">
        <v>452</v>
      </c>
      <c r="C48" s="398" t="s">
        <v>637</v>
      </c>
      <c r="D48" s="399" t="str">
        <f>VLOOKUP(A48,[5]Hoja1!$B$6:$I$1424,3,FALSE)</f>
        <v>M</v>
      </c>
      <c r="E48" s="400">
        <v>0.67</v>
      </c>
      <c r="F48" s="370"/>
      <c r="G48" s="352"/>
      <c r="H48" s="352"/>
      <c r="I48" s="352"/>
      <c r="J48" s="352"/>
      <c r="K48" s="352"/>
      <c r="L48" s="359">
        <f t="shared" si="2"/>
        <v>0</v>
      </c>
      <c r="M48" s="360" t="str">
        <f t="shared" si="3"/>
        <v/>
      </c>
      <c r="N48" s="407"/>
      <c r="O48" s="408">
        <f t="shared" si="4"/>
        <v>0</v>
      </c>
      <c r="P48" s="409">
        <f t="shared" si="5"/>
        <v>0</v>
      </c>
      <c r="Q48" s="374"/>
      <c r="R48" s="361"/>
      <c r="S48" s="401">
        <f t="shared" si="0"/>
        <v>0</v>
      </c>
      <c r="T48" s="401">
        <f t="shared" si="1"/>
        <v>0</v>
      </c>
    </row>
    <row r="49" spans="1:21" ht="13.8">
      <c r="A49" s="366" t="s">
        <v>393</v>
      </c>
      <c r="B49" s="414" t="s">
        <v>452</v>
      </c>
      <c r="C49" s="398" t="s">
        <v>638</v>
      </c>
      <c r="D49" s="399" t="str">
        <f>VLOOKUP(A49,[5]Hoja1!$B$6:$I$1424,3,FALSE)</f>
        <v>UN</v>
      </c>
      <c r="E49" s="400">
        <v>44.961224000000001</v>
      </c>
      <c r="F49" s="370"/>
      <c r="G49" s="352"/>
      <c r="H49" s="352"/>
      <c r="I49" s="352"/>
      <c r="J49" s="352"/>
      <c r="K49" s="352"/>
      <c r="L49" s="359">
        <f t="shared" si="2"/>
        <v>0</v>
      </c>
      <c r="M49" s="360" t="str">
        <f t="shared" si="3"/>
        <v/>
      </c>
      <c r="N49" s="407"/>
      <c r="O49" s="408">
        <f t="shared" si="4"/>
        <v>0</v>
      </c>
      <c r="P49" s="409">
        <f t="shared" si="5"/>
        <v>0</v>
      </c>
      <c r="Q49" s="374"/>
      <c r="R49" s="361"/>
      <c r="S49" s="401">
        <f t="shared" si="0"/>
        <v>0</v>
      </c>
      <c r="T49" s="401">
        <f t="shared" si="1"/>
        <v>0</v>
      </c>
    </row>
    <row r="50" spans="1:21" ht="13.8">
      <c r="A50" s="366" t="s">
        <v>437</v>
      </c>
      <c r="B50" s="414" t="s">
        <v>452</v>
      </c>
      <c r="C50" s="398" t="s">
        <v>639</v>
      </c>
      <c r="D50" s="399" t="str">
        <f>VLOOKUP(A50,[5]Hoja1!$B$6:$I$1424,3,FALSE)</f>
        <v>UN</v>
      </c>
      <c r="E50" s="400">
        <v>31.473904000000001</v>
      </c>
      <c r="F50" s="370"/>
      <c r="G50" s="352"/>
      <c r="H50" s="352"/>
      <c r="I50" s="352"/>
      <c r="J50" s="352"/>
      <c r="K50" s="352"/>
      <c r="L50" s="359">
        <f t="shared" si="2"/>
        <v>0</v>
      </c>
      <c r="M50" s="360" t="str">
        <f t="shared" si="3"/>
        <v/>
      </c>
      <c r="N50" s="407"/>
      <c r="O50" s="408">
        <f t="shared" si="4"/>
        <v>0</v>
      </c>
      <c r="P50" s="409">
        <f t="shared" si="5"/>
        <v>0</v>
      </c>
      <c r="Q50" s="374"/>
      <c r="R50" s="361"/>
      <c r="S50" s="401">
        <f t="shared" si="0"/>
        <v>0</v>
      </c>
      <c r="T50" s="401">
        <f t="shared" si="1"/>
        <v>0</v>
      </c>
    </row>
    <row r="51" spans="1:21" ht="13.8">
      <c r="A51" s="366" t="s">
        <v>438</v>
      </c>
      <c r="B51" s="414" t="s">
        <v>452</v>
      </c>
      <c r="C51" s="398" t="s">
        <v>640</v>
      </c>
      <c r="D51" s="399" t="str">
        <f>VLOOKUP(A51,[5]Hoja1!$B$6:$I$1424,3,FALSE)</f>
        <v>UN</v>
      </c>
      <c r="E51" s="400">
        <v>58.449776</v>
      </c>
      <c r="F51" s="370"/>
      <c r="G51" s="352"/>
      <c r="H51" s="352"/>
      <c r="I51" s="352"/>
      <c r="J51" s="352"/>
      <c r="K51" s="352"/>
      <c r="L51" s="359">
        <f t="shared" si="2"/>
        <v>0</v>
      </c>
      <c r="M51" s="360" t="str">
        <f t="shared" si="3"/>
        <v/>
      </c>
      <c r="N51" s="407"/>
      <c r="O51" s="408">
        <f t="shared" si="4"/>
        <v>0</v>
      </c>
      <c r="P51" s="409">
        <f t="shared" si="5"/>
        <v>0</v>
      </c>
      <c r="Q51" s="374"/>
      <c r="R51" s="361"/>
      <c r="S51" s="401">
        <f t="shared" si="0"/>
        <v>0</v>
      </c>
      <c r="T51" s="401">
        <f t="shared" si="1"/>
        <v>0</v>
      </c>
    </row>
    <row r="52" spans="1:21" ht="13.8">
      <c r="A52" s="366" t="s">
        <v>394</v>
      </c>
      <c r="B52" s="414" t="s">
        <v>452</v>
      </c>
      <c r="C52" s="398" t="s">
        <v>641</v>
      </c>
      <c r="D52" s="399" t="str">
        <f>VLOOKUP(A52,[5]Hoja1!$B$6:$I$1424,3,FALSE)</f>
        <v>UN</v>
      </c>
      <c r="E52" s="400">
        <v>251.3950208</v>
      </c>
      <c r="F52" s="370"/>
      <c r="G52" s="352"/>
      <c r="H52" s="352"/>
      <c r="I52" s="352"/>
      <c r="J52" s="352"/>
      <c r="K52" s="352"/>
      <c r="L52" s="359">
        <f t="shared" si="2"/>
        <v>0</v>
      </c>
      <c r="M52" s="360" t="str">
        <f t="shared" si="3"/>
        <v/>
      </c>
      <c r="N52" s="407"/>
      <c r="O52" s="408">
        <f t="shared" si="4"/>
        <v>0</v>
      </c>
      <c r="P52" s="409">
        <f t="shared" si="5"/>
        <v>0</v>
      </c>
      <c r="Q52" s="374"/>
      <c r="R52" s="361"/>
      <c r="S52" s="401">
        <f t="shared" si="0"/>
        <v>0</v>
      </c>
      <c r="T52" s="401">
        <f t="shared" si="1"/>
        <v>0</v>
      </c>
    </row>
    <row r="53" spans="1:21" ht="13.8">
      <c r="A53" s="366" t="s">
        <v>415</v>
      </c>
      <c r="B53" s="414" t="s">
        <v>452</v>
      </c>
      <c r="C53" s="398" t="s">
        <v>642</v>
      </c>
      <c r="D53" s="399" t="str">
        <f>VLOOKUP(A53,[5]Hoja1!$B$6:$I$1424,3,FALSE)</f>
        <v>UN</v>
      </c>
      <c r="E53" s="400">
        <v>2</v>
      </c>
      <c r="F53" s="370"/>
      <c r="G53" s="352"/>
      <c r="H53" s="352"/>
      <c r="I53" s="352"/>
      <c r="J53" s="352"/>
      <c r="K53" s="352"/>
      <c r="L53" s="359">
        <f t="shared" si="2"/>
        <v>0</v>
      </c>
      <c r="M53" s="360" t="str">
        <f t="shared" si="3"/>
        <v/>
      </c>
      <c r="N53" s="407"/>
      <c r="O53" s="408">
        <f t="shared" si="4"/>
        <v>0</v>
      </c>
      <c r="P53" s="409">
        <f t="shared" si="5"/>
        <v>0</v>
      </c>
      <c r="Q53" s="374"/>
      <c r="R53" s="361"/>
      <c r="S53" s="401">
        <f t="shared" si="0"/>
        <v>0</v>
      </c>
      <c r="T53" s="401">
        <f t="shared" si="1"/>
        <v>0</v>
      </c>
    </row>
    <row r="54" spans="1:21" ht="13.8">
      <c r="A54" s="366" t="s">
        <v>439</v>
      </c>
      <c r="B54" s="414" t="s">
        <v>452</v>
      </c>
      <c r="C54" s="398" t="s">
        <v>643</v>
      </c>
      <c r="D54" s="399" t="str">
        <f>VLOOKUP(A54,[5]Hoja1!$B$6:$I$1424,3,FALSE)</f>
        <v>UN</v>
      </c>
      <c r="E54" s="400">
        <v>14.2300928</v>
      </c>
      <c r="F54" s="370"/>
      <c r="G54" s="352"/>
      <c r="H54" s="352"/>
      <c r="I54" s="352"/>
      <c r="J54" s="352"/>
      <c r="K54" s="352"/>
      <c r="L54" s="359">
        <f t="shared" si="2"/>
        <v>0</v>
      </c>
      <c r="M54" s="360" t="str">
        <f t="shared" si="3"/>
        <v/>
      </c>
      <c r="N54" s="407"/>
      <c r="O54" s="408">
        <f t="shared" si="4"/>
        <v>0</v>
      </c>
      <c r="P54" s="409">
        <f t="shared" si="5"/>
        <v>0</v>
      </c>
      <c r="Q54" s="374"/>
      <c r="R54" s="361"/>
      <c r="S54" s="401">
        <f t="shared" si="0"/>
        <v>0</v>
      </c>
      <c r="T54" s="401">
        <f t="shared" si="1"/>
        <v>0</v>
      </c>
    </row>
    <row r="55" spans="1:21" ht="13.8">
      <c r="A55" s="366" t="s">
        <v>419</v>
      </c>
      <c r="B55" s="414" t="s">
        <v>452</v>
      </c>
      <c r="C55" s="398" t="s">
        <v>644</v>
      </c>
      <c r="D55" s="399" t="str">
        <f>VLOOKUP(A55,[5]Hoja1!$B$6:$I$1424,3,FALSE)</f>
        <v>UN</v>
      </c>
      <c r="E55" s="400">
        <v>1</v>
      </c>
      <c r="F55" s="370"/>
      <c r="G55" s="352"/>
      <c r="H55" s="352"/>
      <c r="I55" s="352"/>
      <c r="J55" s="352"/>
      <c r="K55" s="352"/>
      <c r="L55" s="359">
        <f t="shared" si="2"/>
        <v>0</v>
      </c>
      <c r="M55" s="360" t="str">
        <f t="shared" si="3"/>
        <v/>
      </c>
      <c r="N55" s="407"/>
      <c r="O55" s="408">
        <f t="shared" si="4"/>
        <v>0</v>
      </c>
      <c r="P55" s="409">
        <f t="shared" si="5"/>
        <v>0</v>
      </c>
      <c r="Q55" s="374"/>
      <c r="R55" s="361"/>
      <c r="S55" s="401">
        <f t="shared" si="0"/>
        <v>0</v>
      </c>
      <c r="T55" s="401">
        <f t="shared" si="1"/>
        <v>0</v>
      </c>
    </row>
    <row r="56" spans="1:21" ht="13.8">
      <c r="A56" s="366" t="s">
        <v>440</v>
      </c>
      <c r="B56" s="414" t="s">
        <v>452</v>
      </c>
      <c r="C56" s="398" t="s">
        <v>645</v>
      </c>
      <c r="D56" s="399" t="str">
        <f>VLOOKUP(A56,[5]Hoja1!$B$6:$I$1424,3,FALSE)</f>
        <v>UN</v>
      </c>
      <c r="E56" s="400">
        <v>12.455643200000001</v>
      </c>
      <c r="F56" s="368"/>
      <c r="G56" s="352"/>
      <c r="H56" s="352"/>
      <c r="I56" s="352"/>
      <c r="J56" s="352"/>
      <c r="K56" s="352"/>
      <c r="L56" s="359">
        <f t="shared" si="2"/>
        <v>0</v>
      </c>
      <c r="M56" s="360" t="str">
        <f t="shared" si="3"/>
        <v/>
      </c>
      <c r="N56" s="407"/>
      <c r="O56" s="408">
        <f t="shared" si="4"/>
        <v>0</v>
      </c>
      <c r="P56" s="409">
        <f t="shared" si="5"/>
        <v>0</v>
      </c>
      <c r="Q56" s="374"/>
      <c r="R56" s="361"/>
      <c r="S56" s="401">
        <f t="shared" si="0"/>
        <v>0</v>
      </c>
      <c r="T56" s="401">
        <f t="shared" si="1"/>
        <v>0</v>
      </c>
    </row>
    <row r="57" spans="1:21" ht="13.8">
      <c r="A57" s="366" t="s">
        <v>420</v>
      </c>
      <c r="B57" s="414" t="s">
        <v>452</v>
      </c>
      <c r="C57" s="398" t="s">
        <v>646</v>
      </c>
      <c r="D57" s="399" t="str">
        <f>VLOOKUP(A57,[5]Hoja1!$B$6:$I$1424,3,FALSE)</f>
        <v>UN</v>
      </c>
      <c r="E57" s="400">
        <v>27.543700800000003</v>
      </c>
      <c r="F57" s="368"/>
      <c r="G57" s="352"/>
      <c r="H57" s="352"/>
      <c r="I57" s="352"/>
      <c r="J57" s="352"/>
      <c r="K57" s="352"/>
      <c r="L57" s="359">
        <f t="shared" si="2"/>
        <v>0</v>
      </c>
      <c r="M57" s="360" t="str">
        <f t="shared" si="3"/>
        <v/>
      </c>
      <c r="N57" s="407"/>
      <c r="O57" s="408">
        <f t="shared" si="4"/>
        <v>0</v>
      </c>
      <c r="P57" s="409">
        <f t="shared" si="5"/>
        <v>0</v>
      </c>
      <c r="Q57" s="355"/>
      <c r="R57" s="347"/>
      <c r="S57" s="401">
        <f t="shared" si="0"/>
        <v>0</v>
      </c>
      <c r="T57" s="401">
        <f t="shared" si="1"/>
        <v>0</v>
      </c>
      <c r="U57" s="444" t="e">
        <f>+VLOOKUP(A57,'[6]Servicio Tercerizado'!$B$4:$Q$24,16,0)</f>
        <v>#N/A</v>
      </c>
    </row>
    <row r="58" spans="1:21" ht="13.8">
      <c r="A58" s="366" t="s">
        <v>421</v>
      </c>
      <c r="B58" s="414" t="s">
        <v>452</v>
      </c>
      <c r="C58" s="398" t="s">
        <v>647</v>
      </c>
      <c r="D58" s="399" t="str">
        <f>VLOOKUP(A58,[5]Hoja1!$B$6:$I$1424,3,FALSE)</f>
        <v>UN</v>
      </c>
      <c r="E58" s="400">
        <v>187.92</v>
      </c>
      <c r="F58" s="368"/>
      <c r="G58" s="352"/>
      <c r="H58" s="352"/>
      <c r="I58" s="352"/>
      <c r="J58" s="352"/>
      <c r="K58" s="352"/>
      <c r="L58" s="359">
        <f t="shared" si="2"/>
        <v>0</v>
      </c>
      <c r="M58" s="360" t="str">
        <f t="shared" si="3"/>
        <v/>
      </c>
      <c r="N58" s="407"/>
      <c r="O58" s="408">
        <f t="shared" si="4"/>
        <v>0</v>
      </c>
      <c r="P58" s="409">
        <f t="shared" si="5"/>
        <v>0</v>
      </c>
      <c r="Q58" s="374"/>
      <c r="R58" s="361"/>
      <c r="S58" s="401">
        <f t="shared" si="0"/>
        <v>0</v>
      </c>
      <c r="T58" s="401">
        <f t="shared" si="1"/>
        <v>0</v>
      </c>
    </row>
    <row r="59" spans="1:21" ht="13.8">
      <c r="A59" s="366" t="s">
        <v>499</v>
      </c>
      <c r="B59" s="414" t="s">
        <v>452</v>
      </c>
      <c r="C59" s="398" t="s">
        <v>648</v>
      </c>
      <c r="D59" s="399" t="str">
        <f>VLOOKUP(A59,[5]Hoja1!$B$6:$I$1424,3,FALSE)</f>
        <v>M</v>
      </c>
      <c r="E59" s="400">
        <v>2.1258159999999999</v>
      </c>
      <c r="F59" s="368"/>
      <c r="G59" s="352"/>
      <c r="H59" s="352"/>
      <c r="I59" s="352"/>
      <c r="J59" s="352"/>
      <c r="K59" s="352"/>
      <c r="L59" s="359">
        <f t="shared" si="2"/>
        <v>0</v>
      </c>
      <c r="M59" s="360" t="str">
        <f t="shared" si="3"/>
        <v/>
      </c>
      <c r="N59" s="407"/>
      <c r="O59" s="408">
        <f t="shared" si="4"/>
        <v>0</v>
      </c>
      <c r="P59" s="409">
        <f t="shared" si="5"/>
        <v>0</v>
      </c>
      <c r="Q59" s="374"/>
      <c r="R59" s="361"/>
      <c r="S59" s="401">
        <f t="shared" si="0"/>
        <v>0</v>
      </c>
      <c r="T59" s="401">
        <f t="shared" si="1"/>
        <v>0</v>
      </c>
    </row>
    <row r="60" spans="1:21" ht="13.8">
      <c r="A60" s="366" t="s">
        <v>422</v>
      </c>
      <c r="B60" s="414" t="s">
        <v>452</v>
      </c>
      <c r="C60" s="398" t="s">
        <v>649</v>
      </c>
      <c r="D60" s="399" t="str">
        <f>VLOOKUP(A60,[5]Hoja1!$B$6:$I$1424,3,FALSE)</f>
        <v>UN</v>
      </c>
      <c r="E60" s="400">
        <v>5.3088112000000001</v>
      </c>
      <c r="F60" s="368"/>
      <c r="G60" s="352"/>
      <c r="H60" s="352"/>
      <c r="I60" s="352"/>
      <c r="J60" s="352"/>
      <c r="K60" s="352"/>
      <c r="L60" s="359">
        <f t="shared" si="2"/>
        <v>0</v>
      </c>
      <c r="M60" s="360" t="str">
        <f t="shared" si="3"/>
        <v/>
      </c>
      <c r="N60" s="407"/>
      <c r="O60" s="408">
        <f t="shared" si="4"/>
        <v>0</v>
      </c>
      <c r="P60" s="409">
        <f t="shared" si="5"/>
        <v>0</v>
      </c>
      <c r="Q60" s="374"/>
      <c r="R60" s="361"/>
      <c r="S60" s="401">
        <f t="shared" si="0"/>
        <v>0</v>
      </c>
      <c r="T60" s="401">
        <f t="shared" si="1"/>
        <v>0</v>
      </c>
    </row>
    <row r="61" spans="1:21" ht="15">
      <c r="A61" s="366" t="s">
        <v>442</v>
      </c>
      <c r="B61" s="414" t="s">
        <v>452</v>
      </c>
      <c r="C61" s="398" t="s">
        <v>446</v>
      </c>
      <c r="D61" s="399" t="str">
        <f>VLOOKUP(A61,[5]Hoja1!$B$6:$I$1424,3,FALSE)</f>
        <v>UN</v>
      </c>
      <c r="E61" s="400">
        <v>19.617998400000001</v>
      </c>
      <c r="F61" s="368"/>
      <c r="G61" s="352"/>
      <c r="H61" s="352"/>
      <c r="I61" s="352"/>
      <c r="J61" s="352"/>
      <c r="K61" s="352"/>
      <c r="L61" s="359">
        <f t="shared" si="2"/>
        <v>0</v>
      </c>
      <c r="M61" s="360" t="str">
        <f t="shared" si="3"/>
        <v/>
      </c>
      <c r="N61" s="407"/>
      <c r="O61" s="408">
        <f t="shared" si="4"/>
        <v>0</v>
      </c>
      <c r="P61" s="409">
        <f t="shared" si="5"/>
        <v>0</v>
      </c>
      <c r="Q61" s="374"/>
      <c r="R61" s="358"/>
      <c r="S61" s="401">
        <f t="shared" si="0"/>
        <v>0</v>
      </c>
      <c r="T61" s="401">
        <f t="shared" si="1"/>
        <v>0</v>
      </c>
      <c r="U61" s="444" t="e">
        <f>+VLOOKUP(A61,'[6]Servicio Tercerizado'!$B$4:$Q$24,16,0)</f>
        <v>#N/A</v>
      </c>
    </row>
    <row r="62" spans="1:21" ht="13.8">
      <c r="A62" s="366" t="s">
        <v>505</v>
      </c>
      <c r="B62" s="414" t="s">
        <v>452</v>
      </c>
      <c r="C62" s="398" t="s">
        <v>650</v>
      </c>
      <c r="D62" s="399" t="str">
        <f>VLOOKUP(A62,[5]Hoja1!$B$6:$I$1424,3,FALSE)</f>
        <v>UN</v>
      </c>
      <c r="E62" s="400">
        <v>4.04</v>
      </c>
      <c r="F62" s="368"/>
      <c r="G62" s="352"/>
      <c r="H62" s="352"/>
      <c r="I62" s="352"/>
      <c r="J62" s="352"/>
      <c r="K62" s="352"/>
      <c r="L62" s="359">
        <f t="shared" si="2"/>
        <v>0</v>
      </c>
      <c r="M62" s="360" t="str">
        <f t="shared" si="3"/>
        <v/>
      </c>
      <c r="N62" s="407"/>
      <c r="O62" s="408">
        <f t="shared" si="4"/>
        <v>0</v>
      </c>
      <c r="P62" s="409">
        <f t="shared" si="5"/>
        <v>0</v>
      </c>
      <c r="Q62" s="374"/>
      <c r="R62" s="361"/>
      <c r="S62" s="401">
        <f t="shared" si="0"/>
        <v>0</v>
      </c>
      <c r="T62" s="401">
        <f t="shared" si="1"/>
        <v>0</v>
      </c>
      <c r="U62" s="444">
        <f>+VLOOKUP(A62,'[6]Servicio Tercerizado'!$B$4:$Q$24,16,0)</f>
        <v>4.04</v>
      </c>
    </row>
    <row r="63" spans="1:21" ht="13.8">
      <c r="A63" s="366" t="s">
        <v>506</v>
      </c>
      <c r="B63" s="414" t="s">
        <v>452</v>
      </c>
      <c r="C63" s="398" t="s">
        <v>651</v>
      </c>
      <c r="D63" s="399" t="str">
        <f>VLOOKUP(A63,[5]Hoja1!$B$6:$I$1424,3,FALSE)</f>
        <v>M3</v>
      </c>
      <c r="E63" s="400">
        <v>21.7</v>
      </c>
      <c r="F63" s="368"/>
      <c r="G63" s="352"/>
      <c r="H63" s="352"/>
      <c r="I63" s="352"/>
      <c r="J63" s="352"/>
      <c r="K63" s="352"/>
      <c r="L63" s="359">
        <f t="shared" si="2"/>
        <v>0</v>
      </c>
      <c r="M63" s="360" t="str">
        <f t="shared" si="3"/>
        <v/>
      </c>
      <c r="N63" s="407"/>
      <c r="O63" s="408">
        <f t="shared" si="4"/>
        <v>0</v>
      </c>
      <c r="P63" s="409">
        <f t="shared" si="5"/>
        <v>0</v>
      </c>
      <c r="Q63" s="374"/>
      <c r="R63" s="361"/>
      <c r="S63" s="401">
        <f t="shared" si="0"/>
        <v>0</v>
      </c>
      <c r="T63" s="401">
        <f t="shared" si="1"/>
        <v>0</v>
      </c>
    </row>
    <row r="64" spans="1:21" ht="13.8">
      <c r="A64" s="366" t="s">
        <v>441</v>
      </c>
      <c r="B64" s="414" t="s">
        <v>452</v>
      </c>
      <c r="C64" s="398" t="s">
        <v>652</v>
      </c>
      <c r="D64" s="399" t="str">
        <f>VLOOKUP(A64,[5]Hoja1!$B$6:$I$1424,3,FALSE)</f>
        <v>UN</v>
      </c>
      <c r="E64" s="400">
        <v>5.5603855999999992</v>
      </c>
      <c r="F64" s="368"/>
      <c r="G64" s="352"/>
      <c r="H64" s="352"/>
      <c r="I64" s="352"/>
      <c r="J64" s="352"/>
      <c r="K64" s="352"/>
      <c r="L64" s="359">
        <f t="shared" si="2"/>
        <v>0</v>
      </c>
      <c r="M64" s="360" t="str">
        <f t="shared" si="3"/>
        <v/>
      </c>
      <c r="N64" s="407"/>
      <c r="O64" s="408">
        <f t="shared" si="4"/>
        <v>0</v>
      </c>
      <c r="P64" s="409">
        <f t="shared" si="5"/>
        <v>0</v>
      </c>
      <c r="Q64" s="374"/>
      <c r="R64" s="361"/>
      <c r="S64" s="401">
        <f>O64</f>
        <v>0</v>
      </c>
      <c r="T64" s="401">
        <f>S64*E64</f>
        <v>0</v>
      </c>
    </row>
    <row r="65" spans="1:21" ht="13.8">
      <c r="A65" s="366" t="s">
        <v>507</v>
      </c>
      <c r="B65" s="414" t="s">
        <v>452</v>
      </c>
      <c r="C65" s="398" t="s">
        <v>653</v>
      </c>
      <c r="D65" s="399" t="str">
        <f>VLOOKUP(A65,[5]Hoja1!$B$6:$I$1424,3,FALSE)</f>
        <v>UN</v>
      </c>
      <c r="E65" s="400">
        <v>7.9430736000000017</v>
      </c>
      <c r="F65" s="368"/>
      <c r="G65" s="352"/>
      <c r="H65" s="352"/>
      <c r="I65" s="352"/>
      <c r="J65" s="352"/>
      <c r="K65" s="352"/>
      <c r="L65" s="359">
        <f t="shared" si="2"/>
        <v>0</v>
      </c>
      <c r="M65" s="360" t="str">
        <f t="shared" si="3"/>
        <v/>
      </c>
      <c r="N65" s="407"/>
      <c r="O65" s="408">
        <f t="shared" si="4"/>
        <v>0</v>
      </c>
      <c r="P65" s="409">
        <f t="shared" si="5"/>
        <v>0</v>
      </c>
      <c r="Q65" s="374"/>
      <c r="R65" s="361"/>
      <c r="S65" s="401">
        <f t="shared" si="0"/>
        <v>0</v>
      </c>
      <c r="T65" s="401">
        <f t="shared" si="1"/>
        <v>0</v>
      </c>
    </row>
    <row r="66" spans="1:21" ht="13.8">
      <c r="A66" s="366" t="s">
        <v>433</v>
      </c>
      <c r="B66" s="414" t="s">
        <v>452</v>
      </c>
      <c r="C66" s="398" t="s">
        <v>654</v>
      </c>
      <c r="D66" s="399" t="str">
        <f>VLOOKUP(A66,[5]Hoja1!$B$6:$I$1424,3,FALSE)</f>
        <v>UN</v>
      </c>
      <c r="E66" s="400">
        <v>89.913824000000005</v>
      </c>
      <c r="F66" s="368"/>
      <c r="G66" s="352"/>
      <c r="H66" s="352"/>
      <c r="I66" s="352"/>
      <c r="J66" s="352"/>
      <c r="K66" s="356"/>
      <c r="L66" s="359">
        <f t="shared" si="2"/>
        <v>0</v>
      </c>
      <c r="M66" s="360" t="str">
        <f t="shared" si="3"/>
        <v/>
      </c>
      <c r="N66" s="407"/>
      <c r="O66" s="408">
        <f t="shared" si="4"/>
        <v>0</v>
      </c>
      <c r="P66" s="409">
        <f t="shared" si="5"/>
        <v>0</v>
      </c>
      <c r="Q66" s="355"/>
      <c r="R66" s="347"/>
      <c r="S66" s="401">
        <f t="shared" si="0"/>
        <v>0</v>
      </c>
      <c r="T66" s="401">
        <f t="shared" si="1"/>
        <v>0</v>
      </c>
    </row>
    <row r="67" spans="1:21" ht="13.8">
      <c r="A67" s="366" t="s">
        <v>140</v>
      </c>
      <c r="B67" s="414" t="s">
        <v>452</v>
      </c>
      <c r="C67" s="398" t="s">
        <v>655</v>
      </c>
      <c r="D67" s="399" t="str">
        <f>VLOOKUP(A67,[5]Hoja1!$B$6:$I$1424,3,FALSE)</f>
        <v>M2</v>
      </c>
      <c r="E67" s="400">
        <v>24.551049600000002</v>
      </c>
      <c r="F67" s="370"/>
      <c r="G67" s="352"/>
      <c r="H67" s="352"/>
      <c r="I67" s="352"/>
      <c r="J67" s="352"/>
      <c r="K67" s="356"/>
      <c r="L67" s="359">
        <f t="shared" si="2"/>
        <v>0</v>
      </c>
      <c r="M67" s="360" t="str">
        <f t="shared" si="3"/>
        <v/>
      </c>
      <c r="N67" s="407"/>
      <c r="O67" s="408">
        <f t="shared" si="4"/>
        <v>0</v>
      </c>
      <c r="P67" s="409">
        <f t="shared" si="5"/>
        <v>0</v>
      </c>
      <c r="Q67" s="371"/>
      <c r="R67" s="357"/>
      <c r="S67" s="401">
        <f t="shared" si="0"/>
        <v>0</v>
      </c>
      <c r="T67" s="401">
        <f t="shared" si="1"/>
        <v>0</v>
      </c>
    </row>
    <row r="68" spans="1:21" ht="13.8">
      <c r="A68" s="366" t="s">
        <v>414</v>
      </c>
      <c r="B68" s="414" t="s">
        <v>452</v>
      </c>
      <c r="C68" s="398" t="s">
        <v>656</v>
      </c>
      <c r="D68" s="399" t="str">
        <f>VLOOKUP(A68,[5]Hoja1!$B$6:$I$1424,3,FALSE)</f>
        <v>M2</v>
      </c>
      <c r="E68" s="400">
        <v>68.370456000000004</v>
      </c>
      <c r="F68" s="370"/>
      <c r="G68" s="352"/>
      <c r="H68" s="352"/>
      <c r="I68" s="352"/>
      <c r="J68" s="352"/>
      <c r="K68" s="356"/>
      <c r="L68" s="359">
        <f t="shared" si="2"/>
        <v>0</v>
      </c>
      <c r="M68" s="360" t="str">
        <f t="shared" si="3"/>
        <v/>
      </c>
      <c r="N68" s="407"/>
      <c r="O68" s="408">
        <f t="shared" si="4"/>
        <v>0</v>
      </c>
      <c r="P68" s="409">
        <f t="shared" si="5"/>
        <v>0</v>
      </c>
      <c r="Q68" s="371"/>
      <c r="R68" s="357"/>
      <c r="S68" s="401">
        <f t="shared" si="0"/>
        <v>0</v>
      </c>
      <c r="T68" s="401">
        <f t="shared" si="1"/>
        <v>0</v>
      </c>
      <c r="U68" s="444">
        <f>+VLOOKUP(A68,'[6]Servicio Tercerizado'!$B$4:$Q$24,16,0)</f>
        <v>68.17</v>
      </c>
    </row>
    <row r="69" spans="1:21" ht="13.8">
      <c r="A69" s="366" t="s">
        <v>408</v>
      </c>
      <c r="B69" s="414" t="s">
        <v>452</v>
      </c>
      <c r="C69" s="398" t="s">
        <v>657</v>
      </c>
      <c r="D69" s="399" t="str">
        <f>VLOOKUP(A69,[5]Hoja1!$B$6:$I$1424,3,FALSE)</f>
        <v>M2</v>
      </c>
      <c r="E69" s="400">
        <v>119.56</v>
      </c>
      <c r="F69" s="370"/>
      <c r="G69" s="352"/>
      <c r="H69" s="352"/>
      <c r="I69" s="352"/>
      <c r="J69" s="352"/>
      <c r="K69" s="356"/>
      <c r="L69" s="359">
        <f t="shared" si="2"/>
        <v>0</v>
      </c>
      <c r="M69" s="360" t="str">
        <f t="shared" si="3"/>
        <v/>
      </c>
      <c r="N69" s="407"/>
      <c r="O69" s="408">
        <f t="shared" si="4"/>
        <v>0</v>
      </c>
      <c r="P69" s="409">
        <f t="shared" si="5"/>
        <v>0</v>
      </c>
      <c r="Q69" s="374"/>
      <c r="R69" s="357"/>
      <c r="S69" s="401">
        <f t="shared" si="0"/>
        <v>0</v>
      </c>
      <c r="T69" s="401">
        <f t="shared" si="1"/>
        <v>0</v>
      </c>
      <c r="U69" s="444">
        <f>+VLOOKUP(A69,'[6]Servicio Tercerizado'!$B$4:$Q$24,16,0)</f>
        <v>119.56</v>
      </c>
    </row>
    <row r="70" spans="1:21" ht="13.8">
      <c r="A70" s="366" t="s">
        <v>401</v>
      </c>
      <c r="B70" s="414" t="s">
        <v>452</v>
      </c>
      <c r="C70" s="398" t="s">
        <v>658</v>
      </c>
      <c r="D70" s="399" t="str">
        <f>VLOOKUP(A70,[5]Hoja1!$B$6:$I$1424,3,FALSE)</f>
        <v>H</v>
      </c>
      <c r="E70" s="400">
        <v>201.04</v>
      </c>
      <c r="F70" s="370"/>
      <c r="G70" s="352"/>
      <c r="H70" s="352"/>
      <c r="I70" s="352"/>
      <c r="J70" s="352"/>
      <c r="K70" s="356"/>
      <c r="L70" s="359">
        <f t="shared" si="2"/>
        <v>0</v>
      </c>
      <c r="M70" s="360" t="str">
        <f t="shared" si="3"/>
        <v/>
      </c>
      <c r="N70" s="407"/>
      <c r="O70" s="408">
        <f t="shared" si="4"/>
        <v>0</v>
      </c>
      <c r="P70" s="409">
        <f t="shared" si="5"/>
        <v>0</v>
      </c>
      <c r="Q70" s="374" t="s">
        <v>500</v>
      </c>
      <c r="R70" s="357"/>
      <c r="S70" s="401">
        <f t="shared" si="0"/>
        <v>0</v>
      </c>
      <c r="T70" s="401">
        <f t="shared" si="1"/>
        <v>0</v>
      </c>
      <c r="U70" s="444">
        <f>+VLOOKUP(A70,'[6]Servicio Tercerizado'!$B$4:$Q$24,16,0)</f>
        <v>201.04</v>
      </c>
    </row>
    <row r="71" spans="1:21" ht="13.8">
      <c r="A71" s="366" t="s">
        <v>401</v>
      </c>
      <c r="B71" s="414" t="s">
        <v>452</v>
      </c>
      <c r="C71" s="398" t="s">
        <v>659</v>
      </c>
      <c r="D71" s="399" t="str">
        <f>VLOOKUP(A71,[5]Hoja1!$B$6:$I$1424,3,FALSE)</f>
        <v>H</v>
      </c>
      <c r="E71" s="400">
        <v>201.04</v>
      </c>
      <c r="F71" s="370"/>
      <c r="G71" s="352"/>
      <c r="H71" s="352"/>
      <c r="I71" s="352"/>
      <c r="J71" s="352"/>
      <c r="K71" s="356"/>
      <c r="L71" s="359">
        <f t="shared" si="2"/>
        <v>0</v>
      </c>
      <c r="M71" s="360" t="str">
        <f t="shared" si="3"/>
        <v/>
      </c>
      <c r="N71" s="407"/>
      <c r="O71" s="408">
        <f t="shared" si="4"/>
        <v>0</v>
      </c>
      <c r="P71" s="409">
        <f t="shared" si="5"/>
        <v>0</v>
      </c>
      <c r="Q71" s="374"/>
      <c r="R71" s="357"/>
      <c r="S71" s="401">
        <f t="shared" si="0"/>
        <v>0</v>
      </c>
      <c r="T71" s="401">
        <f t="shared" si="1"/>
        <v>0</v>
      </c>
    </row>
    <row r="72" spans="1:21" ht="13.8">
      <c r="A72" s="366" t="s">
        <v>399</v>
      </c>
      <c r="B72" s="414" t="s">
        <v>452</v>
      </c>
      <c r="C72" s="398" t="s">
        <v>660</v>
      </c>
      <c r="D72" s="399" t="str">
        <f>VLOOKUP(A72,[5]Hoja1!$B$6:$I$1424,3,FALSE)</f>
        <v>H</v>
      </c>
      <c r="E72" s="400">
        <v>3.09232</v>
      </c>
      <c r="F72" s="370"/>
      <c r="G72" s="352"/>
      <c r="H72" s="352"/>
      <c r="I72" s="352"/>
      <c r="J72" s="352"/>
      <c r="K72" s="356"/>
      <c r="L72" s="359">
        <f t="shared" si="2"/>
        <v>0</v>
      </c>
      <c r="M72" s="360" t="str">
        <f t="shared" si="3"/>
        <v/>
      </c>
      <c r="N72" s="407"/>
      <c r="O72" s="408">
        <f t="shared" si="4"/>
        <v>0</v>
      </c>
      <c r="P72" s="409">
        <f t="shared" si="5"/>
        <v>0</v>
      </c>
      <c r="Q72" s="374"/>
      <c r="R72" s="357"/>
      <c r="S72" s="401">
        <f t="shared" ref="S72:S84" si="8">O72</f>
        <v>0</v>
      </c>
      <c r="T72" s="401">
        <f t="shared" ref="T72:T84" si="9">S72*E72</f>
        <v>0</v>
      </c>
    </row>
    <row r="73" spans="1:21" ht="13.8">
      <c r="A73" s="366" t="s">
        <v>400</v>
      </c>
      <c r="B73" s="414" t="s">
        <v>452</v>
      </c>
      <c r="C73" s="398" t="s">
        <v>661</v>
      </c>
      <c r="D73" s="399" t="str">
        <f>VLOOKUP(A73,[5]Hoja1!$B$6:$I$1424,3,FALSE)</f>
        <v>H</v>
      </c>
      <c r="E73" s="400">
        <v>13.84768</v>
      </c>
      <c r="F73" s="368"/>
      <c r="G73" s="352"/>
      <c r="H73" s="352"/>
      <c r="I73" s="352"/>
      <c r="J73" s="352"/>
      <c r="K73" s="356"/>
      <c r="L73" s="359">
        <f t="shared" ref="L73:L85" si="10">SUM(F73:K73)</f>
        <v>0</v>
      </c>
      <c r="M73" s="360" t="str">
        <f t="shared" ref="M73:M85" si="11">IF(L73=0,"",(L73*$E73))</f>
        <v/>
      </c>
      <c r="N73" s="407"/>
      <c r="O73" s="408">
        <f t="shared" ref="O73:O85" si="12">L73</f>
        <v>0</v>
      </c>
      <c r="P73" s="409">
        <f t="shared" ref="P73:P85" si="13">IF(A73=0,"",(O73*$E73))</f>
        <v>0</v>
      </c>
      <c r="Q73" s="374"/>
      <c r="R73" s="357"/>
      <c r="S73" s="401">
        <f t="shared" si="8"/>
        <v>0</v>
      </c>
      <c r="T73" s="401">
        <f t="shared" si="9"/>
        <v>0</v>
      </c>
    </row>
    <row r="74" spans="1:21" ht="13.8">
      <c r="A74" s="366" t="s">
        <v>453</v>
      </c>
      <c r="B74" s="414" t="s">
        <v>452</v>
      </c>
      <c r="C74" s="403" t="s">
        <v>662</v>
      </c>
      <c r="D74" s="404" t="str">
        <f>VLOOKUP(A74,[5]Hoja1!$B$6:$I$1424,3,FALSE)</f>
        <v>UN</v>
      </c>
      <c r="E74" s="405">
        <v>766.59093280000002</v>
      </c>
      <c r="F74" s="370"/>
      <c r="G74" s="356"/>
      <c r="H74" s="356"/>
      <c r="I74" s="356"/>
      <c r="J74" s="356"/>
      <c r="K74" s="356"/>
      <c r="L74" s="359">
        <f t="shared" si="10"/>
        <v>0</v>
      </c>
      <c r="M74" s="360" t="str">
        <f t="shared" si="11"/>
        <v/>
      </c>
      <c r="N74" s="407"/>
      <c r="O74" s="408">
        <f t="shared" si="12"/>
        <v>0</v>
      </c>
      <c r="P74" s="409">
        <f t="shared" si="13"/>
        <v>0</v>
      </c>
      <c r="Q74" s="374"/>
      <c r="R74" s="357"/>
      <c r="S74" s="401">
        <f t="shared" si="8"/>
        <v>0</v>
      </c>
      <c r="T74" s="401">
        <f t="shared" si="9"/>
        <v>0</v>
      </c>
    </row>
    <row r="75" spans="1:21" ht="13.8">
      <c r="A75" s="366" t="s">
        <v>403</v>
      </c>
      <c r="B75" s="414" t="s">
        <v>452</v>
      </c>
      <c r="C75" s="403" t="s">
        <v>663</v>
      </c>
      <c r="D75" s="404" t="str">
        <f>VLOOKUP(A75,[5]Hoja1!$B$6:$I$1424,3,FALSE)</f>
        <v>M</v>
      </c>
      <c r="E75" s="400">
        <v>13.819097599999999</v>
      </c>
      <c r="F75" s="370"/>
      <c r="G75" s="356"/>
      <c r="H75" s="356"/>
      <c r="I75" s="356"/>
      <c r="J75" s="356"/>
      <c r="K75" s="356"/>
      <c r="L75" s="359">
        <f t="shared" si="10"/>
        <v>0</v>
      </c>
      <c r="M75" s="360" t="str">
        <f t="shared" si="11"/>
        <v/>
      </c>
      <c r="N75" s="407"/>
      <c r="O75" s="408">
        <f t="shared" si="12"/>
        <v>0</v>
      </c>
      <c r="P75" s="409">
        <f t="shared" si="13"/>
        <v>0</v>
      </c>
      <c r="Q75" s="374"/>
      <c r="R75" s="357"/>
      <c r="S75" s="401">
        <f t="shared" si="8"/>
        <v>0</v>
      </c>
      <c r="T75" s="401">
        <f t="shared" si="9"/>
        <v>0</v>
      </c>
    </row>
    <row r="76" spans="1:21" ht="13.8">
      <c r="A76" s="366" t="s">
        <v>411</v>
      </c>
      <c r="B76" s="414" t="s">
        <v>452</v>
      </c>
      <c r="C76" s="398" t="s">
        <v>664</v>
      </c>
      <c r="D76" s="399" t="str">
        <f>VLOOKUP(A76,[5]Hoja1!$B$6:$I$1424,3,FALSE)</f>
        <v>M</v>
      </c>
      <c r="E76" s="400">
        <v>9.0399999999999991</v>
      </c>
      <c r="F76" s="368"/>
      <c r="G76" s="352"/>
      <c r="H76" s="352"/>
      <c r="I76" s="352"/>
      <c r="J76" s="352"/>
      <c r="K76" s="356"/>
      <c r="L76" s="359">
        <f t="shared" si="10"/>
        <v>0</v>
      </c>
      <c r="M76" s="360" t="str">
        <f t="shared" si="11"/>
        <v/>
      </c>
      <c r="N76" s="407"/>
      <c r="O76" s="408">
        <f t="shared" si="12"/>
        <v>0</v>
      </c>
      <c r="P76" s="409">
        <f t="shared" si="13"/>
        <v>0</v>
      </c>
      <c r="Q76" s="374"/>
      <c r="R76" s="357"/>
      <c r="S76" s="401">
        <f t="shared" si="8"/>
        <v>0</v>
      </c>
      <c r="T76" s="401">
        <f t="shared" si="9"/>
        <v>0</v>
      </c>
    </row>
    <row r="77" spans="1:21" ht="13.8">
      <c r="A77" s="366" t="s">
        <v>404</v>
      </c>
      <c r="B77" s="414" t="s">
        <v>452</v>
      </c>
      <c r="C77" s="398" t="s">
        <v>665</v>
      </c>
      <c r="D77" s="399" t="str">
        <f>VLOOKUP(A77,[5]Hoja1!$B$6:$I$1424,3,FALSE)</f>
        <v>HH</v>
      </c>
      <c r="E77" s="400">
        <v>25.570529599999997</v>
      </c>
      <c r="F77" s="368"/>
      <c r="G77" s="352"/>
      <c r="H77" s="352"/>
      <c r="I77" s="352"/>
      <c r="J77" s="352"/>
      <c r="K77" s="356"/>
      <c r="L77" s="359">
        <f t="shared" si="10"/>
        <v>0</v>
      </c>
      <c r="M77" s="360" t="str">
        <f t="shared" si="11"/>
        <v/>
      </c>
      <c r="N77" s="407"/>
      <c r="O77" s="408">
        <f t="shared" si="12"/>
        <v>0</v>
      </c>
      <c r="P77" s="409">
        <f t="shared" si="13"/>
        <v>0</v>
      </c>
      <c r="Q77" s="374"/>
      <c r="R77" s="357"/>
      <c r="S77" s="401">
        <f t="shared" si="8"/>
        <v>0</v>
      </c>
      <c r="T77" s="401">
        <f t="shared" si="9"/>
        <v>0</v>
      </c>
    </row>
    <row r="78" spans="1:21" ht="13.8">
      <c r="A78" s="366" t="s">
        <v>405</v>
      </c>
      <c r="B78" s="414" t="s">
        <v>452</v>
      </c>
      <c r="C78" s="398" t="s">
        <v>666</v>
      </c>
      <c r="D78" s="399" t="str">
        <f>VLOOKUP(A78,[5]Hoja1!$B$6:$I$1424,3,FALSE)</f>
        <v>HH</v>
      </c>
      <c r="E78" s="400">
        <v>18.792188799999998</v>
      </c>
      <c r="F78" s="368"/>
      <c r="G78" s="352"/>
      <c r="H78" s="352"/>
      <c r="I78" s="352"/>
      <c r="J78" s="352"/>
      <c r="K78" s="356"/>
      <c r="L78" s="359">
        <f t="shared" si="10"/>
        <v>0</v>
      </c>
      <c r="M78" s="360" t="str">
        <f t="shared" si="11"/>
        <v/>
      </c>
      <c r="N78" s="407"/>
      <c r="O78" s="408">
        <f t="shared" si="12"/>
        <v>0</v>
      </c>
      <c r="P78" s="409">
        <f t="shared" si="13"/>
        <v>0</v>
      </c>
      <c r="Q78" s="374"/>
      <c r="R78" s="357"/>
      <c r="S78" s="401">
        <f t="shared" si="8"/>
        <v>0</v>
      </c>
      <c r="T78" s="401">
        <f t="shared" si="9"/>
        <v>0</v>
      </c>
    </row>
    <row r="79" spans="1:21" ht="13.8">
      <c r="A79" s="366" t="s">
        <v>409</v>
      </c>
      <c r="B79" s="414" t="s">
        <v>452</v>
      </c>
      <c r="C79" s="398" t="s">
        <v>667</v>
      </c>
      <c r="D79" s="399" t="str">
        <f>VLOOKUP(A79,[5]Hoja1!$B$6:$I$1424,3,FALSE)</f>
        <v>H</v>
      </c>
      <c r="E79" s="400">
        <v>130.9262416</v>
      </c>
      <c r="F79" s="368"/>
      <c r="G79" s="352"/>
      <c r="H79" s="352"/>
      <c r="I79" s="352"/>
      <c r="J79" s="352"/>
      <c r="K79" s="356"/>
      <c r="L79" s="359">
        <f t="shared" si="10"/>
        <v>0</v>
      </c>
      <c r="M79" s="360" t="str">
        <f t="shared" si="11"/>
        <v/>
      </c>
      <c r="N79" s="407"/>
      <c r="O79" s="408">
        <f t="shared" si="12"/>
        <v>0</v>
      </c>
      <c r="P79" s="409">
        <f t="shared" si="13"/>
        <v>0</v>
      </c>
      <c r="Q79" s="374"/>
      <c r="R79" s="357"/>
      <c r="S79" s="401">
        <f t="shared" si="8"/>
        <v>0</v>
      </c>
      <c r="T79" s="401">
        <f t="shared" si="9"/>
        <v>0</v>
      </c>
    </row>
    <row r="80" spans="1:21" ht="13.8">
      <c r="A80" s="366" t="s">
        <v>413</v>
      </c>
      <c r="B80" s="414" t="s">
        <v>452</v>
      </c>
      <c r="C80" s="398" t="s">
        <v>668</v>
      </c>
      <c r="D80" s="399" t="str">
        <f>VLOOKUP(A80,[5]Hoja1!$B$6:$I$1424,3,FALSE)</f>
        <v>H</v>
      </c>
      <c r="E80" s="400">
        <v>38.093440000000001</v>
      </c>
      <c r="F80" s="368"/>
      <c r="G80" s="352"/>
      <c r="H80" s="352"/>
      <c r="I80" s="352"/>
      <c r="J80" s="352"/>
      <c r="K80" s="356"/>
      <c r="L80" s="359">
        <f t="shared" si="10"/>
        <v>0</v>
      </c>
      <c r="M80" s="360" t="str">
        <f t="shared" si="11"/>
        <v/>
      </c>
      <c r="N80" s="407"/>
      <c r="O80" s="408">
        <f t="shared" si="12"/>
        <v>0</v>
      </c>
      <c r="P80" s="409">
        <f t="shared" si="13"/>
        <v>0</v>
      </c>
      <c r="Q80" s="374"/>
      <c r="R80" s="357"/>
      <c r="S80" s="401">
        <f t="shared" si="8"/>
        <v>0</v>
      </c>
      <c r="T80" s="401">
        <f t="shared" si="9"/>
        <v>0</v>
      </c>
    </row>
    <row r="81" spans="1:20" ht="13.8">
      <c r="A81" s="366" t="s">
        <v>406</v>
      </c>
      <c r="B81" s="414" t="s">
        <v>452</v>
      </c>
      <c r="C81" s="398" t="s">
        <v>669</v>
      </c>
      <c r="D81" s="399" t="str">
        <f>VLOOKUP(A81,[5]Hoja1!$B$6:$I$1424,3,FALSE)</f>
        <v>UN</v>
      </c>
      <c r="E81" s="400">
        <v>1312.56664</v>
      </c>
      <c r="F81" s="368"/>
      <c r="G81" s="352"/>
      <c r="H81" s="352"/>
      <c r="I81" s="352"/>
      <c r="J81" s="352"/>
      <c r="K81" s="356"/>
      <c r="L81" s="359">
        <f t="shared" si="10"/>
        <v>0</v>
      </c>
      <c r="M81" s="360" t="str">
        <f t="shared" si="11"/>
        <v/>
      </c>
      <c r="N81" s="407"/>
      <c r="O81" s="408">
        <f t="shared" si="12"/>
        <v>0</v>
      </c>
      <c r="P81" s="409">
        <f t="shared" si="13"/>
        <v>0</v>
      </c>
      <c r="Q81" s="374"/>
      <c r="R81" s="357"/>
      <c r="S81" s="401">
        <f t="shared" si="8"/>
        <v>0</v>
      </c>
      <c r="T81" s="401">
        <f t="shared" si="9"/>
        <v>0</v>
      </c>
    </row>
    <row r="82" spans="1:20" ht="13.8">
      <c r="A82" s="366" t="s">
        <v>407</v>
      </c>
      <c r="B82" s="414" t="s">
        <v>452</v>
      </c>
      <c r="C82" s="398" t="s">
        <v>670</v>
      </c>
      <c r="D82" s="399" t="str">
        <f>VLOOKUP(A82,[5]Hoja1!$B$6:$I$1424,3,FALSE)</f>
        <v>UN</v>
      </c>
      <c r="E82" s="400">
        <v>1535.09</v>
      </c>
      <c r="F82" s="368"/>
      <c r="G82" s="352"/>
      <c r="H82" s="352"/>
      <c r="I82" s="352"/>
      <c r="J82" s="352"/>
      <c r="K82" s="356"/>
      <c r="L82" s="359">
        <f t="shared" si="10"/>
        <v>0</v>
      </c>
      <c r="M82" s="360" t="str">
        <f t="shared" si="11"/>
        <v/>
      </c>
      <c r="N82" s="407"/>
      <c r="O82" s="408">
        <f t="shared" si="12"/>
        <v>0</v>
      </c>
      <c r="P82" s="409">
        <f t="shared" si="13"/>
        <v>0</v>
      </c>
      <c r="Q82" s="374"/>
      <c r="R82" s="357"/>
      <c r="S82" s="401">
        <f t="shared" si="8"/>
        <v>0</v>
      </c>
      <c r="T82" s="401">
        <f t="shared" si="9"/>
        <v>0</v>
      </c>
    </row>
    <row r="83" spans="1:20" ht="13.8">
      <c r="A83" s="366" t="s">
        <v>599</v>
      </c>
      <c r="B83" s="414" t="s">
        <v>452</v>
      </c>
      <c r="C83" s="398" t="s">
        <v>671</v>
      </c>
      <c r="D83" s="399" t="str">
        <f>VLOOKUP(A83,[5]Hoja1!$B$6:$I$1424,3,FALSE)</f>
        <v>UN</v>
      </c>
      <c r="E83" s="400">
        <v>26.905771199999997</v>
      </c>
      <c r="F83" s="368"/>
      <c r="G83" s="352"/>
      <c r="H83" s="352"/>
      <c r="I83" s="352"/>
      <c r="J83" s="352"/>
      <c r="K83" s="356"/>
      <c r="L83" s="359">
        <f t="shared" si="10"/>
        <v>0</v>
      </c>
      <c r="M83" s="360" t="str">
        <f t="shared" si="11"/>
        <v/>
      </c>
      <c r="N83" s="407"/>
      <c r="O83" s="408">
        <f t="shared" si="12"/>
        <v>0</v>
      </c>
      <c r="P83" s="409">
        <f t="shared" si="13"/>
        <v>0</v>
      </c>
      <c r="Q83" s="374"/>
      <c r="R83" s="357"/>
      <c r="S83" s="401">
        <f t="shared" si="8"/>
        <v>0</v>
      </c>
      <c r="T83" s="401">
        <f t="shared" si="9"/>
        <v>0</v>
      </c>
    </row>
    <row r="84" spans="1:20" ht="13.8">
      <c r="A84" s="366" t="s">
        <v>600</v>
      </c>
      <c r="B84" s="414" t="s">
        <v>452</v>
      </c>
      <c r="C84" s="398" t="s">
        <v>672</v>
      </c>
      <c r="D84" s="399" t="str">
        <f>VLOOKUP(A84,[5]Hoja1!$B$6:$I$1424,3,FALSE)</f>
        <v>UN</v>
      </c>
      <c r="E84" s="400">
        <v>343.82766879999997</v>
      </c>
      <c r="F84" s="368"/>
      <c r="G84" s="352"/>
      <c r="H84" s="352"/>
      <c r="I84" s="352"/>
      <c r="J84" s="352"/>
      <c r="K84" s="356"/>
      <c r="L84" s="359">
        <f t="shared" si="10"/>
        <v>0</v>
      </c>
      <c r="M84" s="360" t="str">
        <f t="shared" si="11"/>
        <v/>
      </c>
      <c r="N84" s="407"/>
      <c r="O84" s="408">
        <f t="shared" si="12"/>
        <v>0</v>
      </c>
      <c r="P84" s="409">
        <f t="shared" si="13"/>
        <v>0</v>
      </c>
      <c r="Q84" s="374"/>
      <c r="R84" s="357"/>
      <c r="S84" s="401">
        <f t="shared" si="8"/>
        <v>0</v>
      </c>
      <c r="T84" s="401">
        <f t="shared" si="9"/>
        <v>0</v>
      </c>
    </row>
    <row r="85" spans="1:20" ht="13.8">
      <c r="A85" s="366" t="s">
        <v>676</v>
      </c>
      <c r="B85" s="414" t="s">
        <v>452</v>
      </c>
      <c r="C85" s="398" t="s">
        <v>677</v>
      </c>
      <c r="D85" s="399" t="s">
        <v>678</v>
      </c>
      <c r="E85" s="400">
        <v>4.4781968000000001</v>
      </c>
      <c r="F85" s="368"/>
      <c r="G85" s="352"/>
      <c r="H85" s="352"/>
      <c r="I85" s="352"/>
      <c r="J85" s="352"/>
      <c r="K85" s="356"/>
      <c r="L85" s="359">
        <f t="shared" si="10"/>
        <v>0</v>
      </c>
      <c r="M85" s="360" t="str">
        <f t="shared" si="11"/>
        <v/>
      </c>
      <c r="N85" s="407"/>
      <c r="O85" s="408">
        <f t="shared" si="12"/>
        <v>0</v>
      </c>
      <c r="P85" s="409">
        <f t="shared" si="13"/>
        <v>0</v>
      </c>
      <c r="Q85" s="402"/>
      <c r="R85" s="361"/>
      <c r="S85" s="401"/>
      <c r="T85" s="401"/>
    </row>
    <row r="86" spans="1:20" ht="13.8">
      <c r="A86" s="366" t="s">
        <v>679</v>
      </c>
      <c r="B86" s="414" t="s">
        <v>452</v>
      </c>
      <c r="C86" s="398" t="s">
        <v>680</v>
      </c>
      <c r="D86" s="399" t="s">
        <v>681</v>
      </c>
      <c r="E86" s="400">
        <f>7.94*1.3</f>
        <v>10.322000000000001</v>
      </c>
      <c r="F86" s="368"/>
      <c r="G86" s="352"/>
      <c r="H86" s="352"/>
      <c r="I86" s="352"/>
      <c r="J86" s="352"/>
      <c r="K86" s="356"/>
      <c r="L86" s="359">
        <f t="shared" ref="L86:L112" si="14">SUM(F86:K86)</f>
        <v>0</v>
      </c>
      <c r="M86" s="360"/>
      <c r="N86" s="354"/>
      <c r="O86" s="372"/>
      <c r="P86" s="373"/>
      <c r="Q86" s="402"/>
      <c r="R86" s="361"/>
      <c r="S86" s="401"/>
      <c r="T86" s="401"/>
    </row>
    <row r="87" spans="1:20" ht="13.8">
      <c r="A87" s="366"/>
      <c r="B87" s="413"/>
      <c r="C87" s="398"/>
      <c r="D87" s="399"/>
      <c r="E87" s="400"/>
      <c r="F87" s="368"/>
      <c r="G87" s="352"/>
      <c r="H87" s="352"/>
      <c r="I87" s="352"/>
      <c r="J87" s="352"/>
      <c r="K87" s="356"/>
      <c r="L87" s="359">
        <f t="shared" si="14"/>
        <v>0</v>
      </c>
      <c r="M87" s="360"/>
      <c r="N87" s="354"/>
      <c r="O87" s="372"/>
      <c r="P87" s="373"/>
      <c r="Q87" s="402"/>
      <c r="R87" s="361"/>
      <c r="S87" s="401"/>
      <c r="T87" s="401"/>
    </row>
    <row r="88" spans="1:20" ht="13.8">
      <c r="A88" s="366"/>
      <c r="B88" s="413"/>
      <c r="C88" s="398"/>
      <c r="D88" s="399"/>
      <c r="E88" s="400"/>
      <c r="F88" s="368"/>
      <c r="G88" s="352"/>
      <c r="H88" s="352"/>
      <c r="I88" s="352"/>
      <c r="J88" s="352"/>
      <c r="K88" s="356"/>
      <c r="L88" s="359">
        <f t="shared" si="14"/>
        <v>0</v>
      </c>
      <c r="M88" s="360"/>
      <c r="N88" s="354"/>
      <c r="O88" s="372"/>
      <c r="P88" s="373"/>
      <c r="Q88" s="402"/>
      <c r="R88" s="361"/>
      <c r="S88" s="401"/>
      <c r="T88" s="401"/>
    </row>
    <row r="89" spans="1:20" ht="13.8">
      <c r="A89" s="366"/>
      <c r="B89" s="413"/>
      <c r="C89" s="398"/>
      <c r="D89" s="399"/>
      <c r="E89" s="400"/>
      <c r="F89" s="368"/>
      <c r="G89" s="352"/>
      <c r="H89" s="352"/>
      <c r="I89" s="352"/>
      <c r="J89" s="352"/>
      <c r="K89" s="356"/>
      <c r="L89" s="359">
        <f t="shared" si="14"/>
        <v>0</v>
      </c>
      <c r="M89" s="360"/>
      <c r="N89" s="354"/>
      <c r="O89" s="372"/>
      <c r="P89" s="373"/>
      <c r="Q89" s="402"/>
      <c r="R89" s="361"/>
      <c r="S89" s="401"/>
      <c r="T89" s="401"/>
    </row>
    <row r="90" spans="1:20" ht="13.8">
      <c r="A90" s="366"/>
      <c r="B90" s="413"/>
      <c r="C90" s="398"/>
      <c r="D90" s="399"/>
      <c r="E90" s="400"/>
      <c r="F90" s="368"/>
      <c r="G90" s="352"/>
      <c r="H90" s="352"/>
      <c r="I90" s="352"/>
      <c r="J90" s="352"/>
      <c r="K90" s="356"/>
      <c r="L90" s="359">
        <f t="shared" si="14"/>
        <v>0</v>
      </c>
      <c r="M90" s="360"/>
      <c r="N90" s="354"/>
      <c r="O90" s="372"/>
      <c r="P90" s="373"/>
      <c r="Q90" s="402"/>
      <c r="R90" s="361"/>
      <c r="S90" s="401"/>
      <c r="T90" s="401"/>
    </row>
    <row r="91" spans="1:20" ht="13.8">
      <c r="A91" s="366"/>
      <c r="B91" s="413"/>
      <c r="C91" s="398"/>
      <c r="D91" s="399"/>
      <c r="E91" s="400"/>
      <c r="F91" s="368"/>
      <c r="G91" s="352"/>
      <c r="H91" s="352"/>
      <c r="I91" s="352"/>
      <c r="J91" s="352"/>
      <c r="K91" s="356"/>
      <c r="L91" s="359">
        <f t="shared" si="14"/>
        <v>0</v>
      </c>
      <c r="M91" s="360"/>
      <c r="N91" s="354"/>
      <c r="O91" s="372"/>
      <c r="P91" s="373"/>
      <c r="Q91" s="402"/>
      <c r="R91" s="361"/>
      <c r="S91" s="401"/>
      <c r="T91" s="401"/>
    </row>
    <row r="92" spans="1:20" ht="13.8">
      <c r="A92" s="366"/>
      <c r="B92" s="413"/>
      <c r="C92" s="398"/>
      <c r="D92" s="399"/>
      <c r="E92" s="400"/>
      <c r="F92" s="368"/>
      <c r="G92" s="352"/>
      <c r="H92" s="352"/>
      <c r="I92" s="352"/>
      <c r="J92" s="352"/>
      <c r="K92" s="356"/>
      <c r="L92" s="359">
        <f t="shared" si="14"/>
        <v>0</v>
      </c>
      <c r="M92" s="360"/>
      <c r="N92" s="354"/>
      <c r="O92" s="372"/>
      <c r="P92" s="373"/>
      <c r="Q92" s="402"/>
      <c r="R92" s="361"/>
      <c r="S92" s="401"/>
      <c r="T92" s="401"/>
    </row>
    <row r="93" spans="1:20" ht="13.8">
      <c r="A93" s="366"/>
      <c r="B93" s="413"/>
      <c r="C93" s="398"/>
      <c r="D93" s="399"/>
      <c r="E93" s="400"/>
      <c r="F93" s="368"/>
      <c r="G93" s="352"/>
      <c r="H93" s="352"/>
      <c r="I93" s="352"/>
      <c r="J93" s="352"/>
      <c r="K93" s="356"/>
      <c r="L93" s="359">
        <f t="shared" si="14"/>
        <v>0</v>
      </c>
      <c r="M93" s="360"/>
      <c r="N93" s="354"/>
      <c r="O93" s="372"/>
      <c r="P93" s="373"/>
      <c r="Q93" s="402"/>
      <c r="R93" s="361"/>
      <c r="S93" s="401"/>
      <c r="T93" s="401"/>
    </row>
    <row r="94" spans="1:20" ht="13.8">
      <c r="A94" s="366"/>
      <c r="B94" s="413"/>
      <c r="C94" s="398"/>
      <c r="D94" s="399"/>
      <c r="E94" s="400"/>
      <c r="F94" s="368"/>
      <c r="G94" s="352"/>
      <c r="H94" s="352"/>
      <c r="I94" s="352"/>
      <c r="J94" s="352"/>
      <c r="K94" s="356"/>
      <c r="L94" s="359">
        <f t="shared" si="14"/>
        <v>0</v>
      </c>
      <c r="M94" s="360"/>
      <c r="N94" s="354"/>
      <c r="O94" s="372"/>
      <c r="P94" s="373"/>
      <c r="Q94" s="402"/>
      <c r="R94" s="361"/>
      <c r="S94" s="401"/>
      <c r="T94" s="401"/>
    </row>
    <row r="95" spans="1:20" ht="13.8">
      <c r="A95" s="366"/>
      <c r="B95" s="413"/>
      <c r="C95" s="398"/>
      <c r="D95" s="399"/>
      <c r="E95" s="400"/>
      <c r="F95" s="368"/>
      <c r="G95" s="352"/>
      <c r="H95" s="352"/>
      <c r="I95" s="352"/>
      <c r="J95" s="352"/>
      <c r="K95" s="356"/>
      <c r="L95" s="359">
        <f t="shared" si="14"/>
        <v>0</v>
      </c>
      <c r="M95" s="360"/>
      <c r="N95" s="354"/>
      <c r="O95" s="372"/>
      <c r="P95" s="373"/>
      <c r="Q95" s="402"/>
      <c r="R95" s="361"/>
      <c r="S95" s="401"/>
      <c r="T95" s="401"/>
    </row>
    <row r="96" spans="1:20" ht="13.8">
      <c r="A96" s="366"/>
      <c r="B96" s="413"/>
      <c r="C96" s="398"/>
      <c r="D96" s="399"/>
      <c r="E96" s="400"/>
      <c r="F96" s="368"/>
      <c r="G96" s="352"/>
      <c r="H96" s="352"/>
      <c r="I96" s="352"/>
      <c r="J96" s="352"/>
      <c r="K96" s="356"/>
      <c r="L96" s="359">
        <f t="shared" si="14"/>
        <v>0</v>
      </c>
      <c r="M96" s="360"/>
      <c r="N96" s="354"/>
      <c r="O96" s="372"/>
      <c r="P96" s="373"/>
      <c r="Q96" s="402"/>
      <c r="R96" s="361"/>
      <c r="S96" s="401"/>
      <c r="T96" s="401"/>
    </row>
    <row r="97" spans="1:20" ht="13.8">
      <c r="A97" s="366"/>
      <c r="B97" s="413"/>
      <c r="C97" s="398"/>
      <c r="D97" s="399"/>
      <c r="E97" s="400"/>
      <c r="F97" s="368"/>
      <c r="G97" s="352"/>
      <c r="H97" s="352"/>
      <c r="I97" s="352"/>
      <c r="J97" s="352"/>
      <c r="K97" s="356"/>
      <c r="L97" s="359">
        <f t="shared" si="14"/>
        <v>0</v>
      </c>
      <c r="M97" s="360"/>
      <c r="N97" s="354"/>
      <c r="O97" s="372"/>
      <c r="P97" s="373"/>
      <c r="Q97" s="402"/>
      <c r="R97" s="361"/>
      <c r="S97" s="401"/>
      <c r="T97" s="401"/>
    </row>
    <row r="98" spans="1:20" ht="13.8">
      <c r="A98" s="366"/>
      <c r="B98" s="413"/>
      <c r="C98" s="398"/>
      <c r="D98" s="399"/>
      <c r="E98" s="400"/>
      <c r="F98" s="368"/>
      <c r="G98" s="352"/>
      <c r="H98" s="352"/>
      <c r="I98" s="352"/>
      <c r="J98" s="352"/>
      <c r="K98" s="356"/>
      <c r="L98" s="359">
        <f t="shared" si="14"/>
        <v>0</v>
      </c>
      <c r="M98" s="360"/>
      <c r="N98" s="354"/>
      <c r="O98" s="372"/>
      <c r="P98" s="373"/>
      <c r="Q98" s="402"/>
      <c r="R98" s="361"/>
      <c r="S98" s="401"/>
      <c r="T98" s="401"/>
    </row>
    <row r="99" spans="1:20" ht="13.8">
      <c r="A99" s="366"/>
      <c r="B99" s="413"/>
      <c r="C99" s="398"/>
      <c r="D99" s="399"/>
      <c r="E99" s="400"/>
      <c r="F99" s="368"/>
      <c r="G99" s="352"/>
      <c r="H99" s="352"/>
      <c r="I99" s="352"/>
      <c r="J99" s="352"/>
      <c r="K99" s="356"/>
      <c r="L99" s="359">
        <f t="shared" si="14"/>
        <v>0</v>
      </c>
      <c r="M99" s="360"/>
      <c r="N99" s="354"/>
      <c r="O99" s="372"/>
      <c r="P99" s="373"/>
      <c r="Q99" s="402"/>
      <c r="R99" s="361"/>
      <c r="S99" s="401"/>
      <c r="T99" s="401"/>
    </row>
    <row r="100" spans="1:20" ht="13.8">
      <c r="A100" s="366"/>
      <c r="B100" s="413"/>
      <c r="C100" s="398"/>
      <c r="D100" s="399"/>
      <c r="E100" s="400"/>
      <c r="F100" s="368"/>
      <c r="G100" s="352"/>
      <c r="H100" s="352"/>
      <c r="I100" s="352"/>
      <c r="J100" s="352"/>
      <c r="K100" s="356"/>
      <c r="L100" s="359">
        <f t="shared" si="14"/>
        <v>0</v>
      </c>
      <c r="M100" s="360"/>
      <c r="N100" s="354"/>
      <c r="O100" s="372"/>
      <c r="P100" s="373"/>
      <c r="Q100" s="402"/>
      <c r="R100" s="361"/>
      <c r="S100" s="401"/>
      <c r="T100" s="401"/>
    </row>
    <row r="101" spans="1:20" ht="13.8">
      <c r="A101" s="366"/>
      <c r="B101" s="413"/>
      <c r="C101" s="398"/>
      <c r="D101" s="399"/>
      <c r="E101" s="400"/>
      <c r="F101" s="368"/>
      <c r="G101" s="352"/>
      <c r="H101" s="352"/>
      <c r="I101" s="352"/>
      <c r="J101" s="352"/>
      <c r="K101" s="356"/>
      <c r="L101" s="359">
        <f t="shared" si="14"/>
        <v>0</v>
      </c>
      <c r="M101" s="360"/>
      <c r="N101" s="354"/>
      <c r="O101" s="372"/>
      <c r="P101" s="373"/>
      <c r="Q101" s="402"/>
      <c r="R101" s="361"/>
      <c r="S101" s="401"/>
      <c r="T101" s="401"/>
    </row>
    <row r="102" spans="1:20" ht="13.8">
      <c r="A102" s="366"/>
      <c r="B102" s="413"/>
      <c r="C102" s="398"/>
      <c r="D102" s="399"/>
      <c r="E102" s="400"/>
      <c r="F102" s="368"/>
      <c r="G102" s="352"/>
      <c r="H102" s="352"/>
      <c r="I102" s="352"/>
      <c r="J102" s="352"/>
      <c r="K102" s="356"/>
      <c r="L102" s="359">
        <f t="shared" si="14"/>
        <v>0</v>
      </c>
      <c r="M102" s="360"/>
      <c r="N102" s="354"/>
      <c r="O102" s="372"/>
      <c r="P102" s="373"/>
      <c r="Q102" s="402"/>
      <c r="R102" s="361"/>
      <c r="S102" s="401"/>
      <c r="T102" s="401"/>
    </row>
    <row r="103" spans="1:20" ht="13.8">
      <c r="A103" s="366"/>
      <c r="B103" s="413"/>
      <c r="C103" s="398"/>
      <c r="D103" s="399"/>
      <c r="E103" s="400"/>
      <c r="F103" s="368"/>
      <c r="G103" s="352"/>
      <c r="H103" s="352"/>
      <c r="I103" s="352"/>
      <c r="J103" s="352"/>
      <c r="K103" s="356"/>
      <c r="L103" s="359">
        <f t="shared" si="14"/>
        <v>0</v>
      </c>
      <c r="M103" s="360"/>
      <c r="N103" s="354"/>
      <c r="O103" s="372"/>
      <c r="P103" s="373"/>
      <c r="Q103" s="402"/>
      <c r="R103" s="361"/>
      <c r="S103" s="401"/>
      <c r="T103" s="401"/>
    </row>
    <row r="104" spans="1:20" ht="13.8">
      <c r="A104" s="366"/>
      <c r="B104" s="413"/>
      <c r="C104" s="398"/>
      <c r="D104" s="399"/>
      <c r="E104" s="400"/>
      <c r="F104" s="368"/>
      <c r="G104" s="352"/>
      <c r="H104" s="352"/>
      <c r="I104" s="352"/>
      <c r="J104" s="352"/>
      <c r="K104" s="356"/>
      <c r="L104" s="359">
        <f t="shared" si="14"/>
        <v>0</v>
      </c>
      <c r="M104" s="360"/>
      <c r="N104" s="354"/>
      <c r="O104" s="372"/>
      <c r="P104" s="373"/>
      <c r="Q104" s="402"/>
      <c r="R104" s="361"/>
      <c r="S104" s="401"/>
      <c r="T104" s="401"/>
    </row>
    <row r="105" spans="1:20" ht="13.8">
      <c r="A105" s="366"/>
      <c r="B105" s="413"/>
      <c r="C105" s="398"/>
      <c r="D105" s="399"/>
      <c r="E105" s="400"/>
      <c r="F105" s="368"/>
      <c r="G105" s="352"/>
      <c r="H105" s="352"/>
      <c r="I105" s="352"/>
      <c r="J105" s="352"/>
      <c r="K105" s="356"/>
      <c r="L105" s="359">
        <f t="shared" si="14"/>
        <v>0</v>
      </c>
      <c r="M105" s="360"/>
      <c r="N105" s="354"/>
      <c r="O105" s="372"/>
      <c r="P105" s="373"/>
      <c r="Q105" s="402"/>
      <c r="R105" s="361"/>
      <c r="S105" s="401"/>
      <c r="T105" s="401"/>
    </row>
    <row r="106" spans="1:20" ht="13.8">
      <c r="A106" s="366"/>
      <c r="B106" s="413"/>
      <c r="C106" s="398"/>
      <c r="D106" s="399"/>
      <c r="E106" s="400"/>
      <c r="F106" s="368"/>
      <c r="G106" s="352"/>
      <c r="H106" s="352"/>
      <c r="I106" s="352"/>
      <c r="J106" s="352"/>
      <c r="K106" s="356"/>
      <c r="L106" s="359">
        <f t="shared" si="14"/>
        <v>0</v>
      </c>
      <c r="M106" s="360"/>
      <c r="N106" s="354"/>
      <c r="O106" s="372"/>
      <c r="P106" s="373"/>
      <c r="Q106" s="402"/>
      <c r="R106" s="361"/>
      <c r="S106" s="401"/>
      <c r="T106" s="401"/>
    </row>
    <row r="107" spans="1:20" ht="13.8">
      <c r="A107" s="366"/>
      <c r="B107" s="413"/>
      <c r="C107" s="398"/>
      <c r="D107" s="399"/>
      <c r="E107" s="400"/>
      <c r="F107" s="368"/>
      <c r="G107" s="352"/>
      <c r="H107" s="352"/>
      <c r="I107" s="352"/>
      <c r="J107" s="352"/>
      <c r="K107" s="356"/>
      <c r="L107" s="359">
        <f t="shared" si="14"/>
        <v>0</v>
      </c>
      <c r="M107" s="360"/>
      <c r="N107" s="354"/>
      <c r="O107" s="372"/>
      <c r="P107" s="373"/>
      <c r="Q107" s="402"/>
      <c r="R107" s="361"/>
      <c r="S107" s="401"/>
      <c r="T107" s="401"/>
    </row>
    <row r="108" spans="1:20" ht="13.8">
      <c r="A108" s="366"/>
      <c r="B108" s="413"/>
      <c r="C108" s="398"/>
      <c r="D108" s="399"/>
      <c r="E108" s="400"/>
      <c r="F108" s="368"/>
      <c r="G108" s="352"/>
      <c r="H108" s="352"/>
      <c r="I108" s="352"/>
      <c r="J108" s="352"/>
      <c r="K108" s="356"/>
      <c r="L108" s="359">
        <f t="shared" si="14"/>
        <v>0</v>
      </c>
      <c r="M108" s="360"/>
      <c r="N108" s="354"/>
      <c r="O108" s="372"/>
      <c r="P108" s="373"/>
      <c r="Q108" s="402"/>
      <c r="R108" s="361"/>
      <c r="S108" s="401"/>
      <c r="T108" s="401"/>
    </row>
    <row r="109" spans="1:20" ht="13.8">
      <c r="A109" s="366"/>
      <c r="B109" s="413"/>
      <c r="C109" s="398"/>
      <c r="D109" s="399"/>
      <c r="E109" s="400"/>
      <c r="F109" s="368"/>
      <c r="G109" s="352"/>
      <c r="H109" s="352"/>
      <c r="I109" s="352"/>
      <c r="J109" s="352"/>
      <c r="K109" s="356"/>
      <c r="L109" s="359">
        <f t="shared" si="14"/>
        <v>0</v>
      </c>
      <c r="M109" s="360"/>
      <c r="N109" s="354"/>
      <c r="O109" s="372"/>
      <c r="P109" s="373"/>
      <c r="Q109" s="402"/>
      <c r="R109" s="361"/>
      <c r="S109" s="401"/>
      <c r="T109" s="401"/>
    </row>
    <row r="110" spans="1:20" ht="13.8">
      <c r="A110" s="366"/>
      <c r="B110" s="413"/>
      <c r="C110" s="398"/>
      <c r="D110" s="399"/>
      <c r="E110" s="400"/>
      <c r="F110" s="368"/>
      <c r="G110" s="352"/>
      <c r="H110" s="352"/>
      <c r="I110" s="352"/>
      <c r="J110" s="352"/>
      <c r="K110" s="356"/>
      <c r="L110" s="359">
        <f t="shared" si="14"/>
        <v>0</v>
      </c>
      <c r="M110" s="360"/>
      <c r="N110" s="354"/>
      <c r="O110" s="372"/>
      <c r="P110" s="373"/>
      <c r="Q110" s="402"/>
      <c r="R110" s="361"/>
      <c r="S110" s="401"/>
      <c r="T110" s="401"/>
    </row>
    <row r="111" spans="1:20" ht="13.8">
      <c r="A111" s="366"/>
      <c r="B111" s="413"/>
      <c r="C111" s="398"/>
      <c r="D111" s="399"/>
      <c r="E111" s="400"/>
      <c r="F111" s="368"/>
      <c r="G111" s="352"/>
      <c r="H111" s="352"/>
      <c r="I111" s="352"/>
      <c r="J111" s="352"/>
      <c r="K111" s="356"/>
      <c r="L111" s="359">
        <f t="shared" si="14"/>
        <v>0</v>
      </c>
      <c r="M111" s="360"/>
      <c r="N111" s="354"/>
      <c r="O111" s="372"/>
      <c r="P111" s="373"/>
      <c r="Q111" s="402"/>
      <c r="R111" s="361"/>
      <c r="S111" s="401"/>
      <c r="T111" s="401"/>
    </row>
    <row r="112" spans="1:20" ht="13.8">
      <c r="A112" s="366"/>
      <c r="B112" s="413"/>
      <c r="C112" s="398"/>
      <c r="D112" s="399"/>
      <c r="E112" s="400"/>
      <c r="F112" s="368"/>
      <c r="G112" s="352"/>
      <c r="H112" s="352"/>
      <c r="I112" s="352"/>
      <c r="J112" s="352"/>
      <c r="K112" s="356"/>
      <c r="L112" s="359">
        <f t="shared" si="14"/>
        <v>0</v>
      </c>
      <c r="M112" s="411"/>
      <c r="N112" s="354"/>
      <c r="O112" s="372"/>
      <c r="P112" s="373"/>
      <c r="Q112" s="402"/>
      <c r="R112" s="361"/>
      <c r="S112" s="401"/>
      <c r="T112" s="401"/>
    </row>
    <row r="113" spans="13:16">
      <c r="M113" s="412">
        <f>SUM(M7:M112)</f>
        <v>0</v>
      </c>
      <c r="N113" s="410"/>
      <c r="O113" s="410" t="s">
        <v>4</v>
      </c>
      <c r="P113" s="412">
        <f>SUM(P7:P112)</f>
        <v>0</v>
      </c>
    </row>
  </sheetData>
  <phoneticPr fontId="8" type="noConversion"/>
  <conditionalFormatting sqref="S7:T10 S45:T45 S12:T14 S16:T43 S47:T112">
    <cfRule type="cellIs" dxfId="133" priority="804" operator="greaterThan">
      <formula>0</formula>
    </cfRule>
  </conditionalFormatting>
  <conditionalFormatting sqref="O7:O112 L7:L85">
    <cfRule type="cellIs" dxfId="132" priority="803" stopIfTrue="1" operator="greaterThan">
      <formula>0</formula>
    </cfRule>
  </conditionalFormatting>
  <conditionalFormatting sqref="S7:S10 S45 S12:S14 S16:S43 S47:S112">
    <cfRule type="cellIs" dxfId="131" priority="798" stopIfTrue="1" operator="lessThan">
      <formula>0</formula>
    </cfRule>
  </conditionalFormatting>
  <conditionalFormatting sqref="A74 A80 Q36:Q42 A51 A76:A78 Q61:Q63 A68:A72 C36:O43 R36 R38:R42 R51 P52:R60 P43:R43 P50:R50 P37:R37 Q106:T112 N106:O112 E106:F112 A9:A10 A59:A61 R61 P62:R63 A45 S47:T63 R47:R49 A47:A49 Q47:Q51 A16 C16:E17 G16:K16 F12:F17 G12:K14 C8:K10 A12:A14 A38:A42 A33:A36 C12:E14 C45:T45 A22 N12:T14 M8:T10 C20:J20 C47:O63 C65:D80 F65:N67 P65:R67 C64:T64 F73:F105 Q73:R105 E65:E105 C26:D26 A26 S36:T43 C24:J24 A24 C22:J22 G17:J17 K17:K35 N16:T35 K68:K112 C29:J35 E28:J28 A29:A31 D27:D28 F26:J27 R68:R84 N68:N105 O65:O105 S65:T105 Q65:Q84 L8:P85 B7:B112 A1:T7">
    <cfRule type="expression" dxfId="130" priority="793" stopIfTrue="1">
      <formula>ROW()=CELL("fila")</formula>
    </cfRule>
  </conditionalFormatting>
  <conditionalFormatting sqref="P38:P42 P7 P51 P9:P10 P45 P61 P47:P49 P12:P14 P16:P36 P68:P84">
    <cfRule type="colorScale" priority="805">
      <colorScale>
        <cfvo type="min"/>
        <cfvo type="max"/>
        <color rgb="FFEBFFFF"/>
        <color rgb="FFEBFFFF"/>
      </colorScale>
    </cfRule>
  </conditionalFormatting>
  <conditionalFormatting sqref="M38:M42 M7 M51 M45 M61 M47:M49 M9:M36 M68:M84">
    <cfRule type="colorScale" priority="807">
      <colorScale>
        <cfvo type="min"/>
        <cfvo type="max"/>
        <color rgb="FFEBFFFF"/>
        <color rgb="FFEBFFFF"/>
      </colorScale>
    </cfRule>
  </conditionalFormatting>
  <conditionalFormatting sqref="L63:L64">
    <cfRule type="cellIs" dxfId="129" priority="773" stopIfTrue="1" operator="greaterThan">
      <formula>0</formula>
    </cfRule>
  </conditionalFormatting>
  <conditionalFormatting sqref="A63:A64">
    <cfRule type="expression" dxfId="128" priority="767" stopIfTrue="1">
      <formula>ROW()=CELL("fila")</formula>
    </cfRule>
  </conditionalFormatting>
  <conditionalFormatting sqref="P63:P64">
    <cfRule type="colorScale" priority="782">
      <colorScale>
        <cfvo type="min"/>
        <cfvo type="max"/>
        <color rgb="FFEBFFFF"/>
        <color rgb="FFEBFFFF"/>
      </colorScale>
    </cfRule>
  </conditionalFormatting>
  <conditionalFormatting sqref="M63:M64">
    <cfRule type="colorScale" priority="792">
      <colorScale>
        <cfvo type="min"/>
        <cfvo type="max"/>
        <color rgb="FFEBFFFF"/>
        <color rgb="FFEBFFFF"/>
      </colorScale>
    </cfRule>
  </conditionalFormatting>
  <conditionalFormatting sqref="L73">
    <cfRule type="cellIs" dxfId="127" priority="748" stopIfTrue="1" operator="greaterThan">
      <formula>0</formula>
    </cfRule>
  </conditionalFormatting>
  <conditionalFormatting sqref="A73">
    <cfRule type="expression" dxfId="126" priority="742" stopIfTrue="1">
      <formula>ROW()=CELL("fila")</formula>
    </cfRule>
  </conditionalFormatting>
  <conditionalFormatting sqref="M73">
    <cfRule type="colorScale" priority="766">
      <colorScale>
        <cfvo type="min"/>
        <cfvo type="max"/>
        <color rgb="FFEBFFFF"/>
        <color rgb="FFEBFFFF"/>
      </colorScale>
    </cfRule>
  </conditionalFormatting>
  <conditionalFormatting sqref="P71:P84">
    <cfRule type="expression" dxfId="125" priority="740" stopIfTrue="1">
      <formula>ROW()=CELL("fila")</formula>
    </cfRule>
  </conditionalFormatting>
  <conditionalFormatting sqref="L62">
    <cfRule type="cellIs" dxfId="124" priority="720" stopIfTrue="1" operator="greaterThan">
      <formula>0</formula>
    </cfRule>
  </conditionalFormatting>
  <conditionalFormatting sqref="A62">
    <cfRule type="expression" dxfId="123" priority="714" stopIfTrue="1">
      <formula>ROW()=CELL("fila")</formula>
    </cfRule>
  </conditionalFormatting>
  <conditionalFormatting sqref="P62">
    <cfRule type="colorScale" priority="729">
      <colorScale>
        <cfvo type="min"/>
        <cfvo type="max"/>
        <color rgb="FFEBFFFF"/>
        <color rgb="FFEBFFFF"/>
      </colorScale>
    </cfRule>
  </conditionalFormatting>
  <conditionalFormatting sqref="M62">
    <cfRule type="colorScale" priority="739">
      <colorScale>
        <cfvo type="min"/>
        <cfvo type="max"/>
        <color rgb="FFEBFFFF"/>
        <color rgb="FFEBFFFF"/>
      </colorScale>
    </cfRule>
  </conditionalFormatting>
  <conditionalFormatting sqref="A8:A20 A26 A24 A22 A29:A112">
    <cfRule type="expression" dxfId="122" priority="686" stopIfTrue="1">
      <formula>ROW()=CELL("fila")</formula>
    </cfRule>
  </conditionalFormatting>
  <conditionalFormatting sqref="P8:P85">
    <cfRule type="colorScale" priority="703">
      <colorScale>
        <cfvo type="min"/>
        <cfvo type="max"/>
        <color rgb="FFEBFFFF"/>
        <color rgb="FFEBFFFF"/>
      </colorScale>
    </cfRule>
  </conditionalFormatting>
  <conditionalFormatting sqref="M8:M85">
    <cfRule type="colorScale" priority="713">
      <colorScale>
        <cfvo type="min"/>
        <cfvo type="max"/>
        <color rgb="FFEBFFFF"/>
        <color rgb="FFEBFFFF"/>
      </colorScale>
    </cfRule>
  </conditionalFormatting>
  <conditionalFormatting sqref="L37">
    <cfRule type="cellIs" dxfId="121" priority="666" stopIfTrue="1" operator="greaterThan">
      <formula>0</formula>
    </cfRule>
  </conditionalFormatting>
  <conditionalFormatting sqref="A37">
    <cfRule type="expression" dxfId="120" priority="660" stopIfTrue="1">
      <formula>ROW()=CELL("fila")</formula>
    </cfRule>
  </conditionalFormatting>
  <conditionalFormatting sqref="P37">
    <cfRule type="colorScale" priority="675">
      <colorScale>
        <cfvo type="min"/>
        <cfvo type="max"/>
        <color rgb="FFEBFFFF"/>
        <color rgb="FFEBFFFF"/>
      </colorScale>
    </cfRule>
  </conditionalFormatting>
  <conditionalFormatting sqref="M37">
    <cfRule type="colorScale" priority="685">
      <colorScale>
        <cfvo type="min"/>
        <cfvo type="max"/>
        <color rgb="FFEBFFFF"/>
        <color rgb="FFEBFFFF"/>
      </colorScale>
    </cfRule>
  </conditionalFormatting>
  <conditionalFormatting sqref="L50">
    <cfRule type="cellIs" dxfId="119" priority="640" stopIfTrue="1" operator="greaterThan">
      <formula>0</formula>
    </cfRule>
  </conditionalFormatting>
  <conditionalFormatting sqref="A50">
    <cfRule type="expression" dxfId="118" priority="634" stopIfTrue="1">
      <formula>ROW()=CELL("fila")</formula>
    </cfRule>
  </conditionalFormatting>
  <conditionalFormatting sqref="P50">
    <cfRule type="colorScale" priority="649">
      <colorScale>
        <cfvo type="min"/>
        <cfvo type="max"/>
        <color rgb="FFEBFFFF"/>
        <color rgb="FFEBFFFF"/>
      </colorScale>
    </cfRule>
  </conditionalFormatting>
  <conditionalFormatting sqref="M50">
    <cfRule type="colorScale" priority="659">
      <colorScale>
        <cfvo type="min"/>
        <cfvo type="max"/>
        <color rgb="FFEBFFFF"/>
        <color rgb="FFEBFFFF"/>
      </colorScale>
    </cfRule>
  </conditionalFormatting>
  <conditionalFormatting sqref="L75">
    <cfRule type="cellIs" dxfId="117" priority="614" stopIfTrue="1" operator="greaterThan">
      <formula>0</formula>
    </cfRule>
  </conditionalFormatting>
  <conditionalFormatting sqref="A75">
    <cfRule type="expression" dxfId="116" priority="608" stopIfTrue="1">
      <formula>ROW()=CELL("fila")</formula>
    </cfRule>
  </conditionalFormatting>
  <conditionalFormatting sqref="M75">
    <cfRule type="colorScale" priority="633">
      <colorScale>
        <cfvo type="min"/>
        <cfvo type="max"/>
        <color rgb="FFEBFFFF"/>
        <color rgb="FFEBFFFF"/>
      </colorScale>
    </cfRule>
  </conditionalFormatting>
  <conditionalFormatting sqref="P75">
    <cfRule type="expression" dxfId="115" priority="605" stopIfTrue="1">
      <formula>ROW()=CELL("fila")</formula>
    </cfRule>
  </conditionalFormatting>
  <conditionalFormatting sqref="P75">
    <cfRule type="colorScale" priority="607">
      <colorScale>
        <cfvo type="min"/>
        <cfvo type="max"/>
        <color rgb="FFEBFFFF"/>
        <color rgb="FFEBFFFF"/>
      </colorScale>
    </cfRule>
  </conditionalFormatting>
  <conditionalFormatting sqref="L65">
    <cfRule type="cellIs" dxfId="114" priority="585" stopIfTrue="1" operator="greaterThan">
      <formula>0</formula>
    </cfRule>
  </conditionalFormatting>
  <conditionalFormatting sqref="A65">
    <cfRule type="expression" dxfId="113" priority="579" stopIfTrue="1">
      <formula>ROW()=CELL("fila")</formula>
    </cfRule>
  </conditionalFormatting>
  <conditionalFormatting sqref="P65">
    <cfRule type="colorScale" priority="594">
      <colorScale>
        <cfvo type="min"/>
        <cfvo type="max"/>
        <color rgb="FFEBFFFF"/>
        <color rgb="FFEBFFFF"/>
      </colorScale>
    </cfRule>
  </conditionalFormatting>
  <conditionalFormatting sqref="M65">
    <cfRule type="colorScale" priority="604">
      <colorScale>
        <cfvo type="min"/>
        <cfvo type="max"/>
        <color rgb="FFEBFFFF"/>
        <color rgb="FFEBFFFF"/>
      </colorScale>
    </cfRule>
  </conditionalFormatting>
  <conditionalFormatting sqref="A32">
    <cfRule type="expression" dxfId="112" priority="553" stopIfTrue="1">
      <formula>ROW()=CELL("fila")</formula>
    </cfRule>
  </conditionalFormatting>
  <conditionalFormatting sqref="A79">
    <cfRule type="expression" dxfId="111" priority="528" stopIfTrue="1">
      <formula>ROW()=CELL("fila")</formula>
    </cfRule>
  </conditionalFormatting>
  <conditionalFormatting sqref="P79">
    <cfRule type="expression" dxfId="110" priority="525" stopIfTrue="1">
      <formula>ROW()=CELL("fila")</formula>
    </cfRule>
  </conditionalFormatting>
  <conditionalFormatting sqref="P79">
    <cfRule type="colorScale" priority="527">
      <colorScale>
        <cfvo type="min"/>
        <cfvo type="max"/>
        <color rgb="FFEBFFFF"/>
        <color rgb="FFEBFFFF"/>
      </colorScale>
    </cfRule>
  </conditionalFormatting>
  <conditionalFormatting sqref="L66:L84">
    <cfRule type="cellIs" dxfId="109" priority="522" stopIfTrue="1" operator="greaterThan">
      <formula>0</formula>
    </cfRule>
  </conditionalFormatting>
  <conditionalFormatting sqref="L67:M84">
    <cfRule type="expression" dxfId="108" priority="516" stopIfTrue="1">
      <formula>ROW()=CELL("fila")</formula>
    </cfRule>
  </conditionalFormatting>
  <conditionalFormatting sqref="L67">
    <cfRule type="cellIs" dxfId="107" priority="459" stopIfTrue="1" operator="greaterThan">
      <formula>0</formula>
    </cfRule>
  </conditionalFormatting>
  <conditionalFormatting sqref="A67 F71:F72 G71:J80 F68:J70">
    <cfRule type="expression" dxfId="106" priority="453" stopIfTrue="1">
      <formula>ROW()=CELL("fila")</formula>
    </cfRule>
  </conditionalFormatting>
  <conditionalFormatting sqref="P67">
    <cfRule type="colorScale" priority="468">
      <colorScale>
        <cfvo type="min"/>
        <cfvo type="max"/>
        <color rgb="FFEBFFFF"/>
        <color rgb="FFEBFFFF"/>
      </colorScale>
    </cfRule>
  </conditionalFormatting>
  <conditionalFormatting sqref="M67">
    <cfRule type="colorScale" priority="478">
      <colorScale>
        <cfvo type="min"/>
        <cfvo type="max"/>
        <color rgb="FFEBFFFF"/>
        <color rgb="FFEBFFFF"/>
      </colorScale>
    </cfRule>
  </conditionalFormatting>
  <conditionalFormatting sqref="P66">
    <cfRule type="colorScale" priority="815">
      <colorScale>
        <cfvo type="min"/>
        <cfvo type="max"/>
        <color rgb="FFEBFFFF"/>
        <color rgb="FFEBFFFF"/>
      </colorScale>
    </cfRule>
  </conditionalFormatting>
  <conditionalFormatting sqref="M66:M84">
    <cfRule type="colorScale" priority="824">
      <colorScale>
        <cfvo type="min"/>
        <cfvo type="max"/>
        <color rgb="FFEBFFFF"/>
        <color rgb="FFEBFFFF"/>
      </colorScale>
    </cfRule>
  </conditionalFormatting>
  <conditionalFormatting sqref="L43">
    <cfRule type="cellIs" dxfId="105" priority="407" stopIfTrue="1" operator="greaterThan">
      <formula>0</formula>
    </cfRule>
  </conditionalFormatting>
  <conditionalFormatting sqref="A43">
    <cfRule type="expression" dxfId="104" priority="401" stopIfTrue="1">
      <formula>ROW()=CELL("fila")</formula>
    </cfRule>
  </conditionalFormatting>
  <conditionalFormatting sqref="P43">
    <cfRule type="colorScale" priority="416">
      <colorScale>
        <cfvo type="min"/>
        <cfvo type="max"/>
        <color rgb="FFEBFFFF"/>
        <color rgb="FFEBFFFF"/>
      </colorScale>
    </cfRule>
  </conditionalFormatting>
  <conditionalFormatting sqref="M43">
    <cfRule type="colorScale" priority="426">
      <colorScale>
        <cfvo type="min"/>
        <cfvo type="max"/>
        <color rgb="FFEBFFFF"/>
        <color rgb="FFEBFFFF"/>
      </colorScale>
    </cfRule>
  </conditionalFormatting>
  <conditionalFormatting sqref="A17">
    <cfRule type="expression" dxfId="103" priority="374" stopIfTrue="1">
      <formula>ROW()=CELL("fila")</formula>
    </cfRule>
  </conditionalFormatting>
  <conditionalFormatting sqref="A20">
    <cfRule type="expression" dxfId="102" priority="348" stopIfTrue="1">
      <formula>ROW()=CELL("fila")</formula>
    </cfRule>
  </conditionalFormatting>
  <conditionalFormatting sqref="L78:L80">
    <cfRule type="cellIs" dxfId="101" priority="320" stopIfTrue="1" operator="greaterThan">
      <formula>0</formula>
    </cfRule>
  </conditionalFormatting>
  <conditionalFormatting sqref="L78:M80">
    <cfRule type="expression" dxfId="100" priority="319" stopIfTrue="1">
      <formula>ROW()=CELL("fila")</formula>
    </cfRule>
  </conditionalFormatting>
  <conditionalFormatting sqref="L78:L80">
    <cfRule type="cellIs" dxfId="99" priority="318" stopIfTrue="1" operator="greaterThan">
      <formula>0</formula>
    </cfRule>
  </conditionalFormatting>
  <conditionalFormatting sqref="L78:M80">
    <cfRule type="expression" dxfId="98" priority="317" stopIfTrue="1">
      <formula>ROW()=CELL("fila")</formula>
    </cfRule>
  </conditionalFormatting>
  <conditionalFormatting sqref="L57 L54 L59:L60">
    <cfRule type="cellIs" dxfId="97" priority="297" stopIfTrue="1" operator="greaterThan">
      <formula>0</formula>
    </cfRule>
  </conditionalFormatting>
  <conditionalFormatting sqref="A57 A54 Q55:Q56">
    <cfRule type="expression" dxfId="96" priority="291" stopIfTrue="1">
      <formula>ROW()=CELL("fila")</formula>
    </cfRule>
  </conditionalFormatting>
  <conditionalFormatting sqref="L55">
    <cfRule type="cellIs" dxfId="95" priority="271" stopIfTrue="1" operator="greaterThan">
      <formula>0</formula>
    </cfRule>
  </conditionalFormatting>
  <conditionalFormatting sqref="A55">
    <cfRule type="expression" dxfId="94" priority="265" stopIfTrue="1">
      <formula>ROW()=CELL("fila")</formula>
    </cfRule>
  </conditionalFormatting>
  <conditionalFormatting sqref="P55">
    <cfRule type="colorScale" priority="280">
      <colorScale>
        <cfvo type="min"/>
        <cfvo type="max"/>
        <color rgb="FFEBFFFF"/>
        <color rgb="FFEBFFFF"/>
      </colorScale>
    </cfRule>
  </conditionalFormatting>
  <conditionalFormatting sqref="M55">
    <cfRule type="colorScale" priority="290">
      <colorScale>
        <cfvo type="min"/>
        <cfvo type="max"/>
        <color rgb="FFEBFFFF"/>
        <color rgb="FFEBFFFF"/>
      </colorScale>
    </cfRule>
  </conditionalFormatting>
  <conditionalFormatting sqref="L56">
    <cfRule type="cellIs" dxfId="93" priority="245" stopIfTrue="1" operator="greaterThan">
      <formula>0</formula>
    </cfRule>
  </conditionalFormatting>
  <conditionalFormatting sqref="A56">
    <cfRule type="expression" dxfId="92" priority="239" stopIfTrue="1">
      <formula>ROW()=CELL("fila")</formula>
    </cfRule>
  </conditionalFormatting>
  <conditionalFormatting sqref="P56">
    <cfRule type="colorScale" priority="254">
      <colorScale>
        <cfvo type="min"/>
        <cfvo type="max"/>
        <color rgb="FFEBFFFF"/>
        <color rgb="FFEBFFFF"/>
      </colorScale>
    </cfRule>
  </conditionalFormatting>
  <conditionalFormatting sqref="M56">
    <cfRule type="colorScale" priority="264">
      <colorScale>
        <cfvo type="min"/>
        <cfvo type="max"/>
        <color rgb="FFEBFFFF"/>
        <color rgb="FFEBFFFF"/>
      </colorScale>
    </cfRule>
  </conditionalFormatting>
  <conditionalFormatting sqref="L52">
    <cfRule type="cellIs" dxfId="91" priority="219" stopIfTrue="1" operator="greaterThan">
      <formula>0</formula>
    </cfRule>
  </conditionalFormatting>
  <conditionalFormatting sqref="A52">
    <cfRule type="expression" dxfId="90" priority="213" stopIfTrue="1">
      <formula>ROW()=CELL("fila")</formula>
    </cfRule>
  </conditionalFormatting>
  <conditionalFormatting sqref="P52">
    <cfRule type="colorScale" priority="228">
      <colorScale>
        <cfvo type="min"/>
        <cfvo type="max"/>
        <color rgb="FFEBFFFF"/>
        <color rgb="FFEBFFFF"/>
      </colorScale>
    </cfRule>
  </conditionalFormatting>
  <conditionalFormatting sqref="M52">
    <cfRule type="colorScale" priority="238">
      <colorScale>
        <cfvo type="min"/>
        <cfvo type="max"/>
        <color rgb="FFEBFFFF"/>
        <color rgb="FFEBFFFF"/>
      </colorScale>
    </cfRule>
  </conditionalFormatting>
  <conditionalFormatting sqref="L53">
    <cfRule type="cellIs" dxfId="89" priority="193" stopIfTrue="1" operator="greaterThan">
      <formula>0</formula>
    </cfRule>
  </conditionalFormatting>
  <conditionalFormatting sqref="A53">
    <cfRule type="expression" dxfId="88" priority="187" stopIfTrue="1">
      <formula>ROW()=CELL("fila")</formula>
    </cfRule>
  </conditionalFormatting>
  <conditionalFormatting sqref="P53">
    <cfRule type="colorScale" priority="202">
      <colorScale>
        <cfvo type="min"/>
        <cfvo type="max"/>
        <color rgb="FFEBFFFF"/>
        <color rgb="FFEBFFFF"/>
      </colorScale>
    </cfRule>
  </conditionalFormatting>
  <conditionalFormatting sqref="M53">
    <cfRule type="colorScale" priority="212">
      <colorScale>
        <cfvo type="min"/>
        <cfvo type="max"/>
        <color rgb="FFEBFFFF"/>
        <color rgb="FFEBFFFF"/>
      </colorScale>
    </cfRule>
  </conditionalFormatting>
  <conditionalFormatting sqref="L58">
    <cfRule type="cellIs" dxfId="87" priority="167" stopIfTrue="1" operator="greaterThan">
      <formula>0</formula>
    </cfRule>
  </conditionalFormatting>
  <conditionalFormatting sqref="A58">
    <cfRule type="expression" dxfId="86" priority="161" stopIfTrue="1">
      <formula>ROW()=CELL("fila")</formula>
    </cfRule>
  </conditionalFormatting>
  <conditionalFormatting sqref="P58">
    <cfRule type="colorScale" priority="176">
      <colorScale>
        <cfvo type="min"/>
        <cfvo type="max"/>
        <color rgb="FFEBFFFF"/>
        <color rgb="FFEBFFFF"/>
      </colorScale>
    </cfRule>
  </conditionalFormatting>
  <conditionalFormatting sqref="M58">
    <cfRule type="colorScale" priority="186">
      <colorScale>
        <cfvo type="min"/>
        <cfvo type="max"/>
        <color rgb="FFEBFFFF"/>
        <color rgb="FFEBFFFF"/>
      </colorScale>
    </cfRule>
  </conditionalFormatting>
  <conditionalFormatting sqref="C81:D81 A81:A112 C85:D112 C82:C84">
    <cfRule type="expression" dxfId="85" priority="137" stopIfTrue="1">
      <formula>ROW()=CELL("fila")</formula>
    </cfRule>
  </conditionalFormatting>
  <conditionalFormatting sqref="P81:P112">
    <cfRule type="expression" dxfId="84" priority="134" stopIfTrue="1">
      <formula>ROW()=CELL("fila")</formula>
    </cfRule>
  </conditionalFormatting>
  <conditionalFormatting sqref="G81:J112">
    <cfRule type="expression" dxfId="83" priority="133" stopIfTrue="1">
      <formula>ROW()=CELL("fila")</formula>
    </cfRule>
  </conditionalFormatting>
  <conditionalFormatting sqref="L81">
    <cfRule type="cellIs" dxfId="82" priority="130" stopIfTrue="1" operator="greaterThan">
      <formula>0</formula>
    </cfRule>
  </conditionalFormatting>
  <conditionalFormatting sqref="L81:M81 M82:M112">
    <cfRule type="expression" dxfId="81" priority="129" stopIfTrue="1">
      <formula>ROW()=CELL("fila")</formula>
    </cfRule>
  </conditionalFormatting>
  <conditionalFormatting sqref="L81">
    <cfRule type="cellIs" dxfId="80" priority="128" stopIfTrue="1" operator="greaterThan">
      <formula>0</formula>
    </cfRule>
  </conditionalFormatting>
  <conditionalFormatting sqref="L81:M81 M82:M112">
    <cfRule type="expression" dxfId="79" priority="127" stopIfTrue="1">
      <formula>ROW()=CELL("fila")</formula>
    </cfRule>
  </conditionalFormatting>
  <conditionalFormatting sqref="A14">
    <cfRule type="expression" dxfId="78" priority="125" stopIfTrue="1">
      <formula>ROW()=CELL("fila")</formula>
    </cfRule>
  </conditionalFormatting>
  <conditionalFormatting sqref="C18:J18">
    <cfRule type="expression" dxfId="77" priority="119" stopIfTrue="1">
      <formula>ROW()=CELL("fila")</formula>
    </cfRule>
  </conditionalFormatting>
  <conditionalFormatting sqref="A18">
    <cfRule type="expression" dxfId="76" priority="114" stopIfTrue="1">
      <formula>ROW()=CELL("fila")</formula>
    </cfRule>
  </conditionalFormatting>
  <conditionalFormatting sqref="A18">
    <cfRule type="duplicateValues" dxfId="75" priority="124" stopIfTrue="1"/>
  </conditionalFormatting>
  <conditionalFormatting sqref="P54 P57 P59:P60">
    <cfRule type="colorScale" priority="1587">
      <colorScale>
        <cfvo type="min"/>
        <cfvo type="max"/>
        <color rgb="FFEBFFFF"/>
        <color rgb="FFEBFFFF"/>
      </colorScale>
    </cfRule>
  </conditionalFormatting>
  <conditionalFormatting sqref="M57 M54 M59:M60">
    <cfRule type="colorScale" priority="1590">
      <colorScale>
        <cfvo type="min"/>
        <cfvo type="max"/>
        <color rgb="FFEBFFFF"/>
        <color rgb="FFEBFFFF"/>
      </colorScale>
    </cfRule>
  </conditionalFormatting>
  <conditionalFormatting sqref="S44:T44">
    <cfRule type="cellIs" dxfId="74" priority="111" operator="greaterThan">
      <formula>0</formula>
    </cfRule>
  </conditionalFormatting>
  <conditionalFormatting sqref="O44">
    <cfRule type="cellIs" dxfId="73" priority="110" stopIfTrue="1" operator="greaterThan">
      <formula>0</formula>
    </cfRule>
  </conditionalFormatting>
  <conditionalFormatting sqref="S44">
    <cfRule type="cellIs" dxfId="72" priority="109" stopIfTrue="1" operator="lessThan">
      <formula>0</formula>
    </cfRule>
  </conditionalFormatting>
  <conditionalFormatting sqref="C44:T44">
    <cfRule type="expression" dxfId="71" priority="108" stopIfTrue="1">
      <formula>ROW()=CELL("fila")</formula>
    </cfRule>
  </conditionalFormatting>
  <conditionalFormatting sqref="L44">
    <cfRule type="cellIs" dxfId="70" priority="105" stopIfTrue="1" operator="greaterThan">
      <formula>0</formula>
    </cfRule>
  </conditionalFormatting>
  <conditionalFormatting sqref="A44">
    <cfRule type="expression" dxfId="69" priority="104" stopIfTrue="1">
      <formula>ROW()=CELL("fila")</formula>
    </cfRule>
  </conditionalFormatting>
  <conditionalFormatting sqref="P44">
    <cfRule type="colorScale" priority="106">
      <colorScale>
        <cfvo type="min"/>
        <cfvo type="max"/>
        <color rgb="FFEBFFFF"/>
        <color rgb="FFEBFFFF"/>
      </colorScale>
    </cfRule>
  </conditionalFormatting>
  <conditionalFormatting sqref="M44">
    <cfRule type="colorScale" priority="107">
      <colorScale>
        <cfvo type="min"/>
        <cfvo type="max"/>
        <color rgb="FFEBFFFF"/>
        <color rgb="FFEBFFFF"/>
      </colorScale>
    </cfRule>
  </conditionalFormatting>
  <conditionalFormatting sqref="S44">
    <cfRule type="colorScale" priority="112">
      <colorScale>
        <cfvo type="min"/>
        <cfvo type="max"/>
        <color theme="0"/>
        <color theme="0"/>
      </colorScale>
    </cfRule>
  </conditionalFormatting>
  <conditionalFormatting sqref="A44">
    <cfRule type="duplicateValues" dxfId="68" priority="113" stopIfTrue="1"/>
  </conditionalFormatting>
  <conditionalFormatting sqref="S46:T46">
    <cfRule type="cellIs" dxfId="67" priority="99" operator="greaterThan">
      <formula>0</formula>
    </cfRule>
  </conditionalFormatting>
  <conditionalFormatting sqref="L46 O46">
    <cfRule type="cellIs" dxfId="66" priority="98" stopIfTrue="1" operator="greaterThan">
      <formula>0</formula>
    </cfRule>
  </conditionalFormatting>
  <conditionalFormatting sqref="S46">
    <cfRule type="cellIs" dxfId="65" priority="97" stopIfTrue="1" operator="lessThan">
      <formula>0</formula>
    </cfRule>
  </conditionalFormatting>
  <conditionalFormatting sqref="A46 C46:T46">
    <cfRule type="expression" dxfId="64" priority="96" stopIfTrue="1">
      <formula>ROW()=CELL("fila")</formula>
    </cfRule>
  </conditionalFormatting>
  <conditionalFormatting sqref="P46">
    <cfRule type="colorScale" priority="100">
      <colorScale>
        <cfvo type="min"/>
        <cfvo type="max"/>
        <color rgb="FFEBFFFF"/>
        <color rgb="FFEBFFFF"/>
      </colorScale>
    </cfRule>
  </conditionalFormatting>
  <conditionalFormatting sqref="M46">
    <cfRule type="colorScale" priority="101">
      <colorScale>
        <cfvo type="min"/>
        <cfvo type="max"/>
        <color rgb="FFEBFFFF"/>
        <color rgb="FFEBFFFF"/>
      </colorScale>
    </cfRule>
  </conditionalFormatting>
  <conditionalFormatting sqref="S46">
    <cfRule type="colorScale" priority="102">
      <colorScale>
        <cfvo type="min"/>
        <cfvo type="max"/>
        <color theme="0"/>
        <color theme="0"/>
      </colorScale>
    </cfRule>
  </conditionalFormatting>
  <conditionalFormatting sqref="A46">
    <cfRule type="duplicateValues" dxfId="63" priority="103" stopIfTrue="1"/>
  </conditionalFormatting>
  <conditionalFormatting sqref="S15:T15">
    <cfRule type="cellIs" dxfId="62" priority="82" operator="greaterThan">
      <formula>0</formula>
    </cfRule>
  </conditionalFormatting>
  <conditionalFormatting sqref="O15">
    <cfRule type="cellIs" dxfId="61" priority="81" stopIfTrue="1" operator="greaterThan">
      <formula>0</formula>
    </cfRule>
  </conditionalFormatting>
  <conditionalFormatting sqref="S15">
    <cfRule type="cellIs" dxfId="60" priority="80" stopIfTrue="1" operator="lessThan">
      <formula>0</formula>
    </cfRule>
  </conditionalFormatting>
  <conditionalFormatting sqref="C15:E15 G15:K15 N15:T15">
    <cfRule type="expression" dxfId="59" priority="79" stopIfTrue="1">
      <formula>ROW()=CELL("fila")</formula>
    </cfRule>
  </conditionalFormatting>
  <conditionalFormatting sqref="P15">
    <cfRule type="colorScale" priority="83">
      <colorScale>
        <cfvo type="min"/>
        <cfvo type="max"/>
        <color rgb="FFEBFFFF"/>
        <color rgb="FFEBFFFF"/>
      </colorScale>
    </cfRule>
  </conditionalFormatting>
  <conditionalFormatting sqref="S15">
    <cfRule type="colorScale" priority="85">
      <colorScale>
        <cfvo type="min"/>
        <cfvo type="max"/>
        <color theme="0"/>
        <color theme="0"/>
      </colorScale>
    </cfRule>
  </conditionalFormatting>
  <conditionalFormatting sqref="C19:J19">
    <cfRule type="expression" dxfId="58" priority="72" stopIfTrue="1">
      <formula>ROW()=CELL("fila")</formula>
    </cfRule>
  </conditionalFormatting>
  <conditionalFormatting sqref="A19">
    <cfRule type="expression" dxfId="57" priority="67" stopIfTrue="1">
      <formula>ROW()=CELL("fila")</formula>
    </cfRule>
  </conditionalFormatting>
  <conditionalFormatting sqref="A19">
    <cfRule type="duplicateValues" dxfId="56" priority="77" stopIfTrue="1"/>
  </conditionalFormatting>
  <conditionalFormatting sqref="A66">
    <cfRule type="expression" dxfId="55" priority="66" stopIfTrue="1">
      <formula>ROW()=CELL("fila")</formula>
    </cfRule>
  </conditionalFormatting>
  <conditionalFormatting sqref="S11:T11">
    <cfRule type="cellIs" dxfId="54" priority="61" operator="greaterThan">
      <formula>0</formula>
    </cfRule>
  </conditionalFormatting>
  <conditionalFormatting sqref="O11">
    <cfRule type="cellIs" dxfId="53" priority="60" stopIfTrue="1" operator="greaterThan">
      <formula>0</formula>
    </cfRule>
  </conditionalFormatting>
  <conditionalFormatting sqref="S11">
    <cfRule type="cellIs" dxfId="52" priority="59" stopIfTrue="1" operator="lessThan">
      <formula>0</formula>
    </cfRule>
  </conditionalFormatting>
  <conditionalFormatting sqref="A11 C11:K11 N11:T11">
    <cfRule type="expression" dxfId="51" priority="58" stopIfTrue="1">
      <formula>ROW()=CELL("fila")</formula>
    </cfRule>
  </conditionalFormatting>
  <conditionalFormatting sqref="P11">
    <cfRule type="colorScale" priority="62">
      <colorScale>
        <cfvo type="min"/>
        <cfvo type="max"/>
        <color rgb="FFEBFFFF"/>
        <color rgb="FFEBFFFF"/>
      </colorScale>
    </cfRule>
  </conditionalFormatting>
  <conditionalFormatting sqref="S11">
    <cfRule type="colorScale" priority="64">
      <colorScale>
        <cfvo type="min"/>
        <cfvo type="max"/>
        <color theme="0"/>
        <color theme="0"/>
      </colorScale>
    </cfRule>
  </conditionalFormatting>
  <conditionalFormatting sqref="A11">
    <cfRule type="duplicateValues" dxfId="50" priority="65" stopIfTrue="1"/>
  </conditionalFormatting>
  <conditionalFormatting sqref="B8:B20 B26 B24 B22 B29:B34">
    <cfRule type="expression" dxfId="49" priority="54" stopIfTrue="1">
      <formula>ROW()=CELL("fila")</formula>
    </cfRule>
  </conditionalFormatting>
  <conditionalFormatting sqref="B8:B20 B26 B24 B22 B29:B34">
    <cfRule type="duplicateValues" dxfId="48" priority="55" stopIfTrue="1"/>
  </conditionalFormatting>
  <conditionalFormatting sqref="A26">
    <cfRule type="expression" dxfId="47" priority="53" stopIfTrue="1">
      <formula>ROW()=CELL("fila")</formula>
    </cfRule>
  </conditionalFormatting>
  <conditionalFormatting sqref="P81:P112">
    <cfRule type="colorScale" priority="1643">
      <colorScale>
        <cfvo type="min"/>
        <cfvo type="max"/>
        <color rgb="FFEBFFFF"/>
        <color rgb="FFEBFFFF"/>
      </colorScale>
    </cfRule>
  </conditionalFormatting>
  <conditionalFormatting sqref="M81:M112">
    <cfRule type="colorScale" priority="1644">
      <colorScale>
        <cfvo type="min"/>
        <cfvo type="max"/>
        <color rgb="FFEBFFFF"/>
        <color rgb="FFEBFFFF"/>
      </colorScale>
    </cfRule>
  </conditionalFormatting>
  <conditionalFormatting sqref="A7:B7 A8:A20 A26 A24 A22 A29:A112 B7:B86">
    <cfRule type="duplicateValues" dxfId="46" priority="1652" stopIfTrue="1"/>
  </conditionalFormatting>
  <conditionalFormatting sqref="P71:P84">
    <cfRule type="colorScale" priority="1671">
      <colorScale>
        <cfvo type="min"/>
        <cfvo type="max"/>
        <color rgb="FFEBFFFF"/>
        <color rgb="FFEBFFFF"/>
      </colorScale>
    </cfRule>
  </conditionalFormatting>
  <conditionalFormatting sqref="M78:M80">
    <cfRule type="colorScale" priority="1674">
      <colorScale>
        <cfvo type="min"/>
        <cfvo type="max"/>
        <color rgb="FFEBFFFF"/>
        <color rgb="FFEBFFFF"/>
      </colorScale>
    </cfRule>
  </conditionalFormatting>
  <conditionalFormatting sqref="B35:B112">
    <cfRule type="duplicateValues" dxfId="45" priority="1677" stopIfTrue="1"/>
  </conditionalFormatting>
  <conditionalFormatting sqref="S7:S10 S45 S12:S14 S16:S43 S47:S112">
    <cfRule type="colorScale" priority="1679">
      <colorScale>
        <cfvo type="min"/>
        <cfvo type="max"/>
        <color theme="0"/>
        <color theme="0"/>
      </colorScale>
    </cfRule>
  </conditionalFormatting>
  <conditionalFormatting sqref="E26">
    <cfRule type="expression" dxfId="44" priority="51" stopIfTrue="1">
      <formula>ROW()=CELL("fila")</formula>
    </cfRule>
  </conditionalFormatting>
  <conditionalFormatting sqref="A25 C25:J25">
    <cfRule type="expression" dxfId="43" priority="49" stopIfTrue="1">
      <formula>ROW()=CELL("fila")</formula>
    </cfRule>
  </conditionalFormatting>
  <conditionalFormatting sqref="A25">
    <cfRule type="expression" dxfId="42" priority="48" stopIfTrue="1">
      <formula>ROW()=CELL("fila")</formula>
    </cfRule>
  </conditionalFormatting>
  <conditionalFormatting sqref="B25">
    <cfRule type="expression" dxfId="41" priority="46" stopIfTrue="1">
      <formula>ROW()=CELL("fila")</formula>
    </cfRule>
  </conditionalFormatting>
  <conditionalFormatting sqref="B25">
    <cfRule type="duplicateValues" dxfId="40" priority="47" stopIfTrue="1"/>
  </conditionalFormatting>
  <conditionalFormatting sqref="A25">
    <cfRule type="duplicateValues" dxfId="39" priority="50" stopIfTrue="1"/>
  </conditionalFormatting>
  <conditionalFormatting sqref="A23 C23:J23">
    <cfRule type="expression" dxfId="38" priority="37" stopIfTrue="1">
      <formula>ROW()=CELL("fila")</formula>
    </cfRule>
  </conditionalFormatting>
  <conditionalFormatting sqref="A23">
    <cfRule type="expression" dxfId="37" priority="36" stopIfTrue="1">
      <formula>ROW()=CELL("fila")</formula>
    </cfRule>
  </conditionalFormatting>
  <conditionalFormatting sqref="B23">
    <cfRule type="expression" dxfId="36" priority="34" stopIfTrue="1">
      <formula>ROW()=CELL("fila")</formula>
    </cfRule>
  </conditionalFormatting>
  <conditionalFormatting sqref="B23">
    <cfRule type="duplicateValues" dxfId="35" priority="35" stopIfTrue="1"/>
  </conditionalFormatting>
  <conditionalFormatting sqref="A23">
    <cfRule type="duplicateValues" dxfId="34" priority="38" stopIfTrue="1"/>
  </conditionalFormatting>
  <conditionalFormatting sqref="C21:J21">
    <cfRule type="expression" dxfId="33" priority="25" stopIfTrue="1">
      <formula>ROW()=CELL("fila")</formula>
    </cfRule>
  </conditionalFormatting>
  <conditionalFormatting sqref="A21">
    <cfRule type="expression" dxfId="32" priority="24" stopIfTrue="1">
      <formula>ROW()=CELL("fila")</formula>
    </cfRule>
  </conditionalFormatting>
  <conditionalFormatting sqref="A21">
    <cfRule type="expression" dxfId="31" priority="23" stopIfTrue="1">
      <formula>ROW()=CELL("fila")</formula>
    </cfRule>
  </conditionalFormatting>
  <conditionalFormatting sqref="B21">
    <cfRule type="expression" dxfId="30" priority="21" stopIfTrue="1">
      <formula>ROW()=CELL("fila")</formula>
    </cfRule>
  </conditionalFormatting>
  <conditionalFormatting sqref="B21">
    <cfRule type="duplicateValues" dxfId="29" priority="22" stopIfTrue="1"/>
  </conditionalFormatting>
  <conditionalFormatting sqref="A21">
    <cfRule type="duplicateValues" dxfId="28" priority="26" stopIfTrue="1"/>
  </conditionalFormatting>
  <conditionalFormatting sqref="L82:L112">
    <cfRule type="cellIs" dxfId="27" priority="14" stopIfTrue="1" operator="greaterThan">
      <formula>0</formula>
    </cfRule>
  </conditionalFormatting>
  <conditionalFormatting sqref="L82:L112">
    <cfRule type="expression" dxfId="26" priority="13" stopIfTrue="1">
      <formula>ROW()=CELL("fila")</formula>
    </cfRule>
  </conditionalFormatting>
  <conditionalFormatting sqref="L82:L112">
    <cfRule type="cellIs" dxfId="25" priority="12" stopIfTrue="1" operator="greaterThan">
      <formula>0</formula>
    </cfRule>
  </conditionalFormatting>
  <conditionalFormatting sqref="L82:L112">
    <cfRule type="expression" dxfId="24" priority="11" stopIfTrue="1">
      <formula>ROW()=CELL("fila")</formula>
    </cfRule>
  </conditionalFormatting>
  <conditionalFormatting sqref="A27:A28 C27:C28">
    <cfRule type="expression" dxfId="23" priority="9" stopIfTrue="1">
      <formula>ROW()=CELL("fila")</formula>
    </cfRule>
  </conditionalFormatting>
  <conditionalFormatting sqref="A27:A28">
    <cfRule type="expression" dxfId="22" priority="8" stopIfTrue="1">
      <formula>ROW()=CELL("fila")</formula>
    </cfRule>
  </conditionalFormatting>
  <conditionalFormatting sqref="B27:B28">
    <cfRule type="expression" dxfId="21" priority="6" stopIfTrue="1">
      <formula>ROW()=CELL("fila")</formula>
    </cfRule>
  </conditionalFormatting>
  <conditionalFormatting sqref="B27:B28">
    <cfRule type="duplicateValues" dxfId="20" priority="7" stopIfTrue="1"/>
  </conditionalFormatting>
  <conditionalFormatting sqref="A27:A28">
    <cfRule type="duplicateValues" dxfId="19" priority="10" stopIfTrue="1"/>
  </conditionalFormatting>
  <conditionalFormatting sqref="E27">
    <cfRule type="expression" dxfId="18" priority="5" stopIfTrue="1">
      <formula>ROW()=CELL("fila")</formula>
    </cfRule>
  </conditionalFormatting>
  <conditionalFormatting sqref="D82:D84">
    <cfRule type="expression" dxfId="17" priority="1" stopIfTrue="1">
      <formula>ROW()=CELL("fila")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FD41-F7D3-4862-AAB5-796EED029CF3}">
  <sheetPr codeName="Hoja15"/>
  <dimension ref="A2:P54"/>
  <sheetViews>
    <sheetView topLeftCell="A22" workbookViewId="0">
      <selection activeCell="I52" sqref="I52"/>
    </sheetView>
  </sheetViews>
  <sheetFormatPr baseColWidth="10" defaultColWidth="11.44140625" defaultRowHeight="13.2"/>
  <cols>
    <col min="1" max="1" width="35.109375" style="415" bestFit="1" customWidth="1"/>
    <col min="2" max="2" width="35.6640625" style="415" customWidth="1"/>
    <col min="3" max="3" width="9.109375" style="415" bestFit="1" customWidth="1"/>
    <col min="4" max="4" width="10.44140625" style="415" bestFit="1" customWidth="1"/>
    <col min="5" max="5" width="10.88671875" style="415" bestFit="1" customWidth="1"/>
    <col min="6" max="6" width="10.6640625" style="415" bestFit="1" customWidth="1"/>
    <col min="7" max="7" width="1.88671875" style="415" customWidth="1"/>
    <col min="8" max="8" width="16" style="415" customWidth="1"/>
    <col min="9" max="10" width="7.88671875" style="415" bestFit="1" customWidth="1"/>
    <col min="11" max="12" width="7.88671875" style="415" customWidth="1"/>
    <col min="13" max="14" width="7.88671875" style="415" bestFit="1" customWidth="1"/>
    <col min="15" max="16384" width="11.44140625" style="415"/>
  </cols>
  <sheetData>
    <row r="2" spans="1:6">
      <c r="A2" s="456" t="s">
        <v>498</v>
      </c>
      <c r="B2" s="457"/>
      <c r="C2" s="457"/>
      <c r="D2" s="457"/>
      <c r="E2" s="457"/>
      <c r="F2" s="458"/>
    </row>
    <row r="3" spans="1:6">
      <c r="A3" s="440"/>
      <c r="B3" s="422"/>
      <c r="C3" s="422"/>
      <c r="D3" s="422"/>
      <c r="E3" s="422"/>
      <c r="F3" s="438"/>
    </row>
    <row r="4" spans="1:6">
      <c r="A4" s="441" t="s">
        <v>497</v>
      </c>
      <c r="B4" s="422" t="s">
        <v>380</v>
      </c>
      <c r="C4" s="422"/>
      <c r="D4" s="422"/>
      <c r="E4" s="422"/>
      <c r="F4" s="438"/>
    </row>
    <row r="5" spans="1:6">
      <c r="A5" s="441" t="s">
        <v>283</v>
      </c>
      <c r="B5" s="422" t="s">
        <v>496</v>
      </c>
      <c r="C5" s="422"/>
      <c r="D5" s="422"/>
      <c r="E5" s="422"/>
      <c r="F5" s="438"/>
    </row>
    <row r="6" spans="1:6">
      <c r="A6" s="441" t="s">
        <v>284</v>
      </c>
      <c r="B6" s="422"/>
      <c r="C6" s="422"/>
      <c r="D6" s="422"/>
      <c r="E6" s="422"/>
      <c r="F6" s="438"/>
    </row>
    <row r="7" spans="1:6">
      <c r="A7" s="440"/>
      <c r="B7" s="422" t="s">
        <v>495</v>
      </c>
      <c r="C7" s="422"/>
      <c r="D7" s="422"/>
      <c r="E7" s="422"/>
      <c r="F7" s="438"/>
    </row>
    <row r="8" spans="1:6">
      <c r="A8" s="441" t="s">
        <v>494</v>
      </c>
      <c r="B8" s="422" t="s">
        <v>493</v>
      </c>
      <c r="C8" s="422"/>
      <c r="D8" s="422"/>
      <c r="E8" s="422"/>
      <c r="F8" s="438"/>
    </row>
    <row r="9" spans="1:6">
      <c r="A9" s="441" t="s">
        <v>492</v>
      </c>
      <c r="B9" s="422" t="s">
        <v>491</v>
      </c>
      <c r="C9" s="422"/>
      <c r="D9" s="422"/>
      <c r="E9" s="422"/>
      <c r="F9" s="438"/>
    </row>
    <row r="10" spans="1:6">
      <c r="A10" s="441" t="s">
        <v>490</v>
      </c>
      <c r="B10" s="422" t="s">
        <v>489</v>
      </c>
      <c r="C10" s="422"/>
      <c r="D10" s="422"/>
      <c r="E10" s="422"/>
      <c r="F10" s="438"/>
    </row>
    <row r="11" spans="1:6">
      <c r="A11" s="441" t="s">
        <v>488</v>
      </c>
      <c r="B11" s="422" t="s">
        <v>487</v>
      </c>
      <c r="C11" s="422"/>
      <c r="D11" s="422"/>
      <c r="E11" s="422"/>
      <c r="F11" s="438"/>
    </row>
    <row r="12" spans="1:6">
      <c r="A12" s="441" t="s">
        <v>486</v>
      </c>
      <c r="B12" s="422" t="s">
        <v>485</v>
      </c>
      <c r="C12" s="422"/>
      <c r="D12" s="422"/>
      <c r="E12" s="422"/>
      <c r="F12" s="438"/>
    </row>
    <row r="13" spans="1:6">
      <c r="A13" s="441" t="s">
        <v>484</v>
      </c>
      <c r="B13" s="422" t="s">
        <v>483</v>
      </c>
      <c r="C13" s="422"/>
      <c r="D13" s="422"/>
      <c r="E13" s="422"/>
      <c r="F13" s="438"/>
    </row>
    <row r="14" spans="1:6">
      <c r="A14" s="440"/>
      <c r="B14" s="422"/>
      <c r="C14" s="422"/>
      <c r="D14" s="422"/>
      <c r="E14" s="422"/>
      <c r="F14" s="438"/>
    </row>
    <row r="15" spans="1:6">
      <c r="A15" s="440"/>
      <c r="B15" s="422"/>
      <c r="C15" s="432" t="s">
        <v>204</v>
      </c>
      <c r="D15" s="432" t="s">
        <v>285</v>
      </c>
      <c r="E15" s="432" t="s">
        <v>286</v>
      </c>
      <c r="F15" s="438"/>
    </row>
    <row r="16" spans="1:6">
      <c r="A16" s="440"/>
      <c r="B16" s="422"/>
      <c r="C16" s="422" t="s">
        <v>482</v>
      </c>
      <c r="D16" s="439">
        <v>50</v>
      </c>
      <c r="E16" s="439">
        <v>1</v>
      </c>
      <c r="F16" s="438"/>
    </row>
    <row r="17" spans="1:6">
      <c r="A17" s="437"/>
      <c r="B17" s="436"/>
      <c r="C17" s="436"/>
      <c r="D17" s="436"/>
      <c r="E17" s="436"/>
      <c r="F17" s="435"/>
    </row>
    <row r="18" spans="1:6">
      <c r="A18" s="422"/>
      <c r="B18" s="422"/>
      <c r="C18" s="422"/>
      <c r="D18" s="422"/>
      <c r="E18" s="422"/>
      <c r="F18" s="422"/>
    </row>
    <row r="19" spans="1:6">
      <c r="A19" s="432" t="s">
        <v>0</v>
      </c>
      <c r="B19" s="422"/>
      <c r="C19" s="422"/>
      <c r="D19" s="422"/>
      <c r="E19" s="422"/>
      <c r="F19" s="422"/>
    </row>
    <row r="20" spans="1:6">
      <c r="A20" s="431" t="s">
        <v>470</v>
      </c>
      <c r="B20" s="431" t="s">
        <v>176</v>
      </c>
      <c r="C20" s="431" t="s">
        <v>3</v>
      </c>
      <c r="D20" s="431" t="s">
        <v>287</v>
      </c>
      <c r="E20" s="431" t="s">
        <v>288</v>
      </c>
      <c r="F20" s="431" t="s">
        <v>289</v>
      </c>
    </row>
    <row r="21" spans="1:6">
      <c r="A21" s="430" t="s">
        <v>481</v>
      </c>
      <c r="B21" s="425" t="s">
        <v>210</v>
      </c>
      <c r="C21" s="433">
        <v>1</v>
      </c>
      <c r="D21" s="428">
        <f>(C21*E16)/D16</f>
        <v>0.02</v>
      </c>
      <c r="E21" s="434">
        <v>25.047120999999997</v>
      </c>
      <c r="F21" s="428">
        <f>D21*E21</f>
        <v>0.50094242</v>
      </c>
    </row>
    <row r="22" spans="1:6">
      <c r="A22" s="430" t="s">
        <v>480</v>
      </c>
      <c r="B22" s="425" t="s">
        <v>211</v>
      </c>
      <c r="C22" s="433">
        <v>3</v>
      </c>
      <c r="D22" s="428">
        <f>(C22*E16)/D16</f>
        <v>0.06</v>
      </c>
      <c r="E22" s="434">
        <v>14.991657999999999</v>
      </c>
      <c r="F22" s="428">
        <f>D22*E22</f>
        <v>0.89949947999999991</v>
      </c>
    </row>
    <row r="23" spans="1:6">
      <c r="A23" s="430" t="s">
        <v>479</v>
      </c>
      <c r="B23" s="425" t="s">
        <v>212</v>
      </c>
      <c r="C23" s="433">
        <v>5</v>
      </c>
      <c r="D23" s="428">
        <f>(C23*E16)/D16</f>
        <v>0.1</v>
      </c>
      <c r="E23" s="434">
        <v>12.184094999999999</v>
      </c>
      <c r="F23" s="428">
        <f>D23*E23</f>
        <v>1.2184094999999999</v>
      </c>
    </row>
    <row r="24" spans="1:6">
      <c r="A24" s="422"/>
      <c r="B24" s="422"/>
      <c r="C24" s="422"/>
      <c r="D24" s="422"/>
      <c r="E24" s="426" t="s">
        <v>290</v>
      </c>
      <c r="F24" s="427">
        <f>ROUND(F21+F22+F23,2)</f>
        <v>2.62</v>
      </c>
    </row>
    <row r="25" spans="1:6">
      <c r="A25" s="422"/>
      <c r="B25" s="422"/>
      <c r="C25" s="422"/>
      <c r="D25" s="422"/>
      <c r="E25" s="422"/>
      <c r="F25" s="422"/>
    </row>
    <row r="26" spans="1:6">
      <c r="A26" s="432" t="s">
        <v>291</v>
      </c>
      <c r="B26" s="422"/>
      <c r="C26" s="422"/>
      <c r="D26" s="422"/>
      <c r="E26" s="422"/>
      <c r="F26" s="422"/>
    </row>
    <row r="27" spans="1:6">
      <c r="A27" s="431" t="s">
        <v>470</v>
      </c>
      <c r="B27" s="431" t="s">
        <v>176</v>
      </c>
      <c r="C27" s="431" t="s">
        <v>3</v>
      </c>
      <c r="D27" s="431" t="s">
        <v>292</v>
      </c>
      <c r="E27" s="431" t="s">
        <v>288</v>
      </c>
      <c r="F27" s="431" t="s">
        <v>289</v>
      </c>
    </row>
    <row r="28" spans="1:6">
      <c r="A28" s="430" t="s">
        <v>478</v>
      </c>
      <c r="B28" s="425" t="s">
        <v>205</v>
      </c>
      <c r="C28" s="433">
        <v>1</v>
      </c>
      <c r="D28" s="428">
        <f>(C28*E16)/D16</f>
        <v>0.02</v>
      </c>
      <c r="E28" s="424">
        <v>1.4061999999999999</v>
      </c>
      <c r="F28" s="428">
        <f>D28*E28</f>
        <v>2.8124E-2</v>
      </c>
    </row>
    <row r="29" spans="1:6">
      <c r="A29" s="430" t="s">
        <v>477</v>
      </c>
      <c r="B29" s="425" t="s">
        <v>206</v>
      </c>
      <c r="C29" s="433">
        <v>3</v>
      </c>
      <c r="D29" s="428">
        <f>(C29*E16)/D16</f>
        <v>0.06</v>
      </c>
      <c r="E29" s="424">
        <v>2.6688999999999998</v>
      </c>
      <c r="F29" s="428">
        <f>D29*E29</f>
        <v>0.16013399999999997</v>
      </c>
    </row>
    <row r="30" spans="1:6">
      <c r="A30" s="430" t="s">
        <v>476</v>
      </c>
      <c r="B30" s="425" t="s">
        <v>207</v>
      </c>
      <c r="C30" s="433">
        <v>5</v>
      </c>
      <c r="D30" s="428">
        <f>(C30*E16)/D16</f>
        <v>0.1</v>
      </c>
      <c r="E30" s="424">
        <v>1.2423</v>
      </c>
      <c r="F30" s="428">
        <f>D30*E30</f>
        <v>0.12423000000000001</v>
      </c>
    </row>
    <row r="31" spans="1:6">
      <c r="A31" s="422"/>
      <c r="B31" s="422"/>
      <c r="C31" s="422"/>
      <c r="D31" s="422"/>
      <c r="E31" s="426" t="s">
        <v>290</v>
      </c>
      <c r="F31" s="427">
        <f>ROUND(F28+F29+F30,2)</f>
        <v>0.31</v>
      </c>
    </row>
    <row r="32" spans="1:6">
      <c r="A32" s="422"/>
      <c r="B32" s="422"/>
      <c r="C32" s="422"/>
      <c r="D32" s="422"/>
      <c r="E32" s="422"/>
      <c r="F32" s="422"/>
    </row>
    <row r="33" spans="1:6">
      <c r="A33" s="432" t="s">
        <v>293</v>
      </c>
      <c r="B33" s="422"/>
      <c r="C33" s="422"/>
      <c r="D33" s="422"/>
      <c r="E33" s="422"/>
      <c r="F33" s="422"/>
    </row>
    <row r="34" spans="1:6">
      <c r="A34" s="431" t="s">
        <v>470</v>
      </c>
      <c r="B34" s="431" t="s">
        <v>176</v>
      </c>
      <c r="C34" s="431" t="s">
        <v>3</v>
      </c>
      <c r="D34" s="431" t="s">
        <v>292</v>
      </c>
      <c r="E34" s="431" t="s">
        <v>288</v>
      </c>
      <c r="F34" s="431" t="s">
        <v>289</v>
      </c>
    </row>
    <row r="35" spans="1:6">
      <c r="A35" s="430" t="s">
        <v>475</v>
      </c>
      <c r="B35" s="425" t="s">
        <v>474</v>
      </c>
      <c r="C35" s="429">
        <v>1</v>
      </c>
      <c r="D35" s="428">
        <f>(C35*E16)/D16</f>
        <v>0.02</v>
      </c>
      <c r="E35" s="424">
        <v>5.9047999999999998</v>
      </c>
      <c r="F35" s="428">
        <f>D35*E35</f>
        <v>0.11809599999999999</v>
      </c>
    </row>
    <row r="36" spans="1:6">
      <c r="A36" s="430" t="s">
        <v>473</v>
      </c>
      <c r="B36" s="425" t="s">
        <v>472</v>
      </c>
      <c r="C36" s="429">
        <v>1</v>
      </c>
      <c r="D36" s="428">
        <f>(C36*E16)/D16</f>
        <v>0.02</v>
      </c>
      <c r="E36" s="424">
        <v>0.93510000000000004</v>
      </c>
      <c r="F36" s="428">
        <f>D36*E36</f>
        <v>1.8702E-2</v>
      </c>
    </row>
    <row r="37" spans="1:6">
      <c r="A37" s="430" t="s">
        <v>471</v>
      </c>
      <c r="B37" s="425" t="s">
        <v>213</v>
      </c>
      <c r="C37" s="429">
        <v>1</v>
      </c>
      <c r="D37" s="428">
        <f>(C37*E16)/D16</f>
        <v>0.02</v>
      </c>
      <c r="E37" s="424">
        <v>1.4525999999999999</v>
      </c>
      <c r="F37" s="428">
        <f>D37*E37</f>
        <v>2.9051999999999998E-2</v>
      </c>
    </row>
    <row r="38" spans="1:6">
      <c r="A38" s="422"/>
      <c r="B38" s="422"/>
      <c r="C38" s="422"/>
      <c r="D38" s="422"/>
      <c r="E38" s="426" t="s">
        <v>290</v>
      </c>
      <c r="F38" s="427">
        <f>ROUND(F35+F36+F37,2)</f>
        <v>0.17</v>
      </c>
    </row>
    <row r="39" spans="1:6">
      <c r="A39" s="422"/>
      <c r="B39" s="422"/>
      <c r="C39" s="422"/>
      <c r="D39" s="422"/>
      <c r="E39" s="422"/>
      <c r="F39" s="422"/>
    </row>
    <row r="40" spans="1:6">
      <c r="A40" s="432" t="s">
        <v>294</v>
      </c>
      <c r="B40" s="422"/>
      <c r="C40" s="422"/>
      <c r="D40" s="422"/>
      <c r="E40" s="422"/>
      <c r="F40" s="422"/>
    </row>
    <row r="41" spans="1:6">
      <c r="A41" s="431" t="s">
        <v>470</v>
      </c>
      <c r="B41" s="431" t="s">
        <v>176</v>
      </c>
      <c r="C41" s="431" t="s">
        <v>3</v>
      </c>
      <c r="D41" s="431" t="s">
        <v>295</v>
      </c>
      <c r="E41" s="431" t="s">
        <v>288</v>
      </c>
      <c r="F41" s="431" t="s">
        <v>296</v>
      </c>
    </row>
    <row r="42" spans="1:6">
      <c r="A42" s="430" t="s">
        <v>469</v>
      </c>
      <c r="B42" s="425" t="s">
        <v>209</v>
      </c>
      <c r="C42" s="429">
        <v>0.2</v>
      </c>
      <c r="D42" s="428">
        <f>(C42*E16)/D16</f>
        <v>4.0000000000000001E-3</v>
      </c>
      <c r="E42" s="424">
        <v>27.7895</v>
      </c>
      <c r="F42" s="428">
        <f>D42*E42</f>
        <v>0.11115800000000001</v>
      </c>
    </row>
    <row r="43" spans="1:6">
      <c r="A43" s="430" t="s">
        <v>468</v>
      </c>
      <c r="B43" s="425" t="s">
        <v>467</v>
      </c>
      <c r="C43" s="429">
        <v>0.5</v>
      </c>
      <c r="D43" s="428">
        <f>(C43*E16)/D16</f>
        <v>0.01</v>
      </c>
      <c r="E43" s="424">
        <v>24.44</v>
      </c>
      <c r="F43" s="428">
        <f>D43*E43</f>
        <v>0.24440000000000001</v>
      </c>
    </row>
    <row r="44" spans="1:6">
      <c r="A44" s="430" t="s">
        <v>466</v>
      </c>
      <c r="B44" s="425" t="s">
        <v>208</v>
      </c>
      <c r="C44" s="429">
        <v>0.2</v>
      </c>
      <c r="D44" s="428">
        <f>(C44*E16)/D16</f>
        <v>4.0000000000000001E-3</v>
      </c>
      <c r="E44" s="424">
        <v>86.756900000000002</v>
      </c>
      <c r="F44" s="428">
        <f>D44*E44</f>
        <v>0.34702759999999999</v>
      </c>
    </row>
    <row r="45" spans="1:6">
      <c r="A45" s="422"/>
      <c r="B45" s="422"/>
      <c r="C45" s="422"/>
      <c r="D45" s="422"/>
      <c r="E45" s="426" t="s">
        <v>290</v>
      </c>
      <c r="F45" s="427">
        <f>ROUND(F42+F43+F44,2)</f>
        <v>0.7</v>
      </c>
    </row>
    <row r="46" spans="1:6">
      <c r="A46" s="422"/>
      <c r="B46" s="422"/>
      <c r="C46" s="422"/>
      <c r="D46" s="422"/>
      <c r="E46" s="422"/>
      <c r="F46" s="422"/>
    </row>
    <row r="47" spans="1:6">
      <c r="A47" s="422"/>
      <c r="B47" s="422"/>
      <c r="C47" s="422"/>
      <c r="D47" s="422"/>
      <c r="E47" s="422"/>
      <c r="F47" s="422"/>
    </row>
    <row r="48" spans="1:6">
      <c r="A48" s="426" t="s">
        <v>297</v>
      </c>
      <c r="B48" s="425"/>
      <c r="C48" s="425"/>
      <c r="D48" s="425"/>
      <c r="E48" s="425"/>
      <c r="F48" s="424">
        <f>F24+F31+F38+F45</f>
        <v>3.8</v>
      </c>
    </row>
    <row r="49" spans="1:16">
      <c r="A49" s="425" t="s">
        <v>298</v>
      </c>
      <c r="B49" s="425"/>
      <c r="C49" s="425"/>
      <c r="D49" s="425"/>
      <c r="E49" s="424">
        <v>21</v>
      </c>
      <c r="F49" s="424">
        <f>F48*(E49/100)</f>
        <v>0.79799999999999993</v>
      </c>
    </row>
    <row r="50" spans="1:16">
      <c r="A50" s="426" t="s">
        <v>27</v>
      </c>
      <c r="B50" s="425"/>
      <c r="C50" s="425"/>
      <c r="D50" s="425"/>
      <c r="E50" s="425"/>
      <c r="F50" s="424">
        <f>F48+F49</f>
        <v>4.5979999999999999</v>
      </c>
    </row>
    <row r="51" spans="1:16">
      <c r="A51" s="422"/>
      <c r="B51" s="422"/>
      <c r="C51" s="422"/>
      <c r="D51" s="422"/>
      <c r="E51" s="422" t="s">
        <v>465</v>
      </c>
      <c r="F51" s="422">
        <v>1.3</v>
      </c>
      <c r="I51" s="423" t="s">
        <v>464</v>
      </c>
      <c r="J51" s="423" t="s">
        <v>463</v>
      </c>
      <c r="K51" s="423" t="s">
        <v>462</v>
      </c>
      <c r="L51" s="423" t="s">
        <v>461</v>
      </c>
      <c r="M51" s="423" t="s">
        <v>673</v>
      </c>
      <c r="N51" s="423" t="s">
        <v>674</v>
      </c>
      <c r="O51" s="423" t="s">
        <v>460</v>
      </c>
      <c r="P51" s="423" t="s">
        <v>459</v>
      </c>
    </row>
    <row r="52" spans="1:16">
      <c r="A52" s="422"/>
      <c r="B52" s="422"/>
      <c r="C52" s="422"/>
      <c r="D52" s="422"/>
      <c r="E52" s="421" t="s">
        <v>4</v>
      </c>
      <c r="F52" s="420">
        <f>+F51*F50</f>
        <v>5.9774000000000003</v>
      </c>
      <c r="H52" s="419" t="s">
        <v>458</v>
      </c>
      <c r="I52" s="418">
        <v>0</v>
      </c>
      <c r="J52" s="418">
        <v>0</v>
      </c>
      <c r="K52" s="418">
        <v>0</v>
      </c>
      <c r="L52" s="418">
        <v>0</v>
      </c>
      <c r="M52" s="418">
        <v>0</v>
      </c>
      <c r="N52" s="418">
        <v>0</v>
      </c>
      <c r="O52" s="418">
        <f>+SUM(I52:N52)</f>
        <v>0</v>
      </c>
      <c r="P52" s="417">
        <f>+O52*F50</f>
        <v>0</v>
      </c>
    </row>
    <row r="53" spans="1:16">
      <c r="A53" s="459" t="s">
        <v>457</v>
      </c>
      <c r="B53" s="461" t="s">
        <v>456</v>
      </c>
      <c r="C53" s="462"/>
      <c r="D53" s="462"/>
      <c r="E53" s="462"/>
      <c r="F53" s="462"/>
      <c r="H53" s="419" t="s">
        <v>455</v>
      </c>
      <c r="I53" s="418"/>
      <c r="J53" s="418"/>
      <c r="K53" s="418"/>
      <c r="L53" s="418"/>
      <c r="M53" s="418"/>
      <c r="N53" s="418"/>
      <c r="O53" s="418">
        <f>+SUM(I53:N53)</f>
        <v>0</v>
      </c>
      <c r="P53" s="417">
        <f>+O53*F52</f>
        <v>0</v>
      </c>
    </row>
    <row r="54" spans="1:16">
      <c r="A54" s="460"/>
      <c r="B54" s="463" t="s">
        <v>454</v>
      </c>
      <c r="C54" s="464"/>
      <c r="D54" s="464"/>
      <c r="E54" s="464"/>
      <c r="F54" s="465"/>
      <c r="P54" s="416">
        <f>+SUM(P52:P53)</f>
        <v>0</v>
      </c>
    </row>
  </sheetData>
  <mergeCells count="4">
    <mergeCell ref="A2:F2"/>
    <mergeCell ref="A53:A54"/>
    <mergeCell ref="B53:F53"/>
    <mergeCell ref="B54:F54"/>
  </mergeCells>
  <phoneticPr fontId="6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2787-2D65-44FA-B37C-C950B0671212}">
  <sheetPr codeName="Hoja4"/>
  <dimension ref="A1:DU1261"/>
  <sheetViews>
    <sheetView zoomScaleNormal="100" workbookViewId="0">
      <selection activeCell="X6" sqref="X6"/>
    </sheetView>
  </sheetViews>
  <sheetFormatPr baseColWidth="10" defaultColWidth="11.44140625" defaultRowHeight="11.4" outlineLevelRow="2"/>
  <cols>
    <col min="1" max="1" width="2.44140625" style="14" customWidth="1"/>
    <col min="2" max="2" width="21.44140625" style="14" customWidth="1"/>
    <col min="3" max="3" width="9.44140625" style="14" customWidth="1"/>
    <col min="4" max="4" width="8.5546875" style="14" customWidth="1"/>
    <col min="5" max="5" width="7.5546875" style="14" customWidth="1"/>
    <col min="6" max="6" width="8.88671875" style="14" bestFit="1" customWidth="1"/>
    <col min="7" max="7" width="10" style="104" customWidth="1"/>
    <col min="8" max="8" width="1" style="105" customWidth="1"/>
    <col min="9" max="9" width="8.88671875" style="14" customWidth="1"/>
    <col min="10" max="10" width="9.5546875" style="14" customWidth="1"/>
    <col min="11" max="11" width="8.33203125" style="14" customWidth="1"/>
    <col min="12" max="12" width="7.109375" style="104" customWidth="1"/>
    <col min="13" max="13" width="12.109375" style="14" customWidth="1"/>
    <col min="14" max="14" width="1.5546875" style="14" customWidth="1"/>
    <col min="15" max="16" width="7.6640625" style="14" customWidth="1"/>
    <col min="17" max="17" width="7.6640625" style="104" customWidth="1"/>
    <col min="18" max="18" width="1.6640625" style="14" customWidth="1"/>
    <col min="19" max="19" width="9.88671875" style="14" bestFit="1" customWidth="1"/>
    <col min="20" max="20" width="1.44140625" style="14" customWidth="1"/>
    <col min="21" max="21" width="7.109375" style="14" customWidth="1"/>
    <col min="22" max="22" width="6.88671875" style="14" customWidth="1"/>
    <col min="23" max="23" width="8.109375" style="104" customWidth="1"/>
    <col min="24" max="24" width="10.44140625" style="14" customWidth="1"/>
    <col min="25" max="25" width="11.44140625" style="12"/>
    <col min="26" max="26" width="13.5546875" style="13" customWidth="1"/>
    <col min="27" max="16384" width="11.44140625" style="14"/>
  </cols>
  <sheetData>
    <row r="1" spans="1:125" ht="63" customHeight="1" thickBot="1">
      <c r="A1" s="8"/>
      <c r="B1" s="106" t="s">
        <v>194</v>
      </c>
      <c r="C1" s="9"/>
      <c r="D1" s="9"/>
      <c r="E1" s="9"/>
      <c r="F1" s="120"/>
      <c r="G1" s="119"/>
      <c r="H1" s="11"/>
      <c r="I1" s="9"/>
      <c r="J1" s="9"/>
      <c r="K1" s="9"/>
      <c r="L1" s="10"/>
      <c r="M1" s="9"/>
      <c r="N1" s="9"/>
      <c r="O1" s="9"/>
      <c r="P1" s="9"/>
      <c r="Q1" s="10"/>
      <c r="R1" s="9"/>
      <c r="S1" s="9"/>
      <c r="T1" s="9"/>
      <c r="U1" s="9"/>
      <c r="V1" s="9"/>
      <c r="W1" s="10"/>
      <c r="X1" s="9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</row>
    <row r="2" spans="1:125" ht="15.75" customHeight="1" thickTop="1">
      <c r="A2" s="8"/>
      <c r="B2" s="8"/>
      <c r="C2" s="15"/>
      <c r="D2" s="16"/>
      <c r="E2" s="16"/>
      <c r="F2" s="16"/>
      <c r="G2" s="15"/>
      <c r="H2" s="17"/>
      <c r="I2" s="16"/>
      <c r="J2" s="16"/>
      <c r="K2" s="16"/>
      <c r="L2" s="15"/>
      <c r="M2" s="16"/>
      <c r="N2" s="16"/>
      <c r="O2" s="16"/>
      <c r="P2" s="16"/>
      <c r="Q2" s="15"/>
      <c r="R2" s="16"/>
      <c r="S2" s="16"/>
      <c r="T2" s="16"/>
      <c r="U2" s="12"/>
      <c r="V2" s="12"/>
      <c r="W2" s="18"/>
      <c r="X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</row>
    <row r="3" spans="1:125" s="21" customFormat="1" ht="16.5" customHeight="1">
      <c r="A3" s="8"/>
      <c r="B3" s="466" t="s">
        <v>11</v>
      </c>
      <c r="C3" s="467"/>
      <c r="D3" s="468"/>
      <c r="E3" s="108" t="s">
        <v>54</v>
      </c>
      <c r="F3" s="108" t="s">
        <v>55</v>
      </c>
      <c r="G3" s="19"/>
      <c r="H3" s="17"/>
      <c r="I3" s="466" t="s">
        <v>41</v>
      </c>
      <c r="J3" s="467"/>
      <c r="K3" s="468"/>
      <c r="L3" s="108" t="s">
        <v>54</v>
      </c>
      <c r="M3" s="108" t="s">
        <v>55</v>
      </c>
      <c r="N3" s="3"/>
      <c r="O3" s="466" t="s">
        <v>12</v>
      </c>
      <c r="P3" s="467"/>
      <c r="Q3" s="468"/>
      <c r="R3" s="3"/>
      <c r="S3" s="185" t="s">
        <v>56</v>
      </c>
      <c r="T3" s="3"/>
      <c r="U3" s="469" t="s">
        <v>57</v>
      </c>
      <c r="V3" s="470"/>
      <c r="W3" s="470"/>
      <c r="X3" s="471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</row>
    <row r="4" spans="1:125" s="21" customFormat="1" ht="21.75" customHeight="1">
      <c r="A4" s="8"/>
      <c r="B4" s="109" t="s">
        <v>14</v>
      </c>
      <c r="C4" s="109" t="s">
        <v>28</v>
      </c>
      <c r="D4" s="110" t="s">
        <v>503</v>
      </c>
      <c r="E4" s="109" t="s">
        <v>30</v>
      </c>
      <c r="F4" s="109" t="s">
        <v>30</v>
      </c>
      <c r="G4" s="108" t="s">
        <v>42</v>
      </c>
      <c r="H4" s="22"/>
      <c r="I4" s="108" t="s">
        <v>14</v>
      </c>
      <c r="J4" s="108" t="s">
        <v>28</v>
      </c>
      <c r="K4" s="108" t="s">
        <v>29</v>
      </c>
      <c r="L4" s="109" t="s">
        <v>30</v>
      </c>
      <c r="M4" s="109" t="s">
        <v>30</v>
      </c>
      <c r="N4" s="3"/>
      <c r="O4" s="108" t="s">
        <v>29</v>
      </c>
      <c r="P4" s="108" t="s">
        <v>59</v>
      </c>
      <c r="Q4" s="108" t="s">
        <v>4</v>
      </c>
      <c r="R4" s="3"/>
      <c r="S4" s="109" t="s">
        <v>30</v>
      </c>
      <c r="T4" s="3"/>
      <c r="U4" s="108" t="s">
        <v>28</v>
      </c>
      <c r="V4" s="109" t="s">
        <v>59</v>
      </c>
      <c r="W4" s="109" t="s">
        <v>4</v>
      </c>
      <c r="X4" s="109" t="s">
        <v>60</v>
      </c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</row>
    <row r="5" spans="1:125" ht="13.5" customHeight="1">
      <c r="A5" s="8"/>
      <c r="B5" s="23" t="s">
        <v>61</v>
      </c>
      <c r="C5" s="113"/>
      <c r="D5" s="111"/>
      <c r="E5" s="25">
        <f t="shared" ref="E5:E15" si="0">+C5*D5</f>
        <v>0</v>
      </c>
      <c r="F5" s="26">
        <f t="shared" ref="F5:F15" si="1">+C5*D5</f>
        <v>0</v>
      </c>
      <c r="G5" s="27"/>
      <c r="H5" s="28"/>
      <c r="I5" s="23" t="s">
        <v>62</v>
      </c>
      <c r="J5" s="24"/>
      <c r="K5" s="24"/>
      <c r="L5" s="25">
        <f t="shared" ref="L5:L15" si="2">+J5*K5</f>
        <v>0</v>
      </c>
      <c r="M5" s="25">
        <f t="shared" ref="M5:M15" si="3">+J5*K5</f>
        <v>0</v>
      </c>
      <c r="N5" s="29"/>
      <c r="O5" s="24">
        <f t="shared" ref="O5:O15" si="4">+D5</f>
        <v>0</v>
      </c>
      <c r="P5" s="24"/>
      <c r="Q5" s="25">
        <f t="shared" ref="Q5:Q15" si="5">+O5*P5</f>
        <v>0</v>
      </c>
      <c r="R5" s="30"/>
      <c r="S5" s="25">
        <f t="shared" ref="S5:S15" si="6">+F5+M5</f>
        <v>0</v>
      </c>
      <c r="T5" s="30"/>
      <c r="U5" s="24">
        <v>1</v>
      </c>
      <c r="V5" s="24">
        <v>0.05</v>
      </c>
      <c r="W5" s="25">
        <f t="shared" ref="W5:W27" si="7">+U5*V5</f>
        <v>0.05</v>
      </c>
      <c r="X5" s="31" t="s">
        <v>675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</row>
    <row r="6" spans="1:125" ht="13.2">
      <c r="A6" s="8"/>
      <c r="B6" s="32" t="s">
        <v>63</v>
      </c>
      <c r="C6" s="33"/>
      <c r="D6" s="112"/>
      <c r="E6" s="34">
        <f t="shared" si="0"/>
        <v>0</v>
      </c>
      <c r="F6" s="35">
        <f t="shared" si="1"/>
        <v>0</v>
      </c>
      <c r="G6" s="36"/>
      <c r="H6" s="28"/>
      <c r="I6" s="32" t="s">
        <v>64</v>
      </c>
      <c r="J6" s="33"/>
      <c r="K6" s="33"/>
      <c r="L6" s="34">
        <f t="shared" si="2"/>
        <v>0</v>
      </c>
      <c r="M6" s="34">
        <f t="shared" si="3"/>
        <v>0</v>
      </c>
      <c r="N6" s="29"/>
      <c r="O6" s="33">
        <f t="shared" si="4"/>
        <v>0</v>
      </c>
      <c r="P6" s="33"/>
      <c r="Q6" s="34">
        <f t="shared" si="5"/>
        <v>0</v>
      </c>
      <c r="R6" s="30"/>
      <c r="S6" s="34">
        <f t="shared" si="6"/>
        <v>0</v>
      </c>
      <c r="T6" s="30"/>
      <c r="U6" s="33"/>
      <c r="V6" s="33"/>
      <c r="W6" s="34">
        <f t="shared" si="7"/>
        <v>0</v>
      </c>
      <c r="X6" s="37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</row>
    <row r="7" spans="1:125" ht="17.25" customHeight="1">
      <c r="A7" s="8"/>
      <c r="B7" s="32" t="s">
        <v>65</v>
      </c>
      <c r="C7" s="33"/>
      <c r="D7" s="112"/>
      <c r="E7" s="34">
        <f t="shared" si="0"/>
        <v>0</v>
      </c>
      <c r="F7" s="35">
        <f t="shared" si="1"/>
        <v>0</v>
      </c>
      <c r="G7" s="37"/>
      <c r="H7" s="28"/>
      <c r="I7" s="32" t="s">
        <v>66</v>
      </c>
      <c r="J7" s="33"/>
      <c r="K7" s="33"/>
      <c r="L7" s="34">
        <f t="shared" si="2"/>
        <v>0</v>
      </c>
      <c r="M7" s="34">
        <f t="shared" si="3"/>
        <v>0</v>
      </c>
      <c r="N7" s="29"/>
      <c r="O7" s="33">
        <f t="shared" si="4"/>
        <v>0</v>
      </c>
      <c r="P7" s="33"/>
      <c r="Q7" s="34">
        <f t="shared" si="5"/>
        <v>0</v>
      </c>
      <c r="R7" s="30"/>
      <c r="S7" s="34">
        <f t="shared" si="6"/>
        <v>0</v>
      </c>
      <c r="T7" s="30"/>
      <c r="U7" s="33"/>
      <c r="V7" s="33"/>
      <c r="W7" s="34">
        <f t="shared" si="7"/>
        <v>0</v>
      </c>
      <c r="X7" s="37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</row>
    <row r="8" spans="1:125" ht="24" hidden="1" customHeight="1">
      <c r="A8" s="8"/>
      <c r="B8" s="32" t="s">
        <v>67</v>
      </c>
      <c r="C8" s="33"/>
      <c r="D8" s="112"/>
      <c r="E8" s="34">
        <f t="shared" si="0"/>
        <v>0</v>
      </c>
      <c r="F8" s="35">
        <f t="shared" si="1"/>
        <v>0</v>
      </c>
      <c r="G8" s="37"/>
      <c r="H8" s="28"/>
      <c r="I8" s="32" t="s">
        <v>68</v>
      </c>
      <c r="J8" s="33"/>
      <c r="K8" s="33"/>
      <c r="L8" s="34">
        <f t="shared" si="2"/>
        <v>0</v>
      </c>
      <c r="M8" s="34">
        <f t="shared" si="3"/>
        <v>0</v>
      </c>
      <c r="N8" s="29"/>
      <c r="O8" s="33">
        <f t="shared" si="4"/>
        <v>0</v>
      </c>
      <c r="P8" s="33"/>
      <c r="Q8" s="34">
        <f t="shared" si="5"/>
        <v>0</v>
      </c>
      <c r="R8" s="30"/>
      <c r="S8" s="34">
        <f t="shared" si="6"/>
        <v>0</v>
      </c>
      <c r="T8" s="30"/>
      <c r="U8" s="33"/>
      <c r="V8" s="33"/>
      <c r="W8" s="34">
        <f t="shared" si="7"/>
        <v>0</v>
      </c>
      <c r="X8" s="37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</row>
    <row r="9" spans="1:125" ht="18.75" hidden="1" customHeight="1">
      <c r="A9" s="8"/>
      <c r="B9" s="32" t="s">
        <v>69</v>
      </c>
      <c r="C9" s="33"/>
      <c r="D9" s="112"/>
      <c r="E9" s="34">
        <f t="shared" si="0"/>
        <v>0</v>
      </c>
      <c r="F9" s="35">
        <f t="shared" si="1"/>
        <v>0</v>
      </c>
      <c r="G9" s="37"/>
      <c r="H9" s="28"/>
      <c r="I9" s="32" t="s">
        <v>70</v>
      </c>
      <c r="J9" s="33"/>
      <c r="K9" s="33"/>
      <c r="L9" s="34">
        <f t="shared" si="2"/>
        <v>0</v>
      </c>
      <c r="M9" s="34">
        <f t="shared" si="3"/>
        <v>0</v>
      </c>
      <c r="N9" s="29"/>
      <c r="O9" s="33">
        <f t="shared" si="4"/>
        <v>0</v>
      </c>
      <c r="P9" s="33"/>
      <c r="Q9" s="34">
        <f t="shared" si="5"/>
        <v>0</v>
      </c>
      <c r="R9" s="30"/>
      <c r="S9" s="34">
        <f t="shared" si="6"/>
        <v>0</v>
      </c>
      <c r="T9" s="30"/>
      <c r="U9" s="33"/>
      <c r="V9" s="33"/>
      <c r="W9" s="34">
        <f t="shared" si="7"/>
        <v>0</v>
      </c>
      <c r="X9" s="37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</row>
    <row r="10" spans="1:125" ht="22.5" hidden="1" customHeight="1">
      <c r="A10" s="8"/>
      <c r="B10" s="32" t="s">
        <v>71</v>
      </c>
      <c r="C10" s="33"/>
      <c r="D10" s="112"/>
      <c r="E10" s="34">
        <f t="shared" si="0"/>
        <v>0</v>
      </c>
      <c r="F10" s="35">
        <f t="shared" si="1"/>
        <v>0</v>
      </c>
      <c r="G10" s="37"/>
      <c r="H10" s="28"/>
      <c r="I10" s="32" t="s">
        <v>72</v>
      </c>
      <c r="J10" s="33"/>
      <c r="K10" s="33"/>
      <c r="L10" s="34">
        <f t="shared" si="2"/>
        <v>0</v>
      </c>
      <c r="M10" s="34">
        <f t="shared" si="3"/>
        <v>0</v>
      </c>
      <c r="N10" s="29"/>
      <c r="O10" s="33">
        <f t="shared" si="4"/>
        <v>0</v>
      </c>
      <c r="P10" s="33"/>
      <c r="Q10" s="34">
        <f t="shared" si="5"/>
        <v>0</v>
      </c>
      <c r="R10" s="30"/>
      <c r="S10" s="34">
        <f t="shared" si="6"/>
        <v>0</v>
      </c>
      <c r="T10" s="30"/>
      <c r="U10" s="33"/>
      <c r="V10" s="33"/>
      <c r="W10" s="34">
        <f t="shared" si="7"/>
        <v>0</v>
      </c>
      <c r="X10" s="37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</row>
    <row r="11" spans="1:125" ht="19.5" hidden="1" customHeight="1">
      <c r="A11" s="8"/>
      <c r="B11" s="32" t="s">
        <v>73</v>
      </c>
      <c r="C11" s="33"/>
      <c r="D11" s="112"/>
      <c r="E11" s="34">
        <f t="shared" si="0"/>
        <v>0</v>
      </c>
      <c r="F11" s="35">
        <f t="shared" si="1"/>
        <v>0</v>
      </c>
      <c r="G11" s="37"/>
      <c r="H11" s="28"/>
      <c r="I11" s="32" t="s">
        <v>74</v>
      </c>
      <c r="J11" s="33"/>
      <c r="K11" s="33"/>
      <c r="L11" s="34">
        <f t="shared" si="2"/>
        <v>0</v>
      </c>
      <c r="M11" s="34">
        <f t="shared" si="3"/>
        <v>0</v>
      </c>
      <c r="N11" s="29"/>
      <c r="O11" s="33">
        <f t="shared" si="4"/>
        <v>0</v>
      </c>
      <c r="P11" s="33"/>
      <c r="Q11" s="34">
        <f t="shared" si="5"/>
        <v>0</v>
      </c>
      <c r="R11" s="30"/>
      <c r="S11" s="34">
        <f t="shared" si="6"/>
        <v>0</v>
      </c>
      <c r="T11" s="30"/>
      <c r="U11" s="33"/>
      <c r="V11" s="33"/>
      <c r="W11" s="34">
        <f t="shared" si="7"/>
        <v>0</v>
      </c>
      <c r="X11" s="37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</row>
    <row r="12" spans="1:125" ht="21.75" hidden="1" customHeight="1">
      <c r="A12" s="8"/>
      <c r="B12" s="32" t="s">
        <v>75</v>
      </c>
      <c r="C12" s="33"/>
      <c r="D12" s="112"/>
      <c r="E12" s="34">
        <f t="shared" si="0"/>
        <v>0</v>
      </c>
      <c r="F12" s="35">
        <f t="shared" si="1"/>
        <v>0</v>
      </c>
      <c r="G12" s="37"/>
      <c r="H12" s="28"/>
      <c r="I12" s="32" t="s">
        <v>76</v>
      </c>
      <c r="J12" s="33"/>
      <c r="K12" s="33"/>
      <c r="L12" s="34">
        <f t="shared" si="2"/>
        <v>0</v>
      </c>
      <c r="M12" s="34">
        <f t="shared" si="3"/>
        <v>0</v>
      </c>
      <c r="N12" s="29"/>
      <c r="O12" s="33">
        <f t="shared" si="4"/>
        <v>0</v>
      </c>
      <c r="P12" s="33"/>
      <c r="Q12" s="34">
        <f t="shared" si="5"/>
        <v>0</v>
      </c>
      <c r="R12" s="30"/>
      <c r="S12" s="34">
        <f t="shared" si="6"/>
        <v>0</v>
      </c>
      <c r="T12" s="30"/>
      <c r="U12" s="33"/>
      <c r="V12" s="33"/>
      <c r="W12" s="34">
        <f t="shared" si="7"/>
        <v>0</v>
      </c>
      <c r="X12" s="37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</row>
    <row r="13" spans="1:125" ht="16.5" hidden="1" customHeight="1">
      <c r="A13" s="8"/>
      <c r="B13" s="32" t="s">
        <v>77</v>
      </c>
      <c r="C13" s="33"/>
      <c r="D13" s="112"/>
      <c r="E13" s="34">
        <f t="shared" si="0"/>
        <v>0</v>
      </c>
      <c r="F13" s="35">
        <f t="shared" si="1"/>
        <v>0</v>
      </c>
      <c r="G13" s="37"/>
      <c r="H13" s="28"/>
      <c r="I13" s="32" t="s">
        <v>78</v>
      </c>
      <c r="J13" s="33"/>
      <c r="K13" s="33"/>
      <c r="L13" s="34">
        <f t="shared" si="2"/>
        <v>0</v>
      </c>
      <c r="M13" s="34">
        <f t="shared" si="3"/>
        <v>0</v>
      </c>
      <c r="N13" s="29"/>
      <c r="O13" s="33">
        <f t="shared" si="4"/>
        <v>0</v>
      </c>
      <c r="P13" s="33"/>
      <c r="Q13" s="34">
        <f t="shared" si="5"/>
        <v>0</v>
      </c>
      <c r="R13" s="30"/>
      <c r="S13" s="34">
        <f t="shared" si="6"/>
        <v>0</v>
      </c>
      <c r="T13" s="30"/>
      <c r="U13" s="33"/>
      <c r="V13" s="33"/>
      <c r="W13" s="34">
        <f t="shared" si="7"/>
        <v>0</v>
      </c>
      <c r="X13" s="37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</row>
    <row r="14" spans="1:125" ht="24.75" hidden="1" customHeight="1">
      <c r="A14" s="8"/>
      <c r="B14" s="32" t="s">
        <v>79</v>
      </c>
      <c r="C14" s="33"/>
      <c r="D14" s="112"/>
      <c r="E14" s="34">
        <f t="shared" si="0"/>
        <v>0</v>
      </c>
      <c r="F14" s="35">
        <f t="shared" si="1"/>
        <v>0</v>
      </c>
      <c r="G14" s="37"/>
      <c r="H14" s="28"/>
      <c r="I14" s="32" t="s">
        <v>80</v>
      </c>
      <c r="J14" s="33"/>
      <c r="K14" s="33"/>
      <c r="L14" s="34">
        <f t="shared" si="2"/>
        <v>0</v>
      </c>
      <c r="M14" s="34">
        <f t="shared" si="3"/>
        <v>0</v>
      </c>
      <c r="N14" s="29"/>
      <c r="O14" s="33">
        <f t="shared" si="4"/>
        <v>0</v>
      </c>
      <c r="P14" s="33"/>
      <c r="Q14" s="34">
        <f t="shared" si="5"/>
        <v>0</v>
      </c>
      <c r="R14" s="30"/>
      <c r="S14" s="34">
        <f t="shared" si="6"/>
        <v>0</v>
      </c>
      <c r="T14" s="30"/>
      <c r="U14" s="33"/>
      <c r="V14" s="33"/>
      <c r="W14" s="34">
        <f t="shared" si="7"/>
        <v>0</v>
      </c>
      <c r="X14" s="37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</row>
    <row r="15" spans="1:125" ht="24" hidden="1" customHeight="1">
      <c r="A15" s="8"/>
      <c r="B15" s="32" t="s">
        <v>81</v>
      </c>
      <c r="C15" s="33"/>
      <c r="D15" s="112"/>
      <c r="E15" s="34">
        <f t="shared" si="0"/>
        <v>0</v>
      </c>
      <c r="F15" s="35">
        <f t="shared" si="1"/>
        <v>0</v>
      </c>
      <c r="G15" s="37"/>
      <c r="H15" s="28"/>
      <c r="I15" s="32" t="s">
        <v>82</v>
      </c>
      <c r="J15" s="33"/>
      <c r="K15" s="33"/>
      <c r="L15" s="34">
        <f t="shared" si="2"/>
        <v>0</v>
      </c>
      <c r="M15" s="34">
        <f t="shared" si="3"/>
        <v>0</v>
      </c>
      <c r="N15" s="29"/>
      <c r="O15" s="33">
        <f t="shared" si="4"/>
        <v>0</v>
      </c>
      <c r="P15" s="33"/>
      <c r="Q15" s="34">
        <f t="shared" si="5"/>
        <v>0</v>
      </c>
      <c r="R15" s="30"/>
      <c r="S15" s="34">
        <f t="shared" si="6"/>
        <v>0</v>
      </c>
      <c r="T15" s="30"/>
      <c r="U15" s="33"/>
      <c r="V15" s="33"/>
      <c r="W15" s="34">
        <f t="shared" si="7"/>
        <v>0</v>
      </c>
      <c r="X15" s="37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</row>
    <row r="16" spans="1:125" ht="19.5" hidden="1" customHeight="1">
      <c r="A16" s="8"/>
      <c r="B16" s="32" t="s">
        <v>83</v>
      </c>
      <c r="C16" s="33"/>
      <c r="D16" s="112"/>
      <c r="E16" s="34">
        <f t="shared" ref="E16:E22" si="8">+C16*D16</f>
        <v>0</v>
      </c>
      <c r="F16" s="35">
        <f t="shared" ref="F16:F22" si="9">+C16*D16</f>
        <v>0</v>
      </c>
      <c r="G16" s="37"/>
      <c r="H16" s="28"/>
      <c r="I16" s="32" t="s">
        <v>84</v>
      </c>
      <c r="J16" s="33"/>
      <c r="K16" s="33"/>
      <c r="L16" s="34">
        <f t="shared" ref="L16:L22" si="10">+J16*K16</f>
        <v>0</v>
      </c>
      <c r="M16" s="34">
        <f t="shared" ref="M16:M22" si="11">+J16*K16</f>
        <v>0</v>
      </c>
      <c r="N16" s="29"/>
      <c r="O16" s="33">
        <f t="shared" ref="O16:O22" si="12">+D16</f>
        <v>0</v>
      </c>
      <c r="P16" s="33"/>
      <c r="Q16" s="34">
        <f t="shared" ref="Q16:Q22" si="13">+O16*P16</f>
        <v>0</v>
      </c>
      <c r="R16" s="30"/>
      <c r="S16" s="34">
        <f t="shared" ref="S16:S22" si="14">+F16+M16</f>
        <v>0</v>
      </c>
      <c r="T16" s="30"/>
      <c r="U16" s="33"/>
      <c r="V16" s="33"/>
      <c r="W16" s="34">
        <f t="shared" ref="W16:W22" si="15">+U16*V16</f>
        <v>0</v>
      </c>
      <c r="X16" s="37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</row>
    <row r="17" spans="1:125" ht="20.25" hidden="1" customHeight="1">
      <c r="A17" s="8"/>
      <c r="B17" s="32" t="s">
        <v>85</v>
      </c>
      <c r="C17" s="33"/>
      <c r="D17" s="112"/>
      <c r="E17" s="34">
        <f t="shared" si="8"/>
        <v>0</v>
      </c>
      <c r="F17" s="35">
        <f t="shared" si="9"/>
        <v>0</v>
      </c>
      <c r="G17" s="37"/>
      <c r="H17" s="28"/>
      <c r="I17" s="32" t="s">
        <v>86</v>
      </c>
      <c r="J17" s="33"/>
      <c r="K17" s="33"/>
      <c r="L17" s="34">
        <f t="shared" si="10"/>
        <v>0</v>
      </c>
      <c r="M17" s="34">
        <f t="shared" si="11"/>
        <v>0</v>
      </c>
      <c r="N17" s="29"/>
      <c r="O17" s="33">
        <f t="shared" si="12"/>
        <v>0</v>
      </c>
      <c r="P17" s="33"/>
      <c r="Q17" s="34">
        <f t="shared" si="13"/>
        <v>0</v>
      </c>
      <c r="R17" s="30"/>
      <c r="S17" s="34">
        <f t="shared" si="14"/>
        <v>0</v>
      </c>
      <c r="T17" s="30"/>
      <c r="U17" s="33"/>
      <c r="V17" s="33"/>
      <c r="W17" s="34">
        <f t="shared" si="15"/>
        <v>0</v>
      </c>
      <c r="X17" s="37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</row>
    <row r="18" spans="1:125" ht="21.75" hidden="1" customHeight="1">
      <c r="A18" s="8"/>
      <c r="B18" s="32" t="s">
        <v>87</v>
      </c>
      <c r="C18" s="33"/>
      <c r="D18" s="112"/>
      <c r="E18" s="34">
        <f t="shared" si="8"/>
        <v>0</v>
      </c>
      <c r="F18" s="35">
        <f t="shared" si="9"/>
        <v>0</v>
      </c>
      <c r="G18" s="37"/>
      <c r="H18" s="28"/>
      <c r="I18" s="32" t="s">
        <v>88</v>
      </c>
      <c r="J18" s="33"/>
      <c r="K18" s="33"/>
      <c r="L18" s="34">
        <f t="shared" si="10"/>
        <v>0</v>
      </c>
      <c r="M18" s="34">
        <f t="shared" si="11"/>
        <v>0</v>
      </c>
      <c r="N18" s="29"/>
      <c r="O18" s="33">
        <f t="shared" si="12"/>
        <v>0</v>
      </c>
      <c r="P18" s="33"/>
      <c r="Q18" s="34">
        <f t="shared" si="13"/>
        <v>0</v>
      </c>
      <c r="R18" s="30"/>
      <c r="S18" s="34">
        <f t="shared" si="14"/>
        <v>0</v>
      </c>
      <c r="T18" s="30"/>
      <c r="U18" s="33"/>
      <c r="V18" s="33"/>
      <c r="W18" s="34">
        <f t="shared" si="15"/>
        <v>0</v>
      </c>
      <c r="X18" s="37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</row>
    <row r="19" spans="1:125" ht="30.75" hidden="1" customHeight="1">
      <c r="A19" s="8"/>
      <c r="B19" s="32" t="s">
        <v>89</v>
      </c>
      <c r="C19" s="33"/>
      <c r="D19" s="112"/>
      <c r="E19" s="34">
        <f t="shared" si="8"/>
        <v>0</v>
      </c>
      <c r="F19" s="35">
        <f t="shared" si="9"/>
        <v>0</v>
      </c>
      <c r="G19" s="37"/>
      <c r="H19" s="28"/>
      <c r="I19" s="32" t="s">
        <v>90</v>
      </c>
      <c r="J19" s="33"/>
      <c r="K19" s="33"/>
      <c r="L19" s="34">
        <f t="shared" si="10"/>
        <v>0</v>
      </c>
      <c r="M19" s="34">
        <f t="shared" si="11"/>
        <v>0</v>
      </c>
      <c r="N19" s="29"/>
      <c r="O19" s="33">
        <f t="shared" si="12"/>
        <v>0</v>
      </c>
      <c r="P19" s="33"/>
      <c r="Q19" s="34">
        <f t="shared" si="13"/>
        <v>0</v>
      </c>
      <c r="R19" s="30"/>
      <c r="S19" s="34">
        <f t="shared" si="14"/>
        <v>0</v>
      </c>
      <c r="T19" s="30"/>
      <c r="U19" s="33"/>
      <c r="V19" s="33"/>
      <c r="W19" s="34">
        <f t="shared" si="15"/>
        <v>0</v>
      </c>
      <c r="X19" s="37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</row>
    <row r="20" spans="1:125" ht="36.75" hidden="1" customHeight="1">
      <c r="A20" s="8"/>
      <c r="B20" s="32" t="s">
        <v>91</v>
      </c>
      <c r="C20" s="33"/>
      <c r="D20" s="112"/>
      <c r="E20" s="34">
        <f t="shared" si="8"/>
        <v>0</v>
      </c>
      <c r="F20" s="35">
        <f t="shared" si="9"/>
        <v>0</v>
      </c>
      <c r="G20" s="37"/>
      <c r="H20" s="28"/>
      <c r="I20" s="32" t="s">
        <v>92</v>
      </c>
      <c r="J20" s="33"/>
      <c r="K20" s="33"/>
      <c r="L20" s="34">
        <f t="shared" si="10"/>
        <v>0</v>
      </c>
      <c r="M20" s="34">
        <f t="shared" si="11"/>
        <v>0</v>
      </c>
      <c r="N20" s="29"/>
      <c r="O20" s="33">
        <f t="shared" si="12"/>
        <v>0</v>
      </c>
      <c r="P20" s="33"/>
      <c r="Q20" s="34">
        <f t="shared" si="13"/>
        <v>0</v>
      </c>
      <c r="R20" s="30"/>
      <c r="S20" s="34">
        <f t="shared" si="14"/>
        <v>0</v>
      </c>
      <c r="T20" s="30"/>
      <c r="U20" s="33"/>
      <c r="V20" s="33"/>
      <c r="W20" s="34">
        <f t="shared" si="15"/>
        <v>0</v>
      </c>
      <c r="X20" s="37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</row>
    <row r="21" spans="1:125" ht="16.5" hidden="1" customHeight="1">
      <c r="A21" s="8"/>
      <c r="B21" s="32" t="s">
        <v>93</v>
      </c>
      <c r="C21" s="33"/>
      <c r="D21" s="112"/>
      <c r="E21" s="34">
        <f t="shared" si="8"/>
        <v>0</v>
      </c>
      <c r="F21" s="35">
        <f t="shared" si="9"/>
        <v>0</v>
      </c>
      <c r="G21" s="37"/>
      <c r="H21" s="28"/>
      <c r="I21" s="32" t="s">
        <v>94</v>
      </c>
      <c r="J21" s="33"/>
      <c r="K21" s="33"/>
      <c r="L21" s="34">
        <f t="shared" si="10"/>
        <v>0</v>
      </c>
      <c r="M21" s="34">
        <f t="shared" si="11"/>
        <v>0</v>
      </c>
      <c r="N21" s="29"/>
      <c r="O21" s="33">
        <f t="shared" si="12"/>
        <v>0</v>
      </c>
      <c r="P21" s="33"/>
      <c r="Q21" s="34">
        <f t="shared" si="13"/>
        <v>0</v>
      </c>
      <c r="R21" s="30"/>
      <c r="S21" s="34">
        <f t="shared" si="14"/>
        <v>0</v>
      </c>
      <c r="T21" s="30"/>
      <c r="U21" s="33"/>
      <c r="V21" s="33"/>
      <c r="W21" s="34">
        <f t="shared" si="15"/>
        <v>0</v>
      </c>
      <c r="X21" s="37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</row>
    <row r="22" spans="1:125" ht="14.25" hidden="1" customHeight="1">
      <c r="A22" s="8"/>
      <c r="B22" s="32" t="s">
        <v>95</v>
      </c>
      <c r="C22" s="33"/>
      <c r="D22" s="112"/>
      <c r="E22" s="34">
        <f t="shared" si="8"/>
        <v>0</v>
      </c>
      <c r="F22" s="35">
        <f t="shared" si="9"/>
        <v>0</v>
      </c>
      <c r="G22" s="37"/>
      <c r="H22" s="28"/>
      <c r="I22" s="32" t="s">
        <v>96</v>
      </c>
      <c r="J22" s="33"/>
      <c r="K22" s="33"/>
      <c r="L22" s="34">
        <f t="shared" si="10"/>
        <v>0</v>
      </c>
      <c r="M22" s="34">
        <f t="shared" si="11"/>
        <v>0</v>
      </c>
      <c r="N22" s="29"/>
      <c r="O22" s="33">
        <f t="shared" si="12"/>
        <v>0</v>
      </c>
      <c r="P22" s="33"/>
      <c r="Q22" s="34">
        <f t="shared" si="13"/>
        <v>0</v>
      </c>
      <c r="R22" s="30"/>
      <c r="S22" s="34">
        <f t="shared" si="14"/>
        <v>0</v>
      </c>
      <c r="T22" s="30"/>
      <c r="U22" s="33"/>
      <c r="V22" s="33"/>
      <c r="W22" s="34">
        <f t="shared" si="15"/>
        <v>0</v>
      </c>
      <c r="X22" s="37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</row>
    <row r="23" spans="1:125" ht="17.25" hidden="1" customHeight="1">
      <c r="A23" s="8"/>
      <c r="B23" s="32" t="s">
        <v>83</v>
      </c>
      <c r="C23" s="33"/>
      <c r="D23" s="112"/>
      <c r="E23" s="34">
        <f>+C23*D23</f>
        <v>0</v>
      </c>
      <c r="F23" s="35">
        <f>+C23*D23</f>
        <v>0</v>
      </c>
      <c r="G23" s="37"/>
      <c r="H23" s="28"/>
      <c r="I23" s="32" t="s">
        <v>84</v>
      </c>
      <c r="J23" s="33"/>
      <c r="K23" s="33"/>
      <c r="L23" s="34">
        <f>+J23*K23</f>
        <v>0</v>
      </c>
      <c r="M23" s="34">
        <f>+J23*K23</f>
        <v>0</v>
      </c>
      <c r="N23" s="29"/>
      <c r="O23" s="33">
        <f>+D23</f>
        <v>0</v>
      </c>
      <c r="P23" s="33"/>
      <c r="Q23" s="34">
        <f>+O23*P23</f>
        <v>0</v>
      </c>
      <c r="R23" s="30"/>
      <c r="S23" s="34">
        <f>+F23+M23</f>
        <v>0</v>
      </c>
      <c r="T23" s="30"/>
      <c r="U23" s="33"/>
      <c r="V23" s="33"/>
      <c r="W23" s="34">
        <f t="shared" si="7"/>
        <v>0</v>
      </c>
      <c r="X23" s="37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</row>
    <row r="24" spans="1:125" ht="12" hidden="1" customHeight="1">
      <c r="A24" s="8"/>
      <c r="B24" s="32" t="s">
        <v>85</v>
      </c>
      <c r="C24" s="33"/>
      <c r="D24" s="112"/>
      <c r="E24" s="34">
        <f>+C24*D24</f>
        <v>0</v>
      </c>
      <c r="F24" s="35">
        <f>+C24*D24</f>
        <v>0</v>
      </c>
      <c r="G24" s="37"/>
      <c r="H24" s="28"/>
      <c r="I24" s="32" t="s">
        <v>86</v>
      </c>
      <c r="J24" s="33"/>
      <c r="K24" s="33"/>
      <c r="L24" s="34">
        <f>+J24*K24</f>
        <v>0</v>
      </c>
      <c r="M24" s="34">
        <f>+J24*K24</f>
        <v>0</v>
      </c>
      <c r="N24" s="29"/>
      <c r="O24" s="33">
        <f>+D24</f>
        <v>0</v>
      </c>
      <c r="P24" s="33"/>
      <c r="Q24" s="34">
        <f>+O24*P24</f>
        <v>0</v>
      </c>
      <c r="R24" s="30"/>
      <c r="S24" s="34">
        <f>+F24+M24</f>
        <v>0</v>
      </c>
      <c r="T24" s="30"/>
      <c r="U24" s="33"/>
      <c r="V24" s="33"/>
      <c r="W24" s="34">
        <f t="shared" si="7"/>
        <v>0</v>
      </c>
      <c r="X24" s="37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</row>
    <row r="25" spans="1:125" ht="9.75" hidden="1" customHeight="1">
      <c r="A25" s="8"/>
      <c r="B25" s="32" t="s">
        <v>87</v>
      </c>
      <c r="C25" s="33"/>
      <c r="D25" s="33"/>
      <c r="E25" s="34">
        <f>+C25*D25</f>
        <v>0</v>
      </c>
      <c r="F25" s="35">
        <f>+C25*D25</f>
        <v>0</v>
      </c>
      <c r="G25" s="37"/>
      <c r="H25" s="28"/>
      <c r="I25" s="32" t="s">
        <v>88</v>
      </c>
      <c r="J25" s="33"/>
      <c r="K25" s="33"/>
      <c r="L25" s="34">
        <f>+J25*K25</f>
        <v>0</v>
      </c>
      <c r="M25" s="34">
        <f>+J25*K25</f>
        <v>0</v>
      </c>
      <c r="N25" s="29"/>
      <c r="O25" s="33">
        <f>+D25</f>
        <v>0</v>
      </c>
      <c r="P25" s="33"/>
      <c r="Q25" s="34">
        <f>+O25*P25</f>
        <v>0</v>
      </c>
      <c r="R25" s="30"/>
      <c r="S25" s="34">
        <f>+F25+M25</f>
        <v>0</v>
      </c>
      <c r="T25" s="30"/>
      <c r="U25" s="33"/>
      <c r="V25" s="33"/>
      <c r="W25" s="34">
        <f t="shared" si="7"/>
        <v>0</v>
      </c>
      <c r="X25" s="37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</row>
    <row r="26" spans="1:125" ht="12" hidden="1" customHeight="1">
      <c r="A26" s="8"/>
      <c r="B26" s="32" t="s">
        <v>89</v>
      </c>
      <c r="C26" s="33"/>
      <c r="D26" s="33"/>
      <c r="E26" s="34">
        <f>+C26*D26</f>
        <v>0</v>
      </c>
      <c r="F26" s="35">
        <f>+C26*D26</f>
        <v>0</v>
      </c>
      <c r="G26" s="37"/>
      <c r="H26" s="28"/>
      <c r="I26" s="32" t="s">
        <v>90</v>
      </c>
      <c r="J26" s="33"/>
      <c r="K26" s="33"/>
      <c r="L26" s="34">
        <f>+J26*K26</f>
        <v>0</v>
      </c>
      <c r="M26" s="34">
        <f>+J26*K26</f>
        <v>0</v>
      </c>
      <c r="N26" s="29"/>
      <c r="O26" s="33">
        <f>+D26</f>
        <v>0</v>
      </c>
      <c r="P26" s="33"/>
      <c r="Q26" s="34">
        <f>+O26*P26</f>
        <v>0</v>
      </c>
      <c r="R26" s="30"/>
      <c r="S26" s="34">
        <f>+F26+M26</f>
        <v>0</v>
      </c>
      <c r="T26" s="30"/>
      <c r="U26" s="33"/>
      <c r="V26" s="33"/>
      <c r="W26" s="34">
        <f t="shared" si="7"/>
        <v>0</v>
      </c>
      <c r="X26" s="37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</row>
    <row r="27" spans="1:125" ht="20.25" hidden="1" customHeight="1">
      <c r="A27" s="8"/>
      <c r="B27" s="32" t="s">
        <v>91</v>
      </c>
      <c r="C27" s="33"/>
      <c r="D27" s="33"/>
      <c r="E27" s="34">
        <f>+C27*D27</f>
        <v>0</v>
      </c>
      <c r="F27" s="35">
        <f>+C27*D27</f>
        <v>0</v>
      </c>
      <c r="G27" s="37"/>
      <c r="H27" s="28"/>
      <c r="I27" s="32" t="s">
        <v>92</v>
      </c>
      <c r="J27" s="33"/>
      <c r="K27" s="33"/>
      <c r="L27" s="34">
        <f>+J27*K27</f>
        <v>0</v>
      </c>
      <c r="M27" s="34">
        <f>+J27*K27</f>
        <v>0</v>
      </c>
      <c r="N27" s="29"/>
      <c r="O27" s="33">
        <f>+D27</f>
        <v>0</v>
      </c>
      <c r="P27" s="33"/>
      <c r="Q27" s="34">
        <f>+O27*P27</f>
        <v>0</v>
      </c>
      <c r="R27" s="30"/>
      <c r="S27" s="34">
        <f>+F27+M27</f>
        <v>0</v>
      </c>
      <c r="T27" s="30"/>
      <c r="U27" s="33"/>
      <c r="V27" s="33"/>
      <c r="W27" s="34">
        <f t="shared" si="7"/>
        <v>0</v>
      </c>
      <c r="X27" s="37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</row>
    <row r="28" spans="1:125" ht="15" hidden="1" customHeight="1">
      <c r="A28" s="8"/>
      <c r="B28" s="32" t="s">
        <v>93</v>
      </c>
      <c r="C28" s="33"/>
      <c r="D28" s="33"/>
      <c r="E28" s="34">
        <f t="shared" ref="E28:E46" si="16">+C28*D28</f>
        <v>0</v>
      </c>
      <c r="F28" s="35">
        <f t="shared" ref="F28:F46" si="17">+C28*D28</f>
        <v>0</v>
      </c>
      <c r="G28" s="37"/>
      <c r="H28" s="28"/>
      <c r="I28" s="32" t="s">
        <v>94</v>
      </c>
      <c r="J28" s="33"/>
      <c r="K28" s="33"/>
      <c r="L28" s="34">
        <f t="shared" ref="L28:L46" si="18">+J28*K28</f>
        <v>0</v>
      </c>
      <c r="M28" s="34">
        <f t="shared" ref="M28:M46" si="19">+J28*K28</f>
        <v>0</v>
      </c>
      <c r="N28" s="29"/>
      <c r="O28" s="33">
        <f t="shared" ref="O28:O46" si="20">+D28</f>
        <v>0</v>
      </c>
      <c r="P28" s="33"/>
      <c r="Q28" s="34">
        <f t="shared" ref="Q28:Q46" si="21">+O28*P28</f>
        <v>0</v>
      </c>
      <c r="R28" s="30"/>
      <c r="S28" s="34">
        <f t="shared" ref="S28:S46" si="22">+F28+M28</f>
        <v>0</v>
      </c>
      <c r="T28" s="30"/>
      <c r="U28" s="33"/>
      <c r="V28" s="33"/>
      <c r="W28" s="34">
        <f t="shared" ref="W28:W46" si="23">+U28*V28</f>
        <v>0</v>
      </c>
      <c r="X28" s="37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</row>
    <row r="29" spans="1:125" ht="12" hidden="1" customHeight="1">
      <c r="A29" s="8"/>
      <c r="B29" s="32" t="s">
        <v>95</v>
      </c>
      <c r="C29" s="33"/>
      <c r="D29" s="33"/>
      <c r="E29" s="34">
        <f t="shared" si="16"/>
        <v>0</v>
      </c>
      <c r="F29" s="35">
        <f t="shared" si="17"/>
        <v>0</v>
      </c>
      <c r="G29" s="37"/>
      <c r="H29" s="28"/>
      <c r="I29" s="32" t="s">
        <v>96</v>
      </c>
      <c r="J29" s="33"/>
      <c r="K29" s="33"/>
      <c r="L29" s="34">
        <f t="shared" si="18"/>
        <v>0</v>
      </c>
      <c r="M29" s="34">
        <f t="shared" si="19"/>
        <v>0</v>
      </c>
      <c r="N29" s="29"/>
      <c r="O29" s="33">
        <f t="shared" si="20"/>
        <v>0</v>
      </c>
      <c r="P29" s="33"/>
      <c r="Q29" s="34">
        <f t="shared" si="21"/>
        <v>0</v>
      </c>
      <c r="R29" s="30"/>
      <c r="S29" s="34">
        <f t="shared" si="22"/>
        <v>0</v>
      </c>
      <c r="T29" s="30"/>
      <c r="U29" s="33"/>
      <c r="V29" s="33"/>
      <c r="W29" s="34">
        <f t="shared" si="23"/>
        <v>0</v>
      </c>
      <c r="X29" s="37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</row>
    <row r="30" spans="1:125" ht="13.5" hidden="1" customHeight="1">
      <c r="A30" s="8"/>
      <c r="B30" s="32" t="s">
        <v>222</v>
      </c>
      <c r="C30" s="33"/>
      <c r="D30" s="33"/>
      <c r="E30" s="34">
        <f t="shared" si="16"/>
        <v>0</v>
      </c>
      <c r="F30" s="35">
        <f t="shared" si="17"/>
        <v>0</v>
      </c>
      <c r="G30" s="37"/>
      <c r="H30" s="28"/>
      <c r="I30" s="32" t="s">
        <v>223</v>
      </c>
      <c r="J30" s="33"/>
      <c r="K30" s="33"/>
      <c r="L30" s="34">
        <f t="shared" si="18"/>
        <v>0</v>
      </c>
      <c r="M30" s="34">
        <f t="shared" si="19"/>
        <v>0</v>
      </c>
      <c r="N30" s="29"/>
      <c r="O30" s="33">
        <f t="shared" si="20"/>
        <v>0</v>
      </c>
      <c r="P30" s="33"/>
      <c r="Q30" s="34">
        <f t="shared" si="21"/>
        <v>0</v>
      </c>
      <c r="R30" s="30"/>
      <c r="S30" s="34">
        <f t="shared" si="22"/>
        <v>0</v>
      </c>
      <c r="T30" s="30"/>
      <c r="U30" s="33"/>
      <c r="V30" s="33"/>
      <c r="W30" s="34">
        <f t="shared" si="23"/>
        <v>0</v>
      </c>
      <c r="X30" s="37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</row>
    <row r="31" spans="1:125" ht="9.75" hidden="1" customHeight="1">
      <c r="A31" s="8"/>
      <c r="B31" s="32" t="s">
        <v>224</v>
      </c>
      <c r="C31" s="33"/>
      <c r="D31" s="33"/>
      <c r="E31" s="34">
        <f t="shared" si="16"/>
        <v>0</v>
      </c>
      <c r="F31" s="35">
        <f t="shared" si="17"/>
        <v>0</v>
      </c>
      <c r="G31" s="37"/>
      <c r="H31" s="28"/>
      <c r="I31" s="32" t="s">
        <v>225</v>
      </c>
      <c r="J31" s="33"/>
      <c r="K31" s="33"/>
      <c r="L31" s="34">
        <f t="shared" si="18"/>
        <v>0</v>
      </c>
      <c r="M31" s="34">
        <f t="shared" si="19"/>
        <v>0</v>
      </c>
      <c r="N31" s="29"/>
      <c r="O31" s="33">
        <f t="shared" si="20"/>
        <v>0</v>
      </c>
      <c r="P31" s="33"/>
      <c r="Q31" s="34">
        <f t="shared" si="21"/>
        <v>0</v>
      </c>
      <c r="R31" s="30"/>
      <c r="S31" s="34">
        <f t="shared" si="22"/>
        <v>0</v>
      </c>
      <c r="T31" s="30"/>
      <c r="U31" s="33"/>
      <c r="V31" s="33"/>
      <c r="W31" s="34">
        <f t="shared" si="23"/>
        <v>0</v>
      </c>
      <c r="X31" s="37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</row>
    <row r="32" spans="1:125" ht="15" hidden="1" customHeight="1">
      <c r="A32" s="8"/>
      <c r="B32" s="32" t="s">
        <v>226</v>
      </c>
      <c r="C32" s="33"/>
      <c r="D32" s="33"/>
      <c r="E32" s="34">
        <f t="shared" si="16"/>
        <v>0</v>
      </c>
      <c r="F32" s="35">
        <f t="shared" si="17"/>
        <v>0</v>
      </c>
      <c r="G32" s="37"/>
      <c r="H32" s="28"/>
      <c r="I32" s="32" t="s">
        <v>227</v>
      </c>
      <c r="J32" s="33"/>
      <c r="K32" s="33"/>
      <c r="L32" s="34">
        <f t="shared" si="18"/>
        <v>0</v>
      </c>
      <c r="M32" s="34">
        <f t="shared" si="19"/>
        <v>0</v>
      </c>
      <c r="N32" s="29"/>
      <c r="O32" s="33">
        <f t="shared" si="20"/>
        <v>0</v>
      </c>
      <c r="P32" s="33"/>
      <c r="Q32" s="34">
        <f t="shared" si="21"/>
        <v>0</v>
      </c>
      <c r="R32" s="30"/>
      <c r="S32" s="34">
        <f t="shared" si="22"/>
        <v>0</v>
      </c>
      <c r="T32" s="30"/>
      <c r="U32" s="33"/>
      <c r="V32" s="33"/>
      <c r="W32" s="34">
        <f t="shared" si="23"/>
        <v>0</v>
      </c>
      <c r="X32" s="37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</row>
    <row r="33" spans="1:125" ht="12.75" hidden="1" customHeight="1">
      <c r="A33" s="8"/>
      <c r="B33" s="32" t="s">
        <v>228</v>
      </c>
      <c r="C33" s="33"/>
      <c r="D33" s="33"/>
      <c r="E33" s="34">
        <f t="shared" si="16"/>
        <v>0</v>
      </c>
      <c r="F33" s="35">
        <f t="shared" si="17"/>
        <v>0</v>
      </c>
      <c r="G33" s="37"/>
      <c r="H33" s="28"/>
      <c r="I33" s="32" t="s">
        <v>229</v>
      </c>
      <c r="J33" s="33"/>
      <c r="K33" s="33"/>
      <c r="L33" s="34">
        <f t="shared" si="18"/>
        <v>0</v>
      </c>
      <c r="M33" s="34">
        <f t="shared" si="19"/>
        <v>0</v>
      </c>
      <c r="N33" s="29"/>
      <c r="O33" s="33">
        <f t="shared" si="20"/>
        <v>0</v>
      </c>
      <c r="P33" s="33"/>
      <c r="Q33" s="34">
        <f t="shared" si="21"/>
        <v>0</v>
      </c>
      <c r="R33" s="30"/>
      <c r="S33" s="34">
        <f t="shared" si="22"/>
        <v>0</v>
      </c>
      <c r="T33" s="30"/>
      <c r="U33" s="33"/>
      <c r="V33" s="33"/>
      <c r="W33" s="34">
        <f t="shared" si="23"/>
        <v>0</v>
      </c>
      <c r="X33" s="37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</row>
    <row r="34" spans="1:125" ht="14.25" hidden="1" customHeight="1">
      <c r="A34" s="8"/>
      <c r="B34" s="32" t="s">
        <v>230</v>
      </c>
      <c r="C34" s="33"/>
      <c r="D34" s="33"/>
      <c r="E34" s="34">
        <f t="shared" si="16"/>
        <v>0</v>
      </c>
      <c r="F34" s="35">
        <f t="shared" si="17"/>
        <v>0</v>
      </c>
      <c r="G34" s="37"/>
      <c r="H34" s="28"/>
      <c r="I34" s="32" t="s">
        <v>231</v>
      </c>
      <c r="J34" s="33"/>
      <c r="K34" s="33"/>
      <c r="L34" s="34">
        <f t="shared" si="18"/>
        <v>0</v>
      </c>
      <c r="M34" s="34">
        <f t="shared" si="19"/>
        <v>0</v>
      </c>
      <c r="N34" s="29"/>
      <c r="O34" s="33">
        <f t="shared" si="20"/>
        <v>0</v>
      </c>
      <c r="P34" s="33"/>
      <c r="Q34" s="34">
        <f t="shared" si="21"/>
        <v>0</v>
      </c>
      <c r="R34" s="30"/>
      <c r="S34" s="34">
        <f t="shared" si="22"/>
        <v>0</v>
      </c>
      <c r="T34" s="30"/>
      <c r="U34" s="33"/>
      <c r="V34" s="33"/>
      <c r="W34" s="34">
        <f t="shared" si="23"/>
        <v>0</v>
      </c>
      <c r="X34" s="37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</row>
    <row r="35" spans="1:125" ht="18.75" hidden="1" customHeight="1">
      <c r="A35" s="8"/>
      <c r="B35" s="32" t="s">
        <v>232</v>
      </c>
      <c r="C35" s="33"/>
      <c r="D35" s="33"/>
      <c r="E35" s="34">
        <f t="shared" si="16"/>
        <v>0</v>
      </c>
      <c r="F35" s="35">
        <f t="shared" si="17"/>
        <v>0</v>
      </c>
      <c r="G35" s="37"/>
      <c r="H35" s="28"/>
      <c r="I35" s="32" t="s">
        <v>233</v>
      </c>
      <c r="J35" s="33"/>
      <c r="K35" s="33"/>
      <c r="L35" s="34">
        <f t="shared" si="18"/>
        <v>0</v>
      </c>
      <c r="M35" s="34">
        <f t="shared" si="19"/>
        <v>0</v>
      </c>
      <c r="N35" s="29"/>
      <c r="O35" s="33">
        <f t="shared" si="20"/>
        <v>0</v>
      </c>
      <c r="P35" s="33"/>
      <c r="Q35" s="34">
        <f t="shared" si="21"/>
        <v>0</v>
      </c>
      <c r="R35" s="30"/>
      <c r="S35" s="34">
        <f t="shared" si="22"/>
        <v>0</v>
      </c>
      <c r="T35" s="30"/>
      <c r="U35" s="33"/>
      <c r="V35" s="33"/>
      <c r="W35" s="34">
        <f t="shared" si="23"/>
        <v>0</v>
      </c>
      <c r="X35" s="37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</row>
    <row r="36" spans="1:125" ht="9" hidden="1" customHeight="1">
      <c r="A36" s="8"/>
      <c r="B36" s="32" t="s">
        <v>234</v>
      </c>
      <c r="C36" s="33"/>
      <c r="D36" s="33"/>
      <c r="E36" s="34">
        <f t="shared" si="16"/>
        <v>0</v>
      </c>
      <c r="F36" s="35">
        <f t="shared" si="17"/>
        <v>0</v>
      </c>
      <c r="G36" s="37"/>
      <c r="H36" s="28"/>
      <c r="I36" s="32" t="s">
        <v>235</v>
      </c>
      <c r="J36" s="33"/>
      <c r="K36" s="33"/>
      <c r="L36" s="34">
        <f t="shared" si="18"/>
        <v>0</v>
      </c>
      <c r="M36" s="34">
        <f t="shared" si="19"/>
        <v>0</v>
      </c>
      <c r="N36" s="29"/>
      <c r="O36" s="33">
        <f t="shared" si="20"/>
        <v>0</v>
      </c>
      <c r="P36" s="33"/>
      <c r="Q36" s="34">
        <f t="shared" si="21"/>
        <v>0</v>
      </c>
      <c r="R36" s="30"/>
      <c r="S36" s="34">
        <f t="shared" si="22"/>
        <v>0</v>
      </c>
      <c r="T36" s="30"/>
      <c r="U36" s="33"/>
      <c r="V36" s="33"/>
      <c r="W36" s="34">
        <f t="shared" si="23"/>
        <v>0</v>
      </c>
      <c r="X36" s="37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</row>
    <row r="37" spans="1:125" ht="15.75" hidden="1" customHeight="1">
      <c r="A37" s="8"/>
      <c r="B37" s="32" t="s">
        <v>236</v>
      </c>
      <c r="C37" s="33"/>
      <c r="D37" s="33"/>
      <c r="E37" s="34">
        <f t="shared" si="16"/>
        <v>0</v>
      </c>
      <c r="F37" s="35">
        <f t="shared" si="17"/>
        <v>0</v>
      </c>
      <c r="G37" s="37"/>
      <c r="H37" s="28"/>
      <c r="I37" s="32" t="s">
        <v>237</v>
      </c>
      <c r="J37" s="33"/>
      <c r="K37" s="33"/>
      <c r="L37" s="34">
        <f t="shared" si="18"/>
        <v>0</v>
      </c>
      <c r="M37" s="34">
        <f t="shared" si="19"/>
        <v>0</v>
      </c>
      <c r="N37" s="29"/>
      <c r="O37" s="33">
        <f t="shared" si="20"/>
        <v>0</v>
      </c>
      <c r="P37" s="33"/>
      <c r="Q37" s="34">
        <f t="shared" si="21"/>
        <v>0</v>
      </c>
      <c r="R37" s="30"/>
      <c r="S37" s="34">
        <f t="shared" si="22"/>
        <v>0</v>
      </c>
      <c r="T37" s="30"/>
      <c r="U37" s="33"/>
      <c r="V37" s="33"/>
      <c r="W37" s="34">
        <f t="shared" si="23"/>
        <v>0</v>
      </c>
      <c r="X37" s="37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</row>
    <row r="38" spans="1:125" ht="15.75" hidden="1" customHeight="1">
      <c r="A38" s="8"/>
      <c r="B38" s="32" t="s">
        <v>238</v>
      </c>
      <c r="C38" s="33"/>
      <c r="D38" s="33"/>
      <c r="E38" s="34">
        <f t="shared" si="16"/>
        <v>0</v>
      </c>
      <c r="F38" s="35">
        <f t="shared" si="17"/>
        <v>0</v>
      </c>
      <c r="G38" s="37"/>
      <c r="H38" s="28"/>
      <c r="I38" s="32" t="s">
        <v>239</v>
      </c>
      <c r="J38" s="33"/>
      <c r="K38" s="33"/>
      <c r="L38" s="34">
        <f t="shared" si="18"/>
        <v>0</v>
      </c>
      <c r="M38" s="34">
        <f t="shared" si="19"/>
        <v>0</v>
      </c>
      <c r="N38" s="29"/>
      <c r="O38" s="33">
        <f t="shared" si="20"/>
        <v>0</v>
      </c>
      <c r="P38" s="33"/>
      <c r="Q38" s="34">
        <f t="shared" si="21"/>
        <v>0</v>
      </c>
      <c r="R38" s="30"/>
      <c r="S38" s="34">
        <f t="shared" si="22"/>
        <v>0</v>
      </c>
      <c r="T38" s="30"/>
      <c r="U38" s="33"/>
      <c r="V38" s="33"/>
      <c r="W38" s="34">
        <f t="shared" si="23"/>
        <v>0</v>
      </c>
      <c r="X38" s="37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</row>
    <row r="39" spans="1:125" ht="12.75" hidden="1" customHeight="1">
      <c r="A39" s="8"/>
      <c r="B39" s="32" t="s">
        <v>240</v>
      </c>
      <c r="C39" s="33"/>
      <c r="D39" s="33"/>
      <c r="E39" s="34">
        <f t="shared" si="16"/>
        <v>0</v>
      </c>
      <c r="F39" s="35">
        <f t="shared" si="17"/>
        <v>0</v>
      </c>
      <c r="G39" s="37"/>
      <c r="H39" s="28"/>
      <c r="I39" s="32" t="s">
        <v>241</v>
      </c>
      <c r="J39" s="33"/>
      <c r="K39" s="33"/>
      <c r="L39" s="34">
        <f t="shared" si="18"/>
        <v>0</v>
      </c>
      <c r="M39" s="34">
        <f t="shared" si="19"/>
        <v>0</v>
      </c>
      <c r="N39" s="29"/>
      <c r="O39" s="33">
        <f t="shared" si="20"/>
        <v>0</v>
      </c>
      <c r="P39" s="33"/>
      <c r="Q39" s="34">
        <f t="shared" si="21"/>
        <v>0</v>
      </c>
      <c r="R39" s="30"/>
      <c r="S39" s="34">
        <f t="shared" si="22"/>
        <v>0</v>
      </c>
      <c r="T39" s="30"/>
      <c r="U39" s="33"/>
      <c r="V39" s="33"/>
      <c r="W39" s="34">
        <f t="shared" si="23"/>
        <v>0</v>
      </c>
      <c r="X39" s="37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</row>
    <row r="40" spans="1:125" ht="16.5" hidden="1" customHeight="1">
      <c r="A40" s="8"/>
      <c r="B40" s="32" t="s">
        <v>242</v>
      </c>
      <c r="C40" s="33"/>
      <c r="D40" s="33"/>
      <c r="E40" s="34">
        <f t="shared" si="16"/>
        <v>0</v>
      </c>
      <c r="F40" s="35">
        <f t="shared" si="17"/>
        <v>0</v>
      </c>
      <c r="G40" s="37"/>
      <c r="H40" s="28"/>
      <c r="I40" s="32" t="s">
        <v>243</v>
      </c>
      <c r="J40" s="33"/>
      <c r="K40" s="33"/>
      <c r="L40" s="34">
        <f t="shared" si="18"/>
        <v>0</v>
      </c>
      <c r="M40" s="34">
        <f t="shared" si="19"/>
        <v>0</v>
      </c>
      <c r="N40" s="29"/>
      <c r="O40" s="33">
        <f t="shared" si="20"/>
        <v>0</v>
      </c>
      <c r="P40" s="33"/>
      <c r="Q40" s="34">
        <f t="shared" si="21"/>
        <v>0</v>
      </c>
      <c r="R40" s="30"/>
      <c r="S40" s="34">
        <f t="shared" si="22"/>
        <v>0</v>
      </c>
      <c r="T40" s="30"/>
      <c r="U40" s="33"/>
      <c r="V40" s="33"/>
      <c r="W40" s="34">
        <f t="shared" si="23"/>
        <v>0</v>
      </c>
      <c r="X40" s="37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</row>
    <row r="41" spans="1:125" ht="10.5" hidden="1" customHeight="1">
      <c r="A41" s="8"/>
      <c r="B41" s="32" t="s">
        <v>244</v>
      </c>
      <c r="C41" s="33"/>
      <c r="D41" s="33"/>
      <c r="E41" s="34">
        <f t="shared" si="16"/>
        <v>0</v>
      </c>
      <c r="F41" s="35">
        <f t="shared" si="17"/>
        <v>0</v>
      </c>
      <c r="G41" s="37"/>
      <c r="H41" s="28"/>
      <c r="I41" s="32" t="s">
        <v>245</v>
      </c>
      <c r="J41" s="33"/>
      <c r="K41" s="33"/>
      <c r="L41" s="34">
        <f t="shared" si="18"/>
        <v>0</v>
      </c>
      <c r="M41" s="34">
        <f t="shared" si="19"/>
        <v>0</v>
      </c>
      <c r="N41" s="29"/>
      <c r="O41" s="33">
        <f t="shared" si="20"/>
        <v>0</v>
      </c>
      <c r="P41" s="33"/>
      <c r="Q41" s="34">
        <f t="shared" si="21"/>
        <v>0</v>
      </c>
      <c r="R41" s="30"/>
      <c r="S41" s="34">
        <f t="shared" si="22"/>
        <v>0</v>
      </c>
      <c r="T41" s="30"/>
      <c r="U41" s="33"/>
      <c r="V41" s="33"/>
      <c r="W41" s="34">
        <f t="shared" si="23"/>
        <v>0</v>
      </c>
      <c r="X41" s="37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</row>
    <row r="42" spans="1:125" ht="15" hidden="1" customHeight="1">
      <c r="A42" s="8"/>
      <c r="B42" s="32" t="s">
        <v>246</v>
      </c>
      <c r="C42" s="33"/>
      <c r="D42" s="33"/>
      <c r="E42" s="34">
        <f t="shared" si="16"/>
        <v>0</v>
      </c>
      <c r="F42" s="35">
        <f t="shared" si="17"/>
        <v>0</v>
      </c>
      <c r="G42" s="37"/>
      <c r="H42" s="28"/>
      <c r="I42" s="32" t="s">
        <v>247</v>
      </c>
      <c r="J42" s="33"/>
      <c r="K42" s="33"/>
      <c r="L42" s="34">
        <f t="shared" si="18"/>
        <v>0</v>
      </c>
      <c r="M42" s="34">
        <f t="shared" si="19"/>
        <v>0</v>
      </c>
      <c r="N42" s="29"/>
      <c r="O42" s="33">
        <f t="shared" si="20"/>
        <v>0</v>
      </c>
      <c r="P42" s="33"/>
      <c r="Q42" s="34">
        <f t="shared" si="21"/>
        <v>0</v>
      </c>
      <c r="R42" s="30"/>
      <c r="S42" s="34">
        <f t="shared" si="22"/>
        <v>0</v>
      </c>
      <c r="T42" s="30"/>
      <c r="U42" s="33"/>
      <c r="V42" s="33"/>
      <c r="W42" s="34">
        <f t="shared" si="23"/>
        <v>0</v>
      </c>
      <c r="X42" s="37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</row>
    <row r="43" spans="1:125" ht="10.5" hidden="1" customHeight="1">
      <c r="A43" s="8"/>
      <c r="B43" s="32" t="s">
        <v>248</v>
      </c>
      <c r="C43" s="33"/>
      <c r="D43" s="33"/>
      <c r="E43" s="34">
        <f t="shared" si="16"/>
        <v>0</v>
      </c>
      <c r="F43" s="35">
        <f t="shared" si="17"/>
        <v>0</v>
      </c>
      <c r="G43" s="37"/>
      <c r="H43" s="28"/>
      <c r="I43" s="32" t="s">
        <v>249</v>
      </c>
      <c r="J43" s="33"/>
      <c r="K43" s="33"/>
      <c r="L43" s="34">
        <f t="shared" si="18"/>
        <v>0</v>
      </c>
      <c r="M43" s="34">
        <f t="shared" si="19"/>
        <v>0</v>
      </c>
      <c r="N43" s="29"/>
      <c r="O43" s="33">
        <f t="shared" si="20"/>
        <v>0</v>
      </c>
      <c r="P43" s="33"/>
      <c r="Q43" s="34">
        <f t="shared" si="21"/>
        <v>0</v>
      </c>
      <c r="R43" s="30"/>
      <c r="S43" s="34">
        <f t="shared" si="22"/>
        <v>0</v>
      </c>
      <c r="T43" s="30"/>
      <c r="U43" s="33"/>
      <c r="V43" s="33"/>
      <c r="W43" s="34">
        <f t="shared" si="23"/>
        <v>0</v>
      </c>
      <c r="X43" s="37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</row>
    <row r="44" spans="1:125" ht="8.25" hidden="1" customHeight="1">
      <c r="A44" s="8"/>
      <c r="B44" s="32" t="s">
        <v>250</v>
      </c>
      <c r="C44" s="33"/>
      <c r="D44" s="33"/>
      <c r="E44" s="34">
        <f t="shared" si="16"/>
        <v>0</v>
      </c>
      <c r="F44" s="35">
        <f t="shared" si="17"/>
        <v>0</v>
      </c>
      <c r="G44" s="37"/>
      <c r="H44" s="28"/>
      <c r="I44" s="32" t="s">
        <v>251</v>
      </c>
      <c r="J44" s="33"/>
      <c r="K44" s="33"/>
      <c r="L44" s="34">
        <f t="shared" si="18"/>
        <v>0</v>
      </c>
      <c r="M44" s="34">
        <f t="shared" si="19"/>
        <v>0</v>
      </c>
      <c r="N44" s="29"/>
      <c r="O44" s="33">
        <f t="shared" si="20"/>
        <v>0</v>
      </c>
      <c r="P44" s="33"/>
      <c r="Q44" s="34">
        <f t="shared" si="21"/>
        <v>0</v>
      </c>
      <c r="R44" s="30"/>
      <c r="S44" s="34">
        <f t="shared" si="22"/>
        <v>0</v>
      </c>
      <c r="T44" s="30"/>
      <c r="U44" s="33"/>
      <c r="V44" s="33"/>
      <c r="W44" s="34">
        <f t="shared" si="23"/>
        <v>0</v>
      </c>
      <c r="X44" s="37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</row>
    <row r="45" spans="1:125" ht="12.75" hidden="1" customHeight="1">
      <c r="A45" s="8"/>
      <c r="B45" s="32" t="s">
        <v>252</v>
      </c>
      <c r="C45" s="33"/>
      <c r="D45" s="33"/>
      <c r="E45" s="34">
        <f t="shared" si="16"/>
        <v>0</v>
      </c>
      <c r="F45" s="35">
        <f t="shared" si="17"/>
        <v>0</v>
      </c>
      <c r="G45" s="37"/>
      <c r="H45" s="28"/>
      <c r="I45" s="32" t="s">
        <v>253</v>
      </c>
      <c r="J45" s="33"/>
      <c r="K45" s="33"/>
      <c r="L45" s="34">
        <f t="shared" si="18"/>
        <v>0</v>
      </c>
      <c r="M45" s="34">
        <f t="shared" si="19"/>
        <v>0</v>
      </c>
      <c r="N45" s="29"/>
      <c r="O45" s="33">
        <f t="shared" si="20"/>
        <v>0</v>
      </c>
      <c r="P45" s="33"/>
      <c r="Q45" s="34">
        <f t="shared" si="21"/>
        <v>0</v>
      </c>
      <c r="R45" s="30"/>
      <c r="S45" s="34">
        <f t="shared" si="22"/>
        <v>0</v>
      </c>
      <c r="T45" s="30"/>
      <c r="U45" s="33"/>
      <c r="V45" s="33"/>
      <c r="W45" s="34">
        <f t="shared" si="23"/>
        <v>0</v>
      </c>
      <c r="X45" s="37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</row>
    <row r="46" spans="1:125" ht="15.75" hidden="1" customHeight="1">
      <c r="A46" s="8"/>
      <c r="B46" s="32" t="s">
        <v>254</v>
      </c>
      <c r="C46" s="33"/>
      <c r="D46" s="33"/>
      <c r="E46" s="34">
        <f t="shared" si="16"/>
        <v>0</v>
      </c>
      <c r="F46" s="35">
        <f t="shared" si="17"/>
        <v>0</v>
      </c>
      <c r="G46" s="37"/>
      <c r="H46" s="28"/>
      <c r="I46" s="32" t="s">
        <v>255</v>
      </c>
      <c r="J46" s="33"/>
      <c r="K46" s="33"/>
      <c r="L46" s="34">
        <f t="shared" si="18"/>
        <v>0</v>
      </c>
      <c r="M46" s="34">
        <f t="shared" si="19"/>
        <v>0</v>
      </c>
      <c r="N46" s="29"/>
      <c r="O46" s="33">
        <f t="shared" si="20"/>
        <v>0</v>
      </c>
      <c r="P46" s="33"/>
      <c r="Q46" s="34">
        <f t="shared" si="21"/>
        <v>0</v>
      </c>
      <c r="R46" s="30"/>
      <c r="S46" s="34">
        <f t="shared" si="22"/>
        <v>0</v>
      </c>
      <c r="T46" s="30"/>
      <c r="U46" s="33"/>
      <c r="V46" s="33"/>
      <c r="W46" s="34">
        <f t="shared" si="23"/>
        <v>0</v>
      </c>
      <c r="X46" s="37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</row>
    <row r="47" spans="1:125" ht="14.25" customHeight="1">
      <c r="A47" s="8"/>
      <c r="B47" s="40"/>
      <c r="C47" s="41"/>
      <c r="D47" s="2" t="s">
        <v>13</v>
      </c>
      <c r="E47" s="42"/>
      <c r="F47" s="43"/>
      <c r="G47" s="44"/>
      <c r="H47" s="28"/>
      <c r="I47" s="45"/>
      <c r="J47" s="46"/>
      <c r="K47" s="47" t="s">
        <v>4</v>
      </c>
      <c r="L47" s="4">
        <f>SUM(L5:L46)</f>
        <v>0</v>
      </c>
      <c r="M47" s="48">
        <f>SUM(M5:M46)</f>
        <v>0</v>
      </c>
      <c r="N47" s="29"/>
      <c r="O47" s="49"/>
      <c r="P47" s="50" t="s">
        <v>1</v>
      </c>
      <c r="Q47" s="48">
        <f>SUM(Q5:Q46)</f>
        <v>0</v>
      </c>
      <c r="R47" s="19"/>
      <c r="S47" s="51">
        <f>-W47</f>
        <v>-0.05</v>
      </c>
      <c r="T47" s="19"/>
      <c r="U47" s="52"/>
      <c r="V47" s="53" t="s">
        <v>1</v>
      </c>
      <c r="W47" s="48">
        <f>SUM(W5:W46)</f>
        <v>0.05</v>
      </c>
      <c r="X47" s="54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</row>
    <row r="48" spans="1:125" ht="14.25" customHeight="1">
      <c r="A48" s="8"/>
      <c r="B48" s="55"/>
      <c r="C48" s="12"/>
      <c r="D48" s="5" t="s">
        <v>15</v>
      </c>
      <c r="E48" s="19">
        <f>SUM(E5:E47)</f>
        <v>0</v>
      </c>
      <c r="F48" s="56">
        <f>SUM(F5:F47)</f>
        <v>0</v>
      </c>
      <c r="G48" s="19"/>
      <c r="H48" s="17"/>
      <c r="I48" s="12"/>
      <c r="J48" s="12"/>
      <c r="K48" s="5"/>
      <c r="L48" s="19"/>
      <c r="M48" s="19"/>
      <c r="N48" s="57"/>
      <c r="O48" s="12"/>
      <c r="P48" s="12"/>
      <c r="Q48" s="19"/>
      <c r="R48" s="12"/>
      <c r="S48" s="58">
        <f>SUM(S5:S47)</f>
        <v>-0.05</v>
      </c>
      <c r="T48" s="12"/>
      <c r="U48" s="12"/>
      <c r="V48" s="18"/>
      <c r="W48" s="18"/>
      <c r="X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</row>
    <row r="49" spans="1:125" ht="23.25" customHeight="1">
      <c r="A49" s="8"/>
      <c r="B49" s="59"/>
      <c r="C49" s="60"/>
      <c r="D49" s="61" t="s">
        <v>16</v>
      </c>
      <c r="E49" s="63">
        <v>0.05</v>
      </c>
      <c r="F49" s="63">
        <v>0.05</v>
      </c>
      <c r="G49" s="19"/>
      <c r="H49" s="17"/>
      <c r="I49" s="12"/>
      <c r="J49" s="12"/>
      <c r="K49" s="7"/>
      <c r="L49" s="64"/>
      <c r="M49" s="64"/>
      <c r="N49" s="57"/>
      <c r="O49" s="12"/>
      <c r="P49" s="12"/>
      <c r="Q49" s="19"/>
      <c r="R49" s="12"/>
      <c r="S49" s="65">
        <v>0</v>
      </c>
      <c r="T49" s="12"/>
      <c r="U49" s="12"/>
      <c r="V49" s="18"/>
      <c r="W49" s="18"/>
      <c r="X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</row>
    <row r="50" spans="1:125" ht="13.5" customHeight="1">
      <c r="A50" s="8"/>
      <c r="B50" s="66"/>
      <c r="C50" s="66"/>
      <c r="D50" s="47" t="s">
        <v>4</v>
      </c>
      <c r="E50" s="4">
        <f>+E48-E49</f>
        <v>-0.05</v>
      </c>
      <c r="F50" s="48">
        <f>+E50</f>
        <v>-0.05</v>
      </c>
      <c r="G50" s="19"/>
      <c r="H50" s="67"/>
      <c r="I50" s="12"/>
      <c r="J50" s="12"/>
      <c r="K50" s="6"/>
      <c r="L50" s="6"/>
      <c r="M50" s="19"/>
      <c r="N50" s="19"/>
      <c r="O50" s="12"/>
      <c r="P50" s="12"/>
      <c r="Q50" s="19"/>
      <c r="R50" s="12"/>
      <c r="S50" s="68">
        <f>SUM(S48:S49)</f>
        <v>-0.05</v>
      </c>
      <c r="T50" s="12"/>
      <c r="U50" s="12"/>
      <c r="V50" s="18"/>
      <c r="W50" s="18"/>
      <c r="X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</row>
    <row r="51" spans="1:125" ht="9.75" customHeight="1">
      <c r="A51" s="8"/>
      <c r="B51" s="12"/>
      <c r="C51" s="12"/>
      <c r="D51" s="6"/>
      <c r="E51" s="6"/>
      <c r="F51" s="19"/>
      <c r="G51" s="19"/>
      <c r="H51" s="67"/>
      <c r="I51" s="12"/>
      <c r="J51" s="12"/>
      <c r="K51" s="6"/>
      <c r="L51" s="6"/>
      <c r="M51" s="19"/>
      <c r="N51" s="19"/>
      <c r="O51" s="12"/>
      <c r="P51" s="12"/>
      <c r="Q51" s="19"/>
      <c r="R51" s="12"/>
      <c r="S51" s="19"/>
      <c r="T51" s="12"/>
      <c r="U51" s="12"/>
      <c r="V51" s="18"/>
      <c r="W51" s="18"/>
      <c r="X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</row>
    <row r="52" spans="1:125" ht="7.5" customHeight="1">
      <c r="A52" s="8"/>
      <c r="B52" s="466" t="s">
        <v>58</v>
      </c>
      <c r="C52" s="467"/>
      <c r="D52" s="468"/>
      <c r="E52" s="108" t="s">
        <v>54</v>
      </c>
      <c r="F52" s="108" t="s">
        <v>55</v>
      </c>
      <c r="G52" s="19"/>
      <c r="H52" s="67"/>
      <c r="I52" s="12"/>
      <c r="J52" s="12"/>
      <c r="K52" s="6"/>
      <c r="L52" s="6"/>
      <c r="M52" s="19"/>
      <c r="N52" s="19"/>
      <c r="O52" s="12"/>
      <c r="P52" s="12"/>
      <c r="Q52" s="19"/>
      <c r="R52" s="12"/>
      <c r="S52" s="19"/>
      <c r="T52" s="12"/>
      <c r="U52" s="12"/>
      <c r="V52" s="18"/>
      <c r="W52" s="18"/>
      <c r="X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</row>
    <row r="53" spans="1:125" ht="13.2" outlineLevel="1">
      <c r="A53" s="8"/>
      <c r="B53" s="109" t="s">
        <v>14</v>
      </c>
      <c r="C53" s="109" t="s">
        <v>28</v>
      </c>
      <c r="D53" s="110" t="s">
        <v>29</v>
      </c>
      <c r="E53" s="109" t="s">
        <v>30</v>
      </c>
      <c r="F53" s="109" t="s">
        <v>30</v>
      </c>
      <c r="G53" s="108" t="s">
        <v>42</v>
      </c>
      <c r="H53" s="67"/>
      <c r="I53" s="12"/>
      <c r="J53" s="12"/>
      <c r="K53" s="6"/>
      <c r="L53" s="6"/>
      <c r="M53" s="19"/>
      <c r="N53" s="19"/>
      <c r="O53" s="12"/>
      <c r="P53" s="12"/>
      <c r="Q53" s="19"/>
      <c r="R53" s="12"/>
      <c r="S53" s="19"/>
      <c r="T53" s="12"/>
      <c r="U53" s="12"/>
      <c r="V53" s="18"/>
      <c r="W53" s="18"/>
      <c r="X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</row>
    <row r="54" spans="1:125" ht="13.2" outlineLevel="1">
      <c r="A54" s="8"/>
      <c r="B54" s="23" t="s">
        <v>190</v>
      </c>
      <c r="C54" s="24"/>
      <c r="D54" s="24"/>
      <c r="E54" s="25">
        <f>+C54*D54</f>
        <v>0</v>
      </c>
      <c r="F54" s="26">
        <f>+E54</f>
        <v>0</v>
      </c>
      <c r="G54" s="27"/>
      <c r="H54" s="67"/>
      <c r="I54" s="12"/>
      <c r="J54" s="12"/>
      <c r="K54" s="6"/>
      <c r="L54" s="6"/>
      <c r="M54" s="19"/>
      <c r="N54" s="19"/>
      <c r="O54" s="12"/>
      <c r="P54" s="12"/>
      <c r="Q54" s="19"/>
      <c r="R54" s="12"/>
      <c r="S54" s="19"/>
      <c r="T54" s="12"/>
      <c r="U54" s="12"/>
      <c r="V54" s="18"/>
      <c r="W54" s="18"/>
      <c r="X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</row>
    <row r="55" spans="1:125" ht="13.2" outlineLevel="1">
      <c r="A55" s="8"/>
      <c r="B55" s="32" t="s">
        <v>191</v>
      </c>
      <c r="C55" s="33"/>
      <c r="D55" s="33"/>
      <c r="E55" s="34">
        <f>+C55*D55</f>
        <v>0</v>
      </c>
      <c r="F55" s="35">
        <f>+E55</f>
        <v>0</v>
      </c>
      <c r="G55" s="36"/>
      <c r="H55" s="67"/>
      <c r="I55" s="12"/>
      <c r="J55" s="12"/>
      <c r="K55" s="6"/>
      <c r="L55" s="6"/>
      <c r="M55" s="19"/>
      <c r="N55" s="19"/>
      <c r="O55" s="12"/>
      <c r="P55" s="12"/>
      <c r="Q55" s="19"/>
      <c r="R55" s="12"/>
      <c r="S55" s="19"/>
      <c r="T55" s="12"/>
      <c r="U55" s="12"/>
      <c r="V55" s="18"/>
      <c r="W55" s="18"/>
      <c r="X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</row>
    <row r="56" spans="1:125" ht="13.2" outlineLevel="1">
      <c r="A56" s="8"/>
      <c r="B56" s="32" t="s">
        <v>192</v>
      </c>
      <c r="C56" s="33"/>
      <c r="D56" s="33"/>
      <c r="E56" s="34">
        <f>+C56*D56</f>
        <v>0</v>
      </c>
      <c r="F56" s="35">
        <f>+E56</f>
        <v>0</v>
      </c>
      <c r="G56" s="37"/>
      <c r="H56" s="67"/>
      <c r="I56" s="12"/>
      <c r="J56" s="12"/>
      <c r="K56" s="6"/>
      <c r="L56" s="6"/>
      <c r="M56" s="19"/>
      <c r="N56" s="19"/>
      <c r="O56" s="12"/>
      <c r="P56" s="12"/>
      <c r="Q56" s="19"/>
      <c r="R56" s="12"/>
      <c r="S56" s="19"/>
      <c r="T56" s="12"/>
      <c r="U56" s="12"/>
      <c r="V56" s="18"/>
      <c r="W56" s="18"/>
      <c r="X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</row>
    <row r="57" spans="1:125" ht="13.2" outlineLevel="1">
      <c r="A57" s="8"/>
      <c r="B57" s="32" t="s">
        <v>141</v>
      </c>
      <c r="C57" s="33"/>
      <c r="D57" s="33"/>
      <c r="E57" s="34">
        <f>+C57*D57</f>
        <v>0</v>
      </c>
      <c r="F57" s="35">
        <f>+E57</f>
        <v>0</v>
      </c>
      <c r="G57" s="37"/>
      <c r="H57" s="67"/>
      <c r="I57" s="12"/>
      <c r="J57" s="12"/>
      <c r="K57" s="6"/>
      <c r="L57" s="6"/>
      <c r="M57" s="19"/>
      <c r="N57" s="19"/>
      <c r="O57" s="12"/>
      <c r="P57" s="12"/>
      <c r="Q57" s="19"/>
      <c r="R57" s="12"/>
      <c r="S57" s="19"/>
      <c r="T57" s="12"/>
      <c r="U57" s="12"/>
      <c r="V57" s="18"/>
      <c r="W57" s="18"/>
      <c r="X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</row>
    <row r="58" spans="1:125" ht="13.2" outlineLevel="1">
      <c r="A58" s="8"/>
      <c r="B58" s="32" t="s">
        <v>193</v>
      </c>
      <c r="C58" s="33"/>
      <c r="D58" s="33"/>
      <c r="E58" s="34">
        <f>+C58*D58</f>
        <v>0</v>
      </c>
      <c r="F58" s="35">
        <f>+E58</f>
        <v>0</v>
      </c>
      <c r="G58" s="37"/>
      <c r="H58" s="67"/>
      <c r="I58" s="12"/>
      <c r="J58" s="12"/>
      <c r="K58" s="6"/>
      <c r="L58" s="6"/>
      <c r="M58" s="19"/>
      <c r="N58" s="19"/>
      <c r="O58" s="12"/>
      <c r="P58" s="12"/>
      <c r="Q58" s="19"/>
      <c r="R58" s="12"/>
      <c r="S58" s="19"/>
      <c r="T58" s="12"/>
      <c r="U58" s="12"/>
      <c r="V58" s="18"/>
      <c r="W58" s="18"/>
      <c r="X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</row>
    <row r="59" spans="1:125" ht="13.2" outlineLevel="1">
      <c r="A59" s="8"/>
      <c r="B59" s="40"/>
      <c r="C59" s="41"/>
      <c r="D59" s="2" t="s">
        <v>13</v>
      </c>
      <c r="E59" s="42">
        <f>-X59</f>
        <v>0</v>
      </c>
      <c r="F59" s="43">
        <f>-X59</f>
        <v>0</v>
      </c>
      <c r="G59" s="44"/>
      <c r="H59" s="67"/>
      <c r="I59" s="12"/>
      <c r="J59" s="12"/>
      <c r="K59" s="6"/>
      <c r="L59" s="6"/>
      <c r="M59" s="19"/>
      <c r="N59" s="19"/>
      <c r="O59" s="12"/>
      <c r="P59" s="12"/>
      <c r="Q59" s="19"/>
      <c r="R59" s="12"/>
      <c r="S59" s="19"/>
      <c r="T59" s="12"/>
      <c r="U59" s="12"/>
      <c r="V59" s="18"/>
      <c r="W59" s="18"/>
      <c r="X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</row>
    <row r="60" spans="1:125" ht="13.2" outlineLevel="1">
      <c r="A60" s="8"/>
      <c r="B60" s="55"/>
      <c r="C60" s="12"/>
      <c r="D60" s="5" t="s">
        <v>15</v>
      </c>
      <c r="E60" s="19">
        <f>SUM(E54:E59)</f>
        <v>0</v>
      </c>
      <c r="F60" s="56">
        <f>SUM(F54:F59)</f>
        <v>0</v>
      </c>
      <c r="G60" s="19"/>
      <c r="H60" s="67"/>
      <c r="I60" s="12"/>
      <c r="J60" s="12"/>
      <c r="K60" s="6"/>
      <c r="L60" s="6"/>
      <c r="M60" s="19"/>
      <c r="N60" s="19"/>
      <c r="O60" s="12"/>
      <c r="P60" s="12"/>
      <c r="Q60" s="19"/>
      <c r="R60" s="12"/>
      <c r="S60" s="19"/>
      <c r="T60" s="12"/>
      <c r="U60" s="12"/>
      <c r="V60" s="18"/>
      <c r="W60" s="18"/>
      <c r="X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</row>
    <row r="61" spans="1:125" ht="13.2" outlineLevel="1">
      <c r="A61" s="8"/>
      <c r="B61" s="59"/>
      <c r="C61" s="60"/>
      <c r="D61" s="61" t="s">
        <v>16</v>
      </c>
      <c r="E61" s="62"/>
      <c r="F61" s="63">
        <f>-Q59*0.025</f>
        <v>0</v>
      </c>
      <c r="G61" s="19"/>
      <c r="H61" s="67"/>
      <c r="I61" s="12"/>
      <c r="J61" s="12"/>
      <c r="K61" s="6"/>
      <c r="L61" s="6"/>
      <c r="M61" s="19"/>
      <c r="N61" s="19"/>
      <c r="O61" s="12"/>
      <c r="P61" s="12"/>
      <c r="Q61" s="19"/>
      <c r="R61" s="12"/>
      <c r="S61" s="19"/>
      <c r="T61" s="12"/>
      <c r="U61" s="12"/>
      <c r="V61" s="18"/>
      <c r="W61" s="18"/>
      <c r="X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</row>
    <row r="62" spans="1:125" ht="13.2" outlineLevel="1">
      <c r="A62" s="8"/>
      <c r="B62" s="66"/>
      <c r="C62" s="66"/>
      <c r="D62" s="47" t="s">
        <v>4</v>
      </c>
      <c r="E62" s="4">
        <f>SUM(E60:E61)</f>
        <v>0</v>
      </c>
      <c r="F62" s="48">
        <f>SUM(F60:F61)</f>
        <v>0</v>
      </c>
      <c r="G62" s="19"/>
      <c r="H62" s="67"/>
      <c r="I62" s="12"/>
      <c r="J62" s="12"/>
      <c r="K62" s="6"/>
      <c r="L62" s="6"/>
      <c r="M62" s="19"/>
      <c r="N62" s="19"/>
      <c r="O62" s="12"/>
      <c r="P62" s="12"/>
      <c r="Q62" s="19"/>
      <c r="R62" s="12"/>
      <c r="S62" s="19"/>
      <c r="T62" s="12"/>
      <c r="U62" s="12"/>
      <c r="V62" s="18"/>
      <c r="W62" s="18"/>
      <c r="X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</row>
    <row r="63" spans="1:125" ht="12.75" hidden="1" customHeight="1">
      <c r="A63" s="8"/>
      <c r="B63" s="12"/>
      <c r="C63" s="12"/>
      <c r="D63" s="6"/>
      <c r="E63" s="6"/>
      <c r="F63" s="19"/>
      <c r="G63" s="19"/>
      <c r="H63" s="67"/>
      <c r="I63" s="12"/>
      <c r="J63" s="12"/>
      <c r="K63" s="6"/>
      <c r="L63" s="6"/>
      <c r="M63" s="19"/>
      <c r="N63" s="19"/>
      <c r="O63" s="12"/>
      <c r="P63" s="12"/>
      <c r="Q63" s="19"/>
      <c r="R63" s="12"/>
      <c r="S63" s="19"/>
      <c r="T63" s="12"/>
      <c r="U63" s="12"/>
      <c r="V63" s="18"/>
      <c r="W63" s="18"/>
      <c r="X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</row>
    <row r="64" spans="1:125" ht="12.75" hidden="1" customHeight="1">
      <c r="A64" s="8"/>
      <c r="B64" s="466" t="s">
        <v>182</v>
      </c>
      <c r="C64" s="467"/>
      <c r="D64" s="468"/>
      <c r="E64" s="108" t="s">
        <v>54</v>
      </c>
      <c r="F64" s="108" t="s">
        <v>55</v>
      </c>
      <c r="G64" s="19"/>
      <c r="H64" s="17"/>
      <c r="I64" s="466" t="s">
        <v>41</v>
      </c>
      <c r="J64" s="467"/>
      <c r="K64" s="468"/>
      <c r="L64" s="108" t="s">
        <v>54</v>
      </c>
      <c r="M64" s="108" t="s">
        <v>55</v>
      </c>
      <c r="N64" s="3"/>
      <c r="O64" s="466" t="s">
        <v>12</v>
      </c>
      <c r="P64" s="467"/>
      <c r="Q64" s="468"/>
      <c r="R64" s="3"/>
      <c r="S64" s="185" t="s">
        <v>56</v>
      </c>
      <c r="T64" s="3"/>
      <c r="U64" s="469" t="s">
        <v>57</v>
      </c>
      <c r="V64" s="470"/>
      <c r="W64" s="470"/>
      <c r="X64" s="471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</row>
    <row r="65" spans="1:125" ht="13.2" outlineLevel="1">
      <c r="A65" s="8"/>
      <c r="B65" s="109" t="s">
        <v>14</v>
      </c>
      <c r="C65" s="109" t="s">
        <v>28</v>
      </c>
      <c r="D65" s="110" t="s">
        <v>29</v>
      </c>
      <c r="E65" s="109" t="s">
        <v>30</v>
      </c>
      <c r="F65" s="109" t="s">
        <v>30</v>
      </c>
      <c r="G65" s="108" t="s">
        <v>42</v>
      </c>
      <c r="H65" s="22"/>
      <c r="I65" s="108" t="s">
        <v>14</v>
      </c>
      <c r="J65" s="108" t="s">
        <v>28</v>
      </c>
      <c r="K65" s="108" t="s">
        <v>29</v>
      </c>
      <c r="L65" s="109" t="s">
        <v>30</v>
      </c>
      <c r="M65" s="109" t="s">
        <v>30</v>
      </c>
      <c r="N65" s="3"/>
      <c r="O65" s="108" t="s">
        <v>29</v>
      </c>
      <c r="P65" s="108" t="s">
        <v>59</v>
      </c>
      <c r="Q65" s="108" t="s">
        <v>4</v>
      </c>
      <c r="R65" s="3"/>
      <c r="S65" s="108" t="s">
        <v>30</v>
      </c>
      <c r="T65" s="3"/>
      <c r="U65" s="108" t="s">
        <v>28</v>
      </c>
      <c r="V65" s="109" t="s">
        <v>59</v>
      </c>
      <c r="W65" s="109" t="s">
        <v>4</v>
      </c>
      <c r="X65" s="109" t="s">
        <v>60</v>
      </c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</row>
    <row r="66" spans="1:125" ht="12.75" customHeight="1" outlineLevel="1">
      <c r="A66" s="8"/>
      <c r="B66" s="23" t="s">
        <v>61</v>
      </c>
      <c r="C66" s="113"/>
      <c r="D66" s="111"/>
      <c r="E66" s="25">
        <f>+C66*D66</f>
        <v>0</v>
      </c>
      <c r="F66" s="26">
        <f>+C66*D66</f>
        <v>0</v>
      </c>
      <c r="G66" s="27"/>
      <c r="H66" s="28"/>
      <c r="I66" s="23" t="s">
        <v>62</v>
      </c>
      <c r="J66" s="24"/>
      <c r="K66" s="24"/>
      <c r="L66" s="25">
        <f>+J66*K66</f>
        <v>0</v>
      </c>
      <c r="M66" s="25">
        <f>+J66*K66</f>
        <v>0</v>
      </c>
      <c r="N66" s="29"/>
      <c r="O66" s="24">
        <f>+D66</f>
        <v>0</v>
      </c>
      <c r="P66" s="24"/>
      <c r="Q66" s="25">
        <f>+O66*P66</f>
        <v>0</v>
      </c>
      <c r="R66" s="30"/>
      <c r="S66" s="25">
        <f>+F66+M66</f>
        <v>0</v>
      </c>
      <c r="T66" s="30"/>
      <c r="U66" s="24"/>
      <c r="V66" s="24"/>
      <c r="W66" s="25">
        <f>+U66*V66</f>
        <v>0</v>
      </c>
      <c r="X66" s="31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</row>
    <row r="67" spans="1:125" ht="12.75" customHeight="1" outlineLevel="1">
      <c r="A67" s="8"/>
      <c r="B67" s="32" t="s">
        <v>63</v>
      </c>
      <c r="C67" s="33"/>
      <c r="D67" s="112"/>
      <c r="E67" s="34">
        <f>+C67*D67</f>
        <v>0</v>
      </c>
      <c r="F67" s="35">
        <f>+C67*D67</f>
        <v>0</v>
      </c>
      <c r="G67" s="36"/>
      <c r="H67" s="28"/>
      <c r="I67" s="32" t="s">
        <v>64</v>
      </c>
      <c r="J67" s="33"/>
      <c r="K67" s="33"/>
      <c r="L67" s="34">
        <f>+J67*K67</f>
        <v>0</v>
      </c>
      <c r="M67" s="34">
        <f>+J67*K67</f>
        <v>0</v>
      </c>
      <c r="N67" s="29"/>
      <c r="O67" s="33">
        <f>+D67</f>
        <v>0</v>
      </c>
      <c r="P67" s="33"/>
      <c r="Q67" s="34">
        <f>+O67*P67</f>
        <v>0</v>
      </c>
      <c r="R67" s="30"/>
      <c r="S67" s="34">
        <f>+F67+M67</f>
        <v>0</v>
      </c>
      <c r="T67" s="30"/>
      <c r="U67" s="33"/>
      <c r="V67" s="33"/>
      <c r="W67" s="34">
        <f>+U67*V67</f>
        <v>0</v>
      </c>
      <c r="X67" s="37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</row>
    <row r="68" spans="1:125" ht="12.75" customHeight="1" outlineLevel="1">
      <c r="A68" s="8"/>
      <c r="B68" s="32" t="s">
        <v>65</v>
      </c>
      <c r="C68" s="33"/>
      <c r="D68" s="112"/>
      <c r="E68" s="34">
        <f>+C68*D68</f>
        <v>0</v>
      </c>
      <c r="F68" s="35">
        <f>+C68*D68</f>
        <v>0</v>
      </c>
      <c r="G68" s="37"/>
      <c r="H68" s="28"/>
      <c r="I68" s="32" t="s">
        <v>66</v>
      </c>
      <c r="J68" s="33"/>
      <c r="K68" s="33"/>
      <c r="L68" s="34">
        <f>+J68*K68</f>
        <v>0</v>
      </c>
      <c r="M68" s="34">
        <f>+J68*K68</f>
        <v>0</v>
      </c>
      <c r="N68" s="29"/>
      <c r="O68" s="33">
        <f>+D68</f>
        <v>0</v>
      </c>
      <c r="P68" s="33"/>
      <c r="Q68" s="34">
        <f>+O68*P68</f>
        <v>0</v>
      </c>
      <c r="R68" s="30"/>
      <c r="S68" s="34">
        <f>+F68+M68</f>
        <v>0</v>
      </c>
      <c r="T68" s="30"/>
      <c r="U68" s="33"/>
      <c r="V68" s="33"/>
      <c r="W68" s="34">
        <f>+U68*V68</f>
        <v>0</v>
      </c>
      <c r="X68" s="37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</row>
    <row r="69" spans="1:125" ht="12.75" customHeight="1" outlineLevel="1">
      <c r="A69" s="8"/>
      <c r="B69" s="32" t="s">
        <v>67</v>
      </c>
      <c r="C69" s="33"/>
      <c r="D69" s="112"/>
      <c r="E69" s="34">
        <f>+C69*D69</f>
        <v>0</v>
      </c>
      <c r="F69" s="35">
        <f>+C69*D69</f>
        <v>0</v>
      </c>
      <c r="G69" s="37"/>
      <c r="H69" s="28"/>
      <c r="I69" s="32" t="s">
        <v>68</v>
      </c>
      <c r="J69" s="33"/>
      <c r="K69" s="33"/>
      <c r="L69" s="34">
        <f>+J69*K69</f>
        <v>0</v>
      </c>
      <c r="M69" s="34">
        <f>+J69*K69</f>
        <v>0</v>
      </c>
      <c r="N69" s="29"/>
      <c r="O69" s="33">
        <f>+D69</f>
        <v>0</v>
      </c>
      <c r="P69" s="33"/>
      <c r="Q69" s="34">
        <f>+O69*P69</f>
        <v>0</v>
      </c>
      <c r="R69" s="30"/>
      <c r="S69" s="34">
        <f>+F69+M69</f>
        <v>0</v>
      </c>
      <c r="T69" s="30"/>
      <c r="U69" s="33"/>
      <c r="V69" s="33"/>
      <c r="W69" s="34">
        <f>+U69*V69</f>
        <v>0</v>
      </c>
      <c r="X69" s="37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</row>
    <row r="70" spans="1:125" ht="12.75" customHeight="1" outlineLevel="1">
      <c r="A70" s="8"/>
      <c r="B70" s="32" t="s">
        <v>69</v>
      </c>
      <c r="C70" s="33"/>
      <c r="D70" s="112"/>
      <c r="E70" s="34">
        <f>+C70*D70</f>
        <v>0</v>
      </c>
      <c r="F70" s="35">
        <f>+C70*D70</f>
        <v>0</v>
      </c>
      <c r="G70" s="37"/>
      <c r="H70" s="28"/>
      <c r="I70" s="32" t="s">
        <v>70</v>
      </c>
      <c r="J70" s="33"/>
      <c r="K70" s="33"/>
      <c r="L70" s="34">
        <f>+J70*K70</f>
        <v>0</v>
      </c>
      <c r="M70" s="34">
        <f>+J70*K70</f>
        <v>0</v>
      </c>
      <c r="N70" s="29"/>
      <c r="O70" s="33">
        <f>+D70</f>
        <v>0</v>
      </c>
      <c r="P70" s="33"/>
      <c r="Q70" s="34">
        <f>+O70*P70</f>
        <v>0</v>
      </c>
      <c r="R70" s="30"/>
      <c r="S70" s="34">
        <f>+F70+M70</f>
        <v>0</v>
      </c>
      <c r="T70" s="30"/>
      <c r="U70" s="33"/>
      <c r="V70" s="33"/>
      <c r="W70" s="34">
        <f>+U70*V70</f>
        <v>0</v>
      </c>
      <c r="X70" s="37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</row>
    <row r="71" spans="1:125" ht="13.2" outlineLevel="1">
      <c r="A71" s="8"/>
      <c r="B71" s="40"/>
      <c r="C71" s="41"/>
      <c r="D71" s="2" t="s">
        <v>13</v>
      </c>
      <c r="E71" s="42">
        <f>-W71</f>
        <v>0</v>
      </c>
      <c r="F71" s="43">
        <f>-W71</f>
        <v>0</v>
      </c>
      <c r="G71" s="44"/>
      <c r="H71" s="28"/>
      <c r="I71" s="45"/>
      <c r="J71" s="46"/>
      <c r="K71" s="47" t="s">
        <v>4</v>
      </c>
      <c r="L71" s="4">
        <f>SUM(L66:L70)</f>
        <v>0</v>
      </c>
      <c r="M71" s="48">
        <f>SUM(M66:M70)</f>
        <v>0</v>
      </c>
      <c r="N71" s="29"/>
      <c r="O71" s="49"/>
      <c r="P71" s="50" t="s">
        <v>1</v>
      </c>
      <c r="Q71" s="48">
        <f>SUM(Q66:Q70)</f>
        <v>0</v>
      </c>
      <c r="R71" s="19"/>
      <c r="S71" s="51">
        <f>-W71</f>
        <v>0</v>
      </c>
      <c r="T71" s="19"/>
      <c r="U71" s="52"/>
      <c r="V71" s="53" t="s">
        <v>1</v>
      </c>
      <c r="W71" s="48">
        <f>SUM(W66:W70)</f>
        <v>0</v>
      </c>
      <c r="X71" s="54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</row>
    <row r="72" spans="1:125" ht="13.2" outlineLevel="1">
      <c r="A72" s="8"/>
      <c r="B72" s="55"/>
      <c r="C72" s="12"/>
      <c r="D72" s="5" t="s">
        <v>15</v>
      </c>
      <c r="E72" s="19">
        <f>SUM(E66:E71)</f>
        <v>0</v>
      </c>
      <c r="F72" s="56">
        <f>SUM(F66:F71)</f>
        <v>0</v>
      </c>
      <c r="G72" s="19"/>
      <c r="H72" s="17"/>
      <c r="I72" s="12"/>
      <c r="J72" s="12"/>
      <c r="K72" s="5"/>
      <c r="L72" s="19"/>
      <c r="M72" s="19"/>
      <c r="N72" s="57"/>
      <c r="O72" s="12"/>
      <c r="P72" s="12"/>
      <c r="Q72" s="19"/>
      <c r="R72" s="12"/>
      <c r="S72" s="58">
        <f>SUM(S66:S71)</f>
        <v>0</v>
      </c>
      <c r="T72" s="12"/>
      <c r="U72" s="12"/>
      <c r="V72" s="18"/>
      <c r="W72" s="18"/>
      <c r="X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</row>
    <row r="73" spans="1:125" ht="13.2" outlineLevel="1">
      <c r="A73" s="8"/>
      <c r="B73" s="59"/>
      <c r="C73" s="60"/>
      <c r="D73" s="61" t="s">
        <v>16</v>
      </c>
      <c r="E73" s="62"/>
      <c r="F73" s="63">
        <f>-Q71*0.025</f>
        <v>0</v>
      </c>
      <c r="G73" s="19"/>
      <c r="H73" s="17"/>
      <c r="I73" s="12"/>
      <c r="J73" s="12"/>
      <c r="K73" s="7"/>
      <c r="L73" s="64"/>
      <c r="M73" s="64"/>
      <c r="N73" s="57"/>
      <c r="O73" s="12"/>
      <c r="P73" s="12"/>
      <c r="Q73" s="19"/>
      <c r="R73" s="12"/>
      <c r="S73" s="65">
        <v>0</v>
      </c>
      <c r="T73" s="12"/>
      <c r="U73" s="12"/>
      <c r="V73" s="18"/>
      <c r="W73" s="18"/>
      <c r="X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</row>
    <row r="74" spans="1:125" ht="13.2" outlineLevel="1">
      <c r="A74" s="8"/>
      <c r="B74" s="66"/>
      <c r="C74" s="66"/>
      <c r="D74" s="47" t="s">
        <v>4</v>
      </c>
      <c r="E74" s="4">
        <f>SUM(E72:E73)</f>
        <v>0</v>
      </c>
      <c r="F74" s="48">
        <f>SUM(F72:F73)</f>
        <v>0</v>
      </c>
      <c r="G74" s="19"/>
      <c r="H74" s="67"/>
      <c r="I74" s="12"/>
      <c r="J74" s="12"/>
      <c r="K74" s="6"/>
      <c r="L74" s="6"/>
      <c r="M74" s="19"/>
      <c r="N74" s="19"/>
      <c r="O74" s="12"/>
      <c r="P74" s="12"/>
      <c r="Q74" s="19"/>
      <c r="R74" s="12"/>
      <c r="S74" s="68">
        <f>SUM(S72:S73)</f>
        <v>0</v>
      </c>
      <c r="T74" s="12"/>
      <c r="U74" s="12"/>
      <c r="V74" s="18"/>
      <c r="W74" s="18"/>
      <c r="X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</row>
    <row r="75" spans="1:125" ht="12.75" hidden="1" customHeight="1">
      <c r="A75" s="8"/>
      <c r="B75" s="12"/>
      <c r="C75" s="12"/>
      <c r="D75" s="6"/>
      <c r="E75" s="6"/>
      <c r="F75" s="19"/>
      <c r="G75" s="19"/>
      <c r="H75" s="67"/>
      <c r="I75" s="12"/>
      <c r="J75" s="12"/>
      <c r="K75" s="6"/>
      <c r="L75" s="6"/>
      <c r="M75" s="19"/>
      <c r="N75" s="19"/>
      <c r="O75" s="12"/>
      <c r="P75" s="12"/>
      <c r="Q75" s="19"/>
      <c r="R75" s="12"/>
      <c r="S75" s="19"/>
      <c r="T75" s="12"/>
      <c r="U75" s="12"/>
      <c r="V75" s="18"/>
      <c r="W75" s="18"/>
      <c r="X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</row>
    <row r="76" spans="1:125" ht="12.75" hidden="1" customHeight="1">
      <c r="A76" s="8"/>
      <c r="B76" s="466" t="s">
        <v>17</v>
      </c>
      <c r="C76" s="467"/>
      <c r="D76" s="468"/>
      <c r="E76" s="108" t="s">
        <v>54</v>
      </c>
      <c r="F76" s="108" t="s">
        <v>55</v>
      </c>
      <c r="G76" s="19"/>
      <c r="H76" s="67"/>
      <c r="I76" s="466" t="s">
        <v>97</v>
      </c>
      <c r="J76" s="467"/>
      <c r="K76" s="468"/>
      <c r="L76" s="108" t="s">
        <v>54</v>
      </c>
      <c r="M76" s="108" t="s">
        <v>55</v>
      </c>
      <c r="N76" s="19"/>
      <c r="O76" s="466" t="s">
        <v>12</v>
      </c>
      <c r="P76" s="467"/>
      <c r="Q76" s="468"/>
      <c r="R76" s="67"/>
      <c r="S76" s="185" t="s">
        <v>56</v>
      </c>
      <c r="T76" s="67"/>
      <c r="U76" s="469" t="s">
        <v>57</v>
      </c>
      <c r="V76" s="470"/>
      <c r="W76" s="470"/>
      <c r="X76" s="471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</row>
    <row r="77" spans="1:125" ht="13.2" outlineLevel="1">
      <c r="A77" s="8"/>
      <c r="B77" s="108" t="s">
        <v>14</v>
      </c>
      <c r="C77" s="108" t="s">
        <v>28</v>
      </c>
      <c r="D77" s="107" t="s">
        <v>29</v>
      </c>
      <c r="E77" s="108" t="s">
        <v>30</v>
      </c>
      <c r="F77" s="108" t="s">
        <v>30</v>
      </c>
      <c r="G77" s="108" t="s">
        <v>42</v>
      </c>
      <c r="H77" s="67"/>
      <c r="I77" s="108" t="s">
        <v>14</v>
      </c>
      <c r="J77" s="108" t="s">
        <v>28</v>
      </c>
      <c r="K77" s="107" t="s">
        <v>29</v>
      </c>
      <c r="L77" s="109" t="s">
        <v>30</v>
      </c>
      <c r="M77" s="109" t="s">
        <v>188</v>
      </c>
      <c r="N77" s="19"/>
      <c r="O77" s="108" t="s">
        <v>29</v>
      </c>
      <c r="P77" s="108" t="s">
        <v>59</v>
      </c>
      <c r="Q77" s="108" t="s">
        <v>4</v>
      </c>
      <c r="R77" s="67"/>
      <c r="S77" s="108" t="s">
        <v>30</v>
      </c>
      <c r="T77" s="67"/>
      <c r="U77" s="108" t="s">
        <v>28</v>
      </c>
      <c r="V77" s="109" t="s">
        <v>59</v>
      </c>
      <c r="W77" s="109" t="s">
        <v>4</v>
      </c>
      <c r="X77" s="109" t="s">
        <v>60</v>
      </c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</row>
    <row r="78" spans="1:125" ht="12.75" customHeight="1" outlineLevel="1">
      <c r="A78" s="8"/>
      <c r="B78" s="23" t="s">
        <v>47</v>
      </c>
      <c r="C78" s="24"/>
      <c r="D78" s="24"/>
      <c r="E78" s="25">
        <f>+C78*D78</f>
        <v>0</v>
      </c>
      <c r="F78" s="26">
        <f>+C78*D78</f>
        <v>0</v>
      </c>
      <c r="G78" s="71"/>
      <c r="H78" s="67"/>
      <c r="I78" s="23" t="s">
        <v>98</v>
      </c>
      <c r="J78" s="24"/>
      <c r="K78" s="24"/>
      <c r="L78" s="25">
        <f>+J78*K78</f>
        <v>0</v>
      </c>
      <c r="M78" s="25">
        <f t="shared" ref="M78:M86" si="24">+J78*K78/0.6</f>
        <v>0</v>
      </c>
      <c r="N78" s="57"/>
      <c r="O78" s="24">
        <f>+D78</f>
        <v>0</v>
      </c>
      <c r="P78" s="24"/>
      <c r="Q78" s="25">
        <f>+O78*P78</f>
        <v>0</v>
      </c>
      <c r="R78" s="67"/>
      <c r="S78" s="25">
        <f>+F78</f>
        <v>0</v>
      </c>
      <c r="T78" s="67"/>
      <c r="U78" s="24"/>
      <c r="V78" s="24"/>
      <c r="W78" s="25">
        <f>+U78*V78</f>
        <v>0</v>
      </c>
      <c r="X78" s="31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</row>
    <row r="79" spans="1:125" ht="12.75" customHeight="1" outlineLevel="1">
      <c r="A79" s="8"/>
      <c r="B79" s="32" t="s">
        <v>48</v>
      </c>
      <c r="C79" s="33"/>
      <c r="D79" s="33"/>
      <c r="E79" s="34">
        <f>+C79*D79</f>
        <v>0</v>
      </c>
      <c r="F79" s="35">
        <f>+C79*D79</f>
        <v>0</v>
      </c>
      <c r="G79" s="72"/>
      <c r="H79" s="67"/>
      <c r="I79" s="32" t="s">
        <v>99</v>
      </c>
      <c r="J79" s="33"/>
      <c r="K79" s="33"/>
      <c r="L79" s="34">
        <f>+J79*K79</f>
        <v>0</v>
      </c>
      <c r="M79" s="34">
        <f t="shared" si="24"/>
        <v>0</v>
      </c>
      <c r="N79" s="57"/>
      <c r="O79" s="33">
        <f>+D79</f>
        <v>0</v>
      </c>
      <c r="P79" s="33"/>
      <c r="Q79" s="34">
        <f>+O79*P79</f>
        <v>0</v>
      </c>
      <c r="R79" s="67"/>
      <c r="S79" s="34">
        <f>+F79</f>
        <v>0</v>
      </c>
      <c r="T79" s="67"/>
      <c r="U79" s="33"/>
      <c r="V79" s="33"/>
      <c r="W79" s="34">
        <f>+U79*V79</f>
        <v>0</v>
      </c>
      <c r="X79" s="37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</row>
    <row r="80" spans="1:125" ht="12.75" customHeight="1" outlineLevel="1">
      <c r="A80" s="8"/>
      <c r="B80" s="32" t="s">
        <v>49</v>
      </c>
      <c r="C80" s="33"/>
      <c r="D80" s="33"/>
      <c r="E80" s="34">
        <f t="shared" ref="E80:E85" si="25">+C80*D80</f>
        <v>0</v>
      </c>
      <c r="F80" s="35">
        <f t="shared" ref="F80:F85" si="26">+C80*D80</f>
        <v>0</v>
      </c>
      <c r="G80" s="73"/>
      <c r="H80" s="67"/>
      <c r="I80" s="32" t="s">
        <v>146</v>
      </c>
      <c r="J80" s="33"/>
      <c r="K80" s="33"/>
      <c r="L80" s="34">
        <f t="shared" ref="L80:L85" si="27">+J80*K80</f>
        <v>0</v>
      </c>
      <c r="M80" s="34">
        <f t="shared" si="24"/>
        <v>0</v>
      </c>
      <c r="N80" s="57"/>
      <c r="O80" s="33">
        <f t="shared" ref="O80:O85" si="28">+D80</f>
        <v>0</v>
      </c>
      <c r="P80" s="33"/>
      <c r="Q80" s="34">
        <f t="shared" ref="Q80:Q85" si="29">+O80*P80</f>
        <v>0</v>
      </c>
      <c r="R80" s="67"/>
      <c r="S80" s="34">
        <f t="shared" ref="S80:S85" si="30">+F80</f>
        <v>0</v>
      </c>
      <c r="T80" s="67"/>
      <c r="U80" s="39"/>
      <c r="V80" s="39"/>
      <c r="W80" s="34">
        <f t="shared" ref="W80:W85" si="31">+U80*V80</f>
        <v>0</v>
      </c>
      <c r="X80" s="38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</row>
    <row r="81" spans="1:125" ht="12.75" customHeight="1" outlineLevel="1">
      <c r="A81" s="8"/>
      <c r="B81" s="32" t="s">
        <v>50</v>
      </c>
      <c r="C81" s="33"/>
      <c r="D81" s="33"/>
      <c r="E81" s="34">
        <f t="shared" si="25"/>
        <v>0</v>
      </c>
      <c r="F81" s="35">
        <f t="shared" si="26"/>
        <v>0</v>
      </c>
      <c r="G81" s="73"/>
      <c r="H81" s="67"/>
      <c r="I81" s="32" t="s">
        <v>147</v>
      </c>
      <c r="J81" s="33"/>
      <c r="K81" s="33"/>
      <c r="L81" s="34">
        <f t="shared" si="27"/>
        <v>0</v>
      </c>
      <c r="M81" s="34">
        <f t="shared" si="24"/>
        <v>0</v>
      </c>
      <c r="N81" s="57"/>
      <c r="O81" s="33">
        <f t="shared" si="28"/>
        <v>0</v>
      </c>
      <c r="P81" s="33"/>
      <c r="Q81" s="34">
        <f t="shared" si="29"/>
        <v>0</v>
      </c>
      <c r="R81" s="67"/>
      <c r="S81" s="34">
        <f t="shared" si="30"/>
        <v>0</v>
      </c>
      <c r="T81" s="67"/>
      <c r="U81" s="39"/>
      <c r="V81" s="39"/>
      <c r="W81" s="34">
        <f t="shared" si="31"/>
        <v>0</v>
      </c>
      <c r="X81" s="38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</row>
    <row r="82" spans="1:125" ht="12.75" customHeight="1" outlineLevel="1">
      <c r="A82" s="8"/>
      <c r="B82" s="32" t="s">
        <v>142</v>
      </c>
      <c r="C82" s="33"/>
      <c r="D82" s="33"/>
      <c r="E82" s="34">
        <f t="shared" si="25"/>
        <v>0</v>
      </c>
      <c r="F82" s="35">
        <f t="shared" si="26"/>
        <v>0</v>
      </c>
      <c r="G82" s="73"/>
      <c r="H82" s="67"/>
      <c r="I82" s="32" t="s">
        <v>148</v>
      </c>
      <c r="J82" s="33"/>
      <c r="K82" s="33"/>
      <c r="L82" s="34">
        <f t="shared" si="27"/>
        <v>0</v>
      </c>
      <c r="M82" s="34">
        <f t="shared" si="24"/>
        <v>0</v>
      </c>
      <c r="N82" s="57"/>
      <c r="O82" s="33">
        <f t="shared" si="28"/>
        <v>0</v>
      </c>
      <c r="P82" s="33"/>
      <c r="Q82" s="34">
        <f t="shared" si="29"/>
        <v>0</v>
      </c>
      <c r="R82" s="67"/>
      <c r="S82" s="34">
        <f t="shared" si="30"/>
        <v>0</v>
      </c>
      <c r="T82" s="67"/>
      <c r="U82" s="39"/>
      <c r="V82" s="39"/>
      <c r="W82" s="34">
        <f t="shared" si="31"/>
        <v>0</v>
      </c>
      <c r="X82" s="38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</row>
    <row r="83" spans="1:125" ht="12.75" customHeight="1" outlineLevel="1">
      <c r="A83" s="8"/>
      <c r="B83" s="32" t="s">
        <v>143</v>
      </c>
      <c r="C83" s="33"/>
      <c r="D83" s="33"/>
      <c r="E83" s="34">
        <f t="shared" si="25"/>
        <v>0</v>
      </c>
      <c r="F83" s="35">
        <f t="shared" si="26"/>
        <v>0</v>
      </c>
      <c r="G83" s="73"/>
      <c r="H83" s="67"/>
      <c r="I83" s="32" t="s">
        <v>149</v>
      </c>
      <c r="J83" s="33"/>
      <c r="K83" s="33"/>
      <c r="L83" s="34">
        <f t="shared" si="27"/>
        <v>0</v>
      </c>
      <c r="M83" s="34">
        <f t="shared" si="24"/>
        <v>0</v>
      </c>
      <c r="N83" s="57"/>
      <c r="O83" s="33">
        <f t="shared" si="28"/>
        <v>0</v>
      </c>
      <c r="P83" s="33"/>
      <c r="Q83" s="34">
        <f t="shared" si="29"/>
        <v>0</v>
      </c>
      <c r="R83" s="67"/>
      <c r="S83" s="34">
        <f t="shared" si="30"/>
        <v>0</v>
      </c>
      <c r="T83" s="67"/>
      <c r="U83" s="39"/>
      <c r="V83" s="39"/>
      <c r="W83" s="34">
        <f t="shared" si="31"/>
        <v>0</v>
      </c>
      <c r="X83" s="38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</row>
    <row r="84" spans="1:125" ht="12.75" customHeight="1" outlineLevel="1">
      <c r="A84" s="8"/>
      <c r="B84" s="32" t="s">
        <v>144</v>
      </c>
      <c r="C84" s="33"/>
      <c r="D84" s="33"/>
      <c r="E84" s="34">
        <f t="shared" si="25"/>
        <v>0</v>
      </c>
      <c r="F84" s="35">
        <f t="shared" si="26"/>
        <v>0</v>
      </c>
      <c r="G84" s="73"/>
      <c r="H84" s="67"/>
      <c r="I84" s="32" t="s">
        <v>150</v>
      </c>
      <c r="J84" s="33"/>
      <c r="K84" s="33"/>
      <c r="L84" s="34">
        <f t="shared" si="27"/>
        <v>0</v>
      </c>
      <c r="M84" s="34">
        <f t="shared" si="24"/>
        <v>0</v>
      </c>
      <c r="N84" s="57"/>
      <c r="O84" s="33">
        <f t="shared" si="28"/>
        <v>0</v>
      </c>
      <c r="P84" s="33"/>
      <c r="Q84" s="34">
        <f t="shared" si="29"/>
        <v>0</v>
      </c>
      <c r="R84" s="67"/>
      <c r="S84" s="34">
        <f t="shared" si="30"/>
        <v>0</v>
      </c>
      <c r="T84" s="67"/>
      <c r="U84" s="39"/>
      <c r="V84" s="39"/>
      <c r="W84" s="34">
        <f t="shared" si="31"/>
        <v>0</v>
      </c>
      <c r="X84" s="38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</row>
    <row r="85" spans="1:125" ht="12.75" customHeight="1" outlineLevel="1">
      <c r="A85" s="8"/>
      <c r="B85" s="32" t="s">
        <v>145</v>
      </c>
      <c r="C85" s="33"/>
      <c r="D85" s="33"/>
      <c r="E85" s="34">
        <f t="shared" si="25"/>
        <v>0</v>
      </c>
      <c r="F85" s="35">
        <f t="shared" si="26"/>
        <v>0</v>
      </c>
      <c r="G85" s="73"/>
      <c r="H85" s="67"/>
      <c r="I85" s="32" t="s">
        <v>151</v>
      </c>
      <c r="J85" s="33"/>
      <c r="K85" s="33"/>
      <c r="L85" s="34">
        <f t="shared" si="27"/>
        <v>0</v>
      </c>
      <c r="M85" s="34">
        <f t="shared" si="24"/>
        <v>0</v>
      </c>
      <c r="N85" s="57"/>
      <c r="O85" s="33">
        <f t="shared" si="28"/>
        <v>0</v>
      </c>
      <c r="P85" s="33"/>
      <c r="Q85" s="34">
        <f t="shared" si="29"/>
        <v>0</v>
      </c>
      <c r="R85" s="67"/>
      <c r="S85" s="34">
        <f t="shared" si="30"/>
        <v>0</v>
      </c>
      <c r="T85" s="67"/>
      <c r="U85" s="39"/>
      <c r="V85" s="39"/>
      <c r="W85" s="34">
        <f t="shared" si="31"/>
        <v>0</v>
      </c>
      <c r="X85" s="38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</row>
    <row r="86" spans="1:125" ht="12.75" customHeight="1" outlineLevel="1">
      <c r="A86" s="8"/>
      <c r="B86" s="32"/>
      <c r="C86" s="33"/>
      <c r="D86" s="33"/>
      <c r="E86" s="34">
        <f>+C86*D86</f>
        <v>0</v>
      </c>
      <c r="F86" s="35">
        <f>+C86*D86</f>
        <v>0</v>
      </c>
      <c r="G86" s="73"/>
      <c r="H86" s="28"/>
      <c r="I86" s="32"/>
      <c r="J86" s="33"/>
      <c r="K86" s="33"/>
      <c r="L86" s="34">
        <f>+J86*K86</f>
        <v>0</v>
      </c>
      <c r="M86" s="34">
        <f t="shared" si="24"/>
        <v>0</v>
      </c>
      <c r="N86" s="57"/>
      <c r="O86" s="33">
        <f>+D86</f>
        <v>0</v>
      </c>
      <c r="P86" s="33"/>
      <c r="Q86" s="34">
        <f>+O86*P86</f>
        <v>0</v>
      </c>
      <c r="R86" s="28"/>
      <c r="S86" s="34">
        <f>+F86</f>
        <v>0</v>
      </c>
      <c r="T86" s="28"/>
      <c r="U86" s="39"/>
      <c r="V86" s="39"/>
      <c r="W86" s="74">
        <f>+U86*V86</f>
        <v>0</v>
      </c>
      <c r="X86" s="38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</row>
    <row r="87" spans="1:125" ht="13.2" outlineLevel="1">
      <c r="A87" s="8"/>
      <c r="B87" s="40"/>
      <c r="C87" s="41"/>
      <c r="D87" s="2" t="s">
        <v>13</v>
      </c>
      <c r="E87" s="42">
        <f>-W87</f>
        <v>0</v>
      </c>
      <c r="F87" s="43">
        <f>-W87</f>
        <v>0</v>
      </c>
      <c r="G87" s="75"/>
      <c r="H87" s="19"/>
      <c r="I87" s="76"/>
      <c r="J87" s="77"/>
      <c r="K87" s="4" t="s">
        <v>4</v>
      </c>
      <c r="L87" s="4">
        <f>SUM(L78:L86)</f>
        <v>0</v>
      </c>
      <c r="M87" s="48">
        <f>SUM(M78:M86)</f>
        <v>0</v>
      </c>
      <c r="N87" s="57"/>
      <c r="O87" s="49"/>
      <c r="P87" s="50" t="s">
        <v>1</v>
      </c>
      <c r="Q87" s="48">
        <f>SUM(Q78:Q86)</f>
        <v>0</v>
      </c>
      <c r="R87" s="67"/>
      <c r="S87" s="68">
        <f>SUM(S78:S86)</f>
        <v>0</v>
      </c>
      <c r="T87" s="67"/>
      <c r="U87" s="78"/>
      <c r="V87" s="53" t="s">
        <v>1</v>
      </c>
      <c r="W87" s="48">
        <f>SUM(W78:W86)</f>
        <v>0</v>
      </c>
      <c r="X87" s="79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</row>
    <row r="88" spans="1:125" ht="13.2" outlineLevel="1">
      <c r="A88" s="8"/>
      <c r="B88" s="55"/>
      <c r="C88" s="12"/>
      <c r="D88" s="5" t="s">
        <v>15</v>
      </c>
      <c r="E88" s="19">
        <f>SUM(E78:E87)</f>
        <v>0</v>
      </c>
      <c r="F88" s="56">
        <f>SUM(F78:F87)</f>
        <v>0</v>
      </c>
      <c r="G88" s="19"/>
      <c r="H88" s="19"/>
      <c r="I88" s="18"/>
      <c r="J88" s="18"/>
      <c r="K88" s="5"/>
      <c r="L88" s="19"/>
      <c r="M88" s="19"/>
      <c r="N88" s="57"/>
      <c r="O88" s="70"/>
      <c r="P88" s="69"/>
      <c r="Q88" s="19"/>
      <c r="R88" s="67"/>
      <c r="S88" s="19"/>
      <c r="T88" s="67"/>
      <c r="U88" s="12"/>
      <c r="V88" s="69"/>
      <c r="W88" s="19"/>
      <c r="X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</row>
    <row r="89" spans="1:125" ht="13.2" outlineLevel="1">
      <c r="A89" s="8"/>
      <c r="B89" s="59"/>
      <c r="C89" s="60"/>
      <c r="D89" s="61" t="s">
        <v>16</v>
      </c>
      <c r="E89" s="62"/>
      <c r="F89" s="63">
        <f>-Q87*0.04</f>
        <v>0</v>
      </c>
      <c r="G89" s="19"/>
      <c r="H89" s="19"/>
      <c r="I89" s="18"/>
      <c r="J89" s="18"/>
      <c r="K89" s="6"/>
      <c r="L89" s="6"/>
      <c r="M89" s="19"/>
      <c r="N89" s="57"/>
      <c r="O89" s="70"/>
      <c r="P89" s="69"/>
      <c r="Q89" s="19"/>
      <c r="R89" s="67"/>
      <c r="S89" s="19"/>
      <c r="T89" s="67"/>
      <c r="U89" s="12"/>
      <c r="V89" s="69"/>
      <c r="W89" s="19"/>
      <c r="X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</row>
    <row r="90" spans="1:125" ht="13.2" outlineLevel="1">
      <c r="A90" s="8"/>
      <c r="B90" s="12"/>
      <c r="C90" s="12"/>
      <c r="D90" s="181" t="s">
        <v>4</v>
      </c>
      <c r="E90" s="182">
        <f>SUM(E88:E89)</f>
        <v>0</v>
      </c>
      <c r="F90" s="183">
        <f>SUM(F88:F89)</f>
        <v>0</v>
      </c>
      <c r="G90" s="19"/>
      <c r="H90" s="19"/>
      <c r="I90" s="18"/>
      <c r="J90" s="18"/>
      <c r="K90" s="6"/>
      <c r="L90" s="19"/>
      <c r="M90" s="19"/>
      <c r="N90" s="57"/>
      <c r="O90" s="70"/>
      <c r="P90" s="69"/>
      <c r="Q90" s="19"/>
      <c r="R90" s="67"/>
      <c r="S90" s="19"/>
      <c r="T90" s="67"/>
      <c r="U90" s="12"/>
      <c r="V90" s="69"/>
      <c r="W90" s="19"/>
      <c r="X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</row>
    <row r="91" spans="1:125" ht="13.2" hidden="1">
      <c r="A91" s="8"/>
      <c r="B91" s="12"/>
      <c r="C91" s="12"/>
      <c r="D91" s="6"/>
      <c r="E91" s="6"/>
      <c r="F91" s="19"/>
      <c r="G91" s="19"/>
      <c r="H91" s="19"/>
      <c r="I91" s="18"/>
      <c r="J91" s="18"/>
      <c r="K91" s="6"/>
      <c r="L91" s="19"/>
      <c r="M91" s="19"/>
      <c r="N91" s="57"/>
      <c r="O91" s="70"/>
      <c r="P91" s="69"/>
      <c r="Q91" s="19"/>
      <c r="R91" s="67"/>
      <c r="S91" s="19"/>
      <c r="T91" s="67"/>
      <c r="U91" s="12"/>
      <c r="V91" s="69"/>
      <c r="W91" s="19"/>
      <c r="X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</row>
    <row r="92" spans="1:125" ht="13.2" hidden="1">
      <c r="A92" s="8"/>
      <c r="B92" s="78" t="s">
        <v>309</v>
      </c>
      <c r="C92" s="12"/>
      <c r="D92" s="6"/>
      <c r="E92" s="6"/>
      <c r="F92" s="19"/>
      <c r="G92" s="19"/>
      <c r="H92" s="19"/>
      <c r="I92" s="18"/>
      <c r="J92" s="18"/>
      <c r="K92" s="6"/>
      <c r="L92" s="19"/>
      <c r="M92" s="19"/>
      <c r="N92" s="57"/>
      <c r="O92" s="70"/>
      <c r="P92" s="69"/>
      <c r="Q92" s="19"/>
      <c r="R92" s="67"/>
      <c r="S92" s="19"/>
      <c r="T92" s="67"/>
      <c r="U92" s="12"/>
      <c r="V92" s="69"/>
      <c r="W92" s="19"/>
      <c r="X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</row>
    <row r="93" spans="1:125" ht="13.2" outlineLevel="1">
      <c r="A93" s="8"/>
      <c r="B93" s="12"/>
      <c r="C93" s="12"/>
      <c r="D93" s="6"/>
      <c r="E93" s="6"/>
      <c r="F93" s="19"/>
      <c r="G93" s="19"/>
      <c r="H93" s="19"/>
      <c r="I93" s="121">
        <v>5</v>
      </c>
      <c r="J93" s="121">
        <v>1</v>
      </c>
      <c r="K93" s="19"/>
      <c r="L93" s="19"/>
      <c r="M93" s="19"/>
      <c r="N93" s="57"/>
      <c r="O93" s="70"/>
      <c r="P93" s="69"/>
      <c r="Q93" s="19"/>
      <c r="R93" s="67"/>
      <c r="S93" s="19"/>
      <c r="T93" s="67"/>
      <c r="U93" s="12"/>
      <c r="V93" s="69"/>
      <c r="W93" s="19"/>
      <c r="X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</row>
    <row r="94" spans="1:125" ht="13.2" outlineLevel="1">
      <c r="A94" s="8"/>
      <c r="B94" s="12"/>
      <c r="C94" s="12"/>
      <c r="D94" s="6"/>
      <c r="E94" s="6"/>
      <c r="F94" s="19"/>
      <c r="G94" s="121" t="s">
        <v>179</v>
      </c>
      <c r="H94" s="19"/>
      <c r="I94" s="68">
        <v>10</v>
      </c>
      <c r="J94" s="121">
        <f>I94*J93/I93</f>
        <v>2</v>
      </c>
      <c r="K94" s="121" t="s">
        <v>180</v>
      </c>
      <c r="L94" s="19"/>
      <c r="M94" s="19"/>
      <c r="N94" s="57"/>
      <c r="O94" s="70"/>
      <c r="P94" s="69"/>
      <c r="Q94" s="19"/>
      <c r="R94" s="67"/>
      <c r="S94" s="19"/>
      <c r="T94" s="67"/>
      <c r="U94" s="12"/>
      <c r="V94" s="69"/>
      <c r="W94" s="19"/>
      <c r="X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</row>
    <row r="95" spans="1:125" ht="13.2" hidden="1">
      <c r="A95" s="8"/>
      <c r="B95" s="12"/>
      <c r="C95" s="12"/>
      <c r="D95" s="6"/>
      <c r="E95" s="6"/>
      <c r="F95" s="19"/>
      <c r="G95" s="19"/>
      <c r="H95" s="19"/>
      <c r="I95" s="18"/>
      <c r="J95" s="18"/>
      <c r="K95" s="6"/>
      <c r="L95" s="19"/>
      <c r="M95" s="19"/>
      <c r="N95" s="57"/>
      <c r="O95" s="70"/>
      <c r="P95" s="69"/>
      <c r="Q95" s="19"/>
      <c r="R95" s="67"/>
      <c r="S95" s="19"/>
      <c r="T95" s="67"/>
      <c r="U95" s="12"/>
      <c r="V95" s="69"/>
      <c r="W95" s="19"/>
      <c r="X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</row>
    <row r="96" spans="1:125" ht="13.2">
      <c r="A96" s="8"/>
      <c r="B96" s="466" t="s">
        <v>100</v>
      </c>
      <c r="C96" s="467"/>
      <c r="D96" s="468"/>
      <c r="E96" s="108" t="s">
        <v>54</v>
      </c>
      <c r="F96" s="108" t="s">
        <v>55</v>
      </c>
      <c r="G96" s="19"/>
      <c r="H96" s="67"/>
      <c r="I96" s="469" t="s">
        <v>57</v>
      </c>
      <c r="J96" s="470"/>
      <c r="K96" s="470"/>
      <c r="L96" s="471"/>
      <c r="M96" s="22"/>
      <c r="N96" s="19"/>
      <c r="O96" s="3"/>
      <c r="P96" s="22"/>
      <c r="Q96" s="22"/>
      <c r="R96" s="67"/>
      <c r="S96" s="185" t="s">
        <v>56</v>
      </c>
      <c r="T96" s="67"/>
      <c r="U96" s="479"/>
      <c r="V96" s="479"/>
      <c r="W96" s="479"/>
      <c r="X96" s="479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</row>
    <row r="97" spans="1:125" ht="13.2" hidden="1" outlineLevel="1">
      <c r="A97" s="8"/>
      <c r="B97" s="108" t="s">
        <v>14</v>
      </c>
      <c r="C97" s="108" t="s">
        <v>28</v>
      </c>
      <c r="D97" s="107" t="s">
        <v>29</v>
      </c>
      <c r="E97" s="109" t="s">
        <v>30</v>
      </c>
      <c r="F97" s="109" t="s">
        <v>30</v>
      </c>
      <c r="G97" s="108" t="s">
        <v>42</v>
      </c>
      <c r="H97" s="67"/>
      <c r="I97" s="108" t="s">
        <v>28</v>
      </c>
      <c r="J97" s="109" t="s">
        <v>59</v>
      </c>
      <c r="K97" s="109" t="s">
        <v>4</v>
      </c>
      <c r="L97" s="109" t="s">
        <v>60</v>
      </c>
      <c r="M97" s="3"/>
      <c r="N97" s="19"/>
      <c r="O97" s="3"/>
      <c r="P97" s="3"/>
      <c r="Q97" s="3"/>
      <c r="R97" s="67"/>
      <c r="S97" s="108" t="s">
        <v>30</v>
      </c>
      <c r="T97" s="67"/>
      <c r="U97" s="3"/>
      <c r="V97" s="3"/>
      <c r="W97" s="3"/>
      <c r="X97" s="3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</row>
    <row r="98" spans="1:125" ht="13.2" hidden="1" outlineLevel="1">
      <c r="A98" s="8"/>
      <c r="B98" s="23" t="s">
        <v>101</v>
      </c>
      <c r="C98" s="24"/>
      <c r="D98" s="24"/>
      <c r="E98" s="25"/>
      <c r="F98" s="26"/>
      <c r="G98" s="71"/>
      <c r="H98" s="67"/>
      <c r="I98" s="24"/>
      <c r="J98" s="24"/>
      <c r="K98" s="25">
        <f t="shared" ref="K98:K104" si="32">+I98*J98</f>
        <v>0</v>
      </c>
      <c r="L98" s="31"/>
      <c r="M98" s="80"/>
      <c r="N98" s="57"/>
      <c r="O98" s="30"/>
      <c r="P98" s="29"/>
      <c r="Q98" s="30"/>
      <c r="R98" s="67"/>
      <c r="S98" s="25">
        <f t="shared" ref="S98:S104" si="33">+F98</f>
        <v>0</v>
      </c>
      <c r="T98" s="67"/>
      <c r="U98" s="29"/>
      <c r="V98" s="29"/>
      <c r="W98" s="30"/>
      <c r="X98" s="80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</row>
    <row r="99" spans="1:125" ht="13.2" hidden="1" outlineLevel="1">
      <c r="A99" s="8"/>
      <c r="B99" s="32" t="s">
        <v>102</v>
      </c>
      <c r="C99" s="33"/>
      <c r="D99" s="33"/>
      <c r="E99" s="34"/>
      <c r="F99" s="35">
        <f t="shared" ref="F99:F104" si="34">+C99*D99</f>
        <v>0</v>
      </c>
      <c r="G99" s="72"/>
      <c r="H99" s="67"/>
      <c r="I99" s="33"/>
      <c r="J99" s="33"/>
      <c r="K99" s="34">
        <f t="shared" si="32"/>
        <v>0</v>
      </c>
      <c r="L99" s="37"/>
      <c r="M99" s="80"/>
      <c r="N99" s="57"/>
      <c r="O99" s="30"/>
      <c r="P99" s="29"/>
      <c r="Q99" s="30"/>
      <c r="R99" s="67"/>
      <c r="S99" s="34">
        <f t="shared" si="33"/>
        <v>0</v>
      </c>
      <c r="T99" s="67"/>
      <c r="U99" s="29"/>
      <c r="V99" s="29"/>
      <c r="W99" s="30"/>
      <c r="X99" s="80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</row>
    <row r="100" spans="1:125" ht="13.2" hidden="1" outlineLevel="1">
      <c r="A100" s="8"/>
      <c r="B100" s="32" t="s">
        <v>103</v>
      </c>
      <c r="C100" s="33"/>
      <c r="D100" s="33"/>
      <c r="E100" s="34"/>
      <c r="F100" s="35">
        <f t="shared" si="34"/>
        <v>0</v>
      </c>
      <c r="G100" s="72"/>
      <c r="H100" s="67"/>
      <c r="I100" s="33"/>
      <c r="J100" s="33"/>
      <c r="K100" s="34">
        <f t="shared" si="32"/>
        <v>0</v>
      </c>
      <c r="L100" s="37"/>
      <c r="M100" s="80"/>
      <c r="N100" s="57"/>
      <c r="O100" s="30"/>
      <c r="P100" s="29"/>
      <c r="Q100" s="30"/>
      <c r="R100" s="67"/>
      <c r="S100" s="34">
        <f t="shared" si="33"/>
        <v>0</v>
      </c>
      <c r="T100" s="67"/>
      <c r="U100" s="29"/>
      <c r="V100" s="29"/>
      <c r="W100" s="30"/>
      <c r="X100" s="80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</row>
    <row r="101" spans="1:125" ht="13.2" hidden="1" outlineLevel="1">
      <c r="A101" s="8"/>
      <c r="B101" s="32" t="s">
        <v>104</v>
      </c>
      <c r="C101" s="33"/>
      <c r="D101" s="33"/>
      <c r="E101" s="34"/>
      <c r="F101" s="35">
        <f t="shared" si="34"/>
        <v>0</v>
      </c>
      <c r="G101" s="72"/>
      <c r="H101" s="67"/>
      <c r="I101" s="33"/>
      <c r="J101" s="33"/>
      <c r="K101" s="34">
        <f t="shared" si="32"/>
        <v>0</v>
      </c>
      <c r="L101" s="37"/>
      <c r="M101" s="80"/>
      <c r="N101" s="57"/>
      <c r="O101" s="30"/>
      <c r="P101" s="29"/>
      <c r="Q101" s="30"/>
      <c r="R101" s="67"/>
      <c r="S101" s="34">
        <f t="shared" si="33"/>
        <v>0</v>
      </c>
      <c r="T101" s="67"/>
      <c r="U101" s="29"/>
      <c r="V101" s="29"/>
      <c r="W101" s="30"/>
      <c r="X101" s="80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</row>
    <row r="102" spans="1:125" ht="13.2" hidden="1" outlineLevel="1">
      <c r="A102" s="8"/>
      <c r="B102" s="32" t="s">
        <v>105</v>
      </c>
      <c r="C102" s="33"/>
      <c r="D102" s="33"/>
      <c r="E102" s="34"/>
      <c r="F102" s="35">
        <f t="shared" si="34"/>
        <v>0</v>
      </c>
      <c r="G102" s="72"/>
      <c r="H102" s="67"/>
      <c r="I102" s="33"/>
      <c r="J102" s="33"/>
      <c r="K102" s="34">
        <f t="shared" si="32"/>
        <v>0</v>
      </c>
      <c r="L102" s="37"/>
      <c r="M102" s="80"/>
      <c r="N102" s="57"/>
      <c r="O102" s="30"/>
      <c r="P102" s="29"/>
      <c r="Q102" s="30"/>
      <c r="R102" s="67"/>
      <c r="S102" s="34">
        <f t="shared" si="33"/>
        <v>0</v>
      </c>
      <c r="T102" s="67"/>
      <c r="U102" s="29"/>
      <c r="V102" s="29"/>
      <c r="W102" s="30"/>
      <c r="X102" s="80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</row>
    <row r="103" spans="1:125" ht="13.2" hidden="1" outlineLevel="1">
      <c r="A103" s="8"/>
      <c r="B103" s="32" t="s">
        <v>106</v>
      </c>
      <c r="C103" s="33"/>
      <c r="D103" s="33"/>
      <c r="E103" s="34"/>
      <c r="F103" s="35">
        <f t="shared" si="34"/>
        <v>0</v>
      </c>
      <c r="G103" s="72"/>
      <c r="H103" s="67"/>
      <c r="I103" s="33"/>
      <c r="J103" s="33"/>
      <c r="K103" s="34">
        <f t="shared" si="32"/>
        <v>0</v>
      </c>
      <c r="L103" s="37"/>
      <c r="M103" s="80"/>
      <c r="N103" s="57"/>
      <c r="O103" s="30"/>
      <c r="P103" s="29"/>
      <c r="Q103" s="30"/>
      <c r="R103" s="67"/>
      <c r="S103" s="34">
        <f t="shared" si="33"/>
        <v>0</v>
      </c>
      <c r="T103" s="67"/>
      <c r="U103" s="29"/>
      <c r="V103" s="29"/>
      <c r="W103" s="30"/>
      <c r="X103" s="80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</row>
    <row r="104" spans="1:125" ht="13.2" hidden="1" outlineLevel="1">
      <c r="A104" s="8"/>
      <c r="B104" s="32" t="s">
        <v>107</v>
      </c>
      <c r="C104" s="33"/>
      <c r="D104" s="33"/>
      <c r="E104" s="34"/>
      <c r="F104" s="35">
        <f t="shared" si="34"/>
        <v>0</v>
      </c>
      <c r="G104" s="72"/>
      <c r="H104" s="67"/>
      <c r="I104" s="33"/>
      <c r="J104" s="33"/>
      <c r="K104" s="34">
        <f t="shared" si="32"/>
        <v>0</v>
      </c>
      <c r="L104" s="37"/>
      <c r="M104" s="80"/>
      <c r="N104" s="57"/>
      <c r="O104" s="30"/>
      <c r="P104" s="29"/>
      <c r="Q104" s="30"/>
      <c r="R104" s="67"/>
      <c r="S104" s="34">
        <f t="shared" si="33"/>
        <v>0</v>
      </c>
      <c r="T104" s="67"/>
      <c r="U104" s="29"/>
      <c r="V104" s="29"/>
      <c r="W104" s="30"/>
      <c r="X104" s="80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</row>
    <row r="105" spans="1:125" ht="13.2" hidden="1" outlineLevel="1">
      <c r="A105" s="8"/>
      <c r="B105" s="81"/>
      <c r="C105" s="82"/>
      <c r="D105" s="83" t="s">
        <v>13</v>
      </c>
      <c r="E105" s="84">
        <f>-W105</f>
        <v>0</v>
      </c>
      <c r="F105" s="85">
        <v>-0.05</v>
      </c>
      <c r="G105" s="86"/>
      <c r="H105" s="19"/>
      <c r="I105" s="78"/>
      <c r="J105" s="53" t="s">
        <v>1</v>
      </c>
      <c r="K105" s="48">
        <f>SUM(K98:K104)</f>
        <v>0</v>
      </c>
      <c r="L105" s="79"/>
      <c r="M105" s="12"/>
      <c r="N105" s="57"/>
      <c r="O105" s="19"/>
      <c r="P105" s="69"/>
      <c r="Q105" s="19"/>
      <c r="R105" s="67"/>
      <c r="S105" s="68">
        <f>SUM(S98:S104)</f>
        <v>0</v>
      </c>
      <c r="T105" s="67"/>
      <c r="U105" s="12"/>
      <c r="V105" s="69"/>
      <c r="W105" s="19"/>
      <c r="X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</row>
    <row r="106" spans="1:125" ht="13.2" hidden="1" outlineLevel="1">
      <c r="A106" s="8"/>
      <c r="B106" s="55"/>
      <c r="C106" s="12"/>
      <c r="D106" s="5" t="s">
        <v>15</v>
      </c>
      <c r="E106" s="19">
        <f>SUM(E98:E105)</f>
        <v>0</v>
      </c>
      <c r="F106" s="19">
        <f>SUM(F98:F105)</f>
        <v>-0.05</v>
      </c>
      <c r="G106" s="19"/>
      <c r="H106" s="19"/>
      <c r="I106" s="18"/>
      <c r="J106" s="18"/>
      <c r="K106" s="5"/>
      <c r="L106" s="19"/>
      <c r="M106" s="19"/>
      <c r="N106" s="57"/>
      <c r="O106" s="70"/>
      <c r="P106" s="69"/>
      <c r="Q106" s="19"/>
      <c r="R106" s="67"/>
      <c r="S106" s="19"/>
      <c r="T106" s="67"/>
      <c r="U106" s="12"/>
      <c r="V106" s="69"/>
      <c r="W106" s="19"/>
      <c r="X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</row>
    <row r="107" spans="1:125" ht="13.2" hidden="1" outlineLevel="1">
      <c r="A107" s="8"/>
      <c r="B107" s="66"/>
      <c r="C107" s="66"/>
      <c r="D107" s="47" t="s">
        <v>4</v>
      </c>
      <c r="E107" s="4">
        <f>SUM(E106:E106)</f>
        <v>0</v>
      </c>
      <c r="F107" s="48">
        <f>SUM(F106:F106)</f>
        <v>-0.05</v>
      </c>
      <c r="G107" s="19"/>
      <c r="H107" s="19"/>
      <c r="I107" s="18"/>
      <c r="J107" s="18"/>
      <c r="K107" s="6"/>
      <c r="L107" s="19"/>
      <c r="M107" s="19"/>
      <c r="N107" s="57"/>
      <c r="O107" s="70"/>
      <c r="P107" s="69"/>
      <c r="Q107" s="19"/>
      <c r="R107" s="67"/>
      <c r="S107" s="19"/>
      <c r="T107" s="67"/>
      <c r="U107" s="12"/>
      <c r="V107" s="69"/>
      <c r="W107" s="19"/>
      <c r="X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</row>
    <row r="108" spans="1:125" ht="13.2" collapsed="1">
      <c r="A108" s="8"/>
      <c r="B108" s="57"/>
      <c r="C108" s="29"/>
      <c r="D108" s="6"/>
      <c r="E108" s="19"/>
      <c r="F108" s="19"/>
      <c r="G108" s="19"/>
      <c r="H108" s="19"/>
      <c r="I108" s="18"/>
      <c r="J108" s="18"/>
      <c r="K108" s="6"/>
      <c r="L108" s="19"/>
      <c r="M108" s="19"/>
      <c r="N108" s="57"/>
      <c r="O108" s="70"/>
      <c r="P108" s="69"/>
      <c r="Q108" s="19"/>
      <c r="R108" s="67"/>
      <c r="S108" s="19"/>
      <c r="T108" s="67"/>
      <c r="U108" s="12"/>
      <c r="V108" s="69"/>
      <c r="W108" s="19"/>
      <c r="X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</row>
    <row r="109" spans="1:125" ht="13.2">
      <c r="A109" s="8"/>
      <c r="B109" s="466" t="s">
        <v>18</v>
      </c>
      <c r="C109" s="467"/>
      <c r="D109" s="468"/>
      <c r="E109" s="108" t="s">
        <v>55</v>
      </c>
      <c r="F109" s="3"/>
      <c r="G109" s="19"/>
      <c r="H109" s="67"/>
      <c r="I109" s="22"/>
      <c r="J109" s="22"/>
      <c r="K109" s="22"/>
      <c r="L109" s="22"/>
      <c r="M109" s="22"/>
      <c r="N109" s="57"/>
      <c r="O109" s="70"/>
      <c r="P109" s="69"/>
      <c r="Q109" s="19"/>
      <c r="R109" s="67"/>
      <c r="S109" s="19"/>
      <c r="T109" s="67"/>
      <c r="U109" s="12"/>
      <c r="V109" s="69"/>
      <c r="W109" s="19"/>
      <c r="X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</row>
    <row r="110" spans="1:125" ht="13.2" outlineLevel="1">
      <c r="A110" s="8"/>
      <c r="B110" s="108" t="s">
        <v>14</v>
      </c>
      <c r="C110" s="108" t="s">
        <v>28</v>
      </c>
      <c r="D110" s="107" t="s">
        <v>29</v>
      </c>
      <c r="E110" s="108" t="s">
        <v>30</v>
      </c>
      <c r="F110" s="3"/>
      <c r="G110" s="3"/>
      <c r="H110" s="67"/>
      <c r="I110" s="3"/>
      <c r="J110" s="3"/>
      <c r="K110" s="3"/>
      <c r="L110" s="3"/>
      <c r="M110" s="3"/>
      <c r="N110" s="57"/>
      <c r="O110" s="70"/>
      <c r="P110" s="69"/>
      <c r="Q110" s="19"/>
      <c r="R110" s="67"/>
      <c r="S110" s="19"/>
      <c r="T110" s="67"/>
      <c r="U110" s="12"/>
      <c r="V110" s="69"/>
      <c r="W110" s="19"/>
      <c r="X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</row>
    <row r="111" spans="1:125" ht="13.2" outlineLevel="1">
      <c r="A111" s="8"/>
      <c r="B111" s="23" t="s">
        <v>108</v>
      </c>
      <c r="C111" s="24"/>
      <c r="D111" s="24"/>
      <c r="E111" s="25">
        <f>+C111*D111</f>
        <v>0</v>
      </c>
      <c r="F111" s="30"/>
      <c r="G111" s="87"/>
      <c r="H111" s="67"/>
      <c r="I111" s="57"/>
      <c r="J111" s="29"/>
      <c r="K111" s="29"/>
      <c r="L111" s="30"/>
      <c r="M111" s="80"/>
      <c r="N111" s="57"/>
      <c r="O111" s="70"/>
      <c r="P111" s="69"/>
      <c r="Q111" s="19"/>
      <c r="R111" s="67"/>
      <c r="S111" s="67"/>
      <c r="T111" s="67"/>
      <c r="U111" s="12"/>
      <c r="V111" s="12"/>
      <c r="W111" s="19"/>
      <c r="X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</row>
    <row r="112" spans="1:125" ht="13.2" outlineLevel="1">
      <c r="A112" s="8"/>
      <c r="B112" s="32" t="s">
        <v>109</v>
      </c>
      <c r="C112" s="33"/>
      <c r="D112" s="33"/>
      <c r="E112" s="34">
        <f t="shared" ref="E112:E117" si="35">+C112*D112</f>
        <v>0</v>
      </c>
      <c r="F112" s="30"/>
      <c r="G112" s="87"/>
      <c r="H112" s="67"/>
      <c r="I112" s="57"/>
      <c r="J112" s="29"/>
      <c r="K112" s="29"/>
      <c r="L112" s="30"/>
      <c r="M112" s="80"/>
      <c r="N112" s="57"/>
      <c r="O112" s="70"/>
      <c r="P112" s="69"/>
      <c r="Q112" s="19"/>
      <c r="R112" s="67"/>
      <c r="S112" s="67"/>
      <c r="T112" s="67"/>
      <c r="U112" s="12"/>
      <c r="V112" s="12"/>
      <c r="W112" s="19"/>
      <c r="X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</row>
    <row r="113" spans="1:125" ht="13.2" outlineLevel="1">
      <c r="A113" s="8"/>
      <c r="B113" s="32" t="s">
        <v>110</v>
      </c>
      <c r="C113" s="33"/>
      <c r="D113" s="33"/>
      <c r="E113" s="34">
        <f t="shared" si="35"/>
        <v>0</v>
      </c>
      <c r="F113" s="30"/>
      <c r="G113" s="87"/>
      <c r="H113" s="67"/>
      <c r="I113" s="57"/>
      <c r="J113" s="29"/>
      <c r="K113" s="29"/>
      <c r="L113" s="30"/>
      <c r="M113" s="80"/>
      <c r="N113" s="57"/>
      <c r="O113" s="70"/>
      <c r="P113" s="69"/>
      <c r="Q113" s="19"/>
      <c r="R113" s="67"/>
      <c r="S113" s="67"/>
      <c r="T113" s="67"/>
      <c r="U113" s="12"/>
      <c r="V113" s="12"/>
      <c r="W113" s="19"/>
      <c r="X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</row>
    <row r="114" spans="1:125" ht="13.2" outlineLevel="1">
      <c r="A114" s="8"/>
      <c r="B114" s="32" t="s">
        <v>111</v>
      </c>
      <c r="C114" s="33"/>
      <c r="D114" s="33"/>
      <c r="E114" s="34">
        <f t="shared" si="35"/>
        <v>0</v>
      </c>
      <c r="F114" s="30"/>
      <c r="G114" s="87"/>
      <c r="H114" s="67"/>
      <c r="I114" s="57"/>
      <c r="J114" s="29"/>
      <c r="K114" s="29"/>
      <c r="L114" s="30"/>
      <c r="M114" s="80"/>
      <c r="N114" s="57"/>
      <c r="O114" s="70"/>
      <c r="P114" s="69"/>
      <c r="Q114" s="19"/>
      <c r="R114" s="67"/>
      <c r="S114" s="67"/>
      <c r="T114" s="67"/>
      <c r="U114" s="12"/>
      <c r="V114" s="12"/>
      <c r="W114" s="19"/>
      <c r="X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</row>
    <row r="115" spans="1:125" ht="13.2" outlineLevel="1">
      <c r="A115" s="8"/>
      <c r="B115" s="32" t="s">
        <v>112</v>
      </c>
      <c r="C115" s="33"/>
      <c r="D115" s="33"/>
      <c r="E115" s="34">
        <f t="shared" si="35"/>
        <v>0</v>
      </c>
      <c r="F115" s="30"/>
      <c r="G115" s="87"/>
      <c r="H115" s="67"/>
      <c r="I115" s="57"/>
      <c r="J115" s="29"/>
      <c r="K115" s="29"/>
      <c r="L115" s="30"/>
      <c r="M115" s="80"/>
      <c r="N115" s="57"/>
      <c r="O115" s="70"/>
      <c r="P115" s="69"/>
      <c r="Q115" s="19"/>
      <c r="R115" s="67"/>
      <c r="S115" s="67"/>
      <c r="T115" s="67"/>
      <c r="U115" s="12"/>
      <c r="V115" s="12"/>
      <c r="W115" s="19"/>
      <c r="X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</row>
    <row r="116" spans="1:125" ht="13.2" outlineLevel="1">
      <c r="A116" s="8"/>
      <c r="B116" s="32" t="s">
        <v>113</v>
      </c>
      <c r="C116" s="33"/>
      <c r="D116" s="33"/>
      <c r="E116" s="34">
        <f t="shared" si="35"/>
        <v>0</v>
      </c>
      <c r="F116" s="30"/>
      <c r="G116" s="87"/>
      <c r="H116" s="67"/>
      <c r="I116" s="57"/>
      <c r="J116" s="29"/>
      <c r="K116" s="29"/>
      <c r="L116" s="30"/>
      <c r="M116" s="80"/>
      <c r="N116" s="19"/>
      <c r="O116" s="29"/>
      <c r="P116" s="29"/>
      <c r="Q116" s="29"/>
      <c r="R116" s="18"/>
      <c r="S116" s="3"/>
      <c r="T116" s="18"/>
      <c r="U116" s="12"/>
      <c r="V116" s="12"/>
      <c r="W116" s="19"/>
      <c r="X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</row>
    <row r="117" spans="1:125" ht="13.2" outlineLevel="1">
      <c r="A117" s="8"/>
      <c r="B117" s="32" t="s">
        <v>114</v>
      </c>
      <c r="C117" s="33"/>
      <c r="D117" s="33"/>
      <c r="E117" s="34">
        <f t="shared" si="35"/>
        <v>0</v>
      </c>
      <c r="F117" s="30"/>
      <c r="G117" s="87"/>
      <c r="H117" s="67"/>
      <c r="I117" s="57"/>
      <c r="J117" s="29"/>
      <c r="K117" s="29"/>
      <c r="L117" s="30"/>
      <c r="M117" s="80"/>
      <c r="N117" s="19"/>
      <c r="O117" s="19"/>
      <c r="P117" s="19"/>
      <c r="Q117" s="19"/>
      <c r="R117" s="18"/>
      <c r="S117" s="3"/>
      <c r="T117" s="18"/>
      <c r="U117" s="12"/>
      <c r="V117" s="12"/>
      <c r="W117" s="19"/>
      <c r="X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</row>
    <row r="118" spans="1:125" ht="13.2" outlineLevel="1">
      <c r="A118" s="8"/>
      <c r="B118" s="32" t="s">
        <v>115</v>
      </c>
      <c r="C118" s="33"/>
      <c r="D118" s="33"/>
      <c r="E118" s="34">
        <f>+C118*D118</f>
        <v>0</v>
      </c>
      <c r="F118" s="30"/>
      <c r="G118" s="87"/>
      <c r="H118" s="28"/>
      <c r="I118" s="57"/>
      <c r="J118" s="29"/>
      <c r="K118" s="29"/>
      <c r="L118" s="30"/>
      <c r="M118" s="80"/>
      <c r="N118" s="29"/>
      <c r="O118" s="29"/>
      <c r="P118" s="29"/>
      <c r="Q118" s="30"/>
      <c r="R118" s="12"/>
      <c r="S118" s="30"/>
      <c r="T118" s="12"/>
      <c r="U118" s="12"/>
      <c r="V118" s="12"/>
      <c r="W118" s="19"/>
      <c r="X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</row>
    <row r="119" spans="1:125" ht="13.2" outlineLevel="1">
      <c r="A119" s="8"/>
      <c r="B119" s="40"/>
      <c r="C119" s="41"/>
      <c r="D119" s="2" t="s">
        <v>13</v>
      </c>
      <c r="E119" s="43">
        <f>-W119</f>
        <v>0</v>
      </c>
      <c r="F119" s="88"/>
      <c r="G119" s="19"/>
      <c r="H119" s="19"/>
      <c r="I119" s="12"/>
      <c r="J119" s="12"/>
      <c r="K119" s="69"/>
      <c r="L119" s="19"/>
      <c r="M119" s="12"/>
      <c r="N119" s="19"/>
      <c r="O119" s="70"/>
      <c r="P119" s="6"/>
      <c r="Q119" s="19"/>
      <c r="R119" s="12"/>
      <c r="S119" s="3"/>
      <c r="T119" s="12"/>
      <c r="U119" s="12"/>
      <c r="V119" s="12"/>
      <c r="W119" s="19"/>
      <c r="X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</row>
    <row r="120" spans="1:125" ht="13.2" outlineLevel="1">
      <c r="A120" s="8"/>
      <c r="B120" s="55"/>
      <c r="C120" s="12"/>
      <c r="D120" s="5" t="s">
        <v>15</v>
      </c>
      <c r="E120" s="56">
        <f>SUM(E111:E119)</f>
        <v>0</v>
      </c>
      <c r="F120" s="19"/>
      <c r="G120" s="19"/>
      <c r="H120" s="19"/>
      <c r="I120" s="18"/>
      <c r="J120" s="18"/>
      <c r="K120" s="5"/>
      <c r="L120" s="19"/>
      <c r="M120" s="19"/>
      <c r="N120" s="19"/>
      <c r="O120" s="29"/>
      <c r="P120" s="29"/>
      <c r="Q120" s="30"/>
      <c r="R120" s="12"/>
      <c r="S120" s="12"/>
      <c r="T120" s="12"/>
      <c r="U120" s="12"/>
      <c r="V120" s="12"/>
      <c r="W120" s="19"/>
      <c r="X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</row>
    <row r="121" spans="1:125" ht="13.2" outlineLevel="1">
      <c r="A121" s="8"/>
      <c r="B121" s="59"/>
      <c r="C121" s="60"/>
      <c r="D121" s="61"/>
      <c r="E121" s="63"/>
      <c r="F121" s="64"/>
      <c r="G121" s="19"/>
      <c r="H121" s="19"/>
      <c r="I121" s="18"/>
      <c r="J121" s="18"/>
      <c r="K121" s="6"/>
      <c r="L121" s="6"/>
      <c r="M121" s="19"/>
      <c r="N121" s="19"/>
      <c r="O121" s="29"/>
      <c r="P121" s="29"/>
      <c r="Q121" s="30"/>
      <c r="R121" s="12"/>
      <c r="S121" s="12"/>
      <c r="T121" s="12"/>
      <c r="U121" s="12"/>
      <c r="V121" s="12"/>
      <c r="W121" s="19"/>
      <c r="X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</row>
    <row r="122" spans="1:125" ht="13.2" outlineLevel="1">
      <c r="A122" s="8"/>
      <c r="B122" s="66"/>
      <c r="C122" s="66"/>
      <c r="D122" s="47" t="s">
        <v>4</v>
      </c>
      <c r="E122" s="89">
        <f>SUM(E120:E121)</f>
        <v>0</v>
      </c>
      <c r="F122" s="19"/>
      <c r="G122" s="19"/>
      <c r="H122" s="19"/>
      <c r="I122" s="18"/>
      <c r="J122" s="18"/>
      <c r="K122" s="6"/>
      <c r="L122" s="19"/>
      <c r="M122" s="19"/>
      <c r="N122" s="19"/>
      <c r="O122" s="29"/>
      <c r="P122" s="29"/>
      <c r="Q122" s="30"/>
      <c r="R122" s="12"/>
      <c r="S122" s="12"/>
      <c r="T122" s="12"/>
      <c r="U122" s="12"/>
      <c r="V122" s="12"/>
      <c r="W122" s="19"/>
      <c r="X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</row>
    <row r="123" spans="1:125" ht="13.2">
      <c r="A123" s="8"/>
      <c r="B123" s="57"/>
      <c r="C123" s="29"/>
      <c r="D123" s="6"/>
      <c r="E123" s="19"/>
      <c r="F123" s="19"/>
      <c r="G123" s="19"/>
      <c r="H123" s="19"/>
      <c r="I123" s="18"/>
      <c r="J123" s="18"/>
      <c r="K123" s="6"/>
      <c r="L123" s="19"/>
      <c r="M123" s="19"/>
      <c r="N123" s="57"/>
      <c r="O123" s="70"/>
      <c r="P123" s="69"/>
      <c r="Q123" s="19"/>
      <c r="R123" s="67"/>
      <c r="S123" s="67"/>
      <c r="T123" s="67"/>
      <c r="U123" s="12"/>
      <c r="V123" s="12"/>
      <c r="W123" s="19"/>
      <c r="X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</row>
    <row r="124" spans="1:125" ht="13.2">
      <c r="A124" s="8"/>
      <c r="B124" s="469" t="s">
        <v>19</v>
      </c>
      <c r="C124" s="470"/>
      <c r="D124" s="470"/>
      <c r="E124" s="470"/>
      <c r="F124" s="471"/>
      <c r="G124" s="19"/>
      <c r="H124" s="19"/>
      <c r="I124" s="18"/>
      <c r="J124" s="18"/>
      <c r="K124" s="6"/>
      <c r="L124" s="19"/>
      <c r="M124" s="19"/>
      <c r="N124" s="57"/>
      <c r="O124" s="70"/>
      <c r="P124" s="69"/>
      <c r="Q124" s="19"/>
      <c r="R124" s="67"/>
      <c r="S124" s="67"/>
      <c r="T124" s="67"/>
      <c r="U124" s="12"/>
      <c r="V124" s="12"/>
      <c r="W124" s="19"/>
      <c r="X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</row>
    <row r="125" spans="1:125" ht="13.2" outlineLevel="1">
      <c r="A125" s="8"/>
      <c r="B125" s="109" t="s">
        <v>14</v>
      </c>
      <c r="C125" s="109" t="s">
        <v>28</v>
      </c>
      <c r="D125" s="110" t="s">
        <v>29</v>
      </c>
      <c r="E125" s="109" t="s">
        <v>31</v>
      </c>
      <c r="F125" s="109" t="s">
        <v>32</v>
      </c>
      <c r="G125" s="3"/>
      <c r="H125" s="19"/>
      <c r="I125" s="18"/>
      <c r="J125" s="18"/>
      <c r="K125" s="6"/>
      <c r="L125" s="19"/>
      <c r="M125" s="19"/>
      <c r="N125" s="57"/>
      <c r="O125" s="70"/>
      <c r="P125" s="69"/>
      <c r="Q125" s="19"/>
      <c r="R125" s="67"/>
      <c r="S125" s="67"/>
      <c r="T125" s="67"/>
      <c r="U125" s="12"/>
      <c r="V125" s="12"/>
      <c r="W125" s="19"/>
      <c r="X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</row>
    <row r="126" spans="1:125" ht="13.2" outlineLevel="1">
      <c r="A126" s="8"/>
      <c r="B126" s="23" t="s">
        <v>116</v>
      </c>
      <c r="C126" s="24"/>
      <c r="D126" s="24"/>
      <c r="E126" s="24"/>
      <c r="F126" s="25">
        <f>+C126*D126*E126</f>
        <v>0</v>
      </c>
      <c r="G126" s="87"/>
      <c r="H126" s="19"/>
      <c r="I126" s="18"/>
      <c r="J126" s="18"/>
      <c r="K126" s="6"/>
      <c r="L126" s="19"/>
      <c r="M126" s="19"/>
      <c r="N126" s="57"/>
      <c r="O126" s="70"/>
      <c r="P126" s="69"/>
      <c r="Q126" s="19"/>
      <c r="R126" s="67"/>
      <c r="S126" s="67"/>
      <c r="T126" s="67"/>
      <c r="U126" s="12"/>
      <c r="V126" s="12"/>
      <c r="W126" s="19"/>
      <c r="X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</row>
    <row r="127" spans="1:125" ht="13.2" outlineLevel="1">
      <c r="A127" s="8"/>
      <c r="B127" s="32" t="s">
        <v>117</v>
      </c>
      <c r="C127" s="33"/>
      <c r="D127" s="33"/>
      <c r="E127" s="33"/>
      <c r="F127" s="34">
        <f>+C127*D127*E127</f>
        <v>0</v>
      </c>
      <c r="G127" s="87"/>
      <c r="H127" s="19"/>
      <c r="I127" s="18"/>
      <c r="J127" s="18"/>
      <c r="K127" s="6"/>
      <c r="L127" s="19"/>
      <c r="M127" s="19"/>
      <c r="N127" s="57"/>
      <c r="O127" s="70"/>
      <c r="P127" s="69"/>
      <c r="Q127" s="19"/>
      <c r="R127" s="67"/>
      <c r="S127" s="67"/>
      <c r="T127" s="67"/>
      <c r="U127" s="12"/>
      <c r="V127" s="12"/>
      <c r="W127" s="19"/>
      <c r="X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</row>
    <row r="128" spans="1:125" ht="13.2" outlineLevel="1">
      <c r="A128" s="8"/>
      <c r="B128" s="32" t="s">
        <v>118</v>
      </c>
      <c r="C128" s="33"/>
      <c r="D128" s="33"/>
      <c r="E128" s="33"/>
      <c r="F128" s="34">
        <f>+C128*D128*E128</f>
        <v>0</v>
      </c>
      <c r="G128" s="87"/>
      <c r="H128" s="19"/>
      <c r="I128" s="18"/>
      <c r="J128" s="18"/>
      <c r="K128" s="6"/>
      <c r="L128" s="19"/>
      <c r="M128" s="19"/>
      <c r="N128" s="57"/>
      <c r="O128" s="70"/>
      <c r="P128" s="69"/>
      <c r="Q128" s="19"/>
      <c r="R128" s="67"/>
      <c r="S128" s="67"/>
      <c r="T128" s="67"/>
      <c r="U128" s="12"/>
      <c r="V128" s="12"/>
      <c r="W128" s="19"/>
      <c r="X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</row>
    <row r="129" spans="1:125" ht="13.2" outlineLevel="1">
      <c r="A129" s="8"/>
      <c r="B129" s="32" t="s">
        <v>119</v>
      </c>
      <c r="C129" s="33"/>
      <c r="D129" s="33"/>
      <c r="E129" s="33"/>
      <c r="F129" s="34">
        <f>+C129*D129*E129</f>
        <v>0</v>
      </c>
      <c r="G129" s="87"/>
      <c r="H129" s="19"/>
      <c r="I129" s="18"/>
      <c r="J129" s="18"/>
      <c r="K129" s="6"/>
      <c r="L129" s="19"/>
      <c r="M129" s="19"/>
      <c r="N129" s="57"/>
      <c r="O129" s="70"/>
      <c r="P129" s="69"/>
      <c r="Q129" s="19"/>
      <c r="R129" s="67"/>
      <c r="S129" s="67"/>
      <c r="T129" s="67"/>
      <c r="U129" s="12"/>
      <c r="V129" s="12"/>
      <c r="W129" s="19"/>
      <c r="X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</row>
    <row r="130" spans="1:125" ht="13.2" outlineLevel="1">
      <c r="A130" s="8"/>
      <c r="B130" s="32" t="s">
        <v>120</v>
      </c>
      <c r="C130" s="33"/>
      <c r="D130" s="33"/>
      <c r="E130" s="33"/>
      <c r="F130" s="34">
        <f t="shared" ref="F130:F135" si="36">+C130*D130*E130</f>
        <v>0</v>
      </c>
      <c r="G130" s="87"/>
      <c r="H130" s="19"/>
      <c r="I130" s="18"/>
      <c r="J130" s="18"/>
      <c r="K130" s="6"/>
      <c r="L130" s="19"/>
      <c r="M130" s="19"/>
      <c r="N130" s="57"/>
      <c r="O130" s="70"/>
      <c r="P130" s="69"/>
      <c r="Q130" s="19"/>
      <c r="R130" s="67"/>
      <c r="S130" s="67"/>
      <c r="T130" s="67"/>
      <c r="U130" s="12"/>
      <c r="V130" s="12"/>
      <c r="W130" s="19"/>
      <c r="X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</row>
    <row r="131" spans="1:125" ht="13.2" outlineLevel="1">
      <c r="A131" s="8"/>
      <c r="B131" s="32" t="s">
        <v>121</v>
      </c>
      <c r="C131" s="33"/>
      <c r="D131" s="33"/>
      <c r="E131" s="33"/>
      <c r="F131" s="34">
        <f t="shared" si="36"/>
        <v>0</v>
      </c>
      <c r="G131" s="87"/>
      <c r="H131" s="19"/>
      <c r="I131" s="18"/>
      <c r="J131" s="18"/>
      <c r="K131" s="6"/>
      <c r="L131" s="19"/>
      <c r="M131" s="19"/>
      <c r="N131" s="57"/>
      <c r="O131" s="70"/>
      <c r="P131" s="69"/>
      <c r="Q131" s="19"/>
      <c r="R131" s="67"/>
      <c r="S131" s="67"/>
      <c r="T131" s="67"/>
      <c r="U131" s="12"/>
      <c r="V131" s="12"/>
      <c r="W131" s="19"/>
      <c r="X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</row>
    <row r="132" spans="1:125" ht="13.2" outlineLevel="1">
      <c r="A132" s="8"/>
      <c r="B132" s="32" t="s">
        <v>218</v>
      </c>
      <c r="C132" s="33"/>
      <c r="D132" s="33"/>
      <c r="E132" s="33"/>
      <c r="F132" s="34">
        <f t="shared" si="36"/>
        <v>0</v>
      </c>
      <c r="G132" s="87"/>
      <c r="H132" s="19"/>
      <c r="I132" s="18"/>
      <c r="J132" s="18"/>
      <c r="K132" s="6"/>
      <c r="L132" s="19"/>
      <c r="M132" s="19"/>
      <c r="N132" s="57"/>
      <c r="O132" s="70"/>
      <c r="P132" s="69"/>
      <c r="Q132" s="19"/>
      <c r="R132" s="67"/>
      <c r="S132" s="67"/>
      <c r="T132" s="67"/>
      <c r="U132" s="12"/>
      <c r="V132" s="12"/>
      <c r="W132" s="19"/>
      <c r="X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</row>
    <row r="133" spans="1:125" ht="13.2" outlineLevel="1">
      <c r="A133" s="8"/>
      <c r="B133" s="32" t="s">
        <v>219</v>
      </c>
      <c r="C133" s="33"/>
      <c r="D133" s="33"/>
      <c r="E133" s="33"/>
      <c r="F133" s="34">
        <f t="shared" si="36"/>
        <v>0</v>
      </c>
      <c r="G133" s="87"/>
      <c r="H133" s="19"/>
      <c r="I133" s="18"/>
      <c r="J133" s="18"/>
      <c r="K133" s="6"/>
      <c r="L133" s="19"/>
      <c r="M133" s="19"/>
      <c r="N133" s="57"/>
      <c r="O133" s="70"/>
      <c r="P133" s="69"/>
      <c r="Q133" s="19"/>
      <c r="R133" s="67"/>
      <c r="S133" s="67"/>
      <c r="T133" s="67"/>
      <c r="U133" s="12"/>
      <c r="V133" s="12"/>
      <c r="W133" s="19"/>
      <c r="X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</row>
    <row r="134" spans="1:125" ht="13.2" outlineLevel="1">
      <c r="A134" s="8"/>
      <c r="B134" s="32" t="s">
        <v>220</v>
      </c>
      <c r="C134" s="33"/>
      <c r="D134" s="33"/>
      <c r="E134" s="33"/>
      <c r="F134" s="34">
        <f t="shared" si="36"/>
        <v>0</v>
      </c>
      <c r="G134" s="87"/>
      <c r="H134" s="19"/>
      <c r="I134" s="18"/>
      <c r="J134" s="18"/>
      <c r="K134" s="6"/>
      <c r="L134" s="19"/>
      <c r="M134" s="19"/>
      <c r="N134" s="57"/>
      <c r="O134" s="70"/>
      <c r="P134" s="69"/>
      <c r="Q134" s="19"/>
      <c r="R134" s="67"/>
      <c r="S134" s="67"/>
      <c r="T134" s="67"/>
      <c r="U134" s="12"/>
      <c r="V134" s="12"/>
      <c r="W134" s="12"/>
      <c r="X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</row>
    <row r="135" spans="1:125" ht="13.2" outlineLevel="1">
      <c r="A135" s="8"/>
      <c r="B135" s="32" t="s">
        <v>221</v>
      </c>
      <c r="C135" s="33"/>
      <c r="D135" s="33"/>
      <c r="E135" s="33"/>
      <c r="F135" s="34">
        <f t="shared" si="36"/>
        <v>0</v>
      </c>
      <c r="G135" s="87"/>
      <c r="H135" s="19"/>
      <c r="I135" s="18"/>
      <c r="J135" s="18"/>
      <c r="K135" s="6"/>
      <c r="L135" s="19"/>
      <c r="M135" s="19"/>
      <c r="N135" s="57"/>
      <c r="O135" s="70"/>
      <c r="P135" s="69"/>
      <c r="Q135" s="19"/>
      <c r="R135" s="67"/>
      <c r="S135" s="67"/>
      <c r="T135" s="67"/>
      <c r="U135" s="12"/>
      <c r="V135" s="12"/>
      <c r="W135" s="12"/>
      <c r="X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</row>
    <row r="136" spans="1:125" ht="13.2" outlineLevel="1">
      <c r="A136" s="8"/>
      <c r="B136" s="90"/>
      <c r="C136" s="91"/>
      <c r="D136" s="4"/>
      <c r="E136" s="4" t="s">
        <v>4</v>
      </c>
      <c r="F136" s="48">
        <f>SUM(F126:F135)</f>
        <v>0</v>
      </c>
      <c r="G136" s="19"/>
      <c r="H136" s="19"/>
      <c r="I136" s="18"/>
      <c r="J136" s="18"/>
      <c r="K136" s="6"/>
      <c r="L136" s="19"/>
      <c r="M136" s="19"/>
      <c r="N136" s="57"/>
      <c r="O136" s="70"/>
      <c r="P136" s="69"/>
      <c r="Q136" s="19"/>
      <c r="R136" s="67"/>
      <c r="S136" s="67"/>
      <c r="T136" s="67"/>
      <c r="U136" s="12"/>
      <c r="V136" s="12"/>
      <c r="W136" s="12"/>
      <c r="X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</row>
    <row r="137" spans="1:125" ht="13.8" thickBot="1">
      <c r="A137" s="8"/>
      <c r="B137" s="12"/>
      <c r="C137" s="12"/>
      <c r="D137" s="69"/>
      <c r="E137" s="19"/>
      <c r="F137" s="19"/>
      <c r="G137" s="19"/>
      <c r="H137" s="67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2"/>
      <c r="V137" s="12"/>
      <c r="W137" s="12"/>
      <c r="X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</row>
    <row r="138" spans="1:125" ht="13.2">
      <c r="A138" s="8"/>
      <c r="B138" s="476" t="s">
        <v>21</v>
      </c>
      <c r="C138" s="477"/>
      <c r="D138" s="477"/>
      <c r="E138" s="477"/>
      <c r="F138" s="477"/>
      <c r="G138" s="477"/>
      <c r="H138" s="477"/>
      <c r="I138" s="478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2"/>
      <c r="V138" s="12"/>
      <c r="W138" s="12"/>
      <c r="X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</row>
    <row r="139" spans="1:125" ht="13.8" thickBot="1">
      <c r="A139" s="8"/>
      <c r="B139" s="115" t="s">
        <v>122</v>
      </c>
      <c r="C139" s="116" t="s">
        <v>152</v>
      </c>
      <c r="D139" s="117" t="s">
        <v>153</v>
      </c>
      <c r="E139" s="118" t="s">
        <v>154</v>
      </c>
      <c r="F139" s="116" t="s">
        <v>20</v>
      </c>
      <c r="G139" s="116" t="s">
        <v>155</v>
      </c>
      <c r="H139" s="116"/>
      <c r="I139" s="134" t="s">
        <v>1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2"/>
      <c r="V139" s="12"/>
      <c r="W139" s="12"/>
      <c r="X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</row>
    <row r="140" spans="1:125" ht="13.2" outlineLevel="1">
      <c r="A140" s="8"/>
      <c r="B140" s="140" t="s">
        <v>156</v>
      </c>
      <c r="C140" s="141">
        <v>1</v>
      </c>
      <c r="D140" s="142">
        <v>0.05</v>
      </c>
      <c r="E140" s="165">
        <v>0.6</v>
      </c>
      <c r="F140" s="166">
        <f>(C140*D140)*1.6</f>
        <v>8.0000000000000016E-2</v>
      </c>
      <c r="G140" s="143">
        <f>E62</f>
        <v>0</v>
      </c>
      <c r="H140" s="144"/>
      <c r="I140" s="144">
        <f>F140*G140</f>
        <v>0</v>
      </c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2"/>
      <c r="V140" s="12"/>
      <c r="W140" s="12"/>
      <c r="X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</row>
    <row r="141" spans="1:125" ht="13.2" outlineLevel="1">
      <c r="A141" s="8"/>
      <c r="B141" s="145" t="s">
        <v>157</v>
      </c>
      <c r="C141" s="146">
        <v>1</v>
      </c>
      <c r="D141" s="147">
        <v>0.1</v>
      </c>
      <c r="E141" s="151">
        <v>0.6</v>
      </c>
      <c r="F141" s="153">
        <f>(C141*D141)*1.6</f>
        <v>0.16000000000000003</v>
      </c>
      <c r="G141" s="148">
        <f>E50</f>
        <v>-0.05</v>
      </c>
      <c r="H141" s="149"/>
      <c r="I141" s="149">
        <f t="shared" ref="I141:I168" si="37">F141*G141</f>
        <v>-8.0000000000000019E-3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2"/>
      <c r="V141" s="12"/>
      <c r="W141" s="12"/>
      <c r="X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</row>
    <row r="142" spans="1:125" ht="13.2" outlineLevel="1">
      <c r="A142" s="8"/>
      <c r="B142" s="145" t="s">
        <v>158</v>
      </c>
      <c r="C142" s="146">
        <v>1</v>
      </c>
      <c r="D142" s="147">
        <v>0.15</v>
      </c>
      <c r="E142" s="151">
        <v>0.6</v>
      </c>
      <c r="F142" s="153">
        <f>(C142*D142)*1.6</f>
        <v>0.24</v>
      </c>
      <c r="G142" s="148">
        <f>E74</f>
        <v>0</v>
      </c>
      <c r="H142" s="149"/>
      <c r="I142" s="149">
        <f t="shared" si="37"/>
        <v>0</v>
      </c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2"/>
      <c r="V142" s="12"/>
      <c r="W142" s="12"/>
      <c r="X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</row>
    <row r="143" spans="1:125" ht="13.2" outlineLevel="1">
      <c r="A143" s="8"/>
      <c r="B143" s="145" t="s">
        <v>159</v>
      </c>
      <c r="C143" s="146">
        <v>1</v>
      </c>
      <c r="D143" s="147">
        <v>0.2</v>
      </c>
      <c r="E143" s="151">
        <v>0.6</v>
      </c>
      <c r="F143" s="153">
        <f>(C143*D143)*1.6</f>
        <v>0.32000000000000006</v>
      </c>
      <c r="G143" s="148">
        <f>E90+L47</f>
        <v>0</v>
      </c>
      <c r="H143" s="149"/>
      <c r="I143" s="149">
        <f t="shared" si="37"/>
        <v>0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2"/>
      <c r="V143" s="12"/>
      <c r="W143" s="12"/>
      <c r="X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</row>
    <row r="144" spans="1:125" ht="13.2" outlineLevel="1">
      <c r="A144" s="8"/>
      <c r="B144" s="145" t="s">
        <v>160</v>
      </c>
      <c r="C144" s="146">
        <v>1</v>
      </c>
      <c r="D144" s="147">
        <v>0.05</v>
      </c>
      <c r="E144" s="151">
        <v>0.6</v>
      </c>
      <c r="F144" s="153">
        <f>(C144*D144)*1.6</f>
        <v>8.0000000000000016E-2</v>
      </c>
      <c r="G144" s="148">
        <f>L87</f>
        <v>0</v>
      </c>
      <c r="H144" s="149"/>
      <c r="I144" s="149">
        <f t="shared" si="37"/>
        <v>0</v>
      </c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2"/>
      <c r="V144" s="12"/>
      <c r="W144" s="12"/>
      <c r="X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</row>
    <row r="145" spans="1:125" ht="13.2" outlineLevel="1">
      <c r="A145" s="8"/>
      <c r="B145" s="145" t="s">
        <v>161</v>
      </c>
      <c r="C145" s="150">
        <f>((2*0.025)/2)*((2*0.025)/2)*3.1416</f>
        <v>1.9635000000000004E-3</v>
      </c>
      <c r="D145" s="147">
        <v>1</v>
      </c>
      <c r="E145" s="151">
        <v>0.25</v>
      </c>
      <c r="F145" s="155">
        <f t="shared" ref="F145:F162" si="38">(C145*D145)*1.25</f>
        <v>2.4543750000000004E-3</v>
      </c>
      <c r="G145" s="148"/>
      <c r="H145" s="149"/>
      <c r="I145" s="149">
        <f t="shared" si="37"/>
        <v>0</v>
      </c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2"/>
      <c r="V145" s="12"/>
      <c r="W145" s="12"/>
      <c r="X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</row>
    <row r="146" spans="1:125" ht="13.2" outlineLevel="1">
      <c r="A146" s="8"/>
      <c r="B146" s="145" t="s">
        <v>127</v>
      </c>
      <c r="C146" s="150">
        <f>((4*0.025)/2)*((4*0.025)/2)*3.1416</f>
        <v>7.8540000000000016E-3</v>
      </c>
      <c r="D146" s="147">
        <v>1</v>
      </c>
      <c r="E146" s="151">
        <v>0.25</v>
      </c>
      <c r="F146" s="152">
        <f t="shared" si="38"/>
        <v>9.8175000000000016E-3</v>
      </c>
      <c r="G146" s="148"/>
      <c r="H146" s="149"/>
      <c r="I146" s="149">
        <f t="shared" si="37"/>
        <v>0</v>
      </c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2"/>
      <c r="V146" s="12"/>
      <c r="W146" s="12"/>
      <c r="X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</row>
    <row r="147" spans="1:125" ht="13.2" outlineLevel="1">
      <c r="A147" s="8"/>
      <c r="B147" s="145" t="s">
        <v>162</v>
      </c>
      <c r="C147" s="150">
        <f>((6*0.025)/2)*((6*0.025)/2)*3.1416</f>
        <v>1.7671500000000003E-2</v>
      </c>
      <c r="D147" s="147">
        <v>1</v>
      </c>
      <c r="E147" s="151">
        <v>0.25</v>
      </c>
      <c r="F147" s="152">
        <f t="shared" si="38"/>
        <v>2.2089375000000005E-2</v>
      </c>
      <c r="G147" s="148"/>
      <c r="H147" s="149"/>
      <c r="I147" s="149">
        <f t="shared" si="37"/>
        <v>0</v>
      </c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2"/>
      <c r="V147" s="12"/>
      <c r="W147" s="12"/>
      <c r="X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</row>
    <row r="148" spans="1:125" ht="13.2" outlineLevel="1">
      <c r="A148" s="8"/>
      <c r="B148" s="145" t="s">
        <v>299</v>
      </c>
      <c r="C148" s="154">
        <v>2.5000000000000001E-2</v>
      </c>
      <c r="D148" s="147">
        <v>0.09</v>
      </c>
      <c r="E148" s="151">
        <v>0.25</v>
      </c>
      <c r="F148" s="155">
        <f t="shared" si="38"/>
        <v>2.8124999999999999E-3</v>
      </c>
      <c r="G148" s="148"/>
      <c r="H148" s="149"/>
      <c r="I148" s="149">
        <f t="shared" si="37"/>
        <v>0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2"/>
      <c r="V148" s="12"/>
      <c r="W148" s="12"/>
      <c r="X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</row>
    <row r="149" spans="1:125" ht="13.2" outlineLevel="1">
      <c r="A149" s="8"/>
      <c r="B149" s="145" t="s">
        <v>163</v>
      </c>
      <c r="C149" s="156">
        <f>((0.253*0.253))</f>
        <v>6.4008999999999996E-2</v>
      </c>
      <c r="D149" s="147">
        <v>1</v>
      </c>
      <c r="E149" s="151">
        <v>0.25</v>
      </c>
      <c r="F149" s="153">
        <f t="shared" si="38"/>
        <v>8.0011249999999992E-2</v>
      </c>
      <c r="G149" s="148"/>
      <c r="H149" s="149"/>
      <c r="I149" s="149">
        <f t="shared" si="37"/>
        <v>0</v>
      </c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2"/>
      <c r="V149" s="12"/>
      <c r="W149" s="12"/>
      <c r="X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</row>
    <row r="150" spans="1:125" ht="13.2" outlineLevel="1">
      <c r="A150" s="8"/>
      <c r="B150" s="145" t="s">
        <v>164</v>
      </c>
      <c r="C150" s="146">
        <v>0.13</v>
      </c>
      <c r="D150" s="147">
        <v>1</v>
      </c>
      <c r="E150" s="151">
        <v>0.25</v>
      </c>
      <c r="F150" s="153">
        <f t="shared" si="38"/>
        <v>0.16250000000000001</v>
      </c>
      <c r="G150" s="148" t="e">
        <f>+#REF!</f>
        <v>#REF!</v>
      </c>
      <c r="H150" s="149"/>
      <c r="I150" s="149" t="e">
        <f t="shared" si="37"/>
        <v>#REF!</v>
      </c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2"/>
      <c r="V150" s="12"/>
      <c r="W150" s="12"/>
      <c r="X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</row>
    <row r="151" spans="1:125" ht="13.2" outlineLevel="1">
      <c r="A151" s="8"/>
      <c r="B151" s="145" t="s">
        <v>165</v>
      </c>
      <c r="C151" s="146">
        <v>0.255</v>
      </c>
      <c r="D151" s="147">
        <v>1</v>
      </c>
      <c r="E151" s="151">
        <v>0.25</v>
      </c>
      <c r="F151" s="153">
        <f t="shared" si="38"/>
        <v>0.31874999999999998</v>
      </c>
      <c r="G151" s="148"/>
      <c r="H151" s="149"/>
      <c r="I151" s="149">
        <f t="shared" si="37"/>
        <v>0</v>
      </c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2"/>
      <c r="V151" s="12"/>
      <c r="W151" s="12"/>
      <c r="X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</row>
    <row r="152" spans="1:125" ht="14.4" outlineLevel="1">
      <c r="A152" s="8"/>
      <c r="B152" s="145" t="s">
        <v>166</v>
      </c>
      <c r="C152" s="146">
        <v>0.78800000000000003</v>
      </c>
      <c r="D152" s="147">
        <v>2.5</v>
      </c>
      <c r="E152" s="151">
        <v>0.25</v>
      </c>
      <c r="F152" s="153">
        <f t="shared" si="38"/>
        <v>2.4625000000000004</v>
      </c>
      <c r="G152" s="148"/>
      <c r="H152" s="149"/>
      <c r="I152" s="149">
        <f t="shared" si="37"/>
        <v>0</v>
      </c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2"/>
      <c r="V152" s="12"/>
      <c r="W152" s="12"/>
      <c r="X152" s="12"/>
      <c r="Y152" s="114" t="s">
        <v>185</v>
      </c>
      <c r="Z152" s="114" t="s">
        <v>186</v>
      </c>
      <c r="AA152" s="125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</row>
    <row r="153" spans="1:125" ht="14.4" outlineLevel="1">
      <c r="A153" s="8"/>
      <c r="B153" s="145" t="s">
        <v>167</v>
      </c>
      <c r="C153" s="146">
        <v>0.62</v>
      </c>
      <c r="D153" s="147">
        <v>0.85</v>
      </c>
      <c r="E153" s="151">
        <v>0.25</v>
      </c>
      <c r="F153" s="153">
        <f t="shared" si="38"/>
        <v>0.65875000000000006</v>
      </c>
      <c r="G153" s="148"/>
      <c r="H153" s="149"/>
      <c r="I153" s="149">
        <f t="shared" si="37"/>
        <v>0</v>
      </c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2"/>
      <c r="V153" s="12"/>
      <c r="W153" s="12"/>
      <c r="X153" s="12"/>
      <c r="Y153" s="114"/>
      <c r="Z153" s="114" t="s">
        <v>187</v>
      </c>
      <c r="AA153" s="125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</row>
    <row r="154" spans="1:125" ht="13.2" outlineLevel="1">
      <c r="A154" s="8"/>
      <c r="B154" s="145" t="s">
        <v>168</v>
      </c>
      <c r="C154" s="146">
        <v>0.77</v>
      </c>
      <c r="D154" s="147">
        <v>0.85</v>
      </c>
      <c r="E154" s="151">
        <v>0.25</v>
      </c>
      <c r="F154" s="153">
        <f t="shared" si="38"/>
        <v>0.81812499999999999</v>
      </c>
      <c r="G154" s="148"/>
      <c r="H154" s="149"/>
      <c r="I154" s="149">
        <f t="shared" si="37"/>
        <v>0</v>
      </c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2"/>
      <c r="V154" s="12"/>
      <c r="W154" s="12"/>
      <c r="X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</row>
    <row r="155" spans="1:125" ht="13.2" outlineLevel="1">
      <c r="A155" s="8"/>
      <c r="B155" s="145" t="s">
        <v>197</v>
      </c>
      <c r="C155" s="150">
        <v>6.2E-2</v>
      </c>
      <c r="D155" s="147">
        <v>1.47</v>
      </c>
      <c r="E155" s="151">
        <v>0.25</v>
      </c>
      <c r="F155" s="153">
        <f>(C155*D155)*1.25</f>
        <v>0.113925</v>
      </c>
      <c r="G155" s="148"/>
      <c r="H155" s="149"/>
      <c r="I155" s="149">
        <f t="shared" si="37"/>
        <v>0</v>
      </c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2"/>
      <c r="V155" s="12"/>
      <c r="W155" s="12"/>
      <c r="X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</row>
    <row r="156" spans="1:125" ht="13.2" outlineLevel="1">
      <c r="A156" s="8"/>
      <c r="B156" s="145" t="s">
        <v>198</v>
      </c>
      <c r="C156" s="150">
        <v>7.0999999999999994E-2</v>
      </c>
      <c r="D156" s="147">
        <v>1.6</v>
      </c>
      <c r="E156" s="151">
        <v>0.25</v>
      </c>
      <c r="F156" s="153">
        <f>(C156*D156)*1.25</f>
        <v>0.14199999999999999</v>
      </c>
      <c r="G156" s="148"/>
      <c r="H156" s="149"/>
      <c r="I156" s="149">
        <f t="shared" si="37"/>
        <v>0</v>
      </c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2"/>
      <c r="V156" s="12"/>
      <c r="W156" s="12"/>
      <c r="X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</row>
    <row r="157" spans="1:125" ht="13.2" outlineLevel="1">
      <c r="A157" s="8"/>
      <c r="B157" s="145" t="s">
        <v>199</v>
      </c>
      <c r="C157" s="150">
        <v>0.08</v>
      </c>
      <c r="D157" s="147">
        <v>1.75</v>
      </c>
      <c r="E157" s="151">
        <v>0.25</v>
      </c>
      <c r="F157" s="153">
        <f>(C157*D157)*1.25</f>
        <v>0.17500000000000002</v>
      </c>
      <c r="G157" s="148"/>
      <c r="H157" s="149"/>
      <c r="I157" s="149">
        <f t="shared" si="37"/>
        <v>0</v>
      </c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2"/>
      <c r="V157" s="12"/>
      <c r="W157" s="12"/>
      <c r="X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</row>
    <row r="158" spans="1:125" ht="13.2" outlineLevel="1">
      <c r="A158" s="8"/>
      <c r="B158" s="145" t="s">
        <v>169</v>
      </c>
      <c r="C158" s="156">
        <f>(0.4*0.4*3.14)</f>
        <v>0.50240000000000007</v>
      </c>
      <c r="D158" s="147">
        <v>0.87</v>
      </c>
      <c r="E158" s="151">
        <v>0.25</v>
      </c>
      <c r="F158" s="153">
        <f t="shared" si="38"/>
        <v>0.54636000000000007</v>
      </c>
      <c r="G158" s="148"/>
      <c r="H158" s="149"/>
      <c r="I158" s="149">
        <f t="shared" si="37"/>
        <v>0</v>
      </c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2"/>
      <c r="V158" s="12"/>
      <c r="W158" s="12"/>
      <c r="X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</row>
    <row r="159" spans="1:125" ht="13.2" outlineLevel="1">
      <c r="A159" s="8"/>
      <c r="B159" s="145" t="s">
        <v>170</v>
      </c>
      <c r="C159" s="156">
        <f>((0.5*0.5*3.1416))</f>
        <v>0.78539999999999999</v>
      </c>
      <c r="D159" s="147">
        <f>10*0.1</f>
        <v>1</v>
      </c>
      <c r="E159" s="151">
        <v>0.25</v>
      </c>
      <c r="F159" s="153">
        <f t="shared" si="38"/>
        <v>0.98175000000000001</v>
      </c>
      <c r="G159" s="148"/>
      <c r="H159" s="149"/>
      <c r="I159" s="149">
        <f t="shared" si="37"/>
        <v>0</v>
      </c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2"/>
      <c r="V159" s="12"/>
      <c r="W159" s="12"/>
      <c r="X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</row>
    <row r="160" spans="1:125" ht="13.2" outlineLevel="1">
      <c r="A160" s="8"/>
      <c r="B160" s="145" t="s">
        <v>171</v>
      </c>
      <c r="C160" s="156">
        <f>((0.5*0.5*3.1416))</f>
        <v>0.78539999999999999</v>
      </c>
      <c r="D160" s="147">
        <f>11*0.1</f>
        <v>1.1000000000000001</v>
      </c>
      <c r="E160" s="151">
        <v>0.25</v>
      </c>
      <c r="F160" s="153">
        <f t="shared" si="38"/>
        <v>1.079925</v>
      </c>
      <c r="G160" s="148"/>
      <c r="H160" s="149"/>
      <c r="I160" s="149">
        <f t="shared" si="37"/>
        <v>0</v>
      </c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2"/>
      <c r="V160" s="12"/>
      <c r="W160" s="12"/>
      <c r="X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</row>
    <row r="161" spans="1:125" ht="13.2" outlineLevel="1">
      <c r="A161" s="8"/>
      <c r="B161" s="145" t="s">
        <v>172</v>
      </c>
      <c r="C161" s="156">
        <f>((0.5*0.5*3.1416))</f>
        <v>0.78539999999999999</v>
      </c>
      <c r="D161" s="147">
        <f>13*0.1</f>
        <v>1.3</v>
      </c>
      <c r="E161" s="151">
        <v>0.25</v>
      </c>
      <c r="F161" s="153">
        <f t="shared" si="38"/>
        <v>1.276275</v>
      </c>
      <c r="G161" s="148"/>
      <c r="H161" s="149"/>
      <c r="I161" s="149">
        <f t="shared" si="37"/>
        <v>0</v>
      </c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2"/>
      <c r="V161" s="12"/>
      <c r="W161" s="12"/>
      <c r="X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</row>
    <row r="162" spans="1:125" ht="13.2" outlineLevel="1">
      <c r="A162" s="8"/>
      <c r="B162" s="145" t="s">
        <v>173</v>
      </c>
      <c r="C162" s="156">
        <f>((0.5*0.5*3.1416))</f>
        <v>0.78539999999999999</v>
      </c>
      <c r="D162" s="147">
        <f>15*0.1</f>
        <v>1.5</v>
      </c>
      <c r="E162" s="151">
        <v>0.25</v>
      </c>
      <c r="F162" s="153">
        <f t="shared" si="38"/>
        <v>1.4726249999999999</v>
      </c>
      <c r="G162" s="148"/>
      <c r="H162" s="149"/>
      <c r="I162" s="149">
        <f t="shared" si="37"/>
        <v>0</v>
      </c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2"/>
      <c r="V162" s="12"/>
      <c r="W162" s="12"/>
      <c r="X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</row>
    <row r="163" spans="1:125" ht="13.2" outlineLevel="1">
      <c r="A163" s="8"/>
      <c r="B163" s="157" t="s">
        <v>200</v>
      </c>
      <c r="C163" s="158">
        <v>0.5</v>
      </c>
      <c r="D163" s="159">
        <v>0.64</v>
      </c>
      <c r="E163" s="151">
        <v>1.25</v>
      </c>
      <c r="F163" s="153">
        <f t="shared" ref="F163:F168" si="39">(C163*D163)*1.25</f>
        <v>0.4</v>
      </c>
      <c r="G163" s="148"/>
      <c r="H163" s="149"/>
      <c r="I163" s="149">
        <f t="shared" si="37"/>
        <v>0</v>
      </c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2"/>
      <c r="V163" s="12"/>
      <c r="W163" s="12"/>
      <c r="X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</row>
    <row r="164" spans="1:125" ht="13.2" outlineLevel="1">
      <c r="A164" s="8"/>
      <c r="B164" s="157" t="s">
        <v>201</v>
      </c>
      <c r="C164" s="160">
        <v>0.5</v>
      </c>
      <c r="D164" s="159">
        <v>0.7</v>
      </c>
      <c r="E164" s="161">
        <v>1.25</v>
      </c>
      <c r="F164" s="153">
        <f t="shared" si="39"/>
        <v>0.4375</v>
      </c>
      <c r="G164" s="148"/>
      <c r="H164" s="149"/>
      <c r="I164" s="149">
        <f t="shared" si="37"/>
        <v>0</v>
      </c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2"/>
      <c r="V164" s="12"/>
      <c r="W164" s="12"/>
      <c r="X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</row>
    <row r="165" spans="1:125" ht="13.2" outlineLevel="1">
      <c r="A165" s="8"/>
      <c r="B165" s="145" t="s">
        <v>174</v>
      </c>
      <c r="C165" s="146">
        <v>1</v>
      </c>
      <c r="D165" s="147">
        <v>0.2</v>
      </c>
      <c r="E165" s="151">
        <v>0.25</v>
      </c>
      <c r="F165" s="153">
        <f t="shared" si="39"/>
        <v>0.25</v>
      </c>
      <c r="G165" s="148">
        <f>E182</f>
        <v>-0.05</v>
      </c>
      <c r="H165" s="149"/>
      <c r="I165" s="149">
        <f t="shared" si="37"/>
        <v>-1.2500000000000001E-2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2"/>
      <c r="V165" s="12"/>
      <c r="W165" s="12"/>
      <c r="X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</row>
    <row r="166" spans="1:125" ht="13.2" outlineLevel="1">
      <c r="A166" s="8"/>
      <c r="B166" s="145" t="s">
        <v>175</v>
      </c>
      <c r="C166" s="146">
        <v>0.64</v>
      </c>
      <c r="D166" s="147">
        <v>1.2</v>
      </c>
      <c r="E166" s="151">
        <v>0.25</v>
      </c>
      <c r="F166" s="153">
        <f t="shared" si="39"/>
        <v>0.96</v>
      </c>
      <c r="G166" s="148"/>
      <c r="H166" s="149"/>
      <c r="I166" s="149">
        <f t="shared" si="37"/>
        <v>0</v>
      </c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2"/>
      <c r="V166" s="12"/>
      <c r="W166" s="12"/>
      <c r="X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</row>
    <row r="167" spans="1:125" ht="13.2" outlineLevel="1">
      <c r="A167" s="8"/>
      <c r="B167" s="157" t="s">
        <v>202</v>
      </c>
      <c r="C167" s="160">
        <v>0.12</v>
      </c>
      <c r="D167" s="159">
        <v>0.25</v>
      </c>
      <c r="E167" s="161">
        <v>0.25</v>
      </c>
      <c r="F167" s="153">
        <f t="shared" si="39"/>
        <v>3.7499999999999999E-2</v>
      </c>
      <c r="G167" s="162"/>
      <c r="H167" s="149"/>
      <c r="I167" s="149">
        <f t="shared" si="37"/>
        <v>0</v>
      </c>
      <c r="J167" s="19"/>
      <c r="K167" s="122"/>
      <c r="L167" s="19"/>
      <c r="M167" s="19"/>
      <c r="N167" s="19"/>
      <c r="O167" s="19"/>
      <c r="P167" s="19"/>
      <c r="Q167" s="19"/>
      <c r="R167" s="19"/>
      <c r="S167" s="19"/>
      <c r="T167" s="19"/>
      <c r="U167" s="12"/>
      <c r="V167" s="12"/>
      <c r="W167" s="12"/>
      <c r="X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</row>
    <row r="168" spans="1:125" ht="13.8" outlineLevel="1" thickBot="1">
      <c r="A168" s="8"/>
      <c r="B168" s="157" t="s">
        <v>203</v>
      </c>
      <c r="C168" s="160">
        <f>0.5*3</f>
        <v>1.5</v>
      </c>
      <c r="D168" s="159">
        <v>0.5</v>
      </c>
      <c r="E168" s="161">
        <v>0.25</v>
      </c>
      <c r="F168" s="163">
        <f t="shared" si="39"/>
        <v>0.9375</v>
      </c>
      <c r="G168" s="162"/>
      <c r="H168" s="164"/>
      <c r="I168" s="164">
        <f t="shared" si="37"/>
        <v>0</v>
      </c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2"/>
      <c r="V168" s="12"/>
      <c r="W168" s="12"/>
      <c r="X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</row>
    <row r="169" spans="1:125" ht="13.8" thickBot="1">
      <c r="A169" s="8"/>
      <c r="B169" s="135"/>
      <c r="C169" s="136"/>
      <c r="D169" s="136"/>
      <c r="E169" s="136"/>
      <c r="F169" s="136"/>
      <c r="G169" s="137" t="s">
        <v>1</v>
      </c>
      <c r="H169" s="138">
        <f>SUM(H141:H168)</f>
        <v>0</v>
      </c>
      <c r="I169" s="139" t="e">
        <f>SUM(I140:I168)</f>
        <v>#REF!</v>
      </c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2"/>
      <c r="V169" s="12"/>
      <c r="W169" s="12"/>
      <c r="X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</row>
    <row r="170" spans="1:125" ht="13.2">
      <c r="A170" s="8"/>
      <c r="B170" s="12"/>
      <c r="C170" s="12"/>
      <c r="D170" s="69"/>
      <c r="E170" s="19"/>
      <c r="F170" s="19"/>
      <c r="G170" s="19"/>
      <c r="H170" s="67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2"/>
      <c r="V170" s="12"/>
      <c r="W170" s="12"/>
      <c r="X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</row>
    <row r="171" spans="1:125" ht="13.2">
      <c r="A171" s="8"/>
      <c r="B171" s="472" t="s">
        <v>128</v>
      </c>
      <c r="C171" s="473"/>
      <c r="D171" s="473"/>
      <c r="E171" s="474"/>
      <c r="F171" s="57"/>
      <c r="G171" s="95"/>
      <c r="H171" s="96"/>
      <c r="I171" s="1"/>
      <c r="J171" s="22"/>
      <c r="K171" s="1"/>
      <c r="L171" s="19"/>
      <c r="M171" s="57"/>
      <c r="N171" s="57"/>
      <c r="O171" s="57"/>
      <c r="P171" s="57"/>
      <c r="Q171" s="19"/>
      <c r="R171" s="57"/>
      <c r="S171" s="57"/>
      <c r="T171" s="57"/>
      <c r="U171" s="12"/>
      <c r="V171" s="12"/>
      <c r="W171" s="12"/>
      <c r="X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</row>
    <row r="172" spans="1:125" ht="13.2">
      <c r="A172" s="8"/>
      <c r="B172" s="86"/>
      <c r="C172" s="75"/>
      <c r="D172" s="75"/>
      <c r="E172" s="184"/>
      <c r="F172" s="57"/>
      <c r="G172" s="95"/>
      <c r="H172" s="96"/>
      <c r="I172" s="1"/>
      <c r="J172" s="22"/>
      <c r="K172" s="1"/>
      <c r="L172" s="19"/>
      <c r="M172" s="57"/>
      <c r="N172" s="57"/>
      <c r="O172" s="57"/>
      <c r="P172" s="57"/>
      <c r="Q172" s="19"/>
      <c r="R172" s="57"/>
      <c r="S172" s="57"/>
      <c r="T172" s="57"/>
      <c r="U172" s="12"/>
      <c r="V172" s="12"/>
      <c r="W172" s="12"/>
      <c r="X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</row>
    <row r="173" spans="1:125" ht="13.2">
      <c r="A173" s="8"/>
      <c r="B173" s="126" t="s">
        <v>138</v>
      </c>
      <c r="C173" s="41"/>
      <c r="D173" s="66"/>
      <c r="E173" s="97"/>
      <c r="F173" s="1" t="s">
        <v>33</v>
      </c>
      <c r="G173" s="95"/>
      <c r="H173" s="96"/>
      <c r="I173" s="1"/>
      <c r="J173" s="22"/>
      <c r="K173" s="1"/>
      <c r="L173" s="98"/>
      <c r="M173" s="98"/>
      <c r="N173" s="98"/>
      <c r="O173" s="98"/>
      <c r="P173" s="98"/>
      <c r="Q173" s="98"/>
      <c r="R173" s="98"/>
      <c r="S173" s="98"/>
      <c r="T173" s="98"/>
      <c r="U173" s="12"/>
      <c r="V173" s="12"/>
      <c r="W173" s="12"/>
      <c r="X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</row>
    <row r="174" spans="1:125" ht="13.2">
      <c r="A174" s="8"/>
      <c r="B174" s="127" t="s">
        <v>139</v>
      </c>
      <c r="C174" s="29"/>
      <c r="D174" s="12"/>
      <c r="E174" s="97">
        <f>E50+L47+E74+L71</f>
        <v>-0.05</v>
      </c>
      <c r="F174" s="1" t="s">
        <v>140</v>
      </c>
      <c r="G174" s="95"/>
      <c r="H174" s="96"/>
      <c r="I174" s="1"/>
      <c r="J174" s="22"/>
      <c r="K174" s="1"/>
      <c r="L174" s="98"/>
      <c r="M174" s="98"/>
      <c r="N174" s="98"/>
      <c r="O174" s="98"/>
      <c r="P174" s="98"/>
      <c r="Q174" s="98"/>
      <c r="R174" s="98"/>
      <c r="S174" s="98"/>
      <c r="T174" s="98"/>
      <c r="U174" s="12"/>
      <c r="V174" s="12"/>
      <c r="W174" s="12"/>
      <c r="X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</row>
    <row r="175" spans="1:125" ht="13.2">
      <c r="A175" s="8"/>
      <c r="B175" s="127" t="s">
        <v>129</v>
      </c>
      <c r="C175" s="29"/>
      <c r="D175" s="12"/>
      <c r="E175" s="99">
        <f>E90</f>
        <v>0</v>
      </c>
      <c r="F175" s="1" t="s">
        <v>34</v>
      </c>
      <c r="G175" s="100"/>
      <c r="H175" s="100"/>
      <c r="I175" s="1"/>
      <c r="J175" s="22"/>
      <c r="K175" s="1"/>
      <c r="L175" s="98"/>
      <c r="M175" s="98"/>
      <c r="N175" s="98"/>
      <c r="O175" s="98"/>
      <c r="P175" s="98"/>
      <c r="Q175" s="98"/>
      <c r="R175" s="98"/>
      <c r="S175" s="98"/>
      <c r="T175" s="98"/>
      <c r="U175" s="12"/>
      <c r="V175" s="12"/>
      <c r="W175" s="12"/>
      <c r="X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</row>
    <row r="176" spans="1:125" ht="13.2">
      <c r="A176" s="8"/>
      <c r="B176" s="127" t="s">
        <v>130</v>
      </c>
      <c r="C176" s="29"/>
      <c r="D176" s="12"/>
      <c r="E176" s="99">
        <f>L87</f>
        <v>0</v>
      </c>
      <c r="F176" s="1" t="s">
        <v>43</v>
      </c>
      <c r="G176" s="100"/>
      <c r="H176" s="100"/>
      <c r="I176" s="1"/>
      <c r="J176" s="22"/>
      <c r="K176" s="1"/>
      <c r="L176" s="98"/>
      <c r="M176" s="98"/>
      <c r="N176" s="98"/>
      <c r="O176" s="98"/>
      <c r="P176" s="98"/>
      <c r="Q176" s="98"/>
      <c r="R176" s="98"/>
      <c r="S176" s="98"/>
      <c r="T176" s="98"/>
      <c r="U176" s="12"/>
      <c r="V176" s="12"/>
      <c r="W176" s="12"/>
      <c r="X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</row>
    <row r="177" spans="1:125" ht="13.2">
      <c r="A177" s="8"/>
      <c r="B177" s="127" t="s">
        <v>131</v>
      </c>
      <c r="C177" s="29"/>
      <c r="D177" s="12"/>
      <c r="E177" s="99">
        <f>+F62</f>
        <v>0</v>
      </c>
      <c r="F177" s="1" t="s">
        <v>137</v>
      </c>
      <c r="G177" s="100"/>
      <c r="H177" s="100"/>
      <c r="I177" s="1"/>
      <c r="J177" s="22"/>
      <c r="K177" s="1"/>
      <c r="L177" s="98"/>
      <c r="M177" s="98"/>
      <c r="N177" s="98"/>
      <c r="O177" s="98"/>
      <c r="P177" s="98"/>
      <c r="Q177" s="98"/>
      <c r="R177" s="98"/>
      <c r="S177" s="98"/>
      <c r="T177" s="98"/>
      <c r="U177" s="12"/>
      <c r="V177" s="12"/>
      <c r="W177" s="18"/>
      <c r="X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</row>
    <row r="178" spans="1:125" ht="13.2">
      <c r="A178" s="8"/>
      <c r="B178" s="128" t="s">
        <v>22</v>
      </c>
      <c r="C178" s="101"/>
      <c r="D178" s="12"/>
      <c r="E178" s="99">
        <f>F50</f>
        <v>-0.05</v>
      </c>
      <c r="F178" s="1" t="s">
        <v>35</v>
      </c>
      <c r="G178" s="100"/>
      <c r="H178" s="100"/>
      <c r="I178" s="1"/>
      <c r="J178" s="22"/>
      <c r="K178" s="1"/>
      <c r="L178" s="98"/>
      <c r="M178" s="98"/>
      <c r="N178" s="98"/>
      <c r="O178" s="98"/>
      <c r="P178" s="98"/>
      <c r="Q178" s="98"/>
      <c r="R178" s="98"/>
      <c r="S178" s="98"/>
      <c r="T178" s="98"/>
      <c r="U178" s="12"/>
      <c r="V178" s="12"/>
      <c r="W178" s="18"/>
      <c r="X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</row>
    <row r="179" spans="1:125" ht="13.2">
      <c r="A179" s="8"/>
      <c r="B179" s="128" t="s">
        <v>183</v>
      </c>
      <c r="C179" s="101"/>
      <c r="D179" s="12"/>
      <c r="E179" s="99">
        <f>+F74</f>
        <v>0</v>
      </c>
      <c r="F179" s="1" t="s">
        <v>178</v>
      </c>
      <c r="G179" s="100"/>
      <c r="H179" s="100"/>
      <c r="I179" s="1"/>
      <c r="J179" s="22"/>
      <c r="K179" s="1"/>
      <c r="L179" s="98"/>
      <c r="M179" s="98"/>
      <c r="N179" s="98"/>
      <c r="O179" s="98"/>
      <c r="P179" s="98"/>
      <c r="Q179" s="98"/>
      <c r="R179" s="98"/>
      <c r="S179" s="98"/>
      <c r="T179" s="98"/>
      <c r="U179" s="12"/>
      <c r="V179" s="12"/>
      <c r="W179" s="18"/>
      <c r="X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</row>
    <row r="180" spans="1:125" ht="13.2">
      <c r="A180" s="8"/>
      <c r="B180" s="128" t="s">
        <v>23</v>
      </c>
      <c r="C180" s="101"/>
      <c r="D180" s="12"/>
      <c r="E180" s="99">
        <f>M47+F90+M71</f>
        <v>0</v>
      </c>
      <c r="F180" s="1" t="s">
        <v>36</v>
      </c>
      <c r="G180" s="100"/>
      <c r="H180" s="100"/>
      <c r="I180" s="1"/>
      <c r="J180" s="22"/>
      <c r="K180" s="1"/>
      <c r="L180" s="98"/>
      <c r="M180" s="98"/>
      <c r="N180" s="98"/>
      <c r="O180" s="98"/>
      <c r="P180" s="98"/>
      <c r="Q180" s="98"/>
      <c r="R180" s="98"/>
      <c r="S180" s="98"/>
      <c r="T180" s="98"/>
      <c r="U180" s="12"/>
      <c r="V180" s="12"/>
      <c r="W180" s="18"/>
      <c r="X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</row>
    <row r="181" spans="1:125" ht="13.2">
      <c r="A181" s="8"/>
      <c r="B181" s="128" t="s">
        <v>132</v>
      </c>
      <c r="C181" s="101"/>
      <c r="D181" s="12"/>
      <c r="E181" s="99">
        <f>M87</f>
        <v>0</v>
      </c>
      <c r="F181" s="1" t="s">
        <v>44</v>
      </c>
      <c r="G181" s="100"/>
      <c r="H181" s="100"/>
      <c r="I181" s="1"/>
      <c r="J181" s="22"/>
      <c r="K181" s="1"/>
      <c r="L181" s="98"/>
      <c r="M181" s="98"/>
      <c r="N181" s="98"/>
      <c r="O181" s="98"/>
      <c r="P181" s="98"/>
      <c r="Q181" s="98"/>
      <c r="R181" s="98"/>
      <c r="S181" s="98"/>
      <c r="T181" s="98"/>
      <c r="U181" s="12"/>
      <c r="V181" s="12"/>
      <c r="W181" s="18"/>
      <c r="X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</row>
    <row r="182" spans="1:125" ht="13.2">
      <c r="A182" s="8"/>
      <c r="B182" s="128" t="s">
        <v>24</v>
      </c>
      <c r="C182" s="101"/>
      <c r="D182" s="12"/>
      <c r="E182" s="99">
        <f>S50+S105+S87+S74</f>
        <v>-0.05</v>
      </c>
      <c r="F182" s="1" t="s">
        <v>38</v>
      </c>
      <c r="G182" s="100"/>
      <c r="H182" s="100"/>
      <c r="I182" s="1"/>
      <c r="J182" s="22"/>
      <c r="K182" s="1"/>
      <c r="L182" s="98"/>
      <c r="M182" s="98"/>
      <c r="N182" s="98"/>
      <c r="O182" s="98"/>
      <c r="P182" s="98"/>
      <c r="Q182" s="98"/>
      <c r="R182" s="98"/>
      <c r="S182" s="98"/>
      <c r="T182" s="98"/>
      <c r="U182" s="12"/>
      <c r="V182" s="12"/>
      <c r="W182" s="18"/>
      <c r="X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</row>
    <row r="183" spans="1:125" ht="13.2">
      <c r="A183" s="8"/>
      <c r="B183" s="128" t="s">
        <v>26</v>
      </c>
      <c r="C183" s="101"/>
      <c r="D183" s="12"/>
      <c r="E183" s="99" t="e">
        <f>+I169</f>
        <v>#REF!</v>
      </c>
      <c r="F183" s="1" t="s">
        <v>40</v>
      </c>
      <c r="G183" s="98"/>
      <c r="H183" s="67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12"/>
      <c r="V183" s="12"/>
      <c r="W183" s="18"/>
      <c r="X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</row>
    <row r="184" spans="1:125" ht="13.2">
      <c r="A184" s="8"/>
      <c r="B184" s="128" t="s">
        <v>133</v>
      </c>
      <c r="C184" s="101"/>
      <c r="D184" s="12"/>
      <c r="E184" s="99">
        <f>+F107</f>
        <v>-0.05</v>
      </c>
      <c r="F184" s="1" t="s">
        <v>134</v>
      </c>
      <c r="G184" s="98"/>
      <c r="H184" s="67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12"/>
      <c r="V184" s="12"/>
      <c r="W184" s="18"/>
      <c r="X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</row>
    <row r="185" spans="1:125" ht="13.2">
      <c r="A185" s="8"/>
      <c r="B185" s="128" t="s">
        <v>181</v>
      </c>
      <c r="C185" s="101"/>
      <c r="D185" s="12"/>
      <c r="E185" s="99">
        <f>+E122</f>
        <v>0</v>
      </c>
      <c r="F185" s="1" t="s">
        <v>177</v>
      </c>
      <c r="G185" s="98"/>
      <c r="H185" s="67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12"/>
      <c r="V185" s="12"/>
      <c r="W185" s="18"/>
      <c r="X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</row>
    <row r="186" spans="1:125" ht="13.2">
      <c r="A186" s="8"/>
      <c r="B186" s="128" t="s">
        <v>25</v>
      </c>
      <c r="C186" s="101"/>
      <c r="D186" s="12"/>
      <c r="E186" s="99">
        <f>+F136</f>
        <v>0</v>
      </c>
      <c r="F186" s="1" t="s">
        <v>39</v>
      </c>
      <c r="G186" s="98"/>
      <c r="H186" s="67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12"/>
      <c r="V186" s="12"/>
      <c r="W186" s="18"/>
      <c r="X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</row>
    <row r="187" spans="1:125" ht="13.2">
      <c r="A187" s="8"/>
      <c r="B187" s="129" t="s">
        <v>135</v>
      </c>
      <c r="C187" s="102"/>
      <c r="D187" s="60"/>
      <c r="E187" s="103">
        <f>+Q47+Q87+Q71</f>
        <v>0</v>
      </c>
      <c r="F187" s="1" t="s">
        <v>37</v>
      </c>
      <c r="G187" s="98"/>
      <c r="H187" s="67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12"/>
      <c r="V187" s="12"/>
      <c r="W187" s="18"/>
      <c r="X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</row>
    <row r="188" spans="1:125" ht="13.2">
      <c r="A188" s="8"/>
      <c r="B188" s="130"/>
      <c r="C188" s="101"/>
      <c r="D188" s="12"/>
      <c r="E188" s="98"/>
      <c r="F188" s="1"/>
      <c r="G188" s="98"/>
      <c r="H188" s="67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12"/>
      <c r="V188" s="12"/>
      <c r="W188" s="18"/>
      <c r="X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</row>
    <row r="189" spans="1:125" ht="20.399999999999999" thickBot="1">
      <c r="A189" s="8"/>
      <c r="B189" s="106" t="s">
        <v>189</v>
      </c>
      <c r="C189" s="9"/>
      <c r="D189" s="9"/>
      <c r="E189" s="9"/>
      <c r="F189" s="120"/>
      <c r="G189" s="119"/>
      <c r="H189" s="11"/>
      <c r="I189" s="9"/>
      <c r="J189" s="9"/>
      <c r="K189" s="9"/>
      <c r="L189" s="10"/>
      <c r="M189" s="9"/>
      <c r="N189" s="9"/>
      <c r="O189" s="9"/>
      <c r="P189" s="9"/>
      <c r="Q189" s="10"/>
      <c r="R189" s="9"/>
      <c r="S189" s="9"/>
      <c r="T189" s="9"/>
      <c r="U189" s="9"/>
      <c r="V189" s="9"/>
      <c r="W189" s="10"/>
      <c r="X189" s="9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</row>
    <row r="190" spans="1:125" ht="13.8" thickTop="1">
      <c r="A190" s="8"/>
      <c r="B190" s="8"/>
      <c r="C190" s="15"/>
      <c r="D190" s="16"/>
      <c r="E190" s="16"/>
      <c r="F190" s="16"/>
      <c r="G190" s="15"/>
      <c r="H190" s="17"/>
      <c r="I190" s="16"/>
      <c r="J190" s="16"/>
      <c r="K190" s="16"/>
      <c r="L190" s="15"/>
      <c r="M190" s="16"/>
      <c r="N190" s="16"/>
      <c r="O190" s="16"/>
      <c r="P190" s="16"/>
      <c r="Q190" s="15"/>
      <c r="R190" s="16"/>
      <c r="S190" s="16"/>
      <c r="T190" s="16"/>
      <c r="U190" s="12"/>
      <c r="V190" s="12"/>
      <c r="W190" s="18"/>
      <c r="X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</row>
    <row r="191" spans="1:125" ht="13.2">
      <c r="A191" s="8"/>
      <c r="B191" s="469" t="s">
        <v>11</v>
      </c>
      <c r="C191" s="470"/>
      <c r="D191" s="471"/>
      <c r="E191" s="108" t="s">
        <v>54</v>
      </c>
      <c r="F191" s="108" t="s">
        <v>55</v>
      </c>
      <c r="G191" s="19"/>
      <c r="H191" s="17"/>
      <c r="I191" s="475" t="s">
        <v>41</v>
      </c>
      <c r="J191" s="475"/>
      <c r="K191" s="475"/>
      <c r="L191" s="108" t="s">
        <v>54</v>
      </c>
      <c r="M191" s="108" t="s">
        <v>55</v>
      </c>
      <c r="N191" s="3"/>
      <c r="O191" s="469" t="s">
        <v>12</v>
      </c>
      <c r="P191" s="470"/>
      <c r="Q191" s="471"/>
      <c r="R191" s="3"/>
      <c r="S191" s="108" t="s">
        <v>56</v>
      </c>
      <c r="T191" s="3"/>
      <c r="U191" s="469" t="s">
        <v>57</v>
      </c>
      <c r="V191" s="470"/>
      <c r="W191" s="470"/>
      <c r="X191" s="471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</row>
    <row r="192" spans="1:125" ht="13.2" outlineLevel="1">
      <c r="A192" s="8"/>
      <c r="B192" s="109" t="s">
        <v>14</v>
      </c>
      <c r="C192" s="109" t="s">
        <v>28</v>
      </c>
      <c r="D192" s="110" t="s">
        <v>29</v>
      </c>
      <c r="E192" s="109" t="s">
        <v>30</v>
      </c>
      <c r="F192" s="109" t="s">
        <v>30</v>
      </c>
      <c r="G192" s="108" t="s">
        <v>42</v>
      </c>
      <c r="H192" s="22"/>
      <c r="I192" s="108" t="s">
        <v>14</v>
      </c>
      <c r="J192" s="108" t="s">
        <v>28</v>
      </c>
      <c r="K192" s="108" t="s">
        <v>29</v>
      </c>
      <c r="L192" s="109" t="s">
        <v>30</v>
      </c>
      <c r="M192" s="109" t="s">
        <v>30</v>
      </c>
      <c r="N192" s="3"/>
      <c r="O192" s="108" t="s">
        <v>29</v>
      </c>
      <c r="P192" s="108" t="s">
        <v>59</v>
      </c>
      <c r="Q192" s="108" t="s">
        <v>4</v>
      </c>
      <c r="R192" s="3"/>
      <c r="S192" s="108" t="s">
        <v>30</v>
      </c>
      <c r="T192" s="3"/>
      <c r="U192" s="108" t="s">
        <v>28</v>
      </c>
      <c r="V192" s="109" t="s">
        <v>59</v>
      </c>
      <c r="W192" s="109" t="s">
        <v>4</v>
      </c>
      <c r="X192" s="109" t="s">
        <v>60</v>
      </c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</row>
    <row r="193" spans="1:125" ht="13.2" outlineLevel="1">
      <c r="A193" s="8"/>
      <c r="B193" s="23" t="s">
        <v>61</v>
      </c>
      <c r="C193" s="113"/>
      <c r="D193" s="111"/>
      <c r="E193" s="25">
        <f>+C193*D193</f>
        <v>0</v>
      </c>
      <c r="F193" s="26">
        <f>+C193*D193</f>
        <v>0</v>
      </c>
      <c r="G193" s="27"/>
      <c r="H193" s="28"/>
      <c r="I193" s="23" t="s">
        <v>62</v>
      </c>
      <c r="J193" s="24"/>
      <c r="K193" s="24"/>
      <c r="L193" s="25">
        <f>+J193*K193</f>
        <v>0</v>
      </c>
      <c r="M193" s="25">
        <f>+J193*K193</f>
        <v>0</v>
      </c>
      <c r="N193" s="29"/>
      <c r="O193" s="24">
        <f>+D193</f>
        <v>0</v>
      </c>
      <c r="P193" s="24"/>
      <c r="Q193" s="25">
        <f>+O193*P193</f>
        <v>0</v>
      </c>
      <c r="R193" s="30"/>
      <c r="S193" s="25">
        <f>+F193+M193</f>
        <v>0</v>
      </c>
      <c r="T193" s="30"/>
      <c r="U193" s="24"/>
      <c r="V193" s="24"/>
      <c r="W193" s="25">
        <f>+U193*V193</f>
        <v>0</v>
      </c>
      <c r="X193" s="31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</row>
    <row r="194" spans="1:125" ht="13.2" outlineLevel="1">
      <c r="A194" s="8"/>
      <c r="B194" s="32" t="s">
        <v>63</v>
      </c>
      <c r="C194" s="33"/>
      <c r="D194" s="112"/>
      <c r="E194" s="34">
        <f>+C194*D194</f>
        <v>0</v>
      </c>
      <c r="F194" s="35">
        <f>+C194*D194</f>
        <v>0</v>
      </c>
      <c r="G194" s="36"/>
      <c r="H194" s="28"/>
      <c r="I194" s="32" t="s">
        <v>64</v>
      </c>
      <c r="J194" s="33"/>
      <c r="K194" s="33"/>
      <c r="L194" s="34">
        <f>+J194*K194</f>
        <v>0</v>
      </c>
      <c r="M194" s="34">
        <f>+J194*K194</f>
        <v>0</v>
      </c>
      <c r="N194" s="29"/>
      <c r="O194" s="33">
        <f>+D194</f>
        <v>0</v>
      </c>
      <c r="P194" s="33"/>
      <c r="Q194" s="34">
        <f>+O194*P194</f>
        <v>0</v>
      </c>
      <c r="R194" s="30"/>
      <c r="S194" s="34">
        <f>+F194+M194</f>
        <v>0</v>
      </c>
      <c r="T194" s="30"/>
      <c r="U194" s="33"/>
      <c r="V194" s="33"/>
      <c r="W194" s="34">
        <f>+U194*V194</f>
        <v>0</v>
      </c>
      <c r="X194" s="37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</row>
    <row r="195" spans="1:125" ht="13.2" outlineLevel="1">
      <c r="A195" s="8"/>
      <c r="B195" s="32" t="s">
        <v>65</v>
      </c>
      <c r="C195" s="33"/>
      <c r="D195" s="112"/>
      <c r="E195" s="34">
        <f>+C195*D195</f>
        <v>0</v>
      </c>
      <c r="F195" s="35">
        <f>+C195*D195</f>
        <v>0</v>
      </c>
      <c r="G195" s="37"/>
      <c r="H195" s="28"/>
      <c r="I195" s="32" t="s">
        <v>66</v>
      </c>
      <c r="J195" s="33"/>
      <c r="K195" s="33"/>
      <c r="L195" s="34">
        <f>+J195*K195</f>
        <v>0</v>
      </c>
      <c r="M195" s="34">
        <f>+J195*K195</f>
        <v>0</v>
      </c>
      <c r="N195" s="29"/>
      <c r="O195" s="33">
        <f>+D195</f>
        <v>0</v>
      </c>
      <c r="P195" s="33"/>
      <c r="Q195" s="34">
        <f>+O195*P195</f>
        <v>0</v>
      </c>
      <c r="R195" s="30"/>
      <c r="S195" s="34">
        <f>+F195+M195</f>
        <v>0</v>
      </c>
      <c r="T195" s="30"/>
      <c r="U195" s="33"/>
      <c r="V195" s="33"/>
      <c r="W195" s="34">
        <f>+U195*V195</f>
        <v>0</v>
      </c>
      <c r="X195" s="37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</row>
    <row r="196" spans="1:125" ht="13.2" outlineLevel="1">
      <c r="A196" s="8"/>
      <c r="B196" s="40"/>
      <c r="C196" s="41"/>
      <c r="D196" s="2" t="s">
        <v>13</v>
      </c>
      <c r="E196" s="42">
        <f>-W196</f>
        <v>0</v>
      </c>
      <c r="F196" s="43">
        <f>-W196</f>
        <v>0</v>
      </c>
      <c r="G196" s="44"/>
      <c r="H196" s="28"/>
      <c r="I196" s="45"/>
      <c r="J196" s="46"/>
      <c r="K196" s="47" t="s">
        <v>4</v>
      </c>
      <c r="L196" s="4">
        <f>SUM(L193:L195)</f>
        <v>0</v>
      </c>
      <c r="M196" s="48">
        <f>SUM(M193:M195)</f>
        <v>0</v>
      </c>
      <c r="N196" s="29"/>
      <c r="O196" s="49"/>
      <c r="P196" s="50" t="s">
        <v>1</v>
      </c>
      <c r="Q196" s="48">
        <f>SUM(Q193:Q195)</f>
        <v>0</v>
      </c>
      <c r="R196" s="19"/>
      <c r="S196" s="51">
        <f>-W196</f>
        <v>0</v>
      </c>
      <c r="T196" s="19"/>
      <c r="U196" s="52"/>
      <c r="V196" s="53" t="s">
        <v>1</v>
      </c>
      <c r="W196" s="48">
        <f>SUM(W193:W195)</f>
        <v>0</v>
      </c>
      <c r="X196" s="54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</row>
    <row r="197" spans="1:125" ht="13.2" outlineLevel="1">
      <c r="A197" s="8"/>
      <c r="B197" s="55"/>
      <c r="C197" s="12"/>
      <c r="D197" s="5" t="s">
        <v>15</v>
      </c>
      <c r="E197" s="19">
        <f>SUM(E193:E196)</f>
        <v>0</v>
      </c>
      <c r="F197" s="56">
        <f>SUM(F193:F196)</f>
        <v>0</v>
      </c>
      <c r="G197" s="19"/>
      <c r="H197" s="17"/>
      <c r="I197" s="12"/>
      <c r="J197" s="12"/>
      <c r="K197" s="5"/>
      <c r="L197" s="19"/>
      <c r="M197" s="19"/>
      <c r="N197" s="57"/>
      <c r="O197" s="12"/>
      <c r="P197" s="12"/>
      <c r="Q197" s="19"/>
      <c r="R197" s="12"/>
      <c r="S197" s="58">
        <f>SUM(S193:S196)</f>
        <v>0</v>
      </c>
      <c r="T197" s="12"/>
      <c r="U197" s="12"/>
      <c r="V197" s="18"/>
      <c r="W197" s="18"/>
      <c r="X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</row>
    <row r="198" spans="1:125" ht="13.2" outlineLevel="1">
      <c r="A198" s="8"/>
      <c r="B198" s="59"/>
      <c r="C198" s="60"/>
      <c r="D198" s="61" t="s">
        <v>16</v>
      </c>
      <c r="E198" s="62"/>
      <c r="F198" s="63">
        <f>-Q196*0.025</f>
        <v>0</v>
      </c>
      <c r="G198" s="19"/>
      <c r="H198" s="17"/>
      <c r="I198" s="12"/>
      <c r="J198" s="12"/>
      <c r="K198" s="7"/>
      <c r="L198" s="64"/>
      <c r="M198" s="64"/>
      <c r="N198" s="57"/>
      <c r="O198" s="12"/>
      <c r="P198" s="12"/>
      <c r="Q198" s="19"/>
      <c r="R198" s="12"/>
      <c r="S198" s="65">
        <v>0</v>
      </c>
      <c r="T198" s="12"/>
      <c r="U198" s="12"/>
      <c r="V198" s="18"/>
      <c r="W198" s="18"/>
      <c r="X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</row>
    <row r="199" spans="1:125" ht="13.2" outlineLevel="1">
      <c r="A199" s="8"/>
      <c r="B199" s="66"/>
      <c r="C199" s="66"/>
      <c r="D199" s="47" t="s">
        <v>4</v>
      </c>
      <c r="E199" s="4">
        <f>SUM(E197:E198)</f>
        <v>0</v>
      </c>
      <c r="F199" s="48">
        <f>SUM(F197:F198)</f>
        <v>0</v>
      </c>
      <c r="G199" s="19"/>
      <c r="H199" s="67"/>
      <c r="I199" s="12"/>
      <c r="J199" s="12"/>
      <c r="K199" s="6"/>
      <c r="L199" s="6"/>
      <c r="M199" s="19"/>
      <c r="N199" s="19"/>
      <c r="O199" s="12"/>
      <c r="P199" s="12"/>
      <c r="Q199" s="19"/>
      <c r="R199" s="12"/>
      <c r="S199" s="68">
        <f>SUM(S197:S198)</f>
        <v>0</v>
      </c>
      <c r="T199" s="12"/>
      <c r="U199" s="12"/>
      <c r="V199" s="18"/>
      <c r="W199" s="18"/>
      <c r="X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</row>
    <row r="200" spans="1:125" ht="13.2" outlineLevel="1">
      <c r="A200" s="8"/>
      <c r="B200" s="12"/>
      <c r="C200" s="12"/>
      <c r="D200" s="6"/>
      <c r="E200" s="6"/>
      <c r="F200" s="19"/>
      <c r="G200" s="19"/>
      <c r="H200" s="67"/>
      <c r="I200" s="12"/>
      <c r="J200" s="12"/>
      <c r="K200" s="6"/>
      <c r="L200" s="6"/>
      <c r="M200" s="19"/>
      <c r="N200" s="19"/>
      <c r="O200" s="12"/>
      <c r="P200" s="12"/>
      <c r="Q200" s="19"/>
      <c r="R200" s="12"/>
      <c r="S200" s="19"/>
      <c r="T200" s="12"/>
      <c r="U200" s="12"/>
      <c r="V200" s="18"/>
      <c r="W200" s="18"/>
      <c r="X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</row>
    <row r="201" spans="1:125" ht="13.2" outlineLevel="1">
      <c r="A201" s="131"/>
      <c r="B201" s="57"/>
      <c r="C201" s="29"/>
      <c r="D201" s="6"/>
      <c r="E201" s="19"/>
      <c r="F201" s="19"/>
      <c r="G201" s="19"/>
      <c r="H201" s="19"/>
      <c r="I201" s="18"/>
      <c r="J201" s="18"/>
      <c r="K201" s="6"/>
      <c r="L201" s="19"/>
      <c r="M201" s="19"/>
      <c r="N201" s="57"/>
      <c r="O201" s="70"/>
      <c r="P201" s="69"/>
      <c r="Q201" s="19"/>
      <c r="R201" s="67"/>
      <c r="S201" s="67"/>
      <c r="T201" s="67"/>
      <c r="U201" s="12"/>
      <c r="V201" s="12"/>
      <c r="W201" s="19"/>
      <c r="X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</row>
    <row r="202" spans="1:125" ht="12" outlineLevel="1">
      <c r="A202" s="132"/>
      <c r="B202" s="12"/>
      <c r="C202" s="12"/>
      <c r="D202" s="6"/>
      <c r="E202" s="6"/>
      <c r="F202" s="19"/>
      <c r="G202" s="19"/>
      <c r="H202" s="19"/>
      <c r="I202" s="18"/>
      <c r="J202" s="18"/>
      <c r="K202" s="6"/>
      <c r="L202" s="19"/>
      <c r="M202" s="19"/>
      <c r="N202" s="57"/>
      <c r="O202" s="70"/>
      <c r="P202" s="69"/>
      <c r="Q202" s="19"/>
      <c r="R202" s="67"/>
      <c r="S202" s="67"/>
      <c r="T202" s="67"/>
      <c r="U202" s="12"/>
      <c r="V202" s="12"/>
      <c r="W202" s="12"/>
      <c r="X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</row>
    <row r="203" spans="1:125" ht="12" outlineLevel="1">
      <c r="A203" s="132"/>
      <c r="B203" s="472" t="s">
        <v>21</v>
      </c>
      <c r="C203" s="473"/>
      <c r="D203" s="473"/>
      <c r="E203" s="474"/>
      <c r="F203" s="57"/>
      <c r="G203" s="80"/>
      <c r="H203" s="80"/>
      <c r="I203" s="80"/>
      <c r="J203" s="80"/>
      <c r="K203" s="80"/>
      <c r="L203" s="80"/>
      <c r="M203" s="80"/>
      <c r="N203" s="57"/>
      <c r="O203" s="57"/>
      <c r="P203" s="57"/>
      <c r="Q203" s="19"/>
      <c r="R203" s="57"/>
      <c r="S203" s="57"/>
      <c r="T203" s="57"/>
      <c r="U203" s="12"/>
      <c r="V203" s="12"/>
      <c r="W203" s="12"/>
      <c r="X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</row>
    <row r="204" spans="1:125" ht="12" outlineLevel="1">
      <c r="A204" s="132"/>
      <c r="B204" s="68" t="s">
        <v>122</v>
      </c>
      <c r="C204" s="68" t="s">
        <v>20</v>
      </c>
      <c r="D204" s="68" t="s">
        <v>123</v>
      </c>
      <c r="E204" s="68" t="s">
        <v>1</v>
      </c>
      <c r="F204" s="57"/>
      <c r="G204" s="80"/>
      <c r="H204" s="80"/>
      <c r="I204" s="80"/>
      <c r="J204" s="80"/>
      <c r="K204" s="80"/>
      <c r="L204" s="80"/>
      <c r="M204" s="80"/>
      <c r="N204" s="3"/>
      <c r="O204" s="3"/>
      <c r="P204" s="57"/>
      <c r="Q204" s="19"/>
      <c r="R204" s="57"/>
      <c r="S204" s="57"/>
      <c r="T204" s="57"/>
      <c r="U204" s="12"/>
      <c r="V204" s="12"/>
      <c r="W204" s="12"/>
      <c r="X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</row>
    <row r="205" spans="1:125" ht="12" outlineLevel="1">
      <c r="A205" s="132"/>
      <c r="B205" s="123" t="s">
        <v>124</v>
      </c>
      <c r="C205" s="124">
        <f>(E197)*0.1</f>
        <v>0</v>
      </c>
      <c r="D205" s="124">
        <f>+C205*0.6</f>
        <v>0</v>
      </c>
      <c r="E205" s="124">
        <f>+C205+D205</f>
        <v>0</v>
      </c>
      <c r="F205" s="29"/>
      <c r="G205" s="30"/>
      <c r="H205" s="28"/>
      <c r="I205" s="29"/>
      <c r="J205" s="29"/>
      <c r="K205" s="3"/>
      <c r="L205" s="3"/>
      <c r="M205" s="3"/>
      <c r="N205" s="3"/>
      <c r="O205" s="3"/>
      <c r="P205" s="29"/>
      <c r="Q205" s="30"/>
      <c r="R205" s="29"/>
      <c r="S205" s="29"/>
      <c r="T205" s="29"/>
      <c r="U205" s="12"/>
      <c r="V205" s="12"/>
      <c r="W205" s="12"/>
      <c r="X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</row>
    <row r="206" spans="1:125" ht="12" outlineLevel="1">
      <c r="A206" s="132"/>
      <c r="B206" s="32" t="s">
        <v>125</v>
      </c>
      <c r="C206" s="33">
        <f>(+L196)*0.2</f>
        <v>0</v>
      </c>
      <c r="D206" s="33">
        <f>+C206*0.6</f>
        <v>0</v>
      </c>
      <c r="E206" s="33">
        <f>+C206+D206</f>
        <v>0</v>
      </c>
      <c r="F206" s="29"/>
      <c r="G206" s="30"/>
      <c r="H206" s="28"/>
      <c r="I206" s="18"/>
      <c r="J206" s="29"/>
      <c r="K206" s="19"/>
      <c r="L206" s="19"/>
      <c r="M206" s="19"/>
      <c r="N206" s="19"/>
      <c r="O206" s="19"/>
      <c r="P206" s="19"/>
      <c r="Q206" s="30"/>
      <c r="R206" s="29"/>
      <c r="S206" s="29"/>
      <c r="T206" s="29"/>
      <c r="U206" s="12"/>
      <c r="V206" s="12"/>
      <c r="W206" s="12"/>
      <c r="X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</row>
    <row r="207" spans="1:125" ht="12" outlineLevel="1">
      <c r="A207" s="132"/>
      <c r="B207" s="32" t="s">
        <v>126</v>
      </c>
      <c r="C207" s="33">
        <f>+E216*0.2</f>
        <v>0</v>
      </c>
      <c r="D207" s="33">
        <f>+C207*0.25</f>
        <v>0</v>
      </c>
      <c r="E207" s="33">
        <f>+C207+D207</f>
        <v>0</v>
      </c>
      <c r="F207" s="29"/>
      <c r="G207" s="30"/>
      <c r="H207" s="28"/>
      <c r="I207" s="29"/>
      <c r="J207" s="29"/>
      <c r="K207" s="19"/>
      <c r="L207" s="19"/>
      <c r="M207" s="19"/>
      <c r="N207" s="19"/>
      <c r="O207" s="19"/>
      <c r="P207" s="19"/>
      <c r="Q207" s="30"/>
      <c r="R207" s="29"/>
      <c r="S207" s="29"/>
      <c r="T207" s="29"/>
      <c r="U207" s="12"/>
      <c r="V207" s="12"/>
      <c r="W207" s="12"/>
      <c r="X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</row>
    <row r="208" spans="1:125" ht="12" outlineLevel="1">
      <c r="A208" s="132"/>
      <c r="B208" s="32"/>
      <c r="C208" s="33"/>
      <c r="D208" s="33">
        <f>+C208*0.25</f>
        <v>0</v>
      </c>
      <c r="E208" s="33">
        <f>+C208+D208</f>
        <v>0</v>
      </c>
      <c r="F208" s="94"/>
      <c r="G208" s="30"/>
      <c r="H208" s="28"/>
      <c r="I208" s="29"/>
      <c r="J208" s="29"/>
      <c r="K208" s="19"/>
      <c r="L208" s="19"/>
      <c r="M208" s="19"/>
      <c r="N208" s="19"/>
      <c r="O208" s="19"/>
      <c r="P208" s="19"/>
      <c r="Q208" s="30"/>
      <c r="R208" s="29"/>
      <c r="S208" s="29"/>
      <c r="T208" s="29"/>
      <c r="U208" s="12"/>
      <c r="V208" s="12"/>
      <c r="W208" s="12"/>
      <c r="X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</row>
    <row r="209" spans="1:125" ht="12" outlineLevel="1">
      <c r="A209" s="132"/>
      <c r="B209" s="92"/>
      <c r="C209" s="93"/>
      <c r="D209" s="93">
        <f>+C209*0.25</f>
        <v>0</v>
      </c>
      <c r="E209" s="93">
        <f>+C209+D209</f>
        <v>0</v>
      </c>
      <c r="F209" s="94"/>
      <c r="G209" s="80"/>
      <c r="H209" s="28"/>
      <c r="I209" s="29"/>
      <c r="J209" s="29"/>
      <c r="K209" s="19"/>
      <c r="L209" s="19"/>
      <c r="M209" s="19"/>
      <c r="N209" s="19"/>
      <c r="O209" s="19"/>
      <c r="P209" s="19"/>
      <c r="Q209" s="30"/>
      <c r="R209" s="29"/>
      <c r="S209" s="29"/>
      <c r="T209" s="29"/>
      <c r="U209" s="12"/>
      <c r="V209" s="12"/>
      <c r="W209" s="12"/>
      <c r="X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</row>
    <row r="210" spans="1:125" ht="12" outlineLevel="1">
      <c r="A210" s="132"/>
      <c r="B210" s="90"/>
      <c r="C210" s="91"/>
      <c r="D210" s="50" t="s">
        <v>1</v>
      </c>
      <c r="E210" s="48">
        <f>SUM(E205:E209)</f>
        <v>0</v>
      </c>
      <c r="F210" s="19"/>
      <c r="G210" s="19"/>
      <c r="H210" s="67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2"/>
      <c r="V210" s="12"/>
      <c r="W210" s="12"/>
      <c r="X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</row>
    <row r="211" spans="1:125" ht="12" outlineLevel="1">
      <c r="A211" s="132"/>
      <c r="B211" s="12"/>
      <c r="C211" s="12"/>
      <c r="D211" s="69"/>
      <c r="E211" s="19"/>
      <c r="F211" s="19"/>
      <c r="G211" s="19"/>
      <c r="H211" s="67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2"/>
      <c r="V211" s="12"/>
      <c r="W211" s="12"/>
      <c r="X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</row>
    <row r="212" spans="1:125" ht="12" outlineLevel="1">
      <c r="A212" s="132"/>
      <c r="B212" s="472" t="s">
        <v>128</v>
      </c>
      <c r="C212" s="473"/>
      <c r="D212" s="473"/>
      <c r="E212" s="474"/>
      <c r="F212" s="57"/>
      <c r="G212" s="95"/>
      <c r="H212" s="96"/>
      <c r="I212" s="1"/>
      <c r="J212" s="22"/>
      <c r="K212" s="1"/>
      <c r="L212" s="19"/>
      <c r="M212" s="57"/>
      <c r="N212" s="57"/>
      <c r="O212" s="57"/>
      <c r="P212" s="57"/>
      <c r="Q212" s="19"/>
      <c r="R212" s="57"/>
      <c r="S212" s="57"/>
      <c r="T212" s="57"/>
      <c r="U212" s="12"/>
      <c r="V212" s="12"/>
      <c r="W212" s="12"/>
      <c r="X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</row>
    <row r="213" spans="1:125" ht="12.6" outlineLevel="1" thickBot="1">
      <c r="A213" s="132"/>
      <c r="B213" s="126" t="s">
        <v>138</v>
      </c>
      <c r="C213" s="41"/>
      <c r="D213" s="66"/>
      <c r="E213" s="97">
        <f>+E199+L196</f>
        <v>0</v>
      </c>
      <c r="F213" s="1" t="s">
        <v>33</v>
      </c>
      <c r="G213" s="95"/>
      <c r="H213" s="96"/>
      <c r="I213" s="1"/>
      <c r="J213" s="22"/>
      <c r="K213" s="1"/>
      <c r="L213" s="19"/>
      <c r="M213" s="57"/>
      <c r="N213" s="57"/>
      <c r="O213" s="57"/>
      <c r="P213" s="57"/>
      <c r="Q213" s="19"/>
      <c r="R213" s="57"/>
      <c r="S213" s="57"/>
      <c r="T213" s="57"/>
      <c r="U213" s="12"/>
      <c r="V213" s="12"/>
      <c r="W213" s="12"/>
      <c r="X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</row>
    <row r="214" spans="1:125" ht="12.6" outlineLevel="1" thickBot="1">
      <c r="A214" s="132"/>
      <c r="B214" s="128" t="s">
        <v>22</v>
      </c>
      <c r="C214" s="101"/>
      <c r="D214" s="12"/>
      <c r="E214" s="222">
        <f>F199</f>
        <v>0</v>
      </c>
      <c r="F214" s="223" t="s">
        <v>330</v>
      </c>
      <c r="G214" s="100"/>
      <c r="H214" s="100"/>
      <c r="I214" s="1" t="s">
        <v>331</v>
      </c>
      <c r="J214" s="22"/>
      <c r="K214" s="1"/>
      <c r="L214" s="98"/>
      <c r="M214" s="98"/>
      <c r="N214" s="98"/>
      <c r="O214" s="98"/>
      <c r="P214" s="98"/>
      <c r="Q214" s="98"/>
      <c r="R214" s="98"/>
      <c r="S214" s="98"/>
      <c r="T214" s="98"/>
      <c r="U214" s="12"/>
      <c r="V214" s="12"/>
      <c r="W214" s="18"/>
      <c r="X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</row>
    <row r="215" spans="1:125" ht="12" outlineLevel="1">
      <c r="A215" s="132"/>
      <c r="B215" s="128" t="s">
        <v>23</v>
      </c>
      <c r="C215" s="101"/>
      <c r="D215" s="12"/>
      <c r="E215" s="99">
        <f>M196</f>
        <v>0</v>
      </c>
      <c r="F215" s="1" t="s">
        <v>36</v>
      </c>
      <c r="G215" s="100"/>
      <c r="H215" s="100"/>
      <c r="I215" s="1"/>
      <c r="J215" s="22"/>
      <c r="K215" s="1"/>
      <c r="L215" s="98"/>
      <c r="M215" s="98"/>
      <c r="N215" s="98"/>
      <c r="O215" s="98"/>
      <c r="P215" s="98"/>
      <c r="Q215" s="98"/>
      <c r="R215" s="98"/>
      <c r="S215" s="98"/>
      <c r="T215" s="98"/>
      <c r="U215" s="12"/>
      <c r="V215" s="12"/>
      <c r="W215" s="18"/>
      <c r="X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</row>
    <row r="216" spans="1:125" ht="12" outlineLevel="1">
      <c r="A216" s="132"/>
      <c r="B216" s="128" t="s">
        <v>24</v>
      </c>
      <c r="C216" s="101"/>
      <c r="D216" s="12"/>
      <c r="E216" s="99">
        <f>S199</f>
        <v>0</v>
      </c>
      <c r="F216" s="1" t="s">
        <v>38</v>
      </c>
      <c r="G216" s="100"/>
      <c r="H216" s="100"/>
      <c r="I216" s="1"/>
      <c r="J216" s="22"/>
      <c r="K216" s="1"/>
      <c r="L216" s="98"/>
      <c r="M216" s="98"/>
      <c r="N216" s="98"/>
      <c r="O216" s="98"/>
      <c r="P216" s="98"/>
      <c r="Q216" s="98"/>
      <c r="R216" s="98"/>
      <c r="S216" s="98"/>
      <c r="T216" s="98"/>
      <c r="U216" s="12"/>
      <c r="V216" s="12"/>
      <c r="W216" s="18"/>
      <c r="X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</row>
    <row r="217" spans="1:125" ht="12" outlineLevel="1">
      <c r="A217" s="132"/>
      <c r="B217" s="128" t="s">
        <v>26</v>
      </c>
      <c r="C217" s="101"/>
      <c r="D217" s="12"/>
      <c r="E217" s="99">
        <f>+E210</f>
        <v>0</v>
      </c>
      <c r="F217" s="1" t="s">
        <v>40</v>
      </c>
      <c r="G217" s="98"/>
      <c r="H217" s="67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12"/>
      <c r="V217" s="12"/>
      <c r="W217" s="18"/>
      <c r="X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</row>
    <row r="218" spans="1:125" ht="12" outlineLevel="1">
      <c r="A218" s="132"/>
      <c r="B218" s="129" t="s">
        <v>135</v>
      </c>
      <c r="C218" s="102"/>
      <c r="D218" s="60"/>
      <c r="E218" s="103">
        <f>+Q196</f>
        <v>0</v>
      </c>
      <c r="F218" s="1" t="s">
        <v>37</v>
      </c>
      <c r="G218" s="98"/>
      <c r="H218" s="67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12"/>
      <c r="V218" s="12"/>
      <c r="W218" s="18"/>
      <c r="X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</row>
    <row r="219" spans="1:125">
      <c r="A219" s="132"/>
      <c r="B219" s="132"/>
      <c r="C219" s="132"/>
      <c r="D219" s="132"/>
      <c r="E219" s="132"/>
      <c r="F219" s="132"/>
      <c r="G219" s="132"/>
      <c r="H219" s="133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</row>
    <row r="220" spans="1:125" ht="12" thickBot="1">
      <c r="A220" s="132"/>
      <c r="B220" s="132"/>
      <c r="C220" s="132"/>
      <c r="D220" s="132"/>
      <c r="E220" s="132"/>
      <c r="F220" s="132"/>
      <c r="G220" s="132"/>
      <c r="H220" s="133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</row>
    <row r="221" spans="1:125" ht="13.2">
      <c r="A221" s="8"/>
      <c r="B221" s="476" t="s">
        <v>310</v>
      </c>
      <c r="C221" s="477"/>
      <c r="D221" s="477"/>
      <c r="E221" s="477"/>
      <c r="F221" s="477"/>
      <c r="G221" s="477"/>
      <c r="H221" s="477"/>
      <c r="I221" s="478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</row>
    <row r="222" spans="1:125" ht="13.8" thickBot="1">
      <c r="A222" s="8"/>
      <c r="B222" s="115" t="s">
        <v>122</v>
      </c>
      <c r="C222" s="116" t="s">
        <v>152</v>
      </c>
      <c r="D222" s="117" t="s">
        <v>153</v>
      </c>
      <c r="E222" s="118" t="s">
        <v>154</v>
      </c>
      <c r="F222" s="116" t="s">
        <v>20</v>
      </c>
      <c r="G222" s="116" t="s">
        <v>155</v>
      </c>
      <c r="H222" s="116"/>
      <c r="I222" s="134" t="s">
        <v>1</v>
      </c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</row>
    <row r="223" spans="1:125" ht="13.2" hidden="1" outlineLevel="2">
      <c r="A223" s="8"/>
      <c r="B223" s="140" t="s">
        <v>156</v>
      </c>
      <c r="C223" s="141">
        <v>1</v>
      </c>
      <c r="D223" s="142">
        <v>0.05</v>
      </c>
      <c r="E223" s="165">
        <v>0.6</v>
      </c>
      <c r="F223" s="166">
        <f>(C223*D223)*1.6</f>
        <v>8.0000000000000016E-2</v>
      </c>
      <c r="G223" s="143"/>
      <c r="H223" s="144"/>
      <c r="I223" s="144">
        <f>F223*G223</f>
        <v>0</v>
      </c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2"/>
      <c r="V223" s="12"/>
      <c r="W223" s="12"/>
      <c r="X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</row>
    <row r="224" spans="1:125" ht="13.2" hidden="1" outlineLevel="2">
      <c r="A224" s="8"/>
      <c r="B224" s="145" t="s">
        <v>157</v>
      </c>
      <c r="C224" s="146">
        <v>1</v>
      </c>
      <c r="D224" s="147">
        <v>0.1</v>
      </c>
      <c r="E224" s="151">
        <v>0.6</v>
      </c>
      <c r="F224" s="153">
        <f>(C224*D224)*1.6</f>
        <v>0.16000000000000003</v>
      </c>
      <c r="G224" s="148"/>
      <c r="H224" s="149"/>
      <c r="I224" s="149">
        <f t="shared" ref="I224:I251" si="40">F224*G224</f>
        <v>0</v>
      </c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2"/>
      <c r="V224" s="12"/>
      <c r="W224" s="12"/>
      <c r="X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</row>
    <row r="225" spans="1:125" ht="13.2" hidden="1" outlineLevel="2">
      <c r="A225" s="8"/>
      <c r="B225" s="145" t="s">
        <v>158</v>
      </c>
      <c r="C225" s="146">
        <v>1</v>
      </c>
      <c r="D225" s="147">
        <v>0.15</v>
      </c>
      <c r="E225" s="151">
        <v>0.6</v>
      </c>
      <c r="F225" s="153">
        <f>(C225*D225)*1.6</f>
        <v>0.24</v>
      </c>
      <c r="G225" s="148"/>
      <c r="H225" s="149"/>
      <c r="I225" s="149">
        <f t="shared" si="40"/>
        <v>0</v>
      </c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2"/>
      <c r="V225" s="12"/>
      <c r="W225" s="12"/>
      <c r="X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</row>
    <row r="226" spans="1:125" ht="13.2" hidden="1" outlineLevel="2">
      <c r="A226" s="8"/>
      <c r="B226" s="145" t="s">
        <v>159</v>
      </c>
      <c r="C226" s="146">
        <v>1</v>
      </c>
      <c r="D226" s="147">
        <v>0.2</v>
      </c>
      <c r="E226" s="151">
        <v>0.6</v>
      </c>
      <c r="F226" s="153">
        <f>(C226*D226)*1.6</f>
        <v>0.32000000000000006</v>
      </c>
      <c r="G226" s="148"/>
      <c r="H226" s="149"/>
      <c r="I226" s="149">
        <f t="shared" si="40"/>
        <v>0</v>
      </c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2"/>
      <c r="V226" s="12"/>
      <c r="W226" s="12"/>
      <c r="X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</row>
    <row r="227" spans="1:125" ht="13.2" hidden="1" outlineLevel="2">
      <c r="A227" s="8"/>
      <c r="B227" s="145" t="s">
        <v>160</v>
      </c>
      <c r="C227" s="146">
        <v>1</v>
      </c>
      <c r="D227" s="147">
        <v>0.05</v>
      </c>
      <c r="E227" s="151">
        <v>0.6</v>
      </c>
      <c r="F227" s="153">
        <f>(C227*D227)*1.6</f>
        <v>8.0000000000000016E-2</v>
      </c>
      <c r="G227" s="148"/>
      <c r="H227" s="149"/>
      <c r="I227" s="149">
        <f t="shared" si="40"/>
        <v>0</v>
      </c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2"/>
      <c r="V227" s="12"/>
      <c r="W227" s="12"/>
      <c r="X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</row>
    <row r="228" spans="1:125" ht="13.2" hidden="1" outlineLevel="2">
      <c r="A228" s="8"/>
      <c r="B228" s="145" t="s">
        <v>161</v>
      </c>
      <c r="C228" s="150">
        <f>((2*0.025)/2)*((2*0.025)/2)*3.1416</f>
        <v>1.9635000000000004E-3</v>
      </c>
      <c r="D228" s="147">
        <v>1</v>
      </c>
      <c r="E228" s="151">
        <v>0.25</v>
      </c>
      <c r="F228" s="155">
        <f t="shared" ref="F228:F237" si="41">(C228*D228)*1.25</f>
        <v>2.4543750000000004E-3</v>
      </c>
      <c r="G228" s="148"/>
      <c r="H228" s="149"/>
      <c r="I228" s="149">
        <f t="shared" si="40"/>
        <v>0</v>
      </c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2"/>
      <c r="V228" s="12"/>
      <c r="W228" s="12"/>
      <c r="X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</row>
    <row r="229" spans="1:125" ht="13.2" hidden="1" outlineLevel="2">
      <c r="A229" s="8"/>
      <c r="B229" s="145" t="s">
        <v>127</v>
      </c>
      <c r="C229" s="150">
        <f>((4*0.025)/2)*((4*0.025)/2)*3.1416</f>
        <v>7.8540000000000016E-3</v>
      </c>
      <c r="D229" s="147">
        <v>1</v>
      </c>
      <c r="E229" s="151">
        <v>0.25</v>
      </c>
      <c r="F229" s="152">
        <f t="shared" si="41"/>
        <v>9.8175000000000016E-3</v>
      </c>
      <c r="G229" s="148"/>
      <c r="H229" s="149"/>
      <c r="I229" s="149">
        <f t="shared" si="40"/>
        <v>0</v>
      </c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2"/>
      <c r="V229" s="12"/>
      <c r="W229" s="12"/>
      <c r="X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</row>
    <row r="230" spans="1:125" ht="13.2" hidden="1" outlineLevel="2">
      <c r="A230" s="8"/>
      <c r="B230" s="145" t="s">
        <v>162</v>
      </c>
      <c r="C230" s="150">
        <f>((6*0.025)/2)*((6*0.025)/2)*3.1416</f>
        <v>1.7671500000000003E-2</v>
      </c>
      <c r="D230" s="147">
        <v>1</v>
      </c>
      <c r="E230" s="151">
        <v>0.25</v>
      </c>
      <c r="F230" s="152">
        <f t="shared" si="41"/>
        <v>2.2089375000000005E-2</v>
      </c>
      <c r="G230" s="148"/>
      <c r="H230" s="149"/>
      <c r="I230" s="149">
        <f t="shared" si="40"/>
        <v>0</v>
      </c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2"/>
      <c r="V230" s="12"/>
      <c r="W230" s="12"/>
      <c r="X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</row>
    <row r="231" spans="1:125" ht="13.2" hidden="1" outlineLevel="2">
      <c r="A231" s="8"/>
      <c r="B231" s="145" t="s">
        <v>299</v>
      </c>
      <c r="C231" s="154">
        <v>2.5000000000000001E-2</v>
      </c>
      <c r="D231" s="147">
        <v>0.09</v>
      </c>
      <c r="E231" s="151">
        <v>0.25</v>
      </c>
      <c r="F231" s="155">
        <f t="shared" si="41"/>
        <v>2.8124999999999999E-3</v>
      </c>
      <c r="G231" s="148"/>
      <c r="H231" s="149"/>
      <c r="I231" s="149">
        <f t="shared" si="40"/>
        <v>0</v>
      </c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2"/>
      <c r="V231" s="12"/>
      <c r="W231" s="12"/>
      <c r="X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</row>
    <row r="232" spans="1:125" ht="13.2" hidden="1" outlineLevel="2">
      <c r="A232" s="8"/>
      <c r="B232" s="145" t="s">
        <v>163</v>
      </c>
      <c r="C232" s="156">
        <f>((0.253*0.253))</f>
        <v>6.4008999999999996E-2</v>
      </c>
      <c r="D232" s="147">
        <v>1</v>
      </c>
      <c r="E232" s="151">
        <v>0.25</v>
      </c>
      <c r="F232" s="153">
        <f t="shared" si="41"/>
        <v>8.0011249999999992E-2</v>
      </c>
      <c r="G232" s="148"/>
      <c r="H232" s="149"/>
      <c r="I232" s="149">
        <f t="shared" si="40"/>
        <v>0</v>
      </c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2"/>
      <c r="V232" s="12"/>
      <c r="W232" s="12"/>
      <c r="X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</row>
    <row r="233" spans="1:125" ht="13.2" hidden="1" outlineLevel="2">
      <c r="A233" s="8"/>
      <c r="B233" s="145" t="s">
        <v>164</v>
      </c>
      <c r="C233" s="146">
        <v>0.13</v>
      </c>
      <c r="D233" s="147">
        <v>1</v>
      </c>
      <c r="E233" s="151">
        <v>0.25</v>
      </c>
      <c r="F233" s="153">
        <f t="shared" si="41"/>
        <v>0.16250000000000001</v>
      </c>
      <c r="G233" s="148"/>
      <c r="H233" s="149"/>
      <c r="I233" s="149">
        <f t="shared" si="40"/>
        <v>0</v>
      </c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2"/>
      <c r="V233" s="12"/>
      <c r="W233" s="12"/>
      <c r="X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</row>
    <row r="234" spans="1:125" ht="13.2" hidden="1" outlineLevel="2">
      <c r="A234" s="8"/>
      <c r="B234" s="145" t="s">
        <v>165</v>
      </c>
      <c r="C234" s="146">
        <v>0.255</v>
      </c>
      <c r="D234" s="147">
        <v>1</v>
      </c>
      <c r="E234" s="151">
        <v>0.25</v>
      </c>
      <c r="F234" s="153">
        <f t="shared" si="41"/>
        <v>0.31874999999999998</v>
      </c>
      <c r="G234" s="148"/>
      <c r="H234" s="149"/>
      <c r="I234" s="149">
        <f t="shared" si="40"/>
        <v>0</v>
      </c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2"/>
      <c r="V234" s="12"/>
      <c r="W234" s="12"/>
      <c r="X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</row>
    <row r="235" spans="1:125" ht="13.2" hidden="1" outlineLevel="2">
      <c r="A235" s="8"/>
      <c r="B235" s="145" t="s">
        <v>166</v>
      </c>
      <c r="C235" s="146">
        <v>0.78800000000000003</v>
      </c>
      <c r="D235" s="147">
        <v>2.5</v>
      </c>
      <c r="E235" s="151">
        <v>0.25</v>
      </c>
      <c r="F235" s="153">
        <f t="shared" si="41"/>
        <v>2.4625000000000004</v>
      </c>
      <c r="G235" s="148"/>
      <c r="H235" s="149"/>
      <c r="I235" s="149">
        <f t="shared" si="40"/>
        <v>0</v>
      </c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2"/>
      <c r="V235" s="12"/>
      <c r="W235" s="12"/>
      <c r="X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</row>
    <row r="236" spans="1:125" ht="13.2" hidden="1" outlineLevel="2">
      <c r="A236" s="8"/>
      <c r="B236" s="145" t="s">
        <v>167</v>
      </c>
      <c r="C236" s="146">
        <v>0.62</v>
      </c>
      <c r="D236" s="147">
        <v>0.85</v>
      </c>
      <c r="E236" s="151">
        <v>0.25</v>
      </c>
      <c r="F236" s="153">
        <f t="shared" si="41"/>
        <v>0.65875000000000006</v>
      </c>
      <c r="G236" s="148"/>
      <c r="H236" s="149"/>
      <c r="I236" s="149">
        <f t="shared" si="40"/>
        <v>0</v>
      </c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2"/>
      <c r="V236" s="12"/>
      <c r="W236" s="12"/>
      <c r="X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</row>
    <row r="237" spans="1:125" ht="13.2" hidden="1" outlineLevel="2">
      <c r="A237" s="8"/>
      <c r="B237" s="145" t="s">
        <v>168</v>
      </c>
      <c r="C237" s="146">
        <v>0.77</v>
      </c>
      <c r="D237" s="147">
        <v>0.85</v>
      </c>
      <c r="E237" s="151">
        <v>0.25</v>
      </c>
      <c r="F237" s="153">
        <f t="shared" si="41"/>
        <v>0.81812499999999999</v>
      </c>
      <c r="G237" s="148"/>
      <c r="H237" s="149"/>
      <c r="I237" s="149">
        <f t="shared" si="40"/>
        <v>0</v>
      </c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2"/>
      <c r="V237" s="12"/>
      <c r="W237" s="12"/>
      <c r="X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</row>
    <row r="238" spans="1:125" ht="13.2" hidden="1" outlineLevel="2">
      <c r="A238" s="8"/>
      <c r="B238" s="145" t="s">
        <v>197</v>
      </c>
      <c r="C238" s="150">
        <v>6.2E-2</v>
      </c>
      <c r="D238" s="147">
        <v>1.47</v>
      </c>
      <c r="E238" s="151">
        <v>0.25</v>
      </c>
      <c r="F238" s="153">
        <f>(C238*D238)*1.25</f>
        <v>0.113925</v>
      </c>
      <c r="G238" s="148"/>
      <c r="H238" s="149"/>
      <c r="I238" s="149">
        <f t="shared" si="40"/>
        <v>0</v>
      </c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2"/>
      <c r="V238" s="12"/>
      <c r="W238" s="12"/>
      <c r="X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</row>
    <row r="239" spans="1:125" ht="13.2" hidden="1" outlineLevel="2">
      <c r="A239" s="8"/>
      <c r="B239" s="145" t="s">
        <v>198</v>
      </c>
      <c r="C239" s="150">
        <v>7.0999999999999994E-2</v>
      </c>
      <c r="D239" s="147">
        <v>1.6</v>
      </c>
      <c r="E239" s="151">
        <v>0.25</v>
      </c>
      <c r="F239" s="153">
        <f>(C239*D239)*1.25</f>
        <v>0.14199999999999999</v>
      </c>
      <c r="G239" s="148"/>
      <c r="H239" s="149"/>
      <c r="I239" s="149">
        <f t="shared" si="40"/>
        <v>0</v>
      </c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2"/>
      <c r="V239" s="12"/>
      <c r="W239" s="12"/>
      <c r="X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</row>
    <row r="240" spans="1:125" ht="13.2" hidden="1" outlineLevel="2">
      <c r="A240" s="8"/>
      <c r="B240" s="145" t="s">
        <v>199</v>
      </c>
      <c r="C240" s="150">
        <v>0.08</v>
      </c>
      <c r="D240" s="147">
        <v>1.75</v>
      </c>
      <c r="E240" s="151">
        <v>0.25</v>
      </c>
      <c r="F240" s="153">
        <f>(C240*D240)*1.25</f>
        <v>0.17500000000000002</v>
      </c>
      <c r="G240" s="148"/>
      <c r="H240" s="149"/>
      <c r="I240" s="149">
        <f t="shared" si="40"/>
        <v>0</v>
      </c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2"/>
      <c r="V240" s="12"/>
      <c r="W240" s="12"/>
      <c r="X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</row>
    <row r="241" spans="1:125" ht="13.2" hidden="1" outlineLevel="2">
      <c r="A241" s="8"/>
      <c r="B241" s="145" t="s">
        <v>169</v>
      </c>
      <c r="C241" s="156">
        <f>(0.4*0.4*3.14)</f>
        <v>0.50240000000000007</v>
      </c>
      <c r="D241" s="147">
        <v>0.87</v>
      </c>
      <c r="E241" s="151">
        <v>0.25</v>
      </c>
      <c r="F241" s="153">
        <f t="shared" ref="F241:F251" si="42">(C241*D241)*1.25</f>
        <v>0.54636000000000007</v>
      </c>
      <c r="G241" s="148"/>
      <c r="H241" s="149"/>
      <c r="I241" s="149">
        <f t="shared" si="40"/>
        <v>0</v>
      </c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2"/>
      <c r="V241" s="12"/>
      <c r="W241" s="12"/>
      <c r="X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</row>
    <row r="242" spans="1:125" ht="13.2" hidden="1" outlineLevel="2">
      <c r="A242" s="8"/>
      <c r="B242" s="145" t="s">
        <v>170</v>
      </c>
      <c r="C242" s="156">
        <f>((0.5*0.5*3.1416))</f>
        <v>0.78539999999999999</v>
      </c>
      <c r="D242" s="147">
        <f>10*0.1</f>
        <v>1</v>
      </c>
      <c r="E242" s="151">
        <v>0.25</v>
      </c>
      <c r="F242" s="153">
        <f t="shared" si="42"/>
        <v>0.98175000000000001</v>
      </c>
      <c r="G242" s="148"/>
      <c r="H242" s="149"/>
      <c r="I242" s="149">
        <f t="shared" si="40"/>
        <v>0</v>
      </c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2"/>
      <c r="V242" s="12"/>
      <c r="W242" s="12"/>
      <c r="X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</row>
    <row r="243" spans="1:125" ht="13.2" hidden="1" outlineLevel="2">
      <c r="A243" s="8"/>
      <c r="B243" s="145" t="s">
        <v>171</v>
      </c>
      <c r="C243" s="156">
        <f>((0.5*0.5*3.1416))</f>
        <v>0.78539999999999999</v>
      </c>
      <c r="D243" s="147">
        <f>11*0.1</f>
        <v>1.1000000000000001</v>
      </c>
      <c r="E243" s="151">
        <v>0.25</v>
      </c>
      <c r="F243" s="153">
        <f t="shared" si="42"/>
        <v>1.079925</v>
      </c>
      <c r="G243" s="148"/>
      <c r="H243" s="149"/>
      <c r="I243" s="149">
        <f t="shared" si="40"/>
        <v>0</v>
      </c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2"/>
      <c r="V243" s="12"/>
      <c r="W243" s="12"/>
      <c r="X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</row>
    <row r="244" spans="1:125" ht="13.2" hidden="1" outlineLevel="2">
      <c r="A244" s="8"/>
      <c r="B244" s="145" t="s">
        <v>172</v>
      </c>
      <c r="C244" s="156">
        <f>((0.5*0.5*3.1416))</f>
        <v>0.78539999999999999</v>
      </c>
      <c r="D244" s="147">
        <f>13*0.1</f>
        <v>1.3</v>
      </c>
      <c r="E244" s="151">
        <v>0.25</v>
      </c>
      <c r="F244" s="153">
        <f t="shared" si="42"/>
        <v>1.276275</v>
      </c>
      <c r="G244" s="148"/>
      <c r="H244" s="149"/>
      <c r="I244" s="149">
        <f t="shared" si="40"/>
        <v>0</v>
      </c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2"/>
      <c r="V244" s="12"/>
      <c r="W244" s="12"/>
      <c r="X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</row>
    <row r="245" spans="1:125" ht="13.2" hidden="1" outlineLevel="2">
      <c r="A245" s="8"/>
      <c r="B245" s="145" t="s">
        <v>173</v>
      </c>
      <c r="C245" s="156">
        <f>((0.5*0.5*3.1416))</f>
        <v>0.78539999999999999</v>
      </c>
      <c r="D245" s="147">
        <f>15*0.1</f>
        <v>1.5</v>
      </c>
      <c r="E245" s="151">
        <v>0.25</v>
      </c>
      <c r="F245" s="153">
        <f t="shared" si="42"/>
        <v>1.4726249999999999</v>
      </c>
      <c r="G245" s="148"/>
      <c r="H245" s="149"/>
      <c r="I245" s="149">
        <f t="shared" si="40"/>
        <v>0</v>
      </c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2"/>
      <c r="V245" s="12"/>
      <c r="W245" s="12"/>
      <c r="X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</row>
    <row r="246" spans="1:125" ht="13.2" hidden="1" outlineLevel="2">
      <c r="A246" s="8"/>
      <c r="B246" s="157" t="s">
        <v>200</v>
      </c>
      <c r="C246" s="158">
        <v>0.5</v>
      </c>
      <c r="D246" s="159">
        <v>0.64</v>
      </c>
      <c r="E246" s="151">
        <v>1.25</v>
      </c>
      <c r="F246" s="153">
        <f t="shared" si="42"/>
        <v>0.4</v>
      </c>
      <c r="G246" s="148"/>
      <c r="H246" s="149"/>
      <c r="I246" s="149">
        <f t="shared" si="40"/>
        <v>0</v>
      </c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2"/>
      <c r="V246" s="12"/>
      <c r="W246" s="12"/>
      <c r="X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</row>
    <row r="247" spans="1:125" ht="13.2" hidden="1" outlineLevel="2">
      <c r="A247" s="8"/>
      <c r="B247" s="157" t="s">
        <v>201</v>
      </c>
      <c r="C247" s="160">
        <v>0.5</v>
      </c>
      <c r="D247" s="159">
        <v>0.7</v>
      </c>
      <c r="E247" s="161">
        <v>1.25</v>
      </c>
      <c r="F247" s="153">
        <f t="shared" si="42"/>
        <v>0.4375</v>
      </c>
      <c r="G247" s="148"/>
      <c r="H247" s="149"/>
      <c r="I247" s="149">
        <f t="shared" si="40"/>
        <v>0</v>
      </c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2"/>
      <c r="V247" s="12"/>
      <c r="W247" s="12"/>
      <c r="X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</row>
    <row r="248" spans="1:125" ht="13.2" hidden="1" outlineLevel="2">
      <c r="A248" s="8"/>
      <c r="B248" s="145" t="s">
        <v>174</v>
      </c>
      <c r="C248" s="146">
        <v>1</v>
      </c>
      <c r="D248" s="147">
        <v>0.2</v>
      </c>
      <c r="E248" s="151">
        <v>0.25</v>
      </c>
      <c r="F248" s="153">
        <f t="shared" si="42"/>
        <v>0.25</v>
      </c>
      <c r="G248" s="148"/>
      <c r="H248" s="149"/>
      <c r="I248" s="149">
        <f t="shared" si="40"/>
        <v>0</v>
      </c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2"/>
      <c r="V248" s="12"/>
      <c r="W248" s="12"/>
      <c r="X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</row>
    <row r="249" spans="1:125" ht="13.2" hidden="1" outlineLevel="2">
      <c r="A249" s="8"/>
      <c r="B249" s="145" t="s">
        <v>175</v>
      </c>
      <c r="C249" s="146">
        <v>0.64</v>
      </c>
      <c r="D249" s="147">
        <v>1.2</v>
      </c>
      <c r="E249" s="151">
        <v>0.25</v>
      </c>
      <c r="F249" s="153">
        <f t="shared" si="42"/>
        <v>0.96</v>
      </c>
      <c r="G249" s="148"/>
      <c r="H249" s="149"/>
      <c r="I249" s="149">
        <f t="shared" si="40"/>
        <v>0</v>
      </c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2"/>
      <c r="V249" s="12"/>
      <c r="W249" s="12"/>
      <c r="X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</row>
    <row r="250" spans="1:125" ht="13.2" hidden="1" outlineLevel="2">
      <c r="A250" s="8"/>
      <c r="B250" s="157" t="s">
        <v>202</v>
      </c>
      <c r="C250" s="160">
        <v>0.12</v>
      </c>
      <c r="D250" s="159">
        <v>0.25</v>
      </c>
      <c r="E250" s="161">
        <v>0.25</v>
      </c>
      <c r="F250" s="153">
        <f t="shared" si="42"/>
        <v>3.7499999999999999E-2</v>
      </c>
      <c r="G250" s="162"/>
      <c r="H250" s="149"/>
      <c r="I250" s="149">
        <f t="shared" si="40"/>
        <v>0</v>
      </c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2"/>
      <c r="V250" s="12"/>
      <c r="W250" s="12"/>
      <c r="X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</row>
    <row r="251" spans="1:125" ht="13.8" hidden="1" outlineLevel="2" thickBot="1">
      <c r="A251" s="8"/>
      <c r="B251" s="157" t="s">
        <v>203</v>
      </c>
      <c r="C251" s="160">
        <f>0.5*3</f>
        <v>1.5</v>
      </c>
      <c r="D251" s="159">
        <v>0.5</v>
      </c>
      <c r="E251" s="161">
        <v>0.25</v>
      </c>
      <c r="F251" s="163">
        <f t="shared" si="42"/>
        <v>0.9375</v>
      </c>
      <c r="G251" s="162"/>
      <c r="H251" s="164"/>
      <c r="I251" s="164">
        <f t="shared" si="40"/>
        <v>0</v>
      </c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2"/>
      <c r="V251" s="12"/>
      <c r="W251" s="12"/>
      <c r="X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</row>
    <row r="252" spans="1:125" ht="13.8" collapsed="1" thickBot="1">
      <c r="A252" s="8"/>
      <c r="B252" s="135"/>
      <c r="C252" s="136"/>
      <c r="D252" s="136"/>
      <c r="E252" s="136"/>
      <c r="F252" s="136"/>
      <c r="G252" s="137" t="s">
        <v>1</v>
      </c>
      <c r="H252" s="138">
        <f>SUM(H224:H251)</f>
        <v>0</v>
      </c>
      <c r="I252" s="139">
        <f>SUM(I223:I251)</f>
        <v>0</v>
      </c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2"/>
      <c r="V252" s="12"/>
      <c r="W252" s="12"/>
      <c r="X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</row>
    <row r="253" spans="1:125">
      <c r="A253" s="132"/>
      <c r="B253" s="132"/>
      <c r="C253" s="132"/>
      <c r="D253" s="132"/>
      <c r="E253" s="132"/>
      <c r="F253" s="132"/>
      <c r="G253" s="132"/>
      <c r="H253" s="133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2"/>
      <c r="V253" s="12"/>
      <c r="W253" s="12"/>
      <c r="X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</row>
    <row r="254" spans="1:125">
      <c r="A254" s="132"/>
      <c r="B254" s="132"/>
      <c r="C254" s="132"/>
      <c r="D254" s="132"/>
      <c r="E254" s="132"/>
      <c r="F254" s="132"/>
      <c r="G254" s="132"/>
      <c r="H254" s="133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2"/>
      <c r="V254" s="12"/>
      <c r="W254" s="12"/>
      <c r="X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</row>
    <row r="255" spans="1:125">
      <c r="A255" s="132"/>
      <c r="B255" s="132"/>
      <c r="C255" s="132"/>
      <c r="D255" s="132"/>
      <c r="E255" s="132"/>
      <c r="F255" s="132"/>
      <c r="G255" s="132"/>
      <c r="H255" s="133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2"/>
      <c r="V255" s="12"/>
      <c r="W255" s="12"/>
      <c r="X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</row>
    <row r="256" spans="1:125">
      <c r="A256" s="132"/>
      <c r="B256" s="132"/>
      <c r="C256" s="132"/>
      <c r="D256" s="132"/>
      <c r="E256" s="132"/>
      <c r="F256" s="132"/>
      <c r="G256" s="132"/>
      <c r="H256" s="133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2"/>
      <c r="V256" s="12"/>
      <c r="W256" s="12"/>
      <c r="X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</row>
    <row r="257" spans="1:125">
      <c r="A257" s="132"/>
      <c r="B257" s="132"/>
      <c r="C257" s="132"/>
      <c r="D257" s="132"/>
      <c r="E257" s="132"/>
      <c r="F257" s="132"/>
      <c r="G257" s="132"/>
      <c r="H257" s="133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2"/>
      <c r="V257" s="12"/>
      <c r="W257" s="12"/>
      <c r="X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</row>
    <row r="258" spans="1:125">
      <c r="A258" s="132"/>
      <c r="B258" s="132"/>
      <c r="C258" s="132"/>
      <c r="D258" s="132"/>
      <c r="E258" s="132"/>
      <c r="F258" s="132"/>
      <c r="G258" s="132"/>
      <c r="H258" s="133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2"/>
      <c r="V258" s="12"/>
      <c r="W258" s="12"/>
      <c r="X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</row>
    <row r="259" spans="1:125">
      <c r="A259" s="132"/>
      <c r="B259" s="132"/>
      <c r="C259" s="132"/>
      <c r="D259" s="132"/>
      <c r="E259" s="132"/>
      <c r="F259" s="132"/>
      <c r="G259" s="132"/>
      <c r="H259" s="133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2"/>
      <c r="V259" s="12"/>
      <c r="W259" s="12"/>
      <c r="X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</row>
    <row r="260" spans="1:125">
      <c r="A260" s="132"/>
      <c r="B260" s="132"/>
      <c r="C260" s="132"/>
      <c r="D260" s="132"/>
      <c r="E260" s="132"/>
      <c r="F260" s="132"/>
      <c r="G260" s="132"/>
      <c r="H260" s="133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2"/>
      <c r="V260" s="12"/>
      <c r="W260" s="12"/>
      <c r="X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</row>
    <row r="261" spans="1:125">
      <c r="A261" s="132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</row>
    <row r="262" spans="1:125">
      <c r="A262" s="132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</row>
    <row r="263" spans="1:125">
      <c r="A263" s="132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  <c r="AC263" s="132"/>
      <c r="AD263" s="132"/>
      <c r="AE263" s="132"/>
      <c r="AF263" s="132"/>
      <c r="AG263" s="132"/>
      <c r="AH263" s="132"/>
      <c r="AI263" s="132"/>
      <c r="AJ263" s="13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</row>
    <row r="264" spans="1:125">
      <c r="A264" s="132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  <c r="AE264" s="132"/>
      <c r="AF264" s="132"/>
      <c r="AG264" s="132"/>
      <c r="AH264" s="132"/>
      <c r="AI264" s="132"/>
      <c r="AJ264" s="13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</row>
    <row r="265" spans="1:125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/>
      <c r="AE265" s="132"/>
      <c r="AF265" s="132"/>
      <c r="AG265" s="132"/>
      <c r="AH265" s="132"/>
      <c r="AI265" s="132"/>
      <c r="AJ265" s="13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</row>
    <row r="266" spans="1:125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  <c r="AD266" s="132"/>
      <c r="AE266" s="132"/>
      <c r="AF266" s="132"/>
      <c r="AG266" s="132"/>
      <c r="AH266" s="132"/>
      <c r="AI266" s="132"/>
      <c r="AJ266" s="13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</row>
    <row r="267" spans="1:125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</row>
    <row r="268" spans="1:125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2"/>
      <c r="AE268" s="132"/>
      <c r="AF268" s="132"/>
      <c r="AG268" s="132"/>
      <c r="AH268" s="132"/>
      <c r="AI268" s="132"/>
      <c r="AJ268" s="13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</row>
    <row r="269" spans="1:125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</row>
    <row r="270" spans="1:125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</row>
    <row r="271" spans="1:125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</row>
    <row r="272" spans="1:125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</row>
    <row r="273" spans="1:125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</row>
    <row r="274" spans="1:125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</row>
    <row r="275" spans="1:125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</row>
    <row r="276" spans="1:125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</row>
    <row r="277" spans="1:125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/>
      <c r="AE277" s="132"/>
      <c r="AF277" s="132"/>
      <c r="AG277" s="132"/>
      <c r="AH277" s="132"/>
      <c r="AI277" s="132"/>
      <c r="AJ277" s="13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</row>
    <row r="278" spans="1:125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  <c r="AE278" s="132"/>
      <c r="AF278" s="132"/>
      <c r="AG278" s="132"/>
      <c r="AH278" s="132"/>
      <c r="AI278" s="132"/>
      <c r="AJ278" s="13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</row>
    <row r="279" spans="1:125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</row>
    <row r="280" spans="1:125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</row>
    <row r="281" spans="1:125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</row>
    <row r="282" spans="1:125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</row>
    <row r="283" spans="1:125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</row>
    <row r="284" spans="1:125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</row>
    <row r="285" spans="1:125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</row>
    <row r="286" spans="1:125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</row>
    <row r="287" spans="1:125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</row>
    <row r="288" spans="1:125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</row>
    <row r="289" spans="1:125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</row>
    <row r="290" spans="1:125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</row>
    <row r="291" spans="1:125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</row>
    <row r="292" spans="1:125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</row>
    <row r="293" spans="1:125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</row>
    <row r="294" spans="1:125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</row>
    <row r="295" spans="1:125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</row>
    <row r="296" spans="1:125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</row>
    <row r="297" spans="1:125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</row>
    <row r="298" spans="1:125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</row>
    <row r="299" spans="1:125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</row>
    <row r="300" spans="1:125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</row>
    <row r="301" spans="1:125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</row>
    <row r="302" spans="1:125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</row>
    <row r="303" spans="1:125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</row>
    <row r="304" spans="1:125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</row>
    <row r="305" spans="1:125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</row>
    <row r="306" spans="1:125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</row>
    <row r="307" spans="1:125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</row>
    <row r="308" spans="1:125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  <c r="AG308" s="132"/>
      <c r="AH308" s="132"/>
      <c r="AI308" s="132"/>
      <c r="AJ308" s="13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</row>
    <row r="309" spans="1:125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</row>
    <row r="310" spans="1:125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2"/>
      <c r="AI310" s="132"/>
      <c r="AJ310" s="13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</row>
    <row r="311" spans="1:125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2"/>
      <c r="AI311" s="132"/>
      <c r="AJ311" s="13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</row>
    <row r="312" spans="1:125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</row>
    <row r="313" spans="1:125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2"/>
      <c r="AI313" s="132"/>
      <c r="AJ313" s="13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</row>
    <row r="314" spans="1:125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</row>
    <row r="315" spans="1:125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</row>
    <row r="316" spans="1:125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</row>
    <row r="317" spans="1:125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</row>
    <row r="318" spans="1:125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</row>
    <row r="319" spans="1:125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</row>
    <row r="320" spans="1:125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</row>
    <row r="321" spans="1:125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2"/>
      <c r="AI321" s="132"/>
      <c r="AJ321" s="13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</row>
    <row r="322" spans="1:125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</row>
    <row r="323" spans="1:125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  <c r="AD323" s="132"/>
      <c r="AE323" s="132"/>
      <c r="AF323" s="132"/>
      <c r="AG323" s="132"/>
      <c r="AH323" s="132"/>
      <c r="AI323" s="132"/>
      <c r="AJ323" s="13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</row>
    <row r="324" spans="1:125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</row>
    <row r="325" spans="1:125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/>
      <c r="AE325" s="132"/>
      <c r="AF325" s="132"/>
      <c r="AG325" s="132"/>
      <c r="AH325" s="132"/>
      <c r="AI325" s="132"/>
      <c r="AJ325" s="13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</row>
    <row r="326" spans="1:125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</row>
    <row r="327" spans="1:125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</row>
    <row r="328" spans="1:125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</row>
    <row r="329" spans="1:125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</row>
    <row r="330" spans="1:125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/>
      <c r="AE330" s="132"/>
      <c r="AF330" s="132"/>
      <c r="AG330" s="132"/>
      <c r="AH330" s="132"/>
      <c r="AI330" s="132"/>
      <c r="AJ330" s="13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</row>
    <row r="331" spans="1:125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2"/>
      <c r="AE331" s="132"/>
      <c r="AF331" s="132"/>
      <c r="AG331" s="132"/>
      <c r="AH331" s="132"/>
      <c r="AI331" s="132"/>
      <c r="AJ331" s="13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</row>
    <row r="332" spans="1:125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</row>
    <row r="333" spans="1:125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  <c r="AJ333" s="13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</row>
    <row r="334" spans="1:125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2"/>
      <c r="AE334" s="132"/>
      <c r="AF334" s="132"/>
      <c r="AG334" s="132"/>
      <c r="AH334" s="132"/>
      <c r="AI334" s="132"/>
      <c r="AJ334" s="13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</row>
    <row r="335" spans="1:125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  <c r="AD335" s="132"/>
      <c r="AE335" s="132"/>
      <c r="AF335" s="132"/>
      <c r="AG335" s="132"/>
      <c r="AH335" s="132"/>
      <c r="AI335" s="132"/>
      <c r="AJ335" s="13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</row>
    <row r="336" spans="1:125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</row>
    <row r="337" spans="1:125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</row>
    <row r="338" spans="1:125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</row>
    <row r="339" spans="1:125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  <c r="AG339" s="132"/>
      <c r="AH339" s="132"/>
      <c r="AI339" s="132"/>
      <c r="AJ339" s="13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</row>
    <row r="340" spans="1:125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  <c r="AD340" s="132"/>
      <c r="AE340" s="132"/>
      <c r="AF340" s="132"/>
      <c r="AG340" s="132"/>
      <c r="AH340" s="132"/>
      <c r="AI340" s="132"/>
      <c r="AJ340" s="13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</row>
    <row r="341" spans="1:125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  <c r="AD341" s="132"/>
      <c r="AE341" s="132"/>
      <c r="AF341" s="132"/>
      <c r="AG341" s="132"/>
      <c r="AH341" s="132"/>
      <c r="AI341" s="132"/>
      <c r="AJ341" s="13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</row>
    <row r="342" spans="1:125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  <c r="AD342" s="132"/>
      <c r="AE342" s="132"/>
      <c r="AF342" s="132"/>
      <c r="AG342" s="132"/>
      <c r="AH342" s="132"/>
      <c r="AI342" s="132"/>
      <c r="AJ342" s="13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</row>
    <row r="343" spans="1:125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</row>
    <row r="344" spans="1:125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</row>
    <row r="345" spans="1:125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  <c r="AD345" s="132"/>
      <c r="AE345" s="132"/>
      <c r="AF345" s="132"/>
      <c r="AG345" s="132"/>
      <c r="AH345" s="132"/>
      <c r="AI345" s="132"/>
      <c r="AJ345" s="13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</row>
    <row r="346" spans="1:125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2"/>
      <c r="AI346" s="132"/>
      <c r="AJ346" s="13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</row>
    <row r="347" spans="1:125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  <c r="AD347" s="132"/>
      <c r="AE347" s="132"/>
      <c r="AF347" s="132"/>
      <c r="AG347" s="132"/>
      <c r="AH347" s="132"/>
      <c r="AI347" s="132"/>
      <c r="AJ347" s="13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</row>
    <row r="348" spans="1:125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  <c r="AD348" s="132"/>
      <c r="AE348" s="132"/>
      <c r="AF348" s="132"/>
      <c r="AG348" s="132"/>
      <c r="AH348" s="132"/>
      <c r="AI348" s="132"/>
      <c r="AJ348" s="13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</row>
    <row r="349" spans="1:125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  <c r="AD349" s="132"/>
      <c r="AE349" s="132"/>
      <c r="AF349" s="132"/>
      <c r="AG349" s="132"/>
      <c r="AH349" s="132"/>
      <c r="AI349" s="132"/>
      <c r="AJ349" s="13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</row>
    <row r="350" spans="1:125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</row>
    <row r="351" spans="1:125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</row>
    <row r="352" spans="1:125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  <c r="AD352" s="132"/>
      <c r="AE352" s="132"/>
      <c r="AF352" s="132"/>
      <c r="AG352" s="132"/>
      <c r="AH352" s="132"/>
      <c r="AI352" s="132"/>
      <c r="AJ352" s="13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</row>
    <row r="353" spans="1:125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  <c r="AD353" s="132"/>
      <c r="AE353" s="132"/>
      <c r="AF353" s="132"/>
      <c r="AG353" s="132"/>
      <c r="AH353" s="132"/>
      <c r="AI353" s="132"/>
      <c r="AJ353" s="13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</row>
    <row r="354" spans="1:125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  <c r="AD354" s="132"/>
      <c r="AE354" s="132"/>
      <c r="AF354" s="132"/>
      <c r="AG354" s="132"/>
      <c r="AH354" s="132"/>
      <c r="AI354" s="132"/>
      <c r="AJ354" s="13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</row>
    <row r="355" spans="1:125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  <c r="AD355" s="132"/>
      <c r="AE355" s="132"/>
      <c r="AF355" s="132"/>
      <c r="AG355" s="132"/>
      <c r="AH355" s="132"/>
      <c r="AI355" s="132"/>
      <c r="AJ355" s="13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</row>
    <row r="356" spans="1:125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2"/>
      <c r="AI356" s="132"/>
      <c r="AJ356" s="13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</row>
    <row r="357" spans="1:125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</row>
    <row r="358" spans="1:125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</row>
    <row r="359" spans="1:125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2"/>
      <c r="AI359" s="132"/>
      <c r="AJ359" s="13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</row>
    <row r="360" spans="1:125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2"/>
      <c r="AJ360" s="13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</row>
    <row r="361" spans="1:125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  <c r="AC361" s="132"/>
      <c r="AD361" s="132"/>
      <c r="AE361" s="132"/>
      <c r="AF361" s="132"/>
      <c r="AG361" s="132"/>
      <c r="AH361" s="132"/>
      <c r="AI361" s="132"/>
      <c r="AJ361" s="13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</row>
    <row r="362" spans="1:125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  <c r="AD362" s="132"/>
      <c r="AE362" s="132"/>
      <c r="AF362" s="132"/>
      <c r="AG362" s="132"/>
      <c r="AH362" s="132"/>
      <c r="AI362" s="132"/>
      <c r="AJ362" s="13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</row>
    <row r="363" spans="1:125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  <c r="AD363" s="132"/>
      <c r="AE363" s="132"/>
      <c r="AF363" s="132"/>
      <c r="AG363" s="132"/>
      <c r="AH363" s="132"/>
      <c r="AI363" s="132"/>
      <c r="AJ363" s="13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</row>
    <row r="364" spans="1:125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</row>
    <row r="365" spans="1:125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</row>
    <row r="366" spans="1:125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  <c r="AD366" s="132"/>
      <c r="AE366" s="132"/>
      <c r="AF366" s="132"/>
      <c r="AG366" s="132"/>
      <c r="AH366" s="132"/>
      <c r="AI366" s="132"/>
      <c r="AJ366" s="13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</row>
    <row r="367" spans="1:125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  <c r="AC367" s="132"/>
      <c r="AD367" s="132"/>
      <c r="AE367" s="132"/>
      <c r="AF367" s="132"/>
      <c r="AG367" s="132"/>
      <c r="AH367" s="132"/>
      <c r="AI367" s="132"/>
      <c r="AJ367" s="13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</row>
    <row r="368" spans="1:125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  <c r="AD368" s="132"/>
      <c r="AE368" s="132"/>
      <c r="AF368" s="132"/>
      <c r="AG368" s="132"/>
      <c r="AH368" s="132"/>
      <c r="AI368" s="132"/>
      <c r="AJ368" s="13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</row>
    <row r="369" spans="1:125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  <c r="AC369" s="132"/>
      <c r="AD369" s="132"/>
      <c r="AE369" s="132"/>
      <c r="AF369" s="132"/>
      <c r="AG369" s="132"/>
      <c r="AH369" s="132"/>
      <c r="AI369" s="132"/>
      <c r="AJ369" s="13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</row>
    <row r="370" spans="1:125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  <c r="AD370" s="132"/>
      <c r="AE370" s="132"/>
      <c r="AF370" s="132"/>
      <c r="AG370" s="132"/>
      <c r="AH370" s="132"/>
      <c r="AI370" s="132"/>
      <c r="AJ370" s="13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</row>
    <row r="371" spans="1:125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</row>
    <row r="372" spans="1:125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</row>
    <row r="373" spans="1:125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</row>
    <row r="374" spans="1:125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  <c r="AD374" s="132"/>
      <c r="AE374" s="132"/>
      <c r="AF374" s="132"/>
      <c r="AG374" s="132"/>
      <c r="AH374" s="132"/>
      <c r="AI374" s="132"/>
      <c r="AJ374" s="13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</row>
    <row r="375" spans="1:125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  <c r="AD375" s="132"/>
      <c r="AE375" s="132"/>
      <c r="AF375" s="132"/>
      <c r="AG375" s="132"/>
      <c r="AH375" s="132"/>
      <c r="AI375" s="132"/>
      <c r="AJ375" s="13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</row>
    <row r="376" spans="1:125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  <c r="AC376" s="132"/>
      <c r="AD376" s="132"/>
      <c r="AE376" s="132"/>
      <c r="AF376" s="132"/>
      <c r="AG376" s="132"/>
      <c r="AH376" s="132"/>
      <c r="AI376" s="132"/>
      <c r="AJ376" s="13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</row>
    <row r="377" spans="1:125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  <c r="AC377" s="132"/>
      <c r="AD377" s="132"/>
      <c r="AE377" s="132"/>
      <c r="AF377" s="132"/>
      <c r="AG377" s="132"/>
      <c r="AH377" s="132"/>
      <c r="AI377" s="132"/>
      <c r="AJ377" s="13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</row>
    <row r="378" spans="1:125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</row>
    <row r="379" spans="1:125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</row>
    <row r="380" spans="1:125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2"/>
      <c r="AE380" s="132"/>
      <c r="AF380" s="132"/>
      <c r="AG380" s="132"/>
      <c r="AH380" s="132"/>
      <c r="AI380" s="132"/>
      <c r="AJ380" s="13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</row>
    <row r="381" spans="1:125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2"/>
      <c r="AE381" s="132"/>
      <c r="AF381" s="132"/>
      <c r="AG381" s="132"/>
      <c r="AH381" s="132"/>
      <c r="AI381" s="132"/>
      <c r="AJ381" s="13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</row>
    <row r="382" spans="1:125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32"/>
      <c r="AI382" s="132"/>
      <c r="AJ382" s="13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</row>
    <row r="383" spans="1:125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  <c r="AD383" s="132"/>
      <c r="AE383" s="132"/>
      <c r="AF383" s="132"/>
      <c r="AG383" s="132"/>
      <c r="AH383" s="132"/>
      <c r="AI383" s="132"/>
      <c r="AJ383" s="13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</row>
    <row r="384" spans="1:125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  <c r="AD384" s="132"/>
      <c r="AE384" s="132"/>
      <c r="AF384" s="132"/>
      <c r="AG384" s="132"/>
      <c r="AH384" s="132"/>
      <c r="AI384" s="132"/>
      <c r="AJ384" s="13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</row>
    <row r="385" spans="1:125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</row>
    <row r="386" spans="1:125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  <c r="AC386" s="132"/>
      <c r="AD386" s="132"/>
      <c r="AE386" s="132"/>
      <c r="AF386" s="132"/>
      <c r="AG386" s="132"/>
      <c r="AH386" s="132"/>
      <c r="AI386" s="132"/>
      <c r="AJ386" s="13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</row>
    <row r="387" spans="1:125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  <c r="AC387" s="132"/>
      <c r="AD387" s="132"/>
      <c r="AE387" s="132"/>
      <c r="AF387" s="132"/>
      <c r="AG387" s="132"/>
      <c r="AH387" s="132"/>
      <c r="AI387" s="132"/>
      <c r="AJ387" s="13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</row>
    <row r="388" spans="1:125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</row>
    <row r="389" spans="1:125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  <c r="AD389" s="132"/>
      <c r="AE389" s="132"/>
      <c r="AF389" s="132"/>
      <c r="AG389" s="132"/>
      <c r="AH389" s="132"/>
      <c r="AI389" s="132"/>
      <c r="AJ389" s="13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</row>
    <row r="390" spans="1:125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</row>
    <row r="391" spans="1:125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  <c r="AD391" s="132"/>
      <c r="AE391" s="132"/>
      <c r="AF391" s="132"/>
      <c r="AG391" s="132"/>
      <c r="AH391" s="132"/>
      <c r="AI391" s="132"/>
      <c r="AJ391" s="13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</row>
    <row r="392" spans="1:125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  <c r="AD392" s="132"/>
      <c r="AE392" s="132"/>
      <c r="AF392" s="132"/>
      <c r="AG392" s="132"/>
      <c r="AH392" s="132"/>
      <c r="AI392" s="132"/>
      <c r="AJ392" s="13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</row>
    <row r="393" spans="1:125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  <c r="AC393" s="132"/>
      <c r="AD393" s="132"/>
      <c r="AE393" s="132"/>
      <c r="AF393" s="132"/>
      <c r="AG393" s="132"/>
      <c r="AH393" s="132"/>
      <c r="AI393" s="132"/>
      <c r="AJ393" s="13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</row>
    <row r="394" spans="1:125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</row>
    <row r="395" spans="1:125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</row>
    <row r="396" spans="1:125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  <c r="AD396" s="132"/>
      <c r="AE396" s="132"/>
      <c r="AF396" s="132"/>
      <c r="AG396" s="132"/>
      <c r="AH396" s="132"/>
      <c r="AI396" s="132"/>
      <c r="AJ396" s="13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</row>
    <row r="397" spans="1:125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/>
      <c r="AE397" s="132"/>
      <c r="AF397" s="132"/>
      <c r="AG397" s="132"/>
      <c r="AH397" s="132"/>
      <c r="AI397" s="132"/>
      <c r="AJ397" s="13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</row>
    <row r="398" spans="1:125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  <c r="AD398" s="132"/>
      <c r="AE398" s="132"/>
      <c r="AF398" s="132"/>
      <c r="AG398" s="132"/>
      <c r="AH398" s="132"/>
      <c r="AI398" s="132"/>
      <c r="AJ398" s="13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</row>
    <row r="399" spans="1:125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  <c r="AC399" s="132"/>
      <c r="AD399" s="132"/>
      <c r="AE399" s="132"/>
      <c r="AF399" s="132"/>
      <c r="AG399" s="132"/>
      <c r="AH399" s="132"/>
      <c r="AI399" s="132"/>
      <c r="AJ399" s="13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</row>
    <row r="400" spans="1:125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/>
      <c r="AE400" s="132"/>
      <c r="AF400" s="132"/>
      <c r="AG400" s="132"/>
      <c r="AH400" s="132"/>
      <c r="AI400" s="132"/>
      <c r="AJ400" s="13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</row>
    <row r="401" spans="1:125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  <c r="AD401" s="132"/>
      <c r="AE401" s="132"/>
      <c r="AF401" s="132"/>
      <c r="AG401" s="132"/>
      <c r="AH401" s="132"/>
      <c r="AI401" s="132"/>
      <c r="AJ401" s="13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</row>
    <row r="402" spans="1:125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</row>
    <row r="403" spans="1:125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/>
      <c r="AE403" s="132"/>
      <c r="AF403" s="132"/>
      <c r="AG403" s="132"/>
      <c r="AH403" s="132"/>
      <c r="AI403" s="132"/>
      <c r="AJ403" s="13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</row>
    <row r="404" spans="1:125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/>
      <c r="AE404" s="132"/>
      <c r="AF404" s="132"/>
      <c r="AG404" s="132"/>
      <c r="AH404" s="132"/>
      <c r="AI404" s="132"/>
      <c r="AJ404" s="13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</row>
    <row r="405" spans="1:125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/>
      <c r="AF405" s="132"/>
      <c r="AG405" s="132"/>
      <c r="AH405" s="132"/>
      <c r="AI405" s="132"/>
      <c r="AJ405" s="13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</row>
    <row r="406" spans="1:125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  <c r="AD406" s="132"/>
      <c r="AE406" s="132"/>
      <c r="AF406" s="132"/>
      <c r="AG406" s="132"/>
      <c r="AH406" s="132"/>
      <c r="AI406" s="132"/>
      <c r="AJ406" s="13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</row>
    <row r="407" spans="1:125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  <c r="AD407" s="132"/>
      <c r="AE407" s="132"/>
      <c r="AF407" s="132"/>
      <c r="AG407" s="132"/>
      <c r="AH407" s="132"/>
      <c r="AI407" s="132"/>
      <c r="AJ407" s="13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</row>
    <row r="408" spans="1:125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  <c r="AJ408" s="13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</row>
    <row r="409" spans="1:125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  <c r="AC409" s="132"/>
      <c r="AD409" s="132"/>
      <c r="AE409" s="132"/>
      <c r="AF409" s="132"/>
      <c r="AG409" s="132"/>
      <c r="AH409" s="132"/>
      <c r="AI409" s="132"/>
      <c r="AJ409" s="13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</row>
    <row r="410" spans="1:125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  <c r="AC410" s="132"/>
      <c r="AD410" s="132"/>
      <c r="AE410" s="132"/>
      <c r="AF410" s="132"/>
      <c r="AG410" s="132"/>
      <c r="AH410" s="132"/>
      <c r="AI410" s="132"/>
      <c r="AJ410" s="13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</row>
    <row r="411" spans="1:125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  <c r="AC411" s="132"/>
      <c r="AD411" s="132"/>
      <c r="AE411" s="132"/>
      <c r="AF411" s="132"/>
      <c r="AG411" s="132"/>
      <c r="AH411" s="132"/>
      <c r="AI411" s="132"/>
      <c r="AJ411" s="13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</row>
    <row r="412" spans="1:125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  <c r="AC412" s="132"/>
      <c r="AD412" s="132"/>
      <c r="AE412" s="132"/>
      <c r="AF412" s="132"/>
      <c r="AG412" s="132"/>
      <c r="AH412" s="132"/>
      <c r="AI412" s="132"/>
      <c r="AJ412" s="13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</row>
    <row r="413" spans="1:125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  <c r="AC413" s="132"/>
      <c r="AD413" s="132"/>
      <c r="AE413" s="132"/>
      <c r="AF413" s="132"/>
      <c r="AG413" s="132"/>
      <c r="AH413" s="132"/>
      <c r="AI413" s="132"/>
      <c r="AJ413" s="13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</row>
    <row r="414" spans="1:125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  <c r="AD414" s="132"/>
      <c r="AE414" s="132"/>
      <c r="AF414" s="132"/>
      <c r="AG414" s="132"/>
      <c r="AH414" s="132"/>
      <c r="AI414" s="132"/>
      <c r="AJ414" s="13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</row>
    <row r="415" spans="1:125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  <c r="AC415" s="132"/>
      <c r="AD415" s="132"/>
      <c r="AE415" s="132"/>
      <c r="AF415" s="132"/>
      <c r="AG415" s="132"/>
      <c r="AH415" s="132"/>
      <c r="AI415" s="132"/>
      <c r="AJ415" s="13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</row>
    <row r="416" spans="1:125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  <c r="AC416" s="132"/>
      <c r="AD416" s="132"/>
      <c r="AE416" s="132"/>
      <c r="AF416" s="132"/>
      <c r="AG416" s="132"/>
      <c r="AH416" s="132"/>
      <c r="AI416" s="132"/>
      <c r="AJ416" s="13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</row>
    <row r="417" spans="1:125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  <c r="AC417" s="132"/>
      <c r="AD417" s="132"/>
      <c r="AE417" s="132"/>
      <c r="AF417" s="132"/>
      <c r="AG417" s="132"/>
      <c r="AH417" s="132"/>
      <c r="AI417" s="132"/>
      <c r="AJ417" s="13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</row>
    <row r="418" spans="1:125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  <c r="AC418" s="132"/>
      <c r="AD418" s="132"/>
      <c r="AE418" s="132"/>
      <c r="AF418" s="132"/>
      <c r="AG418" s="132"/>
      <c r="AH418" s="132"/>
      <c r="AI418" s="132"/>
      <c r="AJ418" s="13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</row>
    <row r="419" spans="1:125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  <c r="AJ419" s="13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</row>
    <row r="420" spans="1:125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  <c r="AJ420" s="13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</row>
    <row r="421" spans="1:125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  <c r="AJ421" s="13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</row>
    <row r="422" spans="1:125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</row>
    <row r="423" spans="1:125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  <c r="AC423" s="132"/>
      <c r="AD423" s="132"/>
      <c r="AE423" s="132"/>
      <c r="AF423" s="132"/>
      <c r="AG423" s="132"/>
      <c r="AH423" s="132"/>
      <c r="AI423" s="132"/>
      <c r="AJ423" s="13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</row>
    <row r="424" spans="1:125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  <c r="AC424" s="132"/>
      <c r="AD424" s="132"/>
      <c r="AE424" s="132"/>
      <c r="AF424" s="132"/>
      <c r="AG424" s="132"/>
      <c r="AH424" s="132"/>
      <c r="AI424" s="132"/>
      <c r="AJ424" s="13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</row>
    <row r="425" spans="1:125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  <c r="AC425" s="132"/>
      <c r="AD425" s="132"/>
      <c r="AE425" s="132"/>
      <c r="AF425" s="132"/>
      <c r="AG425" s="132"/>
      <c r="AH425" s="132"/>
      <c r="AI425" s="132"/>
      <c r="AJ425" s="13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</row>
    <row r="426" spans="1:125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2"/>
      <c r="AE426" s="132"/>
      <c r="AF426" s="132"/>
      <c r="AG426" s="132"/>
      <c r="AH426" s="132"/>
      <c r="AI426" s="132"/>
      <c r="AJ426" s="13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</row>
    <row r="427" spans="1:125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  <c r="AC427" s="132"/>
      <c r="AD427" s="132"/>
      <c r="AE427" s="132"/>
      <c r="AF427" s="132"/>
      <c r="AG427" s="132"/>
      <c r="AH427" s="132"/>
      <c r="AI427" s="132"/>
      <c r="AJ427" s="13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</row>
    <row r="428" spans="1:125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  <c r="AC428" s="132"/>
      <c r="AD428" s="132"/>
      <c r="AE428" s="132"/>
      <c r="AF428" s="132"/>
      <c r="AG428" s="132"/>
      <c r="AH428" s="132"/>
      <c r="AI428" s="132"/>
      <c r="AJ428" s="13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</row>
    <row r="429" spans="1:125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  <c r="AC429" s="132"/>
      <c r="AD429" s="132"/>
      <c r="AE429" s="132"/>
      <c r="AF429" s="132"/>
      <c r="AG429" s="132"/>
      <c r="AH429" s="132"/>
      <c r="AI429" s="132"/>
      <c r="AJ429" s="13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</row>
    <row r="430" spans="1:125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  <c r="AC430" s="132"/>
      <c r="AD430" s="132"/>
      <c r="AE430" s="132"/>
      <c r="AF430" s="132"/>
      <c r="AG430" s="132"/>
      <c r="AH430" s="132"/>
      <c r="AI430" s="132"/>
      <c r="AJ430" s="13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</row>
    <row r="431" spans="1:125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  <c r="AC431" s="132"/>
      <c r="AD431" s="132"/>
      <c r="AE431" s="132"/>
      <c r="AF431" s="132"/>
      <c r="AG431" s="132"/>
      <c r="AH431" s="132"/>
      <c r="AI431" s="132"/>
      <c r="AJ431" s="13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</row>
    <row r="432" spans="1:125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  <c r="AD432" s="132"/>
      <c r="AE432" s="132"/>
      <c r="AF432" s="132"/>
      <c r="AG432" s="132"/>
      <c r="AH432" s="132"/>
      <c r="AI432" s="132"/>
      <c r="AJ432" s="13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</row>
    <row r="433" spans="1:125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  <c r="AC433" s="132"/>
      <c r="AD433" s="132"/>
      <c r="AE433" s="132"/>
      <c r="AF433" s="132"/>
      <c r="AG433" s="132"/>
      <c r="AH433" s="132"/>
      <c r="AI433" s="132"/>
      <c r="AJ433" s="13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</row>
    <row r="434" spans="1:125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  <c r="AC434" s="132"/>
      <c r="AD434" s="132"/>
      <c r="AE434" s="132"/>
      <c r="AF434" s="132"/>
      <c r="AG434" s="132"/>
      <c r="AH434" s="132"/>
      <c r="AI434" s="132"/>
      <c r="AJ434" s="13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</row>
    <row r="435" spans="1:125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32"/>
      <c r="AI435" s="132"/>
      <c r="AJ435" s="13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</row>
    <row r="436" spans="1:125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  <c r="AC436" s="132"/>
      <c r="AD436" s="132"/>
      <c r="AE436" s="132"/>
      <c r="AF436" s="132"/>
      <c r="AG436" s="132"/>
      <c r="AH436" s="132"/>
      <c r="AI436" s="132"/>
      <c r="AJ436" s="13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</row>
    <row r="437" spans="1:125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  <c r="AC437" s="132"/>
      <c r="AD437" s="132"/>
      <c r="AE437" s="132"/>
      <c r="AF437" s="132"/>
      <c r="AG437" s="132"/>
      <c r="AH437" s="132"/>
      <c r="AI437" s="132"/>
      <c r="AJ437" s="13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</row>
    <row r="438" spans="1:125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  <c r="AD438" s="132"/>
      <c r="AE438" s="132"/>
      <c r="AF438" s="132"/>
      <c r="AG438" s="132"/>
      <c r="AH438" s="132"/>
      <c r="AI438" s="132"/>
      <c r="AJ438" s="13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</row>
    <row r="439" spans="1:125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  <c r="AC439" s="132"/>
      <c r="AD439" s="132"/>
      <c r="AE439" s="132"/>
      <c r="AF439" s="132"/>
      <c r="AG439" s="132"/>
      <c r="AH439" s="132"/>
      <c r="AI439" s="132"/>
      <c r="AJ439" s="13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</row>
    <row r="440" spans="1:125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  <c r="AD440" s="132"/>
      <c r="AE440" s="132"/>
      <c r="AF440" s="132"/>
      <c r="AG440" s="132"/>
      <c r="AH440" s="132"/>
      <c r="AI440" s="132"/>
      <c r="AJ440" s="13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</row>
    <row r="441" spans="1:125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  <c r="AC441" s="132"/>
      <c r="AD441" s="132"/>
      <c r="AE441" s="132"/>
      <c r="AF441" s="132"/>
      <c r="AG441" s="132"/>
      <c r="AH441" s="132"/>
      <c r="AI441" s="132"/>
      <c r="AJ441" s="13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</row>
    <row r="442" spans="1:125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  <c r="AC442" s="132"/>
      <c r="AD442" s="132"/>
      <c r="AE442" s="132"/>
      <c r="AF442" s="132"/>
      <c r="AG442" s="132"/>
      <c r="AH442" s="132"/>
      <c r="AI442" s="132"/>
      <c r="AJ442" s="13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</row>
    <row r="443" spans="1:125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  <c r="AD443" s="132"/>
      <c r="AE443" s="132"/>
      <c r="AF443" s="132"/>
      <c r="AG443" s="132"/>
      <c r="AH443" s="132"/>
      <c r="AI443" s="132"/>
      <c r="AJ443" s="13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</row>
    <row r="444" spans="1:125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  <c r="AD444" s="132"/>
      <c r="AE444" s="132"/>
      <c r="AF444" s="132"/>
      <c r="AG444" s="132"/>
      <c r="AH444" s="132"/>
      <c r="AI444" s="132"/>
      <c r="AJ444" s="13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</row>
    <row r="445" spans="1:125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  <c r="AD445" s="132"/>
      <c r="AE445" s="132"/>
      <c r="AF445" s="132"/>
      <c r="AG445" s="132"/>
      <c r="AH445" s="132"/>
      <c r="AI445" s="132"/>
      <c r="AJ445" s="13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</row>
    <row r="446" spans="1:125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  <c r="AD446" s="132"/>
      <c r="AE446" s="132"/>
      <c r="AF446" s="132"/>
      <c r="AG446" s="132"/>
      <c r="AH446" s="132"/>
      <c r="AI446" s="132"/>
      <c r="AJ446" s="13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</row>
    <row r="447" spans="1:125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  <c r="AD447" s="132"/>
      <c r="AE447" s="132"/>
      <c r="AF447" s="132"/>
      <c r="AG447" s="132"/>
      <c r="AH447" s="132"/>
      <c r="AI447" s="132"/>
      <c r="AJ447" s="13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</row>
    <row r="448" spans="1:125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  <c r="AC448" s="132"/>
      <c r="AD448" s="132"/>
      <c r="AE448" s="132"/>
      <c r="AF448" s="132"/>
      <c r="AG448" s="132"/>
      <c r="AH448" s="132"/>
      <c r="AI448" s="132"/>
      <c r="AJ448" s="13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</row>
    <row r="449" spans="1:125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  <c r="AC449" s="132"/>
      <c r="AD449" s="132"/>
      <c r="AE449" s="132"/>
      <c r="AF449" s="132"/>
      <c r="AG449" s="132"/>
      <c r="AH449" s="132"/>
      <c r="AI449" s="132"/>
      <c r="AJ449" s="13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</row>
    <row r="450" spans="1:125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  <c r="AC450" s="132"/>
      <c r="AD450" s="132"/>
      <c r="AE450" s="132"/>
      <c r="AF450" s="132"/>
      <c r="AG450" s="132"/>
      <c r="AH450" s="132"/>
      <c r="AI450" s="132"/>
      <c r="AJ450" s="13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</row>
    <row r="451" spans="1:125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  <c r="AC451" s="132"/>
      <c r="AD451" s="132"/>
      <c r="AE451" s="132"/>
      <c r="AF451" s="132"/>
      <c r="AG451" s="132"/>
      <c r="AH451" s="132"/>
      <c r="AI451" s="132"/>
      <c r="AJ451" s="13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</row>
    <row r="452" spans="1:125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  <c r="AG452" s="132"/>
      <c r="AH452" s="132"/>
      <c r="AI452" s="132"/>
      <c r="AJ452" s="13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</row>
    <row r="453" spans="1:125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  <c r="AC453" s="132"/>
      <c r="AD453" s="132"/>
      <c r="AE453" s="132"/>
      <c r="AF453" s="132"/>
      <c r="AG453" s="132"/>
      <c r="AH453" s="132"/>
      <c r="AI453" s="132"/>
      <c r="AJ453" s="13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</row>
    <row r="454" spans="1:125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  <c r="AC454" s="132"/>
      <c r="AD454" s="132"/>
      <c r="AE454" s="132"/>
      <c r="AF454" s="132"/>
      <c r="AG454" s="132"/>
      <c r="AH454" s="132"/>
      <c r="AI454" s="132"/>
      <c r="AJ454" s="13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</row>
    <row r="455" spans="1:125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  <c r="AC455" s="132"/>
      <c r="AD455" s="132"/>
      <c r="AE455" s="132"/>
      <c r="AF455" s="132"/>
      <c r="AG455" s="132"/>
      <c r="AH455" s="132"/>
      <c r="AI455" s="132"/>
      <c r="AJ455" s="13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</row>
    <row r="456" spans="1:125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  <c r="AD456" s="132"/>
      <c r="AE456" s="132"/>
      <c r="AF456" s="132"/>
      <c r="AG456" s="132"/>
      <c r="AH456" s="132"/>
      <c r="AI456" s="132"/>
      <c r="AJ456" s="13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</row>
    <row r="457" spans="1:125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  <c r="AD457" s="132"/>
      <c r="AE457" s="132"/>
      <c r="AF457" s="132"/>
      <c r="AG457" s="132"/>
      <c r="AH457" s="132"/>
      <c r="AI457" s="132"/>
      <c r="AJ457" s="13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</row>
    <row r="458" spans="1:125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  <c r="AC458" s="132"/>
      <c r="AD458" s="132"/>
      <c r="AE458" s="132"/>
      <c r="AF458" s="132"/>
      <c r="AG458" s="132"/>
      <c r="AH458" s="132"/>
      <c r="AI458" s="132"/>
      <c r="AJ458" s="13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</row>
    <row r="459" spans="1:125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  <c r="AC459" s="132"/>
      <c r="AD459" s="132"/>
      <c r="AE459" s="132"/>
      <c r="AF459" s="132"/>
      <c r="AG459" s="132"/>
      <c r="AH459" s="132"/>
      <c r="AI459" s="132"/>
      <c r="AJ459" s="13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</row>
    <row r="460" spans="1:125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  <c r="AC460" s="132"/>
      <c r="AD460" s="132"/>
      <c r="AE460" s="132"/>
      <c r="AF460" s="132"/>
      <c r="AG460" s="132"/>
      <c r="AH460" s="132"/>
      <c r="AI460" s="132"/>
      <c r="AJ460" s="13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</row>
    <row r="461" spans="1:125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  <c r="AD461" s="132"/>
      <c r="AE461" s="132"/>
      <c r="AF461" s="132"/>
      <c r="AG461" s="132"/>
      <c r="AH461" s="132"/>
      <c r="AI461" s="132"/>
      <c r="AJ461" s="13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</row>
    <row r="462" spans="1:125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  <c r="AD462" s="132"/>
      <c r="AE462" s="132"/>
      <c r="AF462" s="132"/>
      <c r="AG462" s="132"/>
      <c r="AH462" s="132"/>
      <c r="AI462" s="132"/>
      <c r="AJ462" s="13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</row>
    <row r="463" spans="1:125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  <c r="AC463" s="132"/>
      <c r="AD463" s="132"/>
      <c r="AE463" s="132"/>
      <c r="AF463" s="132"/>
      <c r="AG463" s="132"/>
      <c r="AH463" s="132"/>
      <c r="AI463" s="132"/>
      <c r="AJ463" s="13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</row>
    <row r="464" spans="1:125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  <c r="AC464" s="132"/>
      <c r="AD464" s="132"/>
      <c r="AE464" s="132"/>
      <c r="AF464" s="132"/>
      <c r="AG464" s="132"/>
      <c r="AH464" s="132"/>
      <c r="AI464" s="132"/>
      <c r="AJ464" s="13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</row>
    <row r="465" spans="1:125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  <c r="AC465" s="132"/>
      <c r="AD465" s="132"/>
      <c r="AE465" s="132"/>
      <c r="AF465" s="132"/>
      <c r="AG465" s="132"/>
      <c r="AH465" s="132"/>
      <c r="AI465" s="132"/>
      <c r="AJ465" s="13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</row>
    <row r="466" spans="1:125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  <c r="AD466" s="132"/>
      <c r="AE466" s="132"/>
      <c r="AF466" s="132"/>
      <c r="AG466" s="132"/>
      <c r="AH466" s="132"/>
      <c r="AI466" s="132"/>
      <c r="AJ466" s="13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</row>
    <row r="467" spans="1:125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  <c r="AC467" s="132"/>
      <c r="AD467" s="132"/>
      <c r="AE467" s="132"/>
      <c r="AF467" s="132"/>
      <c r="AG467" s="132"/>
      <c r="AH467" s="132"/>
      <c r="AI467" s="132"/>
      <c r="AJ467" s="13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</row>
    <row r="468" spans="1:125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  <c r="AD468" s="132"/>
      <c r="AE468" s="132"/>
      <c r="AF468" s="132"/>
      <c r="AG468" s="132"/>
      <c r="AH468" s="132"/>
      <c r="AI468" s="132"/>
      <c r="AJ468" s="13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</row>
    <row r="469" spans="1:125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  <c r="AC469" s="132"/>
      <c r="AD469" s="132"/>
      <c r="AE469" s="132"/>
      <c r="AF469" s="132"/>
      <c r="AG469" s="132"/>
      <c r="AH469" s="132"/>
      <c r="AI469" s="132"/>
      <c r="AJ469" s="13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</row>
    <row r="470" spans="1:125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  <c r="AC470" s="132"/>
      <c r="AD470" s="132"/>
      <c r="AE470" s="132"/>
      <c r="AF470" s="132"/>
      <c r="AG470" s="132"/>
      <c r="AH470" s="132"/>
      <c r="AI470" s="132"/>
      <c r="AJ470" s="13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</row>
    <row r="471" spans="1:125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  <c r="AC471" s="132"/>
      <c r="AD471" s="132"/>
      <c r="AE471" s="132"/>
      <c r="AF471" s="132"/>
      <c r="AG471" s="132"/>
      <c r="AH471" s="132"/>
      <c r="AI471" s="132"/>
      <c r="AJ471" s="13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</row>
    <row r="472" spans="1:125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  <c r="AC472" s="132"/>
      <c r="AD472" s="132"/>
      <c r="AE472" s="132"/>
      <c r="AF472" s="132"/>
      <c r="AG472" s="132"/>
      <c r="AH472" s="132"/>
      <c r="AI472" s="132"/>
      <c r="AJ472" s="13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</row>
    <row r="473" spans="1:125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    <c r="AH473" s="132"/>
      <c r="AI473" s="132"/>
      <c r="AJ473" s="13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</row>
    <row r="474" spans="1:125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  <c r="AC474" s="132"/>
      <c r="AD474" s="132"/>
      <c r="AE474" s="132"/>
      <c r="AF474" s="132"/>
      <c r="AG474" s="132"/>
      <c r="AH474" s="132"/>
      <c r="AI474" s="132"/>
      <c r="AJ474" s="13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</row>
    <row r="475" spans="1:125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/>
      <c r="AD475" s="132"/>
      <c r="AE475" s="132"/>
      <c r="AF475" s="132"/>
      <c r="AG475" s="132"/>
      <c r="AH475" s="132"/>
      <c r="AI475" s="132"/>
      <c r="AJ475" s="13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</row>
    <row r="476" spans="1:125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/>
      <c r="AD476" s="132"/>
      <c r="AE476" s="132"/>
      <c r="AF476" s="132"/>
      <c r="AG476" s="132"/>
      <c r="AH476" s="132"/>
      <c r="AI476" s="132"/>
      <c r="AJ476" s="13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</row>
    <row r="477" spans="1:125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/>
      <c r="AD477" s="132"/>
      <c r="AE477" s="132"/>
      <c r="AF477" s="132"/>
      <c r="AG477" s="132"/>
      <c r="AH477" s="132"/>
      <c r="AI477" s="132"/>
      <c r="AJ477" s="13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</row>
    <row r="478" spans="1:125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  <c r="AD478" s="132"/>
      <c r="AE478" s="132"/>
      <c r="AF478" s="132"/>
      <c r="AG478" s="132"/>
      <c r="AH478" s="132"/>
      <c r="AI478" s="132"/>
      <c r="AJ478" s="13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</row>
    <row r="479" spans="1:125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  <c r="AD479" s="132"/>
      <c r="AE479" s="132"/>
      <c r="AF479" s="132"/>
      <c r="AG479" s="132"/>
      <c r="AH479" s="132"/>
      <c r="AI479" s="132"/>
      <c r="AJ479" s="13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</row>
    <row r="480" spans="1:125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  <c r="AD480" s="132"/>
      <c r="AE480" s="132"/>
      <c r="AF480" s="132"/>
      <c r="AG480" s="132"/>
      <c r="AH480" s="132"/>
      <c r="AI480" s="132"/>
      <c r="AJ480" s="13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</row>
    <row r="481" spans="1:125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  <c r="AD481" s="132"/>
      <c r="AE481" s="132"/>
      <c r="AF481" s="132"/>
      <c r="AG481" s="132"/>
      <c r="AH481" s="132"/>
      <c r="AI481" s="132"/>
      <c r="AJ481" s="13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</row>
    <row r="482" spans="1:125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  <c r="AC482" s="132"/>
      <c r="AD482" s="132"/>
      <c r="AE482" s="132"/>
      <c r="AF482" s="132"/>
      <c r="AG482" s="132"/>
      <c r="AH482" s="132"/>
      <c r="AI482" s="132"/>
      <c r="AJ482" s="13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</row>
    <row r="483" spans="1:125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  <c r="AC483" s="132"/>
      <c r="AD483" s="132"/>
      <c r="AE483" s="132"/>
      <c r="AF483" s="132"/>
      <c r="AG483" s="132"/>
      <c r="AH483" s="132"/>
      <c r="AI483" s="132"/>
      <c r="AJ483" s="13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</row>
    <row r="484" spans="1:125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  <c r="AC484" s="132"/>
      <c r="AD484" s="132"/>
      <c r="AE484" s="132"/>
      <c r="AF484" s="132"/>
      <c r="AG484" s="132"/>
      <c r="AH484" s="132"/>
      <c r="AI484" s="132"/>
      <c r="AJ484" s="13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</row>
    <row r="485" spans="1:125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  <c r="AD485" s="132"/>
      <c r="AE485" s="132"/>
      <c r="AF485" s="132"/>
      <c r="AG485" s="132"/>
      <c r="AH485" s="132"/>
      <c r="AI485" s="132"/>
      <c r="AJ485" s="13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</row>
    <row r="486" spans="1:125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  <c r="AC486" s="132"/>
      <c r="AD486" s="132"/>
      <c r="AE486" s="132"/>
      <c r="AF486" s="132"/>
      <c r="AG486" s="132"/>
      <c r="AH486" s="132"/>
      <c r="AI486" s="132"/>
      <c r="AJ486" s="13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</row>
    <row r="487" spans="1:125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/>
      <c r="AD487" s="132"/>
      <c r="AE487" s="132"/>
      <c r="AF487" s="132"/>
      <c r="AG487" s="132"/>
      <c r="AH487" s="132"/>
      <c r="AI487" s="132"/>
      <c r="AJ487" s="13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</row>
    <row r="488" spans="1:125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32"/>
      <c r="AI488" s="132"/>
      <c r="AJ488" s="13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</row>
    <row r="489" spans="1:125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  <c r="AC489" s="132"/>
      <c r="AD489" s="132"/>
      <c r="AE489" s="132"/>
      <c r="AF489" s="132"/>
      <c r="AG489" s="132"/>
      <c r="AH489" s="132"/>
      <c r="AI489" s="132"/>
      <c r="AJ489" s="13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</row>
    <row r="490" spans="1:125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/>
      <c r="AD490" s="132"/>
      <c r="AE490" s="132"/>
      <c r="AF490" s="132"/>
      <c r="AG490" s="132"/>
      <c r="AH490" s="132"/>
      <c r="AI490" s="132"/>
      <c r="AJ490" s="13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</row>
    <row r="491" spans="1:125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/>
      <c r="AD491" s="132"/>
      <c r="AE491" s="132"/>
      <c r="AF491" s="132"/>
      <c r="AG491" s="132"/>
      <c r="AH491" s="132"/>
      <c r="AI491" s="132"/>
      <c r="AJ491" s="13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</row>
    <row r="492" spans="1:125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  <c r="AC492" s="132"/>
      <c r="AD492" s="132"/>
      <c r="AE492" s="132"/>
      <c r="AF492" s="132"/>
      <c r="AG492" s="132"/>
      <c r="AH492" s="132"/>
      <c r="AI492" s="132"/>
      <c r="AJ492" s="13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</row>
    <row r="493" spans="1:125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  <c r="AC493" s="132"/>
      <c r="AD493" s="132"/>
      <c r="AE493" s="132"/>
      <c r="AF493" s="132"/>
      <c r="AG493" s="132"/>
      <c r="AH493" s="132"/>
      <c r="AI493" s="132"/>
      <c r="AJ493" s="13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</row>
    <row r="494" spans="1:125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</row>
    <row r="495" spans="1:125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  <c r="AC495" s="132"/>
      <c r="AD495" s="132"/>
      <c r="AE495" s="132"/>
      <c r="AF495" s="132"/>
      <c r="AG495" s="132"/>
      <c r="AH495" s="132"/>
      <c r="AI495" s="132"/>
      <c r="AJ495" s="13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</row>
    <row r="496" spans="1:125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  <c r="AC496" s="132"/>
      <c r="AD496" s="132"/>
      <c r="AE496" s="132"/>
      <c r="AF496" s="132"/>
      <c r="AG496" s="132"/>
      <c r="AH496" s="132"/>
      <c r="AI496" s="132"/>
      <c r="AJ496" s="13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</row>
    <row r="497" spans="1:125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  <c r="AD497" s="132"/>
      <c r="AE497" s="132"/>
      <c r="AF497" s="132"/>
      <c r="AG497" s="132"/>
      <c r="AH497" s="132"/>
      <c r="AI497" s="132"/>
      <c r="AJ497" s="13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</row>
    <row r="498" spans="1:125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  <c r="AC498" s="132"/>
      <c r="AD498" s="132"/>
      <c r="AE498" s="132"/>
      <c r="AF498" s="132"/>
      <c r="AG498" s="132"/>
      <c r="AH498" s="132"/>
      <c r="AI498" s="132"/>
      <c r="AJ498" s="13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</row>
    <row r="499" spans="1:125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  <c r="AC499" s="132"/>
      <c r="AD499" s="132"/>
      <c r="AE499" s="132"/>
      <c r="AF499" s="132"/>
      <c r="AG499" s="132"/>
      <c r="AH499" s="132"/>
      <c r="AI499" s="132"/>
      <c r="AJ499" s="13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</row>
    <row r="500" spans="1:125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  <c r="AC500" s="132"/>
      <c r="AD500" s="132"/>
      <c r="AE500" s="132"/>
      <c r="AF500" s="132"/>
      <c r="AG500" s="132"/>
      <c r="AH500" s="132"/>
      <c r="AI500" s="132"/>
      <c r="AJ500" s="13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</row>
    <row r="501" spans="1:125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  <c r="AC501" s="132"/>
      <c r="AD501" s="132"/>
      <c r="AE501" s="132"/>
      <c r="AF501" s="132"/>
      <c r="AG501" s="132"/>
      <c r="AH501" s="132"/>
      <c r="AI501" s="132"/>
      <c r="AJ501" s="13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</row>
    <row r="502" spans="1:125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  <c r="AC502" s="132"/>
      <c r="AD502" s="132"/>
      <c r="AE502" s="132"/>
      <c r="AF502" s="132"/>
      <c r="AG502" s="132"/>
      <c r="AH502" s="132"/>
      <c r="AI502" s="132"/>
      <c r="AJ502" s="13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</row>
    <row r="503" spans="1:125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  <c r="AD503" s="132"/>
      <c r="AE503" s="132"/>
      <c r="AF503" s="132"/>
      <c r="AG503" s="132"/>
      <c r="AH503" s="132"/>
      <c r="AI503" s="132"/>
      <c r="AJ503" s="13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</row>
    <row r="504" spans="1:125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  <c r="AC504" s="132"/>
      <c r="AD504" s="132"/>
      <c r="AE504" s="132"/>
      <c r="AF504" s="132"/>
      <c r="AG504" s="132"/>
      <c r="AH504" s="132"/>
      <c r="AI504" s="132"/>
      <c r="AJ504" s="13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</row>
    <row r="505" spans="1:125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  <c r="AC505" s="132"/>
      <c r="AD505" s="132"/>
      <c r="AE505" s="132"/>
      <c r="AF505" s="132"/>
      <c r="AG505" s="132"/>
      <c r="AH505" s="132"/>
      <c r="AI505" s="132"/>
      <c r="AJ505" s="13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</row>
    <row r="506" spans="1:125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  <c r="AC506" s="132"/>
      <c r="AD506" s="132"/>
      <c r="AE506" s="132"/>
      <c r="AF506" s="132"/>
      <c r="AG506" s="132"/>
      <c r="AH506" s="132"/>
      <c r="AI506" s="132"/>
      <c r="AJ506" s="13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</row>
    <row r="507" spans="1:125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  <c r="AC507" s="132"/>
      <c r="AD507" s="132"/>
      <c r="AE507" s="132"/>
      <c r="AF507" s="132"/>
      <c r="AG507" s="132"/>
      <c r="AH507" s="132"/>
      <c r="AI507" s="132"/>
      <c r="AJ507" s="13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</row>
    <row r="508" spans="1:125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  <c r="AD508" s="132"/>
      <c r="AE508" s="132"/>
      <c r="AF508" s="132"/>
      <c r="AG508" s="132"/>
      <c r="AH508" s="132"/>
      <c r="AI508" s="132"/>
      <c r="AJ508" s="13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</row>
    <row r="509" spans="1:125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  <c r="AC509" s="132"/>
      <c r="AD509" s="132"/>
      <c r="AE509" s="132"/>
      <c r="AF509" s="132"/>
      <c r="AG509" s="132"/>
      <c r="AH509" s="132"/>
      <c r="AI509" s="132"/>
      <c r="AJ509" s="13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</row>
    <row r="510" spans="1:125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  <c r="AC510" s="132"/>
      <c r="AD510" s="132"/>
      <c r="AE510" s="132"/>
      <c r="AF510" s="132"/>
      <c r="AG510" s="132"/>
      <c r="AH510" s="132"/>
      <c r="AI510" s="132"/>
      <c r="AJ510" s="13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</row>
    <row r="511" spans="1:125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  <c r="AG511" s="132"/>
      <c r="AH511" s="132"/>
      <c r="AI511" s="132"/>
      <c r="AJ511" s="13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</row>
    <row r="512" spans="1:125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  <c r="AC512" s="132"/>
      <c r="AD512" s="132"/>
      <c r="AE512" s="132"/>
      <c r="AF512" s="132"/>
      <c r="AG512" s="132"/>
      <c r="AH512" s="132"/>
      <c r="AI512" s="132"/>
      <c r="AJ512" s="13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</row>
    <row r="513" spans="1:125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  <c r="AC513" s="132"/>
      <c r="AD513" s="132"/>
      <c r="AE513" s="132"/>
      <c r="AF513" s="132"/>
      <c r="AG513" s="132"/>
      <c r="AH513" s="132"/>
      <c r="AI513" s="132"/>
      <c r="AJ513" s="13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</row>
    <row r="514" spans="1:125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  <c r="AC514" s="132"/>
      <c r="AD514" s="132"/>
      <c r="AE514" s="132"/>
      <c r="AF514" s="132"/>
      <c r="AG514" s="132"/>
      <c r="AH514" s="132"/>
      <c r="AI514" s="132"/>
      <c r="AJ514" s="13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</row>
    <row r="515" spans="1:125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  <c r="AC515" s="132"/>
      <c r="AD515" s="132"/>
      <c r="AE515" s="132"/>
      <c r="AF515" s="132"/>
      <c r="AG515" s="132"/>
      <c r="AH515" s="132"/>
      <c r="AI515" s="132"/>
      <c r="AJ515" s="13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</row>
    <row r="516" spans="1:125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  <c r="AC516" s="132"/>
      <c r="AD516" s="132"/>
      <c r="AE516" s="132"/>
      <c r="AF516" s="132"/>
      <c r="AG516" s="132"/>
      <c r="AH516" s="132"/>
      <c r="AI516" s="132"/>
      <c r="AJ516" s="13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</row>
    <row r="517" spans="1:125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  <c r="AC517" s="132"/>
      <c r="AD517" s="132"/>
      <c r="AE517" s="132"/>
      <c r="AF517" s="132"/>
      <c r="AG517" s="132"/>
      <c r="AH517" s="132"/>
      <c r="AI517" s="132"/>
      <c r="AJ517" s="13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</row>
    <row r="518" spans="1:125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  <c r="AC518" s="132"/>
      <c r="AD518" s="132"/>
      <c r="AE518" s="132"/>
      <c r="AF518" s="132"/>
      <c r="AG518" s="132"/>
      <c r="AH518" s="132"/>
      <c r="AI518" s="132"/>
      <c r="AJ518" s="13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</row>
    <row r="519" spans="1:125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</row>
    <row r="520" spans="1:125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  <c r="AC520" s="132"/>
      <c r="AD520" s="132"/>
      <c r="AE520" s="132"/>
      <c r="AF520" s="132"/>
      <c r="AG520" s="132"/>
      <c r="AH520" s="132"/>
      <c r="AI520" s="132"/>
      <c r="AJ520" s="13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</row>
    <row r="521" spans="1:125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  <c r="AC521" s="132"/>
      <c r="AD521" s="132"/>
      <c r="AE521" s="132"/>
      <c r="AF521" s="132"/>
      <c r="AG521" s="132"/>
      <c r="AH521" s="132"/>
      <c r="AI521" s="132"/>
      <c r="AJ521" s="13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</row>
    <row r="522" spans="1:125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  <c r="AC522" s="132"/>
      <c r="AD522" s="132"/>
      <c r="AE522" s="132"/>
      <c r="AF522" s="132"/>
      <c r="AG522" s="132"/>
      <c r="AH522" s="132"/>
      <c r="AI522" s="132"/>
      <c r="AJ522" s="13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</row>
    <row r="523" spans="1:125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  <c r="AC523" s="132"/>
      <c r="AD523" s="132"/>
      <c r="AE523" s="132"/>
      <c r="AF523" s="132"/>
      <c r="AG523" s="132"/>
      <c r="AH523" s="132"/>
      <c r="AI523" s="132"/>
      <c r="AJ523" s="13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</row>
    <row r="524" spans="1:125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  <c r="AC524" s="132"/>
      <c r="AD524" s="132"/>
      <c r="AE524" s="132"/>
      <c r="AF524" s="132"/>
      <c r="AG524" s="132"/>
      <c r="AH524" s="132"/>
      <c r="AI524" s="132"/>
      <c r="AJ524" s="13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</row>
    <row r="525" spans="1:125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  <c r="AC525" s="132"/>
      <c r="AD525" s="132"/>
      <c r="AE525" s="132"/>
      <c r="AF525" s="132"/>
      <c r="AG525" s="132"/>
      <c r="AH525" s="132"/>
      <c r="AI525" s="132"/>
      <c r="AJ525" s="13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</row>
    <row r="526" spans="1:125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/>
      <c r="AD526" s="132"/>
      <c r="AE526" s="132"/>
      <c r="AF526" s="132"/>
      <c r="AG526" s="132"/>
      <c r="AH526" s="132"/>
      <c r="AI526" s="132"/>
      <c r="AJ526" s="13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</row>
    <row r="527" spans="1:125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  <c r="AC527" s="132"/>
      <c r="AD527" s="132"/>
      <c r="AE527" s="132"/>
      <c r="AF527" s="132"/>
      <c r="AG527" s="132"/>
      <c r="AH527" s="132"/>
      <c r="AI527" s="132"/>
      <c r="AJ527" s="13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</row>
    <row r="528" spans="1:125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  <c r="AC528" s="132"/>
      <c r="AD528" s="132"/>
      <c r="AE528" s="132"/>
      <c r="AF528" s="132"/>
      <c r="AG528" s="132"/>
      <c r="AH528" s="132"/>
      <c r="AI528" s="132"/>
      <c r="AJ528" s="13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</row>
    <row r="529" spans="1:125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  <c r="AC529" s="132"/>
      <c r="AD529" s="132"/>
      <c r="AE529" s="132"/>
      <c r="AF529" s="132"/>
      <c r="AG529" s="132"/>
      <c r="AH529" s="132"/>
      <c r="AI529" s="132"/>
      <c r="AJ529" s="13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</row>
    <row r="530" spans="1:125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  <c r="AC530" s="132"/>
      <c r="AD530" s="132"/>
      <c r="AE530" s="132"/>
      <c r="AF530" s="132"/>
      <c r="AG530" s="132"/>
      <c r="AH530" s="132"/>
      <c r="AI530" s="132"/>
      <c r="AJ530" s="13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</row>
    <row r="531" spans="1:125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  <c r="AD531" s="132"/>
      <c r="AE531" s="132"/>
      <c r="AF531" s="132"/>
      <c r="AG531" s="132"/>
      <c r="AH531" s="132"/>
      <c r="AI531" s="132"/>
      <c r="AJ531" s="13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</row>
    <row r="532" spans="1:125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  <c r="AD532" s="132"/>
      <c r="AE532" s="132"/>
      <c r="AF532" s="132"/>
      <c r="AG532" s="132"/>
      <c r="AH532" s="132"/>
      <c r="AI532" s="132"/>
      <c r="AJ532" s="13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</row>
    <row r="533" spans="1:125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  <c r="AC533" s="132"/>
      <c r="AD533" s="132"/>
      <c r="AE533" s="132"/>
      <c r="AF533" s="132"/>
      <c r="AG533" s="132"/>
      <c r="AH533" s="132"/>
      <c r="AI533" s="132"/>
      <c r="AJ533" s="13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</row>
    <row r="534" spans="1:125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  <c r="AC534" s="132"/>
      <c r="AD534" s="132"/>
      <c r="AE534" s="132"/>
      <c r="AF534" s="132"/>
      <c r="AG534" s="132"/>
      <c r="AH534" s="132"/>
      <c r="AI534" s="132"/>
      <c r="AJ534" s="13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</row>
    <row r="535" spans="1:125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  <c r="AC535" s="132"/>
      <c r="AD535" s="132"/>
      <c r="AE535" s="132"/>
      <c r="AF535" s="132"/>
      <c r="AG535" s="132"/>
      <c r="AH535" s="132"/>
      <c r="AI535" s="132"/>
      <c r="AJ535" s="13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</row>
    <row r="536" spans="1:125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  <c r="AD536" s="132"/>
      <c r="AE536" s="132"/>
      <c r="AF536" s="132"/>
      <c r="AG536" s="132"/>
      <c r="AH536" s="132"/>
      <c r="AI536" s="132"/>
      <c r="AJ536" s="13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</row>
    <row r="537" spans="1:125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/>
      <c r="AD537" s="132"/>
      <c r="AE537" s="132"/>
      <c r="AF537" s="132"/>
      <c r="AG537" s="132"/>
      <c r="AH537" s="132"/>
      <c r="AI537" s="132"/>
      <c r="AJ537" s="13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</row>
    <row r="538" spans="1:125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  <c r="AC538" s="132"/>
      <c r="AD538" s="132"/>
      <c r="AE538" s="132"/>
      <c r="AF538" s="132"/>
      <c r="AG538" s="132"/>
      <c r="AH538" s="132"/>
      <c r="AI538" s="132"/>
      <c r="AJ538" s="13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</row>
    <row r="539" spans="1:125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  <c r="AC539" s="132"/>
      <c r="AD539" s="132"/>
      <c r="AE539" s="132"/>
      <c r="AF539" s="132"/>
      <c r="AG539" s="132"/>
      <c r="AH539" s="132"/>
      <c r="AI539" s="132"/>
      <c r="AJ539" s="13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</row>
    <row r="540" spans="1:125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  <c r="AC540" s="132"/>
      <c r="AD540" s="132"/>
      <c r="AE540" s="132"/>
      <c r="AF540" s="132"/>
      <c r="AG540" s="132"/>
      <c r="AH540" s="132"/>
      <c r="AI540" s="132"/>
      <c r="AJ540" s="13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</row>
    <row r="541" spans="1:125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32"/>
      <c r="AI541" s="132"/>
      <c r="AJ541" s="13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</row>
    <row r="542" spans="1:125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  <c r="AC542" s="132"/>
      <c r="AD542" s="132"/>
      <c r="AE542" s="132"/>
      <c r="AF542" s="132"/>
      <c r="AG542" s="132"/>
      <c r="AH542" s="132"/>
      <c r="AI542" s="132"/>
      <c r="AJ542" s="13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</row>
    <row r="543" spans="1:125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  <c r="AC543" s="132"/>
      <c r="AD543" s="132"/>
      <c r="AE543" s="132"/>
      <c r="AF543" s="132"/>
      <c r="AG543" s="132"/>
      <c r="AH543" s="132"/>
      <c r="AI543" s="132"/>
      <c r="AJ543" s="13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</row>
    <row r="544" spans="1:125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  <c r="AC544" s="132"/>
      <c r="AD544" s="132"/>
      <c r="AE544" s="132"/>
      <c r="AF544" s="132"/>
      <c r="AG544" s="132"/>
      <c r="AH544" s="132"/>
      <c r="AI544" s="132"/>
      <c r="AJ544" s="13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</row>
    <row r="545" spans="1:125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  <c r="AC545" s="132"/>
      <c r="AD545" s="132"/>
      <c r="AE545" s="132"/>
      <c r="AF545" s="132"/>
      <c r="AG545" s="132"/>
      <c r="AH545" s="132"/>
      <c r="AI545" s="132"/>
      <c r="AJ545" s="13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</row>
    <row r="546" spans="1:125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  <c r="AC546" s="132"/>
      <c r="AD546" s="132"/>
      <c r="AE546" s="132"/>
      <c r="AF546" s="132"/>
      <c r="AG546" s="132"/>
      <c r="AH546" s="132"/>
      <c r="AI546" s="132"/>
      <c r="AJ546" s="13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</row>
    <row r="547" spans="1:125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  <c r="AC547" s="132"/>
      <c r="AD547" s="132"/>
      <c r="AE547" s="132"/>
      <c r="AF547" s="132"/>
      <c r="AG547" s="132"/>
      <c r="AH547" s="132"/>
      <c r="AI547" s="132"/>
      <c r="AJ547" s="13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</row>
    <row r="548" spans="1:125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  <c r="AC548" s="132"/>
      <c r="AD548" s="132"/>
      <c r="AE548" s="132"/>
      <c r="AF548" s="132"/>
      <c r="AG548" s="132"/>
      <c r="AH548" s="132"/>
      <c r="AI548" s="132"/>
      <c r="AJ548" s="13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</row>
    <row r="549" spans="1:125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  <c r="AC549" s="132"/>
      <c r="AD549" s="132"/>
      <c r="AE549" s="132"/>
      <c r="AF549" s="132"/>
      <c r="AG549" s="132"/>
      <c r="AH549" s="132"/>
      <c r="AI549" s="132"/>
      <c r="AJ549" s="13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</row>
    <row r="550" spans="1:125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  <c r="AC550" s="132"/>
      <c r="AD550" s="132"/>
      <c r="AE550" s="132"/>
      <c r="AF550" s="132"/>
      <c r="AG550" s="132"/>
      <c r="AH550" s="132"/>
      <c r="AI550" s="132"/>
      <c r="AJ550" s="13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</row>
    <row r="551" spans="1:125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  <c r="AC551" s="132"/>
      <c r="AD551" s="132"/>
      <c r="AE551" s="132"/>
      <c r="AF551" s="132"/>
      <c r="AG551" s="132"/>
      <c r="AH551" s="132"/>
      <c r="AI551" s="132"/>
      <c r="AJ551" s="13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</row>
    <row r="552" spans="1:125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  <c r="AC552" s="132"/>
      <c r="AD552" s="132"/>
      <c r="AE552" s="132"/>
      <c r="AF552" s="132"/>
      <c r="AG552" s="132"/>
      <c r="AH552" s="132"/>
      <c r="AI552" s="132"/>
      <c r="AJ552" s="13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</row>
    <row r="553" spans="1:125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  <c r="AF553" s="132"/>
      <c r="AG553" s="132"/>
      <c r="AH553" s="132"/>
      <c r="AI553" s="132"/>
      <c r="AJ553" s="13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</row>
    <row r="554" spans="1:125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  <c r="AC554" s="132"/>
      <c r="AD554" s="132"/>
      <c r="AE554" s="132"/>
      <c r="AF554" s="132"/>
      <c r="AG554" s="132"/>
      <c r="AH554" s="132"/>
      <c r="AI554" s="132"/>
      <c r="AJ554" s="13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</row>
    <row r="555" spans="1:125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  <c r="AC555" s="132"/>
      <c r="AD555" s="132"/>
      <c r="AE555" s="132"/>
      <c r="AF555" s="132"/>
      <c r="AG555" s="132"/>
      <c r="AH555" s="132"/>
      <c r="AI555" s="132"/>
      <c r="AJ555" s="13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</row>
    <row r="556" spans="1:125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  <c r="AC556" s="132"/>
      <c r="AD556" s="132"/>
      <c r="AE556" s="132"/>
      <c r="AF556" s="132"/>
      <c r="AG556" s="132"/>
      <c r="AH556" s="132"/>
      <c r="AI556" s="132"/>
      <c r="AJ556" s="13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</row>
    <row r="557" spans="1:125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  <c r="AC557" s="132"/>
      <c r="AD557" s="132"/>
      <c r="AE557" s="132"/>
      <c r="AF557" s="132"/>
      <c r="AG557" s="132"/>
      <c r="AH557" s="132"/>
      <c r="AI557" s="132"/>
      <c r="AJ557" s="13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</row>
    <row r="558" spans="1:125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/>
      <c r="AF558" s="132"/>
      <c r="AG558" s="132"/>
      <c r="AH558" s="132"/>
      <c r="AI558" s="132"/>
      <c r="AJ558" s="13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</row>
    <row r="559" spans="1:125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  <c r="AF559" s="132"/>
      <c r="AG559" s="132"/>
      <c r="AH559" s="132"/>
      <c r="AI559" s="132"/>
      <c r="AJ559" s="13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</row>
    <row r="560" spans="1:125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/>
      <c r="AG560" s="132"/>
      <c r="AH560" s="132"/>
      <c r="AI560" s="132"/>
      <c r="AJ560" s="13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</row>
    <row r="561" spans="1:125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/>
      <c r="AH561" s="132"/>
      <c r="AI561" s="132"/>
      <c r="AJ561" s="13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</row>
    <row r="562" spans="1:125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  <c r="AC562" s="132"/>
      <c r="AD562" s="132"/>
      <c r="AE562" s="132"/>
      <c r="AF562" s="132"/>
      <c r="AG562" s="132"/>
      <c r="AH562" s="132"/>
      <c r="AI562" s="132"/>
      <c r="AJ562" s="13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</row>
    <row r="563" spans="1:125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  <c r="AC563" s="132"/>
      <c r="AD563" s="132"/>
      <c r="AE563" s="132"/>
      <c r="AF563" s="132"/>
      <c r="AG563" s="132"/>
      <c r="AH563" s="132"/>
      <c r="AI563" s="132"/>
      <c r="AJ563" s="13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</row>
    <row r="564" spans="1:125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  <c r="AC564" s="132"/>
      <c r="AD564" s="132"/>
      <c r="AE564" s="132"/>
      <c r="AF564" s="132"/>
      <c r="AG564" s="132"/>
      <c r="AH564" s="132"/>
      <c r="AI564" s="132"/>
      <c r="AJ564" s="13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</row>
    <row r="565" spans="1:125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  <c r="AG565" s="132"/>
      <c r="AH565" s="132"/>
      <c r="AI565" s="132"/>
      <c r="AJ565" s="13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</row>
    <row r="566" spans="1:125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  <c r="AC566" s="132"/>
      <c r="AD566" s="132"/>
      <c r="AE566" s="132"/>
      <c r="AF566" s="132"/>
      <c r="AG566" s="132"/>
      <c r="AH566" s="132"/>
      <c r="AI566" s="132"/>
      <c r="AJ566" s="13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</row>
    <row r="567" spans="1:125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  <c r="AC567" s="132"/>
      <c r="AD567" s="132"/>
      <c r="AE567" s="132"/>
      <c r="AF567" s="132"/>
      <c r="AG567" s="132"/>
      <c r="AH567" s="132"/>
      <c r="AI567" s="132"/>
      <c r="AJ567" s="13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</row>
    <row r="568" spans="1:125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  <c r="AC568" s="132"/>
      <c r="AD568" s="132"/>
      <c r="AE568" s="132"/>
      <c r="AF568" s="132"/>
      <c r="AG568" s="132"/>
      <c r="AH568" s="132"/>
      <c r="AI568" s="132"/>
      <c r="AJ568" s="13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</row>
    <row r="569" spans="1:125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  <c r="AC569" s="132"/>
      <c r="AD569" s="132"/>
      <c r="AE569" s="132"/>
      <c r="AF569" s="132"/>
      <c r="AG569" s="132"/>
      <c r="AH569" s="132"/>
      <c r="AI569" s="132"/>
      <c r="AJ569" s="13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</row>
    <row r="570" spans="1:125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  <c r="AC570" s="132"/>
      <c r="AD570" s="132"/>
      <c r="AE570" s="132"/>
      <c r="AF570" s="132"/>
      <c r="AG570" s="132"/>
      <c r="AH570" s="132"/>
      <c r="AI570" s="132"/>
      <c r="AJ570" s="13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</row>
    <row r="571" spans="1:125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  <c r="AC571" s="132"/>
      <c r="AD571" s="132"/>
      <c r="AE571" s="132"/>
      <c r="AF571" s="132"/>
      <c r="AG571" s="132"/>
      <c r="AH571" s="132"/>
      <c r="AI571" s="132"/>
      <c r="AJ571" s="13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</row>
    <row r="572" spans="1:125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  <c r="AC572" s="132"/>
      <c r="AD572" s="132"/>
      <c r="AE572" s="132"/>
      <c r="AF572" s="132"/>
      <c r="AG572" s="132"/>
      <c r="AH572" s="132"/>
      <c r="AI572" s="132"/>
      <c r="AJ572" s="13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</row>
    <row r="573" spans="1:125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  <c r="AC573" s="132"/>
      <c r="AD573" s="132"/>
      <c r="AE573" s="132"/>
      <c r="AF573" s="132"/>
      <c r="AG573" s="132"/>
      <c r="AH573" s="132"/>
      <c r="AI573" s="132"/>
      <c r="AJ573" s="13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</row>
    <row r="574" spans="1:125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  <c r="AC574" s="132"/>
      <c r="AD574" s="132"/>
      <c r="AE574" s="132"/>
      <c r="AF574" s="132"/>
      <c r="AG574" s="132"/>
      <c r="AH574" s="132"/>
      <c r="AI574" s="132"/>
      <c r="AJ574" s="13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</row>
    <row r="575" spans="1:125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  <c r="AC575" s="132"/>
      <c r="AD575" s="132"/>
      <c r="AE575" s="132"/>
      <c r="AF575" s="132"/>
      <c r="AG575" s="132"/>
      <c r="AH575" s="132"/>
      <c r="AI575" s="132"/>
      <c r="AJ575" s="13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</row>
    <row r="576" spans="1:125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  <c r="AC576" s="132"/>
      <c r="AD576" s="132"/>
      <c r="AE576" s="132"/>
      <c r="AF576" s="132"/>
      <c r="AG576" s="132"/>
      <c r="AH576" s="132"/>
      <c r="AI576" s="132"/>
      <c r="AJ576" s="13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</row>
    <row r="577" spans="1:125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  <c r="AC577" s="132"/>
      <c r="AD577" s="132"/>
      <c r="AE577" s="132"/>
      <c r="AF577" s="132"/>
      <c r="AG577" s="132"/>
      <c r="AH577" s="132"/>
      <c r="AI577" s="132"/>
      <c r="AJ577" s="13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</row>
    <row r="578" spans="1:125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  <c r="AC578" s="132"/>
      <c r="AD578" s="132"/>
      <c r="AE578" s="132"/>
      <c r="AF578" s="132"/>
      <c r="AG578" s="132"/>
      <c r="AH578" s="132"/>
      <c r="AI578" s="132"/>
      <c r="AJ578" s="13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</row>
    <row r="579" spans="1:125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  <c r="AC579" s="132"/>
      <c r="AD579" s="132"/>
      <c r="AE579" s="132"/>
      <c r="AF579" s="132"/>
      <c r="AG579" s="132"/>
      <c r="AH579" s="132"/>
      <c r="AI579" s="132"/>
      <c r="AJ579" s="13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</row>
    <row r="580" spans="1:125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  <c r="AC580" s="132"/>
      <c r="AD580" s="132"/>
      <c r="AE580" s="132"/>
      <c r="AF580" s="132"/>
      <c r="AG580" s="132"/>
      <c r="AH580" s="132"/>
      <c r="AI580" s="132"/>
      <c r="AJ580" s="13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</row>
    <row r="581" spans="1:125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  <c r="AC581" s="132"/>
      <c r="AD581" s="132"/>
      <c r="AE581" s="132"/>
      <c r="AF581" s="132"/>
      <c r="AG581" s="132"/>
      <c r="AH581" s="132"/>
      <c r="AI581" s="132"/>
      <c r="AJ581" s="13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</row>
    <row r="582" spans="1:125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/>
      <c r="AE582" s="132"/>
      <c r="AF582" s="132"/>
      <c r="AG582" s="132"/>
      <c r="AH582" s="132"/>
      <c r="AI582" s="132"/>
      <c r="AJ582" s="13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</row>
    <row r="583" spans="1:125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  <c r="AC583" s="132"/>
      <c r="AD583" s="132"/>
      <c r="AE583" s="132"/>
      <c r="AF583" s="132"/>
      <c r="AG583" s="132"/>
      <c r="AH583" s="132"/>
      <c r="AI583" s="132"/>
      <c r="AJ583" s="13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</row>
    <row r="584" spans="1:125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  <c r="AC584" s="132"/>
      <c r="AD584" s="132"/>
      <c r="AE584" s="132"/>
      <c r="AF584" s="132"/>
      <c r="AG584" s="132"/>
      <c r="AH584" s="132"/>
      <c r="AI584" s="132"/>
      <c r="AJ584" s="13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</row>
    <row r="585" spans="1:125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  <c r="AC585" s="132"/>
      <c r="AD585" s="132"/>
      <c r="AE585" s="132"/>
      <c r="AF585" s="132"/>
      <c r="AG585" s="132"/>
      <c r="AH585" s="132"/>
      <c r="AI585" s="132"/>
      <c r="AJ585" s="13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</row>
    <row r="586" spans="1:125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  <c r="AC586" s="132"/>
      <c r="AD586" s="132"/>
      <c r="AE586" s="132"/>
      <c r="AF586" s="132"/>
      <c r="AG586" s="132"/>
      <c r="AH586" s="132"/>
      <c r="AI586" s="132"/>
      <c r="AJ586" s="13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</row>
    <row r="587" spans="1:125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  <c r="AC587" s="132"/>
      <c r="AD587" s="132"/>
      <c r="AE587" s="132"/>
      <c r="AF587" s="132"/>
      <c r="AG587" s="132"/>
      <c r="AH587" s="132"/>
      <c r="AI587" s="132"/>
      <c r="AJ587" s="13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</row>
    <row r="588" spans="1:125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  <c r="AC588" s="132"/>
      <c r="AD588" s="132"/>
      <c r="AE588" s="132"/>
      <c r="AF588" s="132"/>
      <c r="AG588" s="132"/>
      <c r="AH588" s="132"/>
      <c r="AI588" s="132"/>
      <c r="AJ588" s="13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</row>
    <row r="589" spans="1:125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  <c r="AC589" s="132"/>
      <c r="AD589" s="132"/>
      <c r="AE589" s="132"/>
      <c r="AF589" s="132"/>
      <c r="AG589" s="132"/>
      <c r="AH589" s="132"/>
      <c r="AI589" s="132"/>
      <c r="AJ589" s="13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</row>
    <row r="590" spans="1:125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  <c r="AC590" s="132"/>
      <c r="AD590" s="132"/>
      <c r="AE590" s="132"/>
      <c r="AF590" s="132"/>
      <c r="AG590" s="132"/>
      <c r="AH590" s="132"/>
      <c r="AI590" s="132"/>
      <c r="AJ590" s="13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</row>
    <row r="591" spans="1:125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  <c r="AC591" s="132"/>
      <c r="AD591" s="132"/>
      <c r="AE591" s="132"/>
      <c r="AF591" s="132"/>
      <c r="AG591" s="132"/>
      <c r="AH591" s="132"/>
      <c r="AI591" s="132"/>
      <c r="AJ591" s="13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</row>
    <row r="592" spans="1:125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  <c r="AC592" s="132"/>
      <c r="AD592" s="132"/>
      <c r="AE592" s="132"/>
      <c r="AF592" s="132"/>
      <c r="AG592" s="132"/>
      <c r="AH592" s="132"/>
      <c r="AI592" s="132"/>
      <c r="AJ592" s="13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</row>
    <row r="593" spans="1:125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  <c r="AC593" s="132"/>
      <c r="AD593" s="132"/>
      <c r="AE593" s="132"/>
      <c r="AF593" s="132"/>
      <c r="AG593" s="132"/>
      <c r="AH593" s="132"/>
      <c r="AI593" s="132"/>
      <c r="AJ593" s="13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</row>
    <row r="594" spans="1:125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  <c r="AC594" s="132"/>
      <c r="AD594" s="132"/>
      <c r="AE594" s="132"/>
      <c r="AF594" s="132"/>
      <c r="AG594" s="132"/>
      <c r="AH594" s="132"/>
      <c r="AI594" s="132"/>
      <c r="AJ594" s="13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</row>
    <row r="595" spans="1:125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  <c r="AC595" s="132"/>
      <c r="AD595" s="132"/>
      <c r="AE595" s="132"/>
      <c r="AF595" s="132"/>
      <c r="AG595" s="132"/>
      <c r="AH595" s="132"/>
      <c r="AI595" s="132"/>
      <c r="AJ595" s="13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</row>
    <row r="596" spans="1:125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  <c r="AC596" s="132"/>
      <c r="AD596" s="132"/>
      <c r="AE596" s="132"/>
      <c r="AF596" s="132"/>
      <c r="AG596" s="132"/>
      <c r="AH596" s="132"/>
      <c r="AI596" s="132"/>
      <c r="AJ596" s="13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</row>
    <row r="597" spans="1:125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  <c r="AC597" s="132"/>
      <c r="AD597" s="132"/>
      <c r="AE597" s="132"/>
      <c r="AF597" s="132"/>
      <c r="AG597" s="132"/>
      <c r="AH597" s="132"/>
      <c r="AI597" s="132"/>
      <c r="AJ597" s="13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</row>
    <row r="598" spans="1:125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  <c r="AC598" s="132"/>
      <c r="AD598" s="132"/>
      <c r="AE598" s="132"/>
      <c r="AF598" s="132"/>
      <c r="AG598" s="132"/>
      <c r="AH598" s="132"/>
      <c r="AI598" s="132"/>
      <c r="AJ598" s="13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</row>
    <row r="599" spans="1:125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  <c r="AC599" s="132"/>
      <c r="AD599" s="132"/>
      <c r="AE599" s="132"/>
      <c r="AF599" s="132"/>
      <c r="AG599" s="132"/>
      <c r="AH599" s="132"/>
      <c r="AI599" s="132"/>
      <c r="AJ599" s="13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</row>
    <row r="600" spans="1:125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  <c r="AC600" s="132"/>
      <c r="AD600" s="132"/>
      <c r="AE600" s="132"/>
      <c r="AF600" s="132"/>
      <c r="AG600" s="132"/>
      <c r="AH600" s="132"/>
      <c r="AI600" s="132"/>
      <c r="AJ600" s="13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</row>
    <row r="601" spans="1:125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  <c r="AC601" s="132"/>
      <c r="AD601" s="132"/>
      <c r="AE601" s="132"/>
      <c r="AF601" s="132"/>
      <c r="AG601" s="132"/>
      <c r="AH601" s="132"/>
      <c r="AI601" s="132"/>
      <c r="AJ601" s="13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</row>
    <row r="602" spans="1:125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  <c r="AC602" s="132"/>
      <c r="AD602" s="132"/>
      <c r="AE602" s="132"/>
      <c r="AF602" s="132"/>
      <c r="AG602" s="132"/>
      <c r="AH602" s="132"/>
      <c r="AI602" s="132"/>
      <c r="AJ602" s="13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</row>
    <row r="603" spans="1:125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  <c r="AC603" s="132"/>
      <c r="AD603" s="132"/>
      <c r="AE603" s="132"/>
      <c r="AF603" s="132"/>
      <c r="AG603" s="132"/>
      <c r="AH603" s="132"/>
      <c r="AI603" s="132"/>
      <c r="AJ603" s="13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</row>
    <row r="604" spans="1:125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  <c r="AD604" s="132"/>
      <c r="AE604" s="132"/>
      <c r="AF604" s="132"/>
      <c r="AG604" s="132"/>
      <c r="AH604" s="132"/>
      <c r="AI604" s="132"/>
      <c r="AJ604" s="13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</row>
    <row r="605" spans="1:125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  <c r="AC605" s="132"/>
      <c r="AD605" s="132"/>
      <c r="AE605" s="132"/>
      <c r="AF605" s="132"/>
      <c r="AG605" s="132"/>
      <c r="AH605" s="132"/>
      <c r="AI605" s="132"/>
      <c r="AJ605" s="13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</row>
    <row r="606" spans="1:125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  <c r="AC606" s="132"/>
      <c r="AD606" s="132"/>
      <c r="AE606" s="132"/>
      <c r="AF606" s="132"/>
      <c r="AG606" s="132"/>
      <c r="AH606" s="132"/>
      <c r="AI606" s="132"/>
      <c r="AJ606" s="13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</row>
    <row r="607" spans="1:125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  <c r="AC607" s="132"/>
      <c r="AD607" s="132"/>
      <c r="AE607" s="132"/>
      <c r="AF607" s="132"/>
      <c r="AG607" s="132"/>
      <c r="AH607" s="132"/>
      <c r="AI607" s="132"/>
      <c r="AJ607" s="13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</row>
    <row r="608" spans="1:125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  <c r="AC608" s="132"/>
      <c r="AD608" s="132"/>
      <c r="AE608" s="132"/>
      <c r="AF608" s="132"/>
      <c r="AG608" s="132"/>
      <c r="AH608" s="132"/>
      <c r="AI608" s="132"/>
      <c r="AJ608" s="13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</row>
    <row r="609" spans="1:125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  <c r="AC609" s="132"/>
      <c r="AD609" s="132"/>
      <c r="AE609" s="132"/>
      <c r="AF609" s="132"/>
      <c r="AG609" s="132"/>
      <c r="AH609" s="132"/>
      <c r="AI609" s="132"/>
      <c r="AJ609" s="13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</row>
    <row r="610" spans="1:125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  <c r="AC610" s="132"/>
      <c r="AD610" s="132"/>
      <c r="AE610" s="132"/>
      <c r="AF610" s="132"/>
      <c r="AG610" s="132"/>
      <c r="AH610" s="132"/>
      <c r="AI610" s="132"/>
      <c r="AJ610" s="13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</row>
    <row r="611" spans="1:125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  <c r="AC611" s="132"/>
      <c r="AD611" s="132"/>
      <c r="AE611" s="132"/>
      <c r="AF611" s="132"/>
      <c r="AG611" s="132"/>
      <c r="AH611" s="132"/>
      <c r="AI611" s="132"/>
      <c r="AJ611" s="13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</row>
    <row r="612" spans="1:125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  <c r="AC612" s="132"/>
      <c r="AD612" s="132"/>
      <c r="AE612" s="132"/>
      <c r="AF612" s="132"/>
      <c r="AG612" s="132"/>
      <c r="AH612" s="132"/>
      <c r="AI612" s="132"/>
      <c r="AJ612" s="13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</row>
    <row r="613" spans="1:125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  <c r="AC613" s="132"/>
      <c r="AD613" s="132"/>
      <c r="AE613" s="132"/>
      <c r="AF613" s="132"/>
      <c r="AG613" s="132"/>
      <c r="AH613" s="132"/>
      <c r="AI613" s="132"/>
      <c r="AJ613" s="13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</row>
    <row r="614" spans="1:125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  <c r="AC614" s="132"/>
      <c r="AD614" s="132"/>
      <c r="AE614" s="132"/>
      <c r="AF614" s="132"/>
      <c r="AG614" s="132"/>
      <c r="AH614" s="132"/>
      <c r="AI614" s="132"/>
      <c r="AJ614" s="13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</row>
    <row r="615" spans="1:125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  <c r="AC615" s="132"/>
      <c r="AD615" s="132"/>
      <c r="AE615" s="132"/>
      <c r="AF615" s="132"/>
      <c r="AG615" s="132"/>
      <c r="AH615" s="132"/>
      <c r="AI615" s="132"/>
      <c r="AJ615" s="13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</row>
    <row r="616" spans="1:125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  <c r="AC616" s="132"/>
      <c r="AD616" s="132"/>
      <c r="AE616" s="132"/>
      <c r="AF616" s="132"/>
      <c r="AG616" s="132"/>
      <c r="AH616" s="132"/>
      <c r="AI616" s="132"/>
      <c r="AJ616" s="13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</row>
    <row r="617" spans="1:125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  <c r="AC617" s="132"/>
      <c r="AD617" s="132"/>
      <c r="AE617" s="132"/>
      <c r="AF617" s="132"/>
      <c r="AG617" s="132"/>
      <c r="AH617" s="132"/>
      <c r="AI617" s="132"/>
      <c r="AJ617" s="13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</row>
    <row r="618" spans="1:125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  <c r="AC618" s="132"/>
      <c r="AD618" s="132"/>
      <c r="AE618" s="132"/>
      <c r="AF618" s="132"/>
      <c r="AG618" s="132"/>
      <c r="AH618" s="132"/>
      <c r="AI618" s="132"/>
      <c r="AJ618" s="13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</row>
    <row r="619" spans="1:125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  <c r="AC619" s="132"/>
      <c r="AD619" s="132"/>
      <c r="AE619" s="132"/>
      <c r="AF619" s="132"/>
      <c r="AG619" s="132"/>
      <c r="AH619" s="132"/>
      <c r="AI619" s="132"/>
      <c r="AJ619" s="13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</row>
    <row r="620" spans="1:125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  <c r="AC620" s="132"/>
      <c r="AD620" s="132"/>
      <c r="AE620" s="132"/>
      <c r="AF620" s="132"/>
      <c r="AG620" s="132"/>
      <c r="AH620" s="132"/>
      <c r="AI620" s="132"/>
      <c r="AJ620" s="13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</row>
    <row r="621" spans="1:125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  <c r="AC621" s="132"/>
      <c r="AD621" s="132"/>
      <c r="AE621" s="132"/>
      <c r="AF621" s="132"/>
      <c r="AG621" s="132"/>
      <c r="AH621" s="132"/>
      <c r="AI621" s="132"/>
      <c r="AJ621" s="13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</row>
    <row r="622" spans="1:125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  <c r="AC622" s="132"/>
      <c r="AD622" s="132"/>
      <c r="AE622" s="132"/>
      <c r="AF622" s="132"/>
      <c r="AG622" s="132"/>
      <c r="AH622" s="132"/>
      <c r="AI622" s="132"/>
      <c r="AJ622" s="13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</row>
    <row r="623" spans="1:125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  <c r="AC623" s="132"/>
      <c r="AD623" s="132"/>
      <c r="AE623" s="132"/>
      <c r="AF623" s="132"/>
      <c r="AG623" s="132"/>
      <c r="AH623" s="132"/>
      <c r="AI623" s="132"/>
      <c r="AJ623" s="13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</row>
    <row r="624" spans="1:125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  <c r="AC624" s="132"/>
      <c r="AD624" s="132"/>
      <c r="AE624" s="132"/>
      <c r="AF624" s="132"/>
      <c r="AG624" s="132"/>
      <c r="AH624" s="132"/>
      <c r="AI624" s="132"/>
      <c r="AJ624" s="13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</row>
    <row r="625" spans="1:125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  <c r="AC625" s="132"/>
      <c r="AD625" s="132"/>
      <c r="AE625" s="132"/>
      <c r="AF625" s="132"/>
      <c r="AG625" s="132"/>
      <c r="AH625" s="132"/>
      <c r="AI625" s="132"/>
      <c r="AJ625" s="13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</row>
    <row r="626" spans="1:125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  <c r="AE626" s="132"/>
      <c r="AF626" s="132"/>
      <c r="AG626" s="132"/>
      <c r="AH626" s="132"/>
      <c r="AI626" s="132"/>
      <c r="AJ626" s="13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</row>
    <row r="627" spans="1:125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  <c r="AC627" s="132"/>
      <c r="AD627" s="132"/>
      <c r="AE627" s="132"/>
      <c r="AF627" s="132"/>
      <c r="AG627" s="132"/>
      <c r="AH627" s="132"/>
      <c r="AI627" s="132"/>
      <c r="AJ627" s="13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</row>
    <row r="628" spans="1:125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  <c r="AC628" s="132"/>
      <c r="AD628" s="132"/>
      <c r="AE628" s="132"/>
      <c r="AF628" s="132"/>
      <c r="AG628" s="132"/>
      <c r="AH628" s="132"/>
      <c r="AI628" s="132"/>
      <c r="AJ628" s="13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</row>
    <row r="629" spans="1:125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  <c r="AC629" s="132"/>
      <c r="AD629" s="132"/>
      <c r="AE629" s="132"/>
      <c r="AF629" s="132"/>
      <c r="AG629" s="132"/>
      <c r="AH629" s="132"/>
      <c r="AI629" s="132"/>
      <c r="AJ629" s="13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</row>
    <row r="630" spans="1:125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  <c r="AC630" s="132"/>
      <c r="AD630" s="132"/>
      <c r="AE630" s="132"/>
      <c r="AF630" s="132"/>
      <c r="AG630" s="132"/>
      <c r="AH630" s="132"/>
      <c r="AI630" s="132"/>
      <c r="AJ630" s="13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</row>
    <row r="631" spans="1:125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  <c r="AC631" s="132"/>
      <c r="AD631" s="132"/>
      <c r="AE631" s="132"/>
      <c r="AF631" s="132"/>
      <c r="AG631" s="132"/>
      <c r="AH631" s="132"/>
      <c r="AI631" s="132"/>
      <c r="AJ631" s="13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</row>
    <row r="632" spans="1:125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  <c r="AC632" s="132"/>
      <c r="AD632" s="132"/>
      <c r="AE632" s="132"/>
      <c r="AF632" s="132"/>
      <c r="AG632" s="132"/>
      <c r="AH632" s="132"/>
      <c r="AI632" s="132"/>
      <c r="AJ632" s="13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</row>
    <row r="633" spans="1:125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  <c r="AC633" s="132"/>
      <c r="AD633" s="132"/>
      <c r="AE633" s="132"/>
      <c r="AF633" s="132"/>
      <c r="AG633" s="132"/>
      <c r="AH633" s="132"/>
      <c r="AI633" s="132"/>
      <c r="AJ633" s="13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</row>
    <row r="634" spans="1:125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  <c r="AC634" s="132"/>
      <c r="AD634" s="132"/>
      <c r="AE634" s="132"/>
      <c r="AF634" s="132"/>
      <c r="AG634" s="132"/>
      <c r="AH634" s="132"/>
      <c r="AI634" s="132"/>
      <c r="AJ634" s="13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</row>
    <row r="635" spans="1:125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  <c r="AC635" s="132"/>
      <c r="AD635" s="132"/>
      <c r="AE635" s="132"/>
      <c r="AF635" s="132"/>
      <c r="AG635" s="132"/>
      <c r="AH635" s="132"/>
      <c r="AI635" s="132"/>
      <c r="AJ635" s="13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</row>
    <row r="636" spans="1:125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  <c r="AC636" s="132"/>
      <c r="AD636" s="132"/>
      <c r="AE636" s="132"/>
      <c r="AF636" s="132"/>
      <c r="AG636" s="132"/>
      <c r="AH636" s="132"/>
      <c r="AI636" s="132"/>
      <c r="AJ636" s="13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</row>
    <row r="637" spans="1:125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  <c r="AD637" s="132"/>
      <c r="AE637" s="132"/>
      <c r="AF637" s="132"/>
      <c r="AG637" s="132"/>
      <c r="AH637" s="132"/>
      <c r="AI637" s="132"/>
      <c r="AJ637" s="13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</row>
    <row r="638" spans="1:125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  <c r="AD638" s="132"/>
      <c r="AE638" s="132"/>
      <c r="AF638" s="132"/>
      <c r="AG638" s="132"/>
      <c r="AH638" s="132"/>
      <c r="AI638" s="132"/>
      <c r="AJ638" s="13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</row>
    <row r="639" spans="1:125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  <c r="AC639" s="132"/>
      <c r="AD639" s="132"/>
      <c r="AE639" s="132"/>
      <c r="AF639" s="132"/>
      <c r="AG639" s="132"/>
      <c r="AH639" s="132"/>
      <c r="AI639" s="132"/>
      <c r="AJ639" s="13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</row>
    <row r="640" spans="1:125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  <c r="AD640" s="132"/>
      <c r="AE640" s="132"/>
      <c r="AF640" s="132"/>
      <c r="AG640" s="132"/>
      <c r="AH640" s="132"/>
      <c r="AI640" s="132"/>
      <c r="AJ640" s="13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</row>
    <row r="641" spans="1:125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  <c r="AE641" s="132"/>
      <c r="AF641" s="132"/>
      <c r="AG641" s="132"/>
      <c r="AH641" s="132"/>
      <c r="AI641" s="132"/>
      <c r="AJ641" s="13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</row>
    <row r="642" spans="1:125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  <c r="AC642" s="132"/>
      <c r="AD642" s="132"/>
      <c r="AE642" s="132"/>
      <c r="AF642" s="132"/>
      <c r="AG642" s="132"/>
      <c r="AH642" s="132"/>
      <c r="AI642" s="132"/>
      <c r="AJ642" s="13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</row>
    <row r="643" spans="1:125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/>
      <c r="AF643" s="132"/>
      <c r="AG643" s="132"/>
      <c r="AH643" s="132"/>
      <c r="AI643" s="132"/>
      <c r="AJ643" s="13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</row>
    <row r="644" spans="1:125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  <c r="AD644" s="132"/>
      <c r="AE644" s="132"/>
      <c r="AF644" s="132"/>
      <c r="AG644" s="132"/>
      <c r="AH644" s="132"/>
      <c r="AI644" s="132"/>
      <c r="AJ644" s="13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</row>
    <row r="645" spans="1:125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  <c r="AD645" s="132"/>
      <c r="AE645" s="132"/>
      <c r="AF645" s="132"/>
      <c r="AG645" s="132"/>
      <c r="AH645" s="132"/>
      <c r="AI645" s="132"/>
      <c r="AJ645" s="13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</row>
    <row r="646" spans="1:125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  <c r="AD646" s="132"/>
      <c r="AE646" s="132"/>
      <c r="AF646" s="132"/>
      <c r="AG646" s="132"/>
      <c r="AH646" s="132"/>
      <c r="AI646" s="132"/>
      <c r="AJ646" s="13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</row>
    <row r="647" spans="1:125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  <c r="AD647" s="132"/>
      <c r="AE647" s="132"/>
      <c r="AF647" s="132"/>
      <c r="AG647" s="132"/>
      <c r="AH647" s="132"/>
      <c r="AI647" s="132"/>
      <c r="AJ647" s="13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</row>
    <row r="648" spans="1:125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  <c r="AD648" s="132"/>
      <c r="AE648" s="132"/>
      <c r="AF648" s="132"/>
      <c r="AG648" s="132"/>
      <c r="AH648" s="132"/>
      <c r="AI648" s="132"/>
      <c r="AJ648" s="13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</row>
    <row r="649" spans="1:125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  <c r="AC649" s="132"/>
      <c r="AD649" s="132"/>
      <c r="AE649" s="132"/>
      <c r="AF649" s="132"/>
      <c r="AG649" s="132"/>
      <c r="AH649" s="132"/>
      <c r="AI649" s="132"/>
      <c r="AJ649" s="13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</row>
    <row r="650" spans="1:125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  <c r="AE650" s="132"/>
      <c r="AF650" s="132"/>
      <c r="AG650" s="132"/>
      <c r="AH650" s="132"/>
      <c r="AI650" s="132"/>
      <c r="AJ650" s="13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</row>
    <row r="651" spans="1:125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  <c r="AD651" s="132"/>
      <c r="AE651" s="132"/>
      <c r="AF651" s="132"/>
      <c r="AG651" s="132"/>
      <c r="AH651" s="132"/>
      <c r="AI651" s="132"/>
      <c r="AJ651" s="13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</row>
    <row r="652" spans="1:125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/>
      <c r="AE652" s="132"/>
      <c r="AF652" s="132"/>
      <c r="AG652" s="132"/>
      <c r="AH652" s="132"/>
      <c r="AI652" s="132"/>
      <c r="AJ652" s="13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</row>
    <row r="653" spans="1:125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  <c r="AD653" s="132"/>
      <c r="AE653" s="132"/>
      <c r="AF653" s="132"/>
      <c r="AG653" s="132"/>
      <c r="AH653" s="132"/>
      <c r="AI653" s="132"/>
      <c r="AJ653" s="13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</row>
    <row r="654" spans="1:125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  <c r="AD654" s="132"/>
      <c r="AE654" s="132"/>
      <c r="AF654" s="132"/>
      <c r="AG654" s="132"/>
      <c r="AH654" s="132"/>
      <c r="AI654" s="132"/>
      <c r="AJ654" s="13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</row>
    <row r="655" spans="1:125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  <c r="AC655" s="132"/>
      <c r="AD655" s="132"/>
      <c r="AE655" s="132"/>
      <c r="AF655" s="132"/>
      <c r="AG655" s="132"/>
      <c r="AH655" s="132"/>
      <c r="AI655" s="132"/>
      <c r="AJ655" s="13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</row>
    <row r="656" spans="1:125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  <c r="AC656" s="132"/>
      <c r="AD656" s="132"/>
      <c r="AE656" s="132"/>
      <c r="AF656" s="132"/>
      <c r="AG656" s="132"/>
      <c r="AH656" s="132"/>
      <c r="AI656" s="132"/>
      <c r="AJ656" s="13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</row>
    <row r="657" spans="1:125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  <c r="AC657" s="132"/>
      <c r="AD657" s="132"/>
      <c r="AE657" s="132"/>
      <c r="AF657" s="132"/>
      <c r="AG657" s="132"/>
      <c r="AH657" s="132"/>
      <c r="AI657" s="132"/>
      <c r="AJ657" s="13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</row>
    <row r="658" spans="1:125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  <c r="AC658" s="132"/>
      <c r="AD658" s="132"/>
      <c r="AE658" s="132"/>
      <c r="AF658" s="132"/>
      <c r="AG658" s="132"/>
      <c r="AH658" s="132"/>
      <c r="AI658" s="132"/>
      <c r="AJ658" s="13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</row>
    <row r="659" spans="1:125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  <c r="AC659" s="132"/>
      <c r="AD659" s="132"/>
      <c r="AE659" s="132"/>
      <c r="AF659" s="132"/>
      <c r="AG659" s="132"/>
      <c r="AH659" s="132"/>
      <c r="AI659" s="132"/>
      <c r="AJ659" s="13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</row>
    <row r="660" spans="1:125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  <c r="AC660" s="132"/>
      <c r="AD660" s="132"/>
      <c r="AE660" s="132"/>
      <c r="AF660" s="132"/>
      <c r="AG660" s="132"/>
      <c r="AH660" s="132"/>
      <c r="AI660" s="132"/>
      <c r="AJ660" s="13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</row>
    <row r="661" spans="1:125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  <c r="AC661" s="132"/>
      <c r="AD661" s="132"/>
      <c r="AE661" s="132"/>
      <c r="AF661" s="132"/>
      <c r="AG661" s="132"/>
      <c r="AH661" s="132"/>
      <c r="AI661" s="132"/>
      <c r="AJ661" s="13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</row>
    <row r="662" spans="1:125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  <c r="AC662" s="132"/>
      <c r="AD662" s="132"/>
      <c r="AE662" s="132"/>
      <c r="AF662" s="132"/>
      <c r="AG662" s="132"/>
      <c r="AH662" s="132"/>
      <c r="AI662" s="132"/>
      <c r="AJ662" s="13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</row>
    <row r="663" spans="1:125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  <c r="AG663" s="132"/>
      <c r="AH663" s="132"/>
      <c r="AI663" s="132"/>
      <c r="AJ663" s="13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</row>
    <row r="664" spans="1:125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  <c r="AC664" s="132"/>
      <c r="AD664" s="132"/>
      <c r="AE664" s="132"/>
      <c r="AF664" s="132"/>
      <c r="AG664" s="132"/>
      <c r="AH664" s="132"/>
      <c r="AI664" s="132"/>
      <c r="AJ664" s="13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</row>
    <row r="665" spans="1:125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  <c r="AD665" s="132"/>
      <c r="AE665" s="132"/>
      <c r="AF665" s="132"/>
      <c r="AG665" s="132"/>
      <c r="AH665" s="132"/>
      <c r="AI665" s="132"/>
      <c r="AJ665" s="13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</row>
    <row r="666" spans="1:125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  <c r="AD666" s="132"/>
      <c r="AE666" s="132"/>
      <c r="AF666" s="132"/>
      <c r="AG666" s="132"/>
      <c r="AH666" s="132"/>
      <c r="AI666" s="132"/>
      <c r="AJ666" s="13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</row>
    <row r="667" spans="1:125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  <c r="AD667" s="132"/>
      <c r="AE667" s="132"/>
      <c r="AF667" s="132"/>
      <c r="AG667" s="132"/>
      <c r="AH667" s="132"/>
      <c r="AI667" s="132"/>
      <c r="AJ667" s="13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</row>
    <row r="668" spans="1:125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  <c r="AC668" s="132"/>
      <c r="AD668" s="132"/>
      <c r="AE668" s="132"/>
      <c r="AF668" s="132"/>
      <c r="AG668" s="132"/>
      <c r="AH668" s="132"/>
      <c r="AI668" s="132"/>
      <c r="AJ668" s="13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</row>
    <row r="669" spans="1:125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  <c r="AC669" s="132"/>
      <c r="AD669" s="132"/>
      <c r="AE669" s="132"/>
      <c r="AF669" s="132"/>
      <c r="AG669" s="132"/>
      <c r="AH669" s="132"/>
      <c r="AI669" s="132"/>
      <c r="AJ669" s="13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</row>
    <row r="670" spans="1:125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  <c r="AC670" s="132"/>
      <c r="AD670" s="132"/>
      <c r="AE670" s="132"/>
      <c r="AF670" s="132"/>
      <c r="AG670" s="132"/>
      <c r="AH670" s="132"/>
      <c r="AI670" s="132"/>
      <c r="AJ670" s="13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</row>
    <row r="671" spans="1:125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  <c r="AC671" s="132"/>
      <c r="AD671" s="132"/>
      <c r="AE671" s="132"/>
      <c r="AF671" s="132"/>
      <c r="AG671" s="132"/>
      <c r="AH671" s="132"/>
      <c r="AI671" s="132"/>
      <c r="AJ671" s="13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</row>
    <row r="672" spans="1:125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  <c r="AC672" s="132"/>
      <c r="AD672" s="132"/>
      <c r="AE672" s="132"/>
      <c r="AF672" s="132"/>
      <c r="AG672" s="132"/>
      <c r="AH672" s="132"/>
      <c r="AI672" s="132"/>
      <c r="AJ672" s="13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</row>
    <row r="673" spans="1:125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  <c r="AC673" s="132"/>
      <c r="AD673" s="132"/>
      <c r="AE673" s="132"/>
      <c r="AF673" s="132"/>
      <c r="AG673" s="132"/>
      <c r="AH673" s="132"/>
      <c r="AI673" s="132"/>
      <c r="AJ673" s="13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</row>
    <row r="674" spans="1:125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  <c r="AC674" s="132"/>
      <c r="AD674" s="132"/>
      <c r="AE674" s="132"/>
      <c r="AF674" s="132"/>
      <c r="AG674" s="132"/>
      <c r="AH674" s="132"/>
      <c r="AI674" s="132"/>
      <c r="AJ674" s="13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</row>
    <row r="675" spans="1:125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  <c r="AC675" s="132"/>
      <c r="AD675" s="132"/>
      <c r="AE675" s="132"/>
      <c r="AF675" s="132"/>
      <c r="AG675" s="132"/>
      <c r="AH675" s="132"/>
      <c r="AI675" s="132"/>
      <c r="AJ675" s="13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</row>
    <row r="676" spans="1:125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  <c r="AC676" s="132"/>
      <c r="AD676" s="132"/>
      <c r="AE676" s="132"/>
      <c r="AF676" s="132"/>
      <c r="AG676" s="132"/>
      <c r="AH676" s="132"/>
      <c r="AI676" s="132"/>
      <c r="AJ676" s="13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</row>
    <row r="677" spans="1:125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  <c r="AC677" s="132"/>
      <c r="AD677" s="132"/>
      <c r="AE677" s="132"/>
      <c r="AF677" s="132"/>
      <c r="AG677" s="132"/>
      <c r="AH677" s="132"/>
      <c r="AI677" s="132"/>
      <c r="AJ677" s="13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</row>
    <row r="678" spans="1:125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  <c r="AC678" s="132"/>
      <c r="AD678" s="132"/>
      <c r="AE678" s="132"/>
      <c r="AF678" s="132"/>
      <c r="AG678" s="132"/>
      <c r="AH678" s="132"/>
      <c r="AI678" s="132"/>
      <c r="AJ678" s="13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</row>
    <row r="679" spans="1:125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  <c r="AD679" s="132"/>
      <c r="AE679" s="132"/>
      <c r="AF679" s="132"/>
      <c r="AG679" s="132"/>
      <c r="AH679" s="132"/>
      <c r="AI679" s="132"/>
      <c r="AJ679" s="13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</row>
    <row r="680" spans="1:125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  <c r="AD680" s="132"/>
      <c r="AE680" s="132"/>
      <c r="AF680" s="132"/>
      <c r="AG680" s="132"/>
      <c r="AH680" s="132"/>
      <c r="AI680" s="132"/>
      <c r="AJ680" s="13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</row>
    <row r="681" spans="1:125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  <c r="AD681" s="132"/>
      <c r="AE681" s="132"/>
      <c r="AF681" s="132"/>
      <c r="AG681" s="132"/>
      <c r="AH681" s="132"/>
      <c r="AI681" s="132"/>
      <c r="AJ681" s="13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</row>
    <row r="682" spans="1:125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  <c r="AC682" s="132"/>
      <c r="AD682" s="132"/>
      <c r="AE682" s="132"/>
      <c r="AF682" s="132"/>
      <c r="AG682" s="132"/>
      <c r="AH682" s="132"/>
      <c r="AI682" s="132"/>
      <c r="AJ682" s="13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</row>
    <row r="683" spans="1:125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  <c r="AD683" s="132"/>
      <c r="AE683" s="132"/>
      <c r="AF683" s="132"/>
      <c r="AG683" s="132"/>
      <c r="AH683" s="132"/>
      <c r="AI683" s="132"/>
      <c r="AJ683" s="13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</row>
    <row r="684" spans="1:125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  <c r="AD684" s="132"/>
      <c r="AE684" s="132"/>
      <c r="AF684" s="132"/>
      <c r="AG684" s="132"/>
      <c r="AH684" s="132"/>
      <c r="AI684" s="132"/>
      <c r="AJ684" s="13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</row>
    <row r="685" spans="1:125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  <c r="AD685" s="132"/>
      <c r="AE685" s="132"/>
      <c r="AF685" s="132"/>
      <c r="AG685" s="132"/>
      <c r="AH685" s="132"/>
      <c r="AI685" s="132"/>
      <c r="AJ685" s="13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</row>
    <row r="686" spans="1:125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  <c r="AF686" s="132"/>
      <c r="AG686" s="132"/>
      <c r="AH686" s="132"/>
      <c r="AI686" s="132"/>
      <c r="AJ686" s="13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</row>
    <row r="687" spans="1:125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  <c r="AD687" s="132"/>
      <c r="AE687" s="132"/>
      <c r="AF687" s="132"/>
      <c r="AG687" s="132"/>
      <c r="AH687" s="132"/>
      <c r="AI687" s="132"/>
      <c r="AJ687" s="13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</row>
    <row r="688" spans="1:125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</row>
    <row r="689" spans="1:125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  <c r="AD689" s="132"/>
      <c r="AE689" s="132"/>
      <c r="AF689" s="132"/>
      <c r="AG689" s="132"/>
      <c r="AH689" s="132"/>
      <c r="AI689" s="132"/>
      <c r="AJ689" s="13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</row>
    <row r="690" spans="1:125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  <c r="AD690" s="132"/>
      <c r="AE690" s="132"/>
      <c r="AF690" s="132"/>
      <c r="AG690" s="132"/>
      <c r="AH690" s="132"/>
      <c r="AI690" s="132"/>
      <c r="AJ690" s="13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</row>
    <row r="691" spans="1:125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  <c r="AD691" s="132"/>
      <c r="AE691" s="132"/>
      <c r="AF691" s="132"/>
      <c r="AG691" s="132"/>
      <c r="AH691" s="132"/>
      <c r="AI691" s="132"/>
      <c r="AJ691" s="13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</row>
    <row r="692" spans="1:125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/>
      <c r="AE692" s="132"/>
      <c r="AF692" s="132"/>
      <c r="AG692" s="132"/>
      <c r="AH692" s="132"/>
      <c r="AI692" s="132"/>
      <c r="AJ692" s="13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</row>
    <row r="693" spans="1:125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</row>
    <row r="694" spans="1:125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</row>
    <row r="695" spans="1:125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  <c r="AF695" s="132"/>
      <c r="AG695" s="132"/>
      <c r="AH695" s="132"/>
      <c r="AI695" s="132"/>
      <c r="AJ695" s="13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</row>
    <row r="696" spans="1:125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/>
      <c r="AE696" s="132"/>
      <c r="AF696" s="132"/>
      <c r="AG696" s="132"/>
      <c r="AH696" s="132"/>
      <c r="AI696" s="132"/>
      <c r="AJ696" s="13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</row>
    <row r="697" spans="1:125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  <c r="AF697" s="132"/>
      <c r="AG697" s="132"/>
      <c r="AH697" s="132"/>
      <c r="AI697" s="132"/>
      <c r="AJ697" s="13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</row>
    <row r="698" spans="1:125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  <c r="AF698" s="132"/>
      <c r="AG698" s="132"/>
      <c r="AH698" s="132"/>
      <c r="AI698" s="132"/>
      <c r="AJ698" s="13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</row>
    <row r="699" spans="1:125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  <c r="AD699" s="132"/>
      <c r="AE699" s="132"/>
      <c r="AF699" s="132"/>
      <c r="AG699" s="132"/>
      <c r="AH699" s="132"/>
      <c r="AI699" s="132"/>
      <c r="AJ699" s="13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</row>
    <row r="700" spans="1:125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  <c r="AD700" s="132"/>
      <c r="AE700" s="132"/>
      <c r="AF700" s="132"/>
      <c r="AG700" s="132"/>
      <c r="AH700" s="132"/>
      <c r="AI700" s="132"/>
      <c r="AJ700" s="13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</row>
    <row r="701" spans="1:125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  <c r="AD701" s="132"/>
      <c r="AE701" s="132"/>
      <c r="AF701" s="132"/>
      <c r="AG701" s="132"/>
      <c r="AH701" s="132"/>
      <c r="AI701" s="132"/>
      <c r="AJ701" s="13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</row>
    <row r="702" spans="1:125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/>
      <c r="AE702" s="132"/>
      <c r="AF702" s="132"/>
      <c r="AG702" s="132"/>
      <c r="AH702" s="132"/>
      <c r="AI702" s="132"/>
      <c r="AJ702" s="13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</row>
    <row r="703" spans="1:125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</row>
    <row r="704" spans="1:125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  <c r="AD704" s="132"/>
      <c r="AE704" s="132"/>
      <c r="AF704" s="132"/>
      <c r="AG704" s="132"/>
      <c r="AH704" s="132"/>
      <c r="AI704" s="132"/>
      <c r="AJ704" s="13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</row>
    <row r="705" spans="1:125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  <c r="AD705" s="132"/>
      <c r="AE705" s="132"/>
      <c r="AF705" s="132"/>
      <c r="AG705" s="132"/>
      <c r="AH705" s="132"/>
      <c r="AI705" s="132"/>
      <c r="AJ705" s="13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</row>
    <row r="706" spans="1:125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  <c r="AD706" s="132"/>
      <c r="AE706" s="132"/>
      <c r="AF706" s="132"/>
      <c r="AG706" s="132"/>
      <c r="AH706" s="132"/>
      <c r="AI706" s="132"/>
      <c r="AJ706" s="13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</row>
    <row r="707" spans="1:125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  <c r="AD707" s="132"/>
      <c r="AE707" s="132"/>
      <c r="AF707" s="132"/>
      <c r="AG707" s="132"/>
      <c r="AH707" s="132"/>
      <c r="AI707" s="132"/>
      <c r="AJ707" s="13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</row>
    <row r="708" spans="1:125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</row>
    <row r="709" spans="1:125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  <c r="AD709" s="132"/>
      <c r="AE709" s="132"/>
      <c r="AF709" s="132"/>
      <c r="AG709" s="132"/>
      <c r="AH709" s="132"/>
      <c r="AI709" s="132"/>
      <c r="AJ709" s="13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</row>
    <row r="710" spans="1:125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  <c r="AD710" s="132"/>
      <c r="AE710" s="132"/>
      <c r="AF710" s="132"/>
      <c r="AG710" s="132"/>
      <c r="AH710" s="132"/>
      <c r="AI710" s="132"/>
      <c r="AJ710" s="13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</row>
    <row r="711" spans="1:125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132"/>
      <c r="AF711" s="132"/>
      <c r="AG711" s="132"/>
      <c r="AH711" s="132"/>
      <c r="AI711" s="132"/>
      <c r="AJ711" s="13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</row>
    <row r="712" spans="1:125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  <c r="AG712" s="132"/>
      <c r="AH712" s="132"/>
      <c r="AI712" s="132"/>
      <c r="AJ712" s="13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</row>
    <row r="713" spans="1:125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  <c r="AF713" s="132"/>
      <c r="AG713" s="132"/>
      <c r="AH713" s="132"/>
      <c r="AI713" s="132"/>
      <c r="AJ713" s="13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</row>
    <row r="714" spans="1:125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  <c r="AD714" s="132"/>
      <c r="AE714" s="132"/>
      <c r="AF714" s="132"/>
      <c r="AG714" s="132"/>
      <c r="AH714" s="132"/>
      <c r="AI714" s="132"/>
      <c r="AJ714" s="13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</row>
    <row r="715" spans="1:125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  <c r="AD715" s="132"/>
      <c r="AE715" s="132"/>
      <c r="AF715" s="132"/>
      <c r="AG715" s="132"/>
      <c r="AH715" s="132"/>
      <c r="AI715" s="132"/>
      <c r="AJ715" s="13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</row>
    <row r="716" spans="1:125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</row>
    <row r="717" spans="1:125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  <c r="AD717" s="132"/>
      <c r="AE717" s="132"/>
      <c r="AF717" s="132"/>
      <c r="AG717" s="132"/>
      <c r="AH717" s="132"/>
      <c r="AI717" s="132"/>
      <c r="AJ717" s="13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</row>
    <row r="718" spans="1:125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  <c r="AD718" s="132"/>
      <c r="AE718" s="132"/>
      <c r="AF718" s="132"/>
      <c r="AG718" s="132"/>
      <c r="AH718" s="132"/>
      <c r="AI718" s="132"/>
      <c r="AJ718" s="13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</row>
    <row r="719" spans="1:125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  <c r="AC719" s="132"/>
      <c r="AD719" s="132"/>
      <c r="AE719" s="132"/>
      <c r="AF719" s="132"/>
      <c r="AG719" s="132"/>
      <c r="AH719" s="132"/>
      <c r="AI719" s="132"/>
      <c r="AJ719" s="13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</row>
    <row r="720" spans="1:125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  <c r="AC720" s="132"/>
      <c r="AD720" s="132"/>
      <c r="AE720" s="132"/>
      <c r="AF720" s="132"/>
      <c r="AG720" s="132"/>
      <c r="AH720" s="132"/>
      <c r="AI720" s="132"/>
      <c r="AJ720" s="13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</row>
    <row r="721" spans="1:125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  <c r="AC721" s="132"/>
      <c r="AD721" s="132"/>
      <c r="AE721" s="132"/>
      <c r="AF721" s="132"/>
      <c r="AG721" s="132"/>
      <c r="AH721" s="132"/>
      <c r="AI721" s="132"/>
      <c r="AJ721" s="13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</row>
    <row r="722" spans="1:125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  <c r="AC722" s="132"/>
      <c r="AD722" s="132"/>
      <c r="AE722" s="132"/>
      <c r="AF722" s="132"/>
      <c r="AG722" s="132"/>
      <c r="AH722" s="132"/>
      <c r="AI722" s="132"/>
      <c r="AJ722" s="13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</row>
    <row r="723" spans="1:125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  <c r="AC723" s="132"/>
      <c r="AD723" s="132"/>
      <c r="AE723" s="132"/>
      <c r="AF723" s="132"/>
      <c r="AG723" s="132"/>
      <c r="AH723" s="132"/>
      <c r="AI723" s="132"/>
      <c r="AJ723" s="13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</row>
    <row r="724" spans="1:125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  <c r="AD724" s="132"/>
      <c r="AE724" s="132"/>
      <c r="AF724" s="132"/>
      <c r="AG724" s="132"/>
      <c r="AH724" s="132"/>
      <c r="AI724" s="132"/>
      <c r="AJ724" s="13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</row>
    <row r="725" spans="1:125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  <c r="AC725" s="132"/>
      <c r="AD725" s="132"/>
      <c r="AE725" s="132"/>
      <c r="AF725" s="132"/>
      <c r="AG725" s="132"/>
      <c r="AH725" s="132"/>
      <c r="AI725" s="132"/>
      <c r="AJ725" s="13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</row>
    <row r="726" spans="1:125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  <c r="AC726" s="132"/>
      <c r="AD726" s="132"/>
      <c r="AE726" s="132"/>
      <c r="AF726" s="132"/>
      <c r="AG726" s="132"/>
      <c r="AH726" s="132"/>
      <c r="AI726" s="132"/>
      <c r="AJ726" s="13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</row>
    <row r="727" spans="1:125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  <c r="AD727" s="132"/>
      <c r="AE727" s="132"/>
      <c r="AF727" s="132"/>
      <c r="AG727" s="132"/>
      <c r="AH727" s="132"/>
      <c r="AI727" s="132"/>
      <c r="AJ727" s="13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</row>
    <row r="728" spans="1:125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  <c r="AD728" s="132"/>
      <c r="AE728" s="132"/>
      <c r="AF728" s="132"/>
      <c r="AG728" s="132"/>
      <c r="AH728" s="132"/>
      <c r="AI728" s="132"/>
      <c r="AJ728" s="13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</row>
    <row r="729" spans="1:125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  <c r="AC729" s="132"/>
      <c r="AD729" s="132"/>
      <c r="AE729" s="132"/>
      <c r="AF729" s="132"/>
      <c r="AG729" s="132"/>
      <c r="AH729" s="132"/>
      <c r="AI729" s="132"/>
      <c r="AJ729" s="13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</row>
    <row r="730" spans="1:125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  <c r="AC730" s="132"/>
      <c r="AD730" s="132"/>
      <c r="AE730" s="132"/>
      <c r="AF730" s="132"/>
      <c r="AG730" s="132"/>
      <c r="AH730" s="132"/>
      <c r="AI730" s="132"/>
      <c r="AJ730" s="13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</row>
    <row r="731" spans="1:125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  <c r="AC731" s="132"/>
      <c r="AD731" s="132"/>
      <c r="AE731" s="132"/>
      <c r="AF731" s="132"/>
      <c r="AG731" s="132"/>
      <c r="AH731" s="132"/>
      <c r="AI731" s="132"/>
      <c r="AJ731" s="13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</row>
    <row r="732" spans="1:125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  <c r="AC732" s="132"/>
      <c r="AD732" s="132"/>
      <c r="AE732" s="132"/>
      <c r="AF732" s="132"/>
      <c r="AG732" s="132"/>
      <c r="AH732" s="132"/>
      <c r="AI732" s="132"/>
      <c r="AJ732" s="13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</row>
    <row r="733" spans="1:125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  <c r="AD733" s="132"/>
      <c r="AE733" s="132"/>
      <c r="AF733" s="132"/>
      <c r="AG733" s="132"/>
      <c r="AH733" s="132"/>
      <c r="AI733" s="132"/>
      <c r="AJ733" s="13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</row>
    <row r="734" spans="1:125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  <c r="AD734" s="132"/>
      <c r="AE734" s="132"/>
      <c r="AF734" s="132"/>
      <c r="AG734" s="132"/>
      <c r="AH734" s="132"/>
      <c r="AI734" s="132"/>
      <c r="AJ734" s="13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</row>
    <row r="735" spans="1:125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  <c r="AG735" s="132"/>
      <c r="AH735" s="132"/>
      <c r="AI735" s="132"/>
      <c r="AJ735" s="13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</row>
    <row r="736" spans="1:125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  <c r="AD736" s="132"/>
      <c r="AE736" s="132"/>
      <c r="AF736" s="132"/>
      <c r="AG736" s="132"/>
      <c r="AH736" s="132"/>
      <c r="AI736" s="132"/>
      <c r="AJ736" s="13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</row>
    <row r="737" spans="1:125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  <c r="AD737" s="132"/>
      <c r="AE737" s="132"/>
      <c r="AF737" s="132"/>
      <c r="AG737" s="132"/>
      <c r="AH737" s="132"/>
      <c r="AI737" s="132"/>
      <c r="AJ737" s="13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</row>
    <row r="738" spans="1:125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  <c r="AD738" s="132"/>
      <c r="AE738" s="132"/>
      <c r="AF738" s="132"/>
      <c r="AG738" s="132"/>
      <c r="AH738" s="132"/>
      <c r="AI738" s="132"/>
      <c r="AJ738" s="13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</row>
    <row r="739" spans="1:125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  <c r="AD739" s="132"/>
      <c r="AE739" s="132"/>
      <c r="AF739" s="132"/>
      <c r="AG739" s="132"/>
      <c r="AH739" s="132"/>
      <c r="AI739" s="132"/>
      <c r="AJ739" s="13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</row>
    <row r="740" spans="1:125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  <c r="AD740" s="132"/>
      <c r="AE740" s="132"/>
      <c r="AF740" s="132"/>
      <c r="AG740" s="132"/>
      <c r="AH740" s="132"/>
      <c r="AI740" s="132"/>
      <c r="AJ740" s="13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</row>
    <row r="741" spans="1:125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  <c r="AD741" s="132"/>
      <c r="AE741" s="132"/>
      <c r="AF741" s="132"/>
      <c r="AG741" s="132"/>
      <c r="AH741" s="132"/>
      <c r="AI741" s="132"/>
      <c r="AJ741" s="13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</row>
    <row r="742" spans="1:125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  <c r="AD742" s="132"/>
      <c r="AE742" s="132"/>
      <c r="AF742" s="132"/>
      <c r="AG742" s="132"/>
      <c r="AH742" s="132"/>
      <c r="AI742" s="132"/>
      <c r="AJ742" s="13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</row>
    <row r="743" spans="1:125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  <c r="AE743" s="132"/>
      <c r="AF743" s="132"/>
      <c r="AG743" s="132"/>
      <c r="AH743" s="132"/>
      <c r="AI743" s="132"/>
      <c r="AJ743" s="13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</row>
    <row r="744" spans="1:125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  <c r="AD744" s="132"/>
      <c r="AE744" s="132"/>
      <c r="AF744" s="132"/>
      <c r="AG744" s="132"/>
      <c r="AH744" s="132"/>
      <c r="AI744" s="132"/>
      <c r="AJ744" s="13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</row>
    <row r="745" spans="1:125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  <c r="AD745" s="132"/>
      <c r="AE745" s="132"/>
      <c r="AF745" s="132"/>
      <c r="AG745" s="132"/>
      <c r="AH745" s="132"/>
      <c r="AI745" s="132"/>
      <c r="AJ745" s="13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</row>
    <row r="746" spans="1:125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  <c r="AD746" s="132"/>
      <c r="AE746" s="132"/>
      <c r="AF746" s="132"/>
      <c r="AG746" s="132"/>
      <c r="AH746" s="132"/>
      <c r="AI746" s="132"/>
      <c r="AJ746" s="13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</row>
    <row r="747" spans="1:125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  <c r="AD747" s="132"/>
      <c r="AE747" s="132"/>
      <c r="AF747" s="132"/>
      <c r="AG747" s="132"/>
      <c r="AH747" s="132"/>
      <c r="AI747" s="132"/>
      <c r="AJ747" s="13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</row>
    <row r="748" spans="1:125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  <c r="AD748" s="132"/>
      <c r="AE748" s="132"/>
      <c r="AF748" s="132"/>
      <c r="AG748" s="132"/>
      <c r="AH748" s="132"/>
      <c r="AI748" s="132"/>
      <c r="AJ748" s="13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</row>
    <row r="749" spans="1:125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  <c r="AD749" s="132"/>
      <c r="AE749" s="132"/>
      <c r="AF749" s="132"/>
      <c r="AG749" s="132"/>
      <c r="AH749" s="132"/>
      <c r="AI749" s="132"/>
      <c r="AJ749" s="13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</row>
    <row r="750" spans="1:125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  <c r="AD750" s="132"/>
      <c r="AE750" s="132"/>
      <c r="AF750" s="132"/>
      <c r="AG750" s="132"/>
      <c r="AH750" s="132"/>
      <c r="AI750" s="132"/>
      <c r="AJ750" s="13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</row>
    <row r="751" spans="1:125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  <c r="AD751" s="132"/>
      <c r="AE751" s="132"/>
      <c r="AF751" s="132"/>
      <c r="AG751" s="132"/>
      <c r="AH751" s="132"/>
      <c r="AI751" s="132"/>
      <c r="AJ751" s="13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</row>
    <row r="752" spans="1:125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  <c r="AD752" s="132"/>
      <c r="AE752" s="132"/>
      <c r="AF752" s="132"/>
      <c r="AG752" s="132"/>
      <c r="AH752" s="132"/>
      <c r="AI752" s="132"/>
      <c r="AJ752" s="13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</row>
    <row r="753" spans="1:125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  <c r="AD753" s="132"/>
      <c r="AE753" s="132"/>
      <c r="AF753" s="132"/>
      <c r="AG753" s="132"/>
      <c r="AH753" s="132"/>
      <c r="AI753" s="132"/>
      <c r="AJ753" s="13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</row>
    <row r="754" spans="1:125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  <c r="AE754" s="132"/>
      <c r="AF754" s="132"/>
      <c r="AG754" s="132"/>
      <c r="AH754" s="132"/>
      <c r="AI754" s="132"/>
      <c r="AJ754" s="13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</row>
    <row r="755" spans="1:125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  <c r="AD755" s="132"/>
      <c r="AE755" s="132"/>
      <c r="AF755" s="132"/>
      <c r="AG755" s="132"/>
      <c r="AH755" s="132"/>
      <c r="AI755" s="132"/>
      <c r="AJ755" s="13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</row>
    <row r="756" spans="1:125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  <c r="AD756" s="132"/>
      <c r="AE756" s="132"/>
      <c r="AF756" s="132"/>
      <c r="AG756" s="132"/>
      <c r="AH756" s="132"/>
      <c r="AI756" s="132"/>
      <c r="AJ756" s="13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</row>
    <row r="757" spans="1:125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  <c r="AD757" s="132"/>
      <c r="AE757" s="132"/>
      <c r="AF757" s="132"/>
      <c r="AG757" s="132"/>
      <c r="AH757" s="132"/>
      <c r="AI757" s="132"/>
      <c r="AJ757" s="13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</row>
    <row r="758" spans="1:125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  <c r="AD758" s="132"/>
      <c r="AE758" s="132"/>
      <c r="AF758" s="132"/>
      <c r="AG758" s="132"/>
      <c r="AH758" s="132"/>
      <c r="AI758" s="132"/>
      <c r="AJ758" s="13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</row>
    <row r="759" spans="1:125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  <c r="AD759" s="132"/>
      <c r="AE759" s="132"/>
      <c r="AF759" s="132"/>
      <c r="AG759" s="132"/>
      <c r="AH759" s="132"/>
      <c r="AI759" s="132"/>
      <c r="AJ759" s="13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</row>
    <row r="760" spans="1:125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  <c r="AD760" s="132"/>
      <c r="AE760" s="132"/>
      <c r="AF760" s="132"/>
      <c r="AG760" s="132"/>
      <c r="AH760" s="132"/>
      <c r="AI760" s="132"/>
      <c r="AJ760" s="13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</row>
    <row r="761" spans="1:125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  <c r="AD761" s="132"/>
      <c r="AE761" s="132"/>
      <c r="AF761" s="132"/>
      <c r="AG761" s="132"/>
      <c r="AH761" s="132"/>
      <c r="AI761" s="132"/>
      <c r="AJ761" s="13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</row>
    <row r="762" spans="1:125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  <c r="AD762" s="132"/>
      <c r="AE762" s="132"/>
      <c r="AF762" s="132"/>
      <c r="AG762" s="132"/>
      <c r="AH762" s="132"/>
      <c r="AI762" s="132"/>
      <c r="AJ762" s="13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</row>
    <row r="763" spans="1:125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  <c r="AD763" s="132"/>
      <c r="AE763" s="132"/>
      <c r="AF763" s="132"/>
      <c r="AG763" s="132"/>
      <c r="AH763" s="132"/>
      <c r="AI763" s="132"/>
      <c r="AJ763" s="13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</row>
    <row r="764" spans="1:125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  <c r="AE764" s="132"/>
      <c r="AF764" s="132"/>
      <c r="AG764" s="132"/>
      <c r="AH764" s="132"/>
      <c r="AI764" s="132"/>
      <c r="AJ764" s="13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</row>
    <row r="765" spans="1:125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  <c r="AD765" s="132"/>
      <c r="AE765" s="132"/>
      <c r="AF765" s="132"/>
      <c r="AG765" s="132"/>
      <c r="AH765" s="132"/>
      <c r="AI765" s="132"/>
      <c r="AJ765" s="13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</row>
    <row r="766" spans="1:125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  <c r="AD766" s="132"/>
      <c r="AE766" s="132"/>
      <c r="AF766" s="132"/>
      <c r="AG766" s="132"/>
      <c r="AH766" s="132"/>
      <c r="AI766" s="132"/>
      <c r="AJ766" s="13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</row>
    <row r="767" spans="1:125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  <c r="AD767" s="132"/>
      <c r="AE767" s="132"/>
      <c r="AF767" s="132"/>
      <c r="AG767" s="132"/>
      <c r="AH767" s="132"/>
      <c r="AI767" s="132"/>
      <c r="AJ767" s="13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</row>
    <row r="768" spans="1:125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  <c r="AD768" s="132"/>
      <c r="AE768" s="132"/>
      <c r="AF768" s="132"/>
      <c r="AG768" s="132"/>
      <c r="AH768" s="132"/>
      <c r="AI768" s="132"/>
      <c r="AJ768" s="13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</row>
    <row r="769" spans="1:125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  <c r="AD769" s="132"/>
      <c r="AE769" s="132"/>
      <c r="AF769" s="132"/>
      <c r="AG769" s="132"/>
      <c r="AH769" s="132"/>
      <c r="AI769" s="132"/>
      <c r="AJ769" s="13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</row>
    <row r="770" spans="1:125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  <c r="AD770" s="132"/>
      <c r="AE770" s="132"/>
      <c r="AF770" s="132"/>
      <c r="AG770" s="132"/>
      <c r="AH770" s="132"/>
      <c r="AI770" s="132"/>
      <c r="AJ770" s="13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</row>
    <row r="771" spans="1:125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  <c r="AD771" s="132"/>
      <c r="AE771" s="132"/>
      <c r="AF771" s="132"/>
      <c r="AG771" s="132"/>
      <c r="AH771" s="132"/>
      <c r="AI771" s="132"/>
      <c r="AJ771" s="13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</row>
    <row r="772" spans="1:125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  <c r="AD772" s="132"/>
      <c r="AE772" s="132"/>
      <c r="AF772" s="132"/>
      <c r="AG772" s="132"/>
      <c r="AH772" s="132"/>
      <c r="AI772" s="132"/>
      <c r="AJ772" s="13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</row>
    <row r="773" spans="1:125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  <c r="AD773" s="132"/>
      <c r="AE773" s="132"/>
      <c r="AF773" s="132"/>
      <c r="AG773" s="132"/>
      <c r="AH773" s="132"/>
      <c r="AI773" s="132"/>
      <c r="AJ773" s="13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</row>
    <row r="774" spans="1:125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  <c r="AD774" s="132"/>
      <c r="AE774" s="132"/>
      <c r="AF774" s="132"/>
      <c r="AG774" s="132"/>
      <c r="AH774" s="132"/>
      <c r="AI774" s="132"/>
      <c r="AJ774" s="13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</row>
    <row r="775" spans="1:125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  <c r="AD775" s="132"/>
      <c r="AE775" s="132"/>
      <c r="AF775" s="132"/>
      <c r="AG775" s="132"/>
      <c r="AH775" s="132"/>
      <c r="AI775" s="132"/>
      <c r="AJ775" s="13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</row>
    <row r="776" spans="1:125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  <c r="AD776" s="132"/>
      <c r="AE776" s="132"/>
      <c r="AF776" s="132"/>
      <c r="AG776" s="132"/>
      <c r="AH776" s="132"/>
      <c r="AI776" s="132"/>
      <c r="AJ776" s="13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</row>
    <row r="777" spans="1:125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  <c r="AD777" s="132"/>
      <c r="AE777" s="132"/>
      <c r="AF777" s="132"/>
      <c r="AG777" s="132"/>
      <c r="AH777" s="132"/>
      <c r="AI777" s="132"/>
      <c r="AJ777" s="13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</row>
    <row r="778" spans="1:125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  <c r="AD778" s="132"/>
      <c r="AE778" s="132"/>
      <c r="AF778" s="132"/>
      <c r="AG778" s="132"/>
      <c r="AH778" s="132"/>
      <c r="AI778" s="132"/>
      <c r="AJ778" s="13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</row>
    <row r="779" spans="1:125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  <c r="AD779" s="132"/>
      <c r="AE779" s="132"/>
      <c r="AF779" s="132"/>
      <c r="AG779" s="132"/>
      <c r="AH779" s="132"/>
      <c r="AI779" s="132"/>
      <c r="AJ779" s="13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</row>
    <row r="780" spans="1:125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  <c r="AD780" s="132"/>
      <c r="AE780" s="132"/>
      <c r="AF780" s="132"/>
      <c r="AG780" s="132"/>
      <c r="AH780" s="132"/>
      <c r="AI780" s="132"/>
      <c r="AJ780" s="13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</row>
    <row r="781" spans="1:125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  <c r="AD781" s="132"/>
      <c r="AE781" s="132"/>
      <c r="AF781" s="132"/>
      <c r="AG781" s="132"/>
      <c r="AH781" s="132"/>
      <c r="AI781" s="132"/>
      <c r="AJ781" s="13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</row>
    <row r="782" spans="1:125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  <c r="AE782" s="132"/>
      <c r="AF782" s="132"/>
      <c r="AG782" s="132"/>
      <c r="AH782" s="132"/>
      <c r="AI782" s="132"/>
      <c r="AJ782" s="13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</row>
    <row r="783" spans="1:125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  <c r="AD783" s="132"/>
      <c r="AE783" s="132"/>
      <c r="AF783" s="132"/>
      <c r="AG783" s="132"/>
      <c r="AH783" s="132"/>
      <c r="AI783" s="132"/>
      <c r="AJ783" s="13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</row>
    <row r="784" spans="1:125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  <c r="AD784" s="132"/>
      <c r="AE784" s="132"/>
      <c r="AF784" s="132"/>
      <c r="AG784" s="132"/>
      <c r="AH784" s="132"/>
      <c r="AI784" s="132"/>
      <c r="AJ784" s="13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</row>
    <row r="785" spans="1:125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  <c r="AD785" s="132"/>
      <c r="AE785" s="132"/>
      <c r="AF785" s="132"/>
      <c r="AG785" s="132"/>
      <c r="AH785" s="132"/>
      <c r="AI785" s="132"/>
      <c r="AJ785" s="13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</row>
    <row r="786" spans="1:125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  <c r="AD786" s="132"/>
      <c r="AE786" s="132"/>
      <c r="AF786" s="132"/>
      <c r="AG786" s="132"/>
      <c r="AH786" s="132"/>
      <c r="AI786" s="132"/>
      <c r="AJ786" s="13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</row>
    <row r="787" spans="1:125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  <c r="AD787" s="132"/>
      <c r="AE787" s="132"/>
      <c r="AF787" s="132"/>
      <c r="AG787" s="132"/>
      <c r="AH787" s="132"/>
      <c r="AI787" s="132"/>
      <c r="AJ787" s="13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</row>
    <row r="788" spans="1:125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  <c r="AD788" s="132"/>
      <c r="AE788" s="132"/>
      <c r="AF788" s="132"/>
      <c r="AG788" s="132"/>
      <c r="AH788" s="132"/>
      <c r="AI788" s="132"/>
      <c r="AJ788" s="13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</row>
    <row r="789" spans="1:125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  <c r="AD789" s="132"/>
      <c r="AE789" s="132"/>
      <c r="AF789" s="132"/>
      <c r="AG789" s="132"/>
      <c r="AH789" s="132"/>
      <c r="AI789" s="132"/>
      <c r="AJ789" s="13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</row>
    <row r="790" spans="1:125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  <c r="AD790" s="132"/>
      <c r="AE790" s="132"/>
      <c r="AF790" s="132"/>
      <c r="AG790" s="132"/>
      <c r="AH790" s="132"/>
      <c r="AI790" s="132"/>
      <c r="AJ790" s="13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</row>
    <row r="791" spans="1:125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  <c r="AD791" s="132"/>
      <c r="AE791" s="132"/>
      <c r="AF791" s="132"/>
      <c r="AG791" s="132"/>
      <c r="AH791" s="132"/>
      <c r="AI791" s="132"/>
      <c r="AJ791" s="13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</row>
    <row r="792" spans="1:125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  <c r="AE792" s="132"/>
      <c r="AF792" s="132"/>
      <c r="AG792" s="132"/>
      <c r="AH792" s="132"/>
      <c r="AI792" s="132"/>
      <c r="AJ792" s="13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</row>
    <row r="793" spans="1:125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  <c r="AD793" s="132"/>
      <c r="AE793" s="132"/>
      <c r="AF793" s="132"/>
      <c r="AG793" s="132"/>
      <c r="AH793" s="132"/>
      <c r="AI793" s="132"/>
      <c r="AJ793" s="13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</row>
    <row r="794" spans="1:125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  <c r="AD794" s="132"/>
      <c r="AE794" s="132"/>
      <c r="AF794" s="132"/>
      <c r="AG794" s="132"/>
      <c r="AH794" s="132"/>
      <c r="AI794" s="132"/>
      <c r="AJ794" s="13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</row>
    <row r="795" spans="1:125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  <c r="AC795" s="132"/>
      <c r="AD795" s="132"/>
      <c r="AE795" s="132"/>
      <c r="AF795" s="132"/>
      <c r="AG795" s="132"/>
      <c r="AH795" s="132"/>
      <c r="AI795" s="132"/>
      <c r="AJ795" s="13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</row>
    <row r="796" spans="1:125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  <c r="AC796" s="132"/>
      <c r="AD796" s="132"/>
      <c r="AE796" s="132"/>
      <c r="AF796" s="132"/>
      <c r="AG796" s="132"/>
      <c r="AH796" s="132"/>
      <c r="AI796" s="132"/>
      <c r="AJ796" s="13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</row>
    <row r="797" spans="1:125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  <c r="AC797" s="132"/>
      <c r="AD797" s="132"/>
      <c r="AE797" s="132"/>
      <c r="AF797" s="132"/>
      <c r="AG797" s="132"/>
      <c r="AH797" s="132"/>
      <c r="AI797" s="132"/>
      <c r="AJ797" s="13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</row>
    <row r="798" spans="1:125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  <c r="AC798" s="132"/>
      <c r="AD798" s="132"/>
      <c r="AE798" s="132"/>
      <c r="AF798" s="132"/>
      <c r="AG798" s="132"/>
      <c r="AH798" s="132"/>
      <c r="AI798" s="132"/>
      <c r="AJ798" s="13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</row>
    <row r="799" spans="1:125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  <c r="AC799" s="132"/>
      <c r="AD799" s="132"/>
      <c r="AE799" s="132"/>
      <c r="AF799" s="132"/>
      <c r="AG799" s="132"/>
      <c r="AH799" s="132"/>
      <c r="AI799" s="132"/>
      <c r="AJ799" s="13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</row>
    <row r="800" spans="1:125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  <c r="AC800" s="132"/>
      <c r="AD800" s="132"/>
      <c r="AE800" s="132"/>
      <c r="AF800" s="132"/>
      <c r="AG800" s="132"/>
      <c r="AH800" s="132"/>
      <c r="AI800" s="132"/>
      <c r="AJ800" s="13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</row>
    <row r="801" spans="1:125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  <c r="AC801" s="132"/>
      <c r="AD801" s="132"/>
      <c r="AE801" s="132"/>
      <c r="AF801" s="132"/>
      <c r="AG801" s="132"/>
      <c r="AH801" s="132"/>
      <c r="AI801" s="132"/>
      <c r="AJ801" s="13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</row>
    <row r="802" spans="1:125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  <c r="AC802" s="132"/>
      <c r="AD802" s="132"/>
      <c r="AE802" s="132"/>
      <c r="AF802" s="132"/>
      <c r="AG802" s="132"/>
      <c r="AH802" s="132"/>
      <c r="AI802" s="132"/>
      <c r="AJ802" s="13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</row>
    <row r="803" spans="1:125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  <c r="AC803" s="132"/>
      <c r="AD803" s="132"/>
      <c r="AE803" s="132"/>
      <c r="AF803" s="132"/>
      <c r="AG803" s="132"/>
      <c r="AH803" s="132"/>
      <c r="AI803" s="132"/>
      <c r="AJ803" s="13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</row>
    <row r="804" spans="1:125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  <c r="AC804" s="132"/>
      <c r="AD804" s="132"/>
      <c r="AE804" s="132"/>
      <c r="AF804" s="132"/>
      <c r="AG804" s="132"/>
      <c r="AH804" s="132"/>
      <c r="AI804" s="132"/>
      <c r="AJ804" s="13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</row>
    <row r="805" spans="1:125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  <c r="AC805" s="132"/>
      <c r="AD805" s="132"/>
      <c r="AE805" s="132"/>
      <c r="AF805" s="132"/>
      <c r="AG805" s="132"/>
      <c r="AH805" s="132"/>
      <c r="AI805" s="132"/>
      <c r="AJ805" s="13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</row>
    <row r="806" spans="1:125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  <c r="AC806" s="132"/>
      <c r="AD806" s="132"/>
      <c r="AE806" s="132"/>
      <c r="AF806" s="132"/>
      <c r="AG806" s="132"/>
      <c r="AH806" s="132"/>
      <c r="AI806" s="132"/>
      <c r="AJ806" s="13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</row>
    <row r="807" spans="1:125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  <c r="AC807" s="132"/>
      <c r="AD807" s="132"/>
      <c r="AE807" s="132"/>
      <c r="AF807" s="132"/>
      <c r="AG807" s="132"/>
      <c r="AH807" s="132"/>
      <c r="AI807" s="132"/>
      <c r="AJ807" s="13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</row>
    <row r="808" spans="1:125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  <c r="AC808" s="132"/>
      <c r="AD808" s="132"/>
      <c r="AE808" s="132"/>
      <c r="AF808" s="132"/>
      <c r="AG808" s="132"/>
      <c r="AH808" s="132"/>
      <c r="AI808" s="132"/>
      <c r="AJ808" s="13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</row>
    <row r="809" spans="1:125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  <c r="AC809" s="132"/>
      <c r="AD809" s="132"/>
      <c r="AE809" s="132"/>
      <c r="AF809" s="132"/>
      <c r="AG809" s="132"/>
      <c r="AH809" s="132"/>
      <c r="AI809" s="132"/>
      <c r="AJ809" s="13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</row>
    <row r="810" spans="1:125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  <c r="AC810" s="132"/>
      <c r="AD810" s="132"/>
      <c r="AE810" s="132"/>
      <c r="AF810" s="132"/>
      <c r="AG810" s="132"/>
      <c r="AH810" s="132"/>
      <c r="AI810" s="132"/>
      <c r="AJ810" s="13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</row>
    <row r="811" spans="1:125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  <c r="AC811" s="132"/>
      <c r="AD811" s="132"/>
      <c r="AE811" s="132"/>
      <c r="AF811" s="132"/>
      <c r="AG811" s="132"/>
      <c r="AH811" s="132"/>
      <c r="AI811" s="132"/>
      <c r="AJ811" s="13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</row>
    <row r="812" spans="1:125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  <c r="AC812" s="132"/>
      <c r="AD812" s="132"/>
      <c r="AE812" s="132"/>
      <c r="AF812" s="132"/>
      <c r="AG812" s="132"/>
      <c r="AH812" s="132"/>
      <c r="AI812" s="132"/>
      <c r="AJ812" s="13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</row>
    <row r="813" spans="1:125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  <c r="AC813" s="132"/>
      <c r="AD813" s="132"/>
      <c r="AE813" s="132"/>
      <c r="AF813" s="132"/>
      <c r="AG813" s="132"/>
      <c r="AH813" s="132"/>
      <c r="AI813" s="132"/>
      <c r="AJ813" s="13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</row>
    <row r="814" spans="1:125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  <c r="AC814" s="132"/>
      <c r="AD814" s="132"/>
      <c r="AE814" s="132"/>
      <c r="AF814" s="132"/>
      <c r="AG814" s="132"/>
      <c r="AH814" s="132"/>
      <c r="AI814" s="132"/>
      <c r="AJ814" s="13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</row>
    <row r="815" spans="1:125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  <c r="AC815" s="132"/>
      <c r="AD815" s="132"/>
      <c r="AE815" s="132"/>
      <c r="AF815" s="132"/>
      <c r="AG815" s="132"/>
      <c r="AH815" s="132"/>
      <c r="AI815" s="132"/>
      <c r="AJ815" s="13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</row>
    <row r="816" spans="1:125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  <c r="AC816" s="132"/>
      <c r="AD816" s="132"/>
      <c r="AE816" s="132"/>
      <c r="AF816" s="132"/>
      <c r="AG816" s="132"/>
      <c r="AH816" s="132"/>
      <c r="AI816" s="132"/>
      <c r="AJ816" s="13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</row>
    <row r="817" spans="1:125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  <c r="AC817" s="132"/>
      <c r="AD817" s="132"/>
      <c r="AE817" s="132"/>
      <c r="AF817" s="132"/>
      <c r="AG817" s="132"/>
      <c r="AH817" s="132"/>
      <c r="AI817" s="132"/>
      <c r="AJ817" s="13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</row>
    <row r="818" spans="1:125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  <c r="AD818" s="132"/>
      <c r="AE818" s="132"/>
      <c r="AF818" s="132"/>
      <c r="AG818" s="132"/>
      <c r="AH818" s="132"/>
      <c r="AI818" s="132"/>
      <c r="AJ818" s="13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</row>
    <row r="819" spans="1:125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  <c r="AC819" s="132"/>
      <c r="AD819" s="132"/>
      <c r="AE819" s="132"/>
      <c r="AF819" s="132"/>
      <c r="AG819" s="132"/>
      <c r="AH819" s="132"/>
      <c r="AI819" s="132"/>
      <c r="AJ819" s="13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</row>
    <row r="820" spans="1:125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  <c r="AC820" s="132"/>
      <c r="AD820" s="132"/>
      <c r="AE820" s="132"/>
      <c r="AF820" s="132"/>
      <c r="AG820" s="132"/>
      <c r="AH820" s="132"/>
      <c r="AI820" s="132"/>
      <c r="AJ820" s="13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</row>
    <row r="821" spans="1:125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  <c r="AC821" s="132"/>
      <c r="AD821" s="132"/>
      <c r="AE821" s="132"/>
      <c r="AF821" s="132"/>
      <c r="AG821" s="132"/>
      <c r="AH821" s="132"/>
      <c r="AI821" s="132"/>
      <c r="AJ821" s="13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</row>
    <row r="822" spans="1:125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  <c r="AC822" s="132"/>
      <c r="AD822" s="132"/>
      <c r="AE822" s="132"/>
      <c r="AF822" s="132"/>
      <c r="AG822" s="132"/>
      <c r="AH822" s="132"/>
      <c r="AI822" s="132"/>
      <c r="AJ822" s="13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</row>
    <row r="823" spans="1:125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  <c r="AC823" s="132"/>
      <c r="AD823" s="132"/>
      <c r="AE823" s="132"/>
      <c r="AF823" s="132"/>
      <c r="AG823" s="132"/>
      <c r="AH823" s="132"/>
      <c r="AI823" s="132"/>
      <c r="AJ823" s="13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</row>
    <row r="824" spans="1:125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  <c r="AC824" s="132"/>
      <c r="AD824" s="132"/>
      <c r="AE824" s="132"/>
      <c r="AF824" s="132"/>
      <c r="AG824" s="132"/>
      <c r="AH824" s="132"/>
      <c r="AI824" s="132"/>
      <c r="AJ824" s="13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</row>
    <row r="825" spans="1:125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  <c r="AC825" s="132"/>
      <c r="AD825" s="132"/>
      <c r="AE825" s="132"/>
      <c r="AF825" s="132"/>
      <c r="AG825" s="132"/>
      <c r="AH825" s="132"/>
      <c r="AI825" s="132"/>
      <c r="AJ825" s="13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</row>
    <row r="826" spans="1:125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  <c r="AC826" s="132"/>
      <c r="AD826" s="132"/>
      <c r="AE826" s="132"/>
      <c r="AF826" s="132"/>
      <c r="AG826" s="132"/>
      <c r="AH826" s="132"/>
      <c r="AI826" s="132"/>
      <c r="AJ826" s="13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</row>
    <row r="827" spans="1:125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  <c r="AC827" s="132"/>
      <c r="AD827" s="132"/>
      <c r="AE827" s="132"/>
      <c r="AF827" s="132"/>
      <c r="AG827" s="132"/>
      <c r="AH827" s="132"/>
      <c r="AI827" s="132"/>
      <c r="AJ827" s="13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</row>
    <row r="828" spans="1:125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  <c r="AC828" s="132"/>
      <c r="AD828" s="132"/>
      <c r="AE828" s="132"/>
      <c r="AF828" s="132"/>
      <c r="AG828" s="132"/>
      <c r="AH828" s="132"/>
      <c r="AI828" s="132"/>
      <c r="AJ828" s="13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</row>
    <row r="829" spans="1:125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  <c r="AC829" s="132"/>
      <c r="AD829" s="132"/>
      <c r="AE829" s="132"/>
      <c r="AF829" s="132"/>
      <c r="AG829" s="132"/>
      <c r="AH829" s="132"/>
      <c r="AI829" s="132"/>
      <c r="AJ829" s="13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</row>
    <row r="830" spans="1:125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  <c r="AC830" s="132"/>
      <c r="AD830" s="132"/>
      <c r="AE830" s="132"/>
      <c r="AF830" s="132"/>
      <c r="AG830" s="132"/>
      <c r="AH830" s="132"/>
      <c r="AI830" s="132"/>
      <c r="AJ830" s="13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</row>
    <row r="831" spans="1:125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  <c r="AC831" s="132"/>
      <c r="AD831" s="132"/>
      <c r="AE831" s="132"/>
      <c r="AF831" s="132"/>
      <c r="AG831" s="132"/>
      <c r="AH831" s="132"/>
      <c r="AI831" s="132"/>
      <c r="AJ831" s="13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</row>
    <row r="832" spans="1:125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2"/>
      <c r="AC832" s="132"/>
      <c r="AD832" s="132"/>
      <c r="AE832" s="132"/>
      <c r="AF832" s="132"/>
      <c r="AG832" s="132"/>
      <c r="AH832" s="132"/>
      <c r="AI832" s="132"/>
      <c r="AJ832" s="13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</row>
    <row r="833" spans="1:125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2"/>
      <c r="AC833" s="132"/>
      <c r="AD833" s="132"/>
      <c r="AE833" s="132"/>
      <c r="AF833" s="132"/>
      <c r="AG833" s="132"/>
      <c r="AH833" s="132"/>
      <c r="AI833" s="132"/>
      <c r="AJ833" s="13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</row>
    <row r="834" spans="1:125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  <c r="AC834" s="132"/>
      <c r="AD834" s="132"/>
      <c r="AE834" s="132"/>
      <c r="AF834" s="132"/>
      <c r="AG834" s="132"/>
      <c r="AH834" s="132"/>
      <c r="AI834" s="132"/>
      <c r="AJ834" s="13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</row>
    <row r="835" spans="1:125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2"/>
      <c r="AC835" s="132"/>
      <c r="AD835" s="132"/>
      <c r="AE835" s="132"/>
      <c r="AF835" s="132"/>
      <c r="AG835" s="132"/>
      <c r="AH835" s="132"/>
      <c r="AI835" s="132"/>
      <c r="AJ835" s="13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</row>
    <row r="836" spans="1:125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2"/>
      <c r="AC836" s="132"/>
      <c r="AD836" s="132"/>
      <c r="AE836" s="132"/>
      <c r="AF836" s="132"/>
      <c r="AG836" s="132"/>
      <c r="AH836" s="132"/>
      <c r="AI836" s="132"/>
      <c r="AJ836" s="13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</row>
    <row r="837" spans="1:125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2"/>
      <c r="AC837" s="132"/>
      <c r="AD837" s="132"/>
      <c r="AE837" s="132"/>
      <c r="AF837" s="132"/>
      <c r="AG837" s="132"/>
      <c r="AH837" s="132"/>
      <c r="AI837" s="132"/>
      <c r="AJ837" s="13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</row>
    <row r="838" spans="1:125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2"/>
      <c r="AC838" s="132"/>
      <c r="AD838" s="132"/>
      <c r="AE838" s="132"/>
      <c r="AF838" s="132"/>
      <c r="AG838" s="132"/>
      <c r="AH838" s="132"/>
      <c r="AI838" s="132"/>
      <c r="AJ838" s="13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</row>
    <row r="839" spans="1:125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2"/>
      <c r="AC839" s="132"/>
      <c r="AD839" s="132"/>
      <c r="AE839" s="132"/>
      <c r="AF839" s="132"/>
      <c r="AG839" s="132"/>
      <c r="AH839" s="132"/>
      <c r="AI839" s="132"/>
      <c r="AJ839" s="13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</row>
    <row r="840" spans="1:125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2"/>
      <c r="AC840" s="132"/>
      <c r="AD840" s="132"/>
      <c r="AE840" s="132"/>
      <c r="AF840" s="132"/>
      <c r="AG840" s="132"/>
      <c r="AH840" s="132"/>
      <c r="AI840" s="132"/>
      <c r="AJ840" s="13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</row>
    <row r="841" spans="1:125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2"/>
      <c r="AC841" s="132"/>
      <c r="AD841" s="132"/>
      <c r="AE841" s="132"/>
      <c r="AF841" s="132"/>
      <c r="AG841" s="132"/>
      <c r="AH841" s="132"/>
      <c r="AI841" s="132"/>
      <c r="AJ841" s="13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</row>
    <row r="842" spans="1:125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2"/>
      <c r="AC842" s="132"/>
      <c r="AD842" s="132"/>
      <c r="AE842" s="132"/>
      <c r="AF842" s="132"/>
      <c r="AG842" s="132"/>
      <c r="AH842" s="132"/>
      <c r="AI842" s="132"/>
      <c r="AJ842" s="13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</row>
    <row r="843" spans="1:125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2"/>
      <c r="AC843" s="132"/>
      <c r="AD843" s="132"/>
      <c r="AE843" s="132"/>
      <c r="AF843" s="132"/>
      <c r="AG843" s="132"/>
      <c r="AH843" s="132"/>
      <c r="AI843" s="132"/>
      <c r="AJ843" s="13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</row>
    <row r="844" spans="1:125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2"/>
      <c r="AC844" s="132"/>
      <c r="AD844" s="132"/>
      <c r="AE844" s="132"/>
      <c r="AF844" s="132"/>
      <c r="AG844" s="132"/>
      <c r="AH844" s="132"/>
      <c r="AI844" s="132"/>
      <c r="AJ844" s="13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</row>
    <row r="845" spans="1:125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2"/>
      <c r="AC845" s="132"/>
      <c r="AD845" s="132"/>
      <c r="AE845" s="132"/>
      <c r="AF845" s="132"/>
      <c r="AG845" s="132"/>
      <c r="AH845" s="132"/>
      <c r="AI845" s="132"/>
      <c r="AJ845" s="13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</row>
    <row r="846" spans="1:125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2"/>
      <c r="AC846" s="132"/>
      <c r="AD846" s="132"/>
      <c r="AE846" s="132"/>
      <c r="AF846" s="132"/>
      <c r="AG846" s="132"/>
      <c r="AH846" s="132"/>
      <c r="AI846" s="132"/>
      <c r="AJ846" s="13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</row>
    <row r="847" spans="1:125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2"/>
      <c r="AC847" s="132"/>
      <c r="AD847" s="132"/>
      <c r="AE847" s="132"/>
      <c r="AF847" s="132"/>
      <c r="AG847" s="132"/>
      <c r="AH847" s="132"/>
      <c r="AI847" s="132"/>
      <c r="AJ847" s="13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</row>
    <row r="848" spans="1:125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2"/>
      <c r="AC848" s="132"/>
      <c r="AD848" s="132"/>
      <c r="AE848" s="132"/>
      <c r="AF848" s="132"/>
      <c r="AG848" s="132"/>
      <c r="AH848" s="132"/>
      <c r="AI848" s="132"/>
      <c r="AJ848" s="13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</row>
    <row r="849" spans="1:125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2"/>
      <c r="AC849" s="132"/>
      <c r="AD849" s="132"/>
      <c r="AE849" s="132"/>
      <c r="AF849" s="132"/>
      <c r="AG849" s="132"/>
      <c r="AH849" s="132"/>
      <c r="AI849" s="132"/>
      <c r="AJ849" s="13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</row>
    <row r="850" spans="1:125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2"/>
      <c r="AC850" s="132"/>
      <c r="AD850" s="132"/>
      <c r="AE850" s="132"/>
      <c r="AF850" s="132"/>
      <c r="AG850" s="132"/>
      <c r="AH850" s="132"/>
      <c r="AI850" s="132"/>
      <c r="AJ850" s="13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</row>
    <row r="851" spans="1:125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2"/>
      <c r="AC851" s="132"/>
      <c r="AD851" s="132"/>
      <c r="AE851" s="132"/>
      <c r="AF851" s="132"/>
      <c r="AG851" s="132"/>
      <c r="AH851" s="132"/>
      <c r="AI851" s="132"/>
      <c r="AJ851" s="13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</row>
    <row r="852" spans="1:125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2"/>
      <c r="AC852" s="132"/>
      <c r="AD852" s="132"/>
      <c r="AE852" s="132"/>
      <c r="AF852" s="132"/>
      <c r="AG852" s="132"/>
      <c r="AH852" s="132"/>
      <c r="AI852" s="132"/>
      <c r="AJ852" s="13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</row>
    <row r="853" spans="1:125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  <c r="AC853" s="132"/>
      <c r="AD853" s="132"/>
      <c r="AE853" s="132"/>
      <c r="AF853" s="132"/>
      <c r="AG853" s="132"/>
      <c r="AH853" s="132"/>
      <c r="AI853" s="132"/>
      <c r="AJ853" s="13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</row>
    <row r="854" spans="1:125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2"/>
      <c r="AC854" s="132"/>
      <c r="AD854" s="132"/>
      <c r="AE854" s="132"/>
      <c r="AF854" s="132"/>
      <c r="AG854" s="132"/>
      <c r="AH854" s="132"/>
      <c r="AI854" s="132"/>
      <c r="AJ854" s="13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</row>
    <row r="855" spans="1:125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2"/>
      <c r="AC855" s="132"/>
      <c r="AD855" s="132"/>
      <c r="AE855" s="132"/>
      <c r="AF855" s="132"/>
      <c r="AG855" s="132"/>
      <c r="AH855" s="132"/>
      <c r="AI855" s="132"/>
      <c r="AJ855" s="13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</row>
    <row r="856" spans="1:125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  <c r="AC856" s="132"/>
      <c r="AD856" s="132"/>
      <c r="AE856" s="132"/>
      <c r="AF856" s="132"/>
      <c r="AG856" s="132"/>
      <c r="AH856" s="132"/>
      <c r="AI856" s="132"/>
      <c r="AJ856" s="13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</row>
    <row r="857" spans="1:125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2"/>
      <c r="AC857" s="132"/>
      <c r="AD857" s="132"/>
      <c r="AE857" s="132"/>
      <c r="AF857" s="132"/>
      <c r="AG857" s="132"/>
      <c r="AH857" s="132"/>
      <c r="AI857" s="132"/>
      <c r="AJ857" s="13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</row>
    <row r="858" spans="1:125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2"/>
      <c r="AC858" s="132"/>
      <c r="AD858" s="132"/>
      <c r="AE858" s="132"/>
      <c r="AF858" s="132"/>
      <c r="AG858" s="132"/>
      <c r="AH858" s="132"/>
      <c r="AI858" s="132"/>
      <c r="AJ858" s="13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</row>
    <row r="859" spans="1:125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2"/>
      <c r="AC859" s="132"/>
      <c r="AD859" s="132"/>
      <c r="AE859" s="132"/>
      <c r="AF859" s="132"/>
      <c r="AG859" s="132"/>
      <c r="AH859" s="132"/>
      <c r="AI859" s="132"/>
      <c r="AJ859" s="13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</row>
    <row r="860" spans="1:125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2"/>
      <c r="AC860" s="132"/>
      <c r="AD860" s="132"/>
      <c r="AE860" s="132"/>
      <c r="AF860" s="132"/>
      <c r="AG860" s="132"/>
      <c r="AH860" s="132"/>
      <c r="AI860" s="132"/>
      <c r="AJ860" s="13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</row>
    <row r="861" spans="1:125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2"/>
      <c r="AC861" s="132"/>
      <c r="AD861" s="132"/>
      <c r="AE861" s="132"/>
      <c r="AF861" s="132"/>
      <c r="AG861" s="132"/>
      <c r="AH861" s="132"/>
      <c r="AI861" s="132"/>
      <c r="AJ861" s="13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</row>
    <row r="862" spans="1:125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2"/>
      <c r="AC862" s="132"/>
      <c r="AD862" s="132"/>
      <c r="AE862" s="132"/>
      <c r="AF862" s="132"/>
      <c r="AG862" s="132"/>
      <c r="AH862" s="132"/>
      <c r="AI862" s="132"/>
      <c r="AJ862" s="13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</row>
    <row r="863" spans="1:125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2"/>
      <c r="AC863" s="132"/>
      <c r="AD863" s="132"/>
      <c r="AE863" s="132"/>
      <c r="AF863" s="132"/>
      <c r="AG863" s="132"/>
      <c r="AH863" s="132"/>
      <c r="AI863" s="132"/>
      <c r="AJ863" s="13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</row>
    <row r="864" spans="1:125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2"/>
      <c r="AC864" s="132"/>
      <c r="AD864" s="132"/>
      <c r="AE864" s="132"/>
      <c r="AF864" s="132"/>
      <c r="AG864" s="132"/>
      <c r="AH864" s="132"/>
      <c r="AI864" s="132"/>
      <c r="AJ864" s="13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</row>
    <row r="865" spans="1:125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2"/>
      <c r="AC865" s="132"/>
      <c r="AD865" s="132"/>
      <c r="AE865" s="132"/>
      <c r="AF865" s="132"/>
      <c r="AG865" s="132"/>
      <c r="AH865" s="132"/>
      <c r="AI865" s="132"/>
      <c r="AJ865" s="13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</row>
    <row r="866" spans="1:125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2"/>
      <c r="AC866" s="132"/>
      <c r="AD866" s="132"/>
      <c r="AE866" s="132"/>
      <c r="AF866" s="132"/>
      <c r="AG866" s="132"/>
      <c r="AH866" s="132"/>
      <c r="AI866" s="132"/>
      <c r="AJ866" s="13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</row>
    <row r="867" spans="1:125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2"/>
      <c r="AC867" s="132"/>
      <c r="AD867" s="132"/>
      <c r="AE867" s="132"/>
      <c r="AF867" s="132"/>
      <c r="AG867" s="132"/>
      <c r="AH867" s="132"/>
      <c r="AI867" s="132"/>
      <c r="AJ867" s="13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</row>
    <row r="868" spans="1:125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2"/>
      <c r="AC868" s="132"/>
      <c r="AD868" s="132"/>
      <c r="AE868" s="132"/>
      <c r="AF868" s="132"/>
      <c r="AG868" s="132"/>
      <c r="AH868" s="132"/>
      <c r="AI868" s="132"/>
      <c r="AJ868" s="13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</row>
    <row r="869" spans="1:125">
      <c r="A869" s="132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2"/>
      <c r="AC869" s="132"/>
      <c r="AD869" s="132"/>
      <c r="AE869" s="132"/>
      <c r="AF869" s="132"/>
      <c r="AG869" s="132"/>
      <c r="AH869" s="132"/>
      <c r="AI869" s="132"/>
      <c r="AJ869" s="13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</row>
    <row r="870" spans="1:125">
      <c r="A870" s="132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2"/>
      <c r="AC870" s="132"/>
      <c r="AD870" s="132"/>
      <c r="AE870" s="132"/>
      <c r="AF870" s="132"/>
      <c r="AG870" s="132"/>
      <c r="AH870" s="132"/>
      <c r="AI870" s="132"/>
      <c r="AJ870" s="13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</row>
    <row r="871" spans="1:125">
      <c r="A871" s="132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2"/>
      <c r="AC871" s="132"/>
      <c r="AD871" s="132"/>
      <c r="AE871" s="132"/>
      <c r="AF871" s="132"/>
      <c r="AG871" s="132"/>
      <c r="AH871" s="132"/>
      <c r="AI871" s="132"/>
      <c r="AJ871" s="13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</row>
    <row r="872" spans="1:125">
      <c r="A872" s="132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2"/>
      <c r="AC872" s="132"/>
      <c r="AD872" s="132"/>
      <c r="AE872" s="132"/>
      <c r="AF872" s="132"/>
      <c r="AG872" s="132"/>
      <c r="AH872" s="132"/>
      <c r="AI872" s="132"/>
      <c r="AJ872" s="13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</row>
    <row r="873" spans="1:125">
      <c r="A873" s="132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2"/>
      <c r="AC873" s="132"/>
      <c r="AD873" s="132"/>
      <c r="AE873" s="132"/>
      <c r="AF873" s="132"/>
      <c r="AG873" s="132"/>
      <c r="AH873" s="132"/>
      <c r="AI873" s="132"/>
      <c r="AJ873" s="13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</row>
    <row r="874" spans="1:125">
      <c r="A874" s="132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2"/>
      <c r="AC874" s="132"/>
      <c r="AD874" s="132"/>
      <c r="AE874" s="132"/>
      <c r="AF874" s="132"/>
      <c r="AG874" s="132"/>
      <c r="AH874" s="132"/>
      <c r="AI874" s="132"/>
      <c r="AJ874" s="13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</row>
    <row r="875" spans="1:125">
      <c r="A875" s="132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2"/>
      <c r="AC875" s="132"/>
      <c r="AD875" s="132"/>
      <c r="AE875" s="132"/>
      <c r="AF875" s="132"/>
      <c r="AG875" s="132"/>
      <c r="AH875" s="132"/>
      <c r="AI875" s="132"/>
      <c r="AJ875" s="13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</row>
    <row r="876" spans="1:125">
      <c r="A876" s="132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2"/>
      <c r="AC876" s="132"/>
      <c r="AD876" s="132"/>
      <c r="AE876" s="132"/>
      <c r="AF876" s="132"/>
      <c r="AG876" s="132"/>
      <c r="AH876" s="132"/>
      <c r="AI876" s="132"/>
      <c r="AJ876" s="13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</row>
    <row r="877" spans="1:125">
      <c r="A877" s="132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2"/>
      <c r="AC877" s="132"/>
      <c r="AD877" s="132"/>
      <c r="AE877" s="132"/>
      <c r="AF877" s="132"/>
      <c r="AG877" s="132"/>
      <c r="AH877" s="132"/>
      <c r="AI877" s="132"/>
      <c r="AJ877" s="13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</row>
    <row r="878" spans="1:125">
      <c r="A878" s="132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2"/>
      <c r="AC878" s="132"/>
      <c r="AD878" s="132"/>
      <c r="AE878" s="132"/>
      <c r="AF878" s="132"/>
      <c r="AG878" s="132"/>
      <c r="AH878" s="132"/>
      <c r="AI878" s="132"/>
      <c r="AJ878" s="13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</row>
    <row r="879" spans="1:125">
      <c r="A879" s="132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2"/>
      <c r="AC879" s="132"/>
      <c r="AD879" s="132"/>
      <c r="AE879" s="132"/>
      <c r="AF879" s="132"/>
      <c r="AG879" s="132"/>
      <c r="AH879" s="132"/>
      <c r="AI879" s="132"/>
      <c r="AJ879" s="13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</row>
    <row r="880" spans="1:125">
      <c r="A880" s="132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2"/>
      <c r="AC880" s="132"/>
      <c r="AD880" s="132"/>
      <c r="AE880" s="132"/>
      <c r="AF880" s="132"/>
      <c r="AG880" s="132"/>
      <c r="AH880" s="132"/>
      <c r="AI880" s="132"/>
      <c r="AJ880" s="13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</row>
    <row r="881" spans="1:125">
      <c r="A881" s="132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2"/>
      <c r="AC881" s="132"/>
      <c r="AD881" s="132"/>
      <c r="AE881" s="132"/>
      <c r="AF881" s="132"/>
      <c r="AG881" s="132"/>
      <c r="AH881" s="132"/>
      <c r="AI881" s="132"/>
      <c r="AJ881" s="13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</row>
    <row r="882" spans="1:125">
      <c r="A882" s="132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2"/>
      <c r="AC882" s="132"/>
      <c r="AD882" s="132"/>
      <c r="AE882" s="132"/>
      <c r="AF882" s="132"/>
      <c r="AG882" s="132"/>
      <c r="AH882" s="132"/>
      <c r="AI882" s="132"/>
      <c r="AJ882" s="13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</row>
    <row r="883" spans="1:125">
      <c r="A883" s="132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2"/>
      <c r="AC883" s="132"/>
      <c r="AD883" s="132"/>
      <c r="AE883" s="132"/>
      <c r="AF883" s="132"/>
      <c r="AG883" s="132"/>
      <c r="AH883" s="132"/>
      <c r="AI883" s="132"/>
      <c r="AJ883" s="13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</row>
    <row r="884" spans="1:125">
      <c r="A884" s="132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2"/>
      <c r="AC884" s="132"/>
      <c r="AD884" s="132"/>
      <c r="AE884" s="132"/>
      <c r="AF884" s="132"/>
      <c r="AG884" s="132"/>
      <c r="AH884" s="132"/>
      <c r="AI884" s="132"/>
      <c r="AJ884" s="13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</row>
    <row r="885" spans="1:125">
      <c r="A885" s="132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2"/>
      <c r="AC885" s="132"/>
      <c r="AD885" s="132"/>
      <c r="AE885" s="132"/>
      <c r="AF885" s="132"/>
      <c r="AG885" s="132"/>
      <c r="AH885" s="132"/>
      <c r="AI885" s="132"/>
      <c r="AJ885" s="13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</row>
    <row r="886" spans="1:125">
      <c r="A886" s="132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2"/>
      <c r="AC886" s="132"/>
      <c r="AD886" s="132"/>
      <c r="AE886" s="132"/>
      <c r="AF886" s="132"/>
      <c r="AG886" s="132"/>
      <c r="AH886" s="132"/>
      <c r="AI886" s="132"/>
      <c r="AJ886" s="13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</row>
    <row r="887" spans="1:125">
      <c r="A887" s="132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  <c r="AG887" s="132"/>
      <c r="AH887" s="132"/>
      <c r="AI887" s="132"/>
      <c r="AJ887" s="13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</row>
    <row r="888" spans="1:125">
      <c r="A888" s="132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2"/>
      <c r="AC888" s="132"/>
      <c r="AD888" s="132"/>
      <c r="AE888" s="132"/>
      <c r="AF888" s="132"/>
      <c r="AG888" s="132"/>
      <c r="AH888" s="132"/>
      <c r="AI888" s="132"/>
      <c r="AJ888" s="13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</row>
    <row r="889" spans="1:125">
      <c r="A889" s="132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2"/>
      <c r="AC889" s="132"/>
      <c r="AD889" s="132"/>
      <c r="AE889" s="132"/>
      <c r="AF889" s="132"/>
      <c r="AG889" s="132"/>
      <c r="AH889" s="132"/>
      <c r="AI889" s="132"/>
      <c r="AJ889" s="13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</row>
    <row r="890" spans="1:125">
      <c r="A890" s="132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2"/>
      <c r="AC890" s="132"/>
      <c r="AD890" s="132"/>
      <c r="AE890" s="132"/>
      <c r="AF890" s="132"/>
      <c r="AG890" s="132"/>
      <c r="AH890" s="132"/>
      <c r="AI890" s="132"/>
      <c r="AJ890" s="13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</row>
    <row r="891" spans="1:125">
      <c r="A891" s="132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2"/>
      <c r="AC891" s="132"/>
      <c r="AD891" s="132"/>
      <c r="AE891" s="132"/>
      <c r="AF891" s="132"/>
      <c r="AG891" s="132"/>
      <c r="AH891" s="132"/>
      <c r="AI891" s="132"/>
      <c r="AJ891" s="13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</row>
    <row r="892" spans="1:125">
      <c r="A892" s="132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2"/>
      <c r="AC892" s="132"/>
      <c r="AD892" s="132"/>
      <c r="AE892" s="132"/>
      <c r="AF892" s="132"/>
      <c r="AG892" s="132"/>
      <c r="AH892" s="132"/>
      <c r="AI892" s="132"/>
      <c r="AJ892" s="13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</row>
    <row r="893" spans="1:125">
      <c r="A893" s="132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2"/>
      <c r="AC893" s="132"/>
      <c r="AD893" s="132"/>
      <c r="AE893" s="132"/>
      <c r="AF893" s="132"/>
      <c r="AG893" s="132"/>
      <c r="AH893" s="132"/>
      <c r="AI893" s="132"/>
      <c r="AJ893" s="13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</row>
    <row r="894" spans="1:125">
      <c r="A894" s="132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2"/>
      <c r="AC894" s="132"/>
      <c r="AD894" s="132"/>
      <c r="AE894" s="132"/>
      <c r="AF894" s="132"/>
      <c r="AG894" s="132"/>
      <c r="AH894" s="132"/>
      <c r="AI894" s="132"/>
      <c r="AJ894" s="13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</row>
    <row r="895" spans="1:125">
      <c r="A895" s="132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2"/>
      <c r="AC895" s="132"/>
      <c r="AD895" s="132"/>
      <c r="AE895" s="132"/>
      <c r="AF895" s="132"/>
      <c r="AG895" s="132"/>
      <c r="AH895" s="132"/>
      <c r="AI895" s="132"/>
      <c r="AJ895" s="13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</row>
    <row r="896" spans="1:125">
      <c r="A896" s="132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2"/>
      <c r="AC896" s="132"/>
      <c r="AD896" s="132"/>
      <c r="AE896" s="132"/>
      <c r="AF896" s="132"/>
      <c r="AG896" s="132"/>
      <c r="AH896" s="132"/>
      <c r="AI896" s="132"/>
      <c r="AJ896" s="13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</row>
    <row r="897" spans="1:125">
      <c r="A897" s="132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2"/>
      <c r="AC897" s="132"/>
      <c r="AD897" s="132"/>
      <c r="AE897" s="132"/>
      <c r="AF897" s="132"/>
      <c r="AG897" s="132"/>
      <c r="AH897" s="132"/>
      <c r="AI897" s="132"/>
      <c r="AJ897" s="13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</row>
    <row r="898" spans="1:125">
      <c r="A898" s="132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2"/>
      <c r="AC898" s="132"/>
      <c r="AD898" s="132"/>
      <c r="AE898" s="132"/>
      <c r="AF898" s="132"/>
      <c r="AG898" s="132"/>
      <c r="AH898" s="132"/>
      <c r="AI898" s="132"/>
      <c r="AJ898" s="13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</row>
    <row r="899" spans="1:125">
      <c r="A899" s="132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2"/>
      <c r="AC899" s="132"/>
      <c r="AD899" s="132"/>
      <c r="AE899" s="132"/>
      <c r="AF899" s="132"/>
      <c r="AG899" s="132"/>
      <c r="AH899" s="132"/>
      <c r="AI899" s="132"/>
      <c r="AJ899" s="13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</row>
    <row r="900" spans="1:125">
      <c r="A900" s="132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2"/>
      <c r="AC900" s="132"/>
      <c r="AD900" s="132"/>
      <c r="AE900" s="132"/>
      <c r="AF900" s="132"/>
      <c r="AG900" s="132"/>
      <c r="AH900" s="132"/>
      <c r="AI900" s="132"/>
      <c r="AJ900" s="13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</row>
    <row r="901" spans="1:125">
      <c r="A901" s="132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2"/>
      <c r="AC901" s="132"/>
      <c r="AD901" s="132"/>
      <c r="AE901" s="132"/>
      <c r="AF901" s="132"/>
      <c r="AG901" s="132"/>
      <c r="AH901" s="132"/>
      <c r="AI901" s="132"/>
      <c r="AJ901" s="13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</row>
    <row r="902" spans="1:125">
      <c r="A902" s="132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2"/>
      <c r="AC902" s="132"/>
      <c r="AD902" s="132"/>
      <c r="AE902" s="132"/>
      <c r="AF902" s="132"/>
      <c r="AG902" s="132"/>
      <c r="AH902" s="132"/>
      <c r="AI902" s="132"/>
      <c r="AJ902" s="13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</row>
    <row r="903" spans="1:125">
      <c r="A903" s="132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2"/>
      <c r="AC903" s="132"/>
      <c r="AD903" s="132"/>
      <c r="AE903" s="132"/>
      <c r="AF903" s="132"/>
      <c r="AG903" s="132"/>
      <c r="AH903" s="132"/>
      <c r="AI903" s="132"/>
      <c r="AJ903" s="13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</row>
    <row r="904" spans="1:125">
      <c r="A904" s="132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2"/>
      <c r="AC904" s="132"/>
      <c r="AD904" s="132"/>
      <c r="AE904" s="132"/>
      <c r="AF904" s="132"/>
      <c r="AG904" s="132"/>
      <c r="AH904" s="132"/>
      <c r="AI904" s="132"/>
      <c r="AJ904" s="13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</row>
    <row r="905" spans="1:125">
      <c r="A905" s="132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2"/>
      <c r="AC905" s="132"/>
      <c r="AD905" s="132"/>
      <c r="AE905" s="132"/>
      <c r="AF905" s="132"/>
      <c r="AG905" s="132"/>
      <c r="AH905" s="132"/>
      <c r="AI905" s="132"/>
      <c r="AJ905" s="13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</row>
    <row r="906" spans="1:125">
      <c r="A906" s="132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2"/>
      <c r="AC906" s="132"/>
      <c r="AD906" s="132"/>
      <c r="AE906" s="132"/>
      <c r="AF906" s="132"/>
      <c r="AG906" s="132"/>
      <c r="AH906" s="132"/>
      <c r="AI906" s="132"/>
      <c r="AJ906" s="13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</row>
    <row r="907" spans="1:125">
      <c r="A907" s="132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2"/>
      <c r="AC907" s="132"/>
      <c r="AD907" s="132"/>
      <c r="AE907" s="132"/>
      <c r="AF907" s="132"/>
      <c r="AG907" s="132"/>
      <c r="AH907" s="132"/>
      <c r="AI907" s="132"/>
      <c r="AJ907" s="13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</row>
    <row r="908" spans="1:125">
      <c r="A908" s="132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2"/>
      <c r="AC908" s="132"/>
      <c r="AD908" s="132"/>
      <c r="AE908" s="132"/>
      <c r="AF908" s="132"/>
      <c r="AG908" s="132"/>
      <c r="AH908" s="132"/>
      <c r="AI908" s="132"/>
      <c r="AJ908" s="13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</row>
    <row r="909" spans="1:125">
      <c r="A909" s="132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2"/>
      <c r="AC909" s="132"/>
      <c r="AD909" s="132"/>
      <c r="AE909" s="132"/>
      <c r="AF909" s="132"/>
      <c r="AG909" s="132"/>
      <c r="AH909" s="132"/>
      <c r="AI909" s="132"/>
      <c r="AJ909" s="13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</row>
    <row r="910" spans="1:125">
      <c r="A910" s="132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2"/>
      <c r="AC910" s="132"/>
      <c r="AD910" s="132"/>
      <c r="AE910" s="132"/>
      <c r="AF910" s="132"/>
      <c r="AG910" s="132"/>
      <c r="AH910" s="132"/>
      <c r="AI910" s="132"/>
      <c r="AJ910" s="13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</row>
    <row r="911" spans="1:125">
      <c r="A911" s="132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  <c r="AD911" s="132"/>
      <c r="AE911" s="132"/>
      <c r="AF911" s="132"/>
      <c r="AG911" s="132"/>
      <c r="AH911" s="132"/>
      <c r="AI911" s="132"/>
      <c r="AJ911" s="13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</row>
    <row r="912" spans="1:125">
      <c r="A912" s="132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  <c r="AC912" s="132"/>
      <c r="AD912" s="132"/>
      <c r="AE912" s="132"/>
      <c r="AF912" s="132"/>
      <c r="AG912" s="132"/>
      <c r="AH912" s="132"/>
      <c r="AI912" s="132"/>
      <c r="AJ912" s="13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</row>
    <row r="913" spans="1:125">
      <c r="A913" s="132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2"/>
      <c r="AC913" s="132"/>
      <c r="AD913" s="132"/>
      <c r="AE913" s="132"/>
      <c r="AF913" s="132"/>
      <c r="AG913" s="132"/>
      <c r="AH913" s="132"/>
      <c r="AI913" s="132"/>
      <c r="AJ913" s="13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</row>
    <row r="914" spans="1:125">
      <c r="A914" s="132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2"/>
      <c r="AC914" s="132"/>
      <c r="AD914" s="132"/>
      <c r="AE914" s="132"/>
      <c r="AF914" s="132"/>
      <c r="AG914" s="132"/>
      <c r="AH914" s="132"/>
      <c r="AI914" s="132"/>
      <c r="AJ914" s="13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</row>
    <row r="915" spans="1:125">
      <c r="A915" s="132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2"/>
      <c r="AC915" s="132"/>
      <c r="AD915" s="132"/>
      <c r="AE915" s="132"/>
      <c r="AF915" s="132"/>
      <c r="AG915" s="132"/>
      <c r="AH915" s="132"/>
      <c r="AI915" s="132"/>
      <c r="AJ915" s="13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</row>
    <row r="916" spans="1:125">
      <c r="A916" s="132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2"/>
      <c r="AC916" s="132"/>
      <c r="AD916" s="132"/>
      <c r="AE916" s="132"/>
      <c r="AF916" s="132"/>
      <c r="AG916" s="132"/>
      <c r="AH916" s="132"/>
      <c r="AI916" s="132"/>
      <c r="AJ916" s="13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</row>
    <row r="917" spans="1:125">
      <c r="A917" s="132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2"/>
      <c r="AC917" s="132"/>
      <c r="AD917" s="132"/>
      <c r="AE917" s="132"/>
      <c r="AF917" s="132"/>
      <c r="AG917" s="132"/>
      <c r="AH917" s="132"/>
      <c r="AI917" s="132"/>
      <c r="AJ917" s="13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</row>
    <row r="918" spans="1:125">
      <c r="A918" s="132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2"/>
      <c r="AC918" s="132"/>
      <c r="AD918" s="132"/>
      <c r="AE918" s="132"/>
      <c r="AF918" s="132"/>
      <c r="AG918" s="132"/>
      <c r="AH918" s="132"/>
      <c r="AI918" s="132"/>
      <c r="AJ918" s="13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</row>
    <row r="919" spans="1:125">
      <c r="A919" s="132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2"/>
      <c r="AC919" s="132"/>
      <c r="AD919" s="132"/>
      <c r="AE919" s="132"/>
      <c r="AF919" s="132"/>
      <c r="AG919" s="132"/>
      <c r="AH919" s="132"/>
      <c r="AI919" s="132"/>
      <c r="AJ919" s="13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</row>
    <row r="920" spans="1:125">
      <c r="A920" s="132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2"/>
      <c r="AC920" s="132"/>
      <c r="AD920" s="132"/>
      <c r="AE920" s="132"/>
      <c r="AF920" s="132"/>
      <c r="AG920" s="132"/>
      <c r="AH920" s="132"/>
      <c r="AI920" s="132"/>
      <c r="AJ920" s="13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</row>
    <row r="921" spans="1:125">
      <c r="A921" s="132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2"/>
      <c r="AC921" s="132"/>
      <c r="AD921" s="132"/>
      <c r="AE921" s="132"/>
      <c r="AF921" s="132"/>
      <c r="AG921" s="132"/>
      <c r="AH921" s="132"/>
      <c r="AI921" s="132"/>
      <c r="AJ921" s="13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</row>
    <row r="922" spans="1:125">
      <c r="A922" s="132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2"/>
      <c r="AC922" s="132"/>
      <c r="AD922" s="132"/>
      <c r="AE922" s="132"/>
      <c r="AF922" s="132"/>
      <c r="AG922" s="132"/>
      <c r="AH922" s="132"/>
      <c r="AI922" s="132"/>
      <c r="AJ922" s="13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</row>
    <row r="923" spans="1:125">
      <c r="A923" s="132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2"/>
      <c r="AC923" s="132"/>
      <c r="AD923" s="132"/>
      <c r="AE923" s="132"/>
      <c r="AF923" s="132"/>
      <c r="AG923" s="132"/>
      <c r="AH923" s="132"/>
      <c r="AI923" s="132"/>
      <c r="AJ923" s="13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</row>
    <row r="924" spans="1:125">
      <c r="A924" s="132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2"/>
      <c r="AC924" s="132"/>
      <c r="AD924" s="132"/>
      <c r="AE924" s="132"/>
      <c r="AF924" s="132"/>
      <c r="AG924" s="132"/>
      <c r="AH924" s="132"/>
      <c r="AI924" s="132"/>
      <c r="AJ924" s="13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</row>
    <row r="925" spans="1:125">
      <c r="A925" s="132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2"/>
      <c r="AC925" s="132"/>
      <c r="AD925" s="132"/>
      <c r="AE925" s="132"/>
      <c r="AF925" s="132"/>
      <c r="AG925" s="132"/>
      <c r="AH925" s="132"/>
      <c r="AI925" s="132"/>
      <c r="AJ925" s="13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</row>
    <row r="926" spans="1:125">
      <c r="A926" s="132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2"/>
      <c r="AC926" s="132"/>
      <c r="AD926" s="132"/>
      <c r="AE926" s="132"/>
      <c r="AF926" s="132"/>
      <c r="AG926" s="132"/>
      <c r="AH926" s="132"/>
      <c r="AI926" s="132"/>
      <c r="AJ926" s="13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</row>
    <row r="927" spans="1:125">
      <c r="A927" s="132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2"/>
      <c r="AC927" s="132"/>
      <c r="AD927" s="132"/>
      <c r="AE927" s="132"/>
      <c r="AF927" s="132"/>
      <c r="AG927" s="132"/>
      <c r="AH927" s="132"/>
      <c r="AI927" s="132"/>
      <c r="AJ927" s="13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</row>
    <row r="928" spans="1:125">
      <c r="A928" s="132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2"/>
      <c r="AC928" s="132"/>
      <c r="AD928" s="132"/>
      <c r="AE928" s="132"/>
      <c r="AF928" s="132"/>
      <c r="AG928" s="132"/>
      <c r="AH928" s="132"/>
      <c r="AI928" s="132"/>
      <c r="AJ928" s="13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</row>
    <row r="929" spans="1:125">
      <c r="A929" s="132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2"/>
      <c r="AC929" s="132"/>
      <c r="AD929" s="132"/>
      <c r="AE929" s="132"/>
      <c r="AF929" s="132"/>
      <c r="AG929" s="132"/>
      <c r="AH929" s="132"/>
      <c r="AI929" s="132"/>
      <c r="AJ929" s="13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</row>
    <row r="930" spans="1:125">
      <c r="A930" s="132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2"/>
      <c r="AC930" s="132"/>
      <c r="AD930" s="132"/>
      <c r="AE930" s="132"/>
      <c r="AF930" s="132"/>
      <c r="AG930" s="132"/>
      <c r="AH930" s="132"/>
      <c r="AI930" s="132"/>
      <c r="AJ930" s="13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</row>
    <row r="931" spans="1:125">
      <c r="A931" s="132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2"/>
      <c r="AC931" s="132"/>
      <c r="AD931" s="132"/>
      <c r="AE931" s="132"/>
      <c r="AF931" s="132"/>
      <c r="AG931" s="132"/>
      <c r="AH931" s="132"/>
      <c r="AI931" s="132"/>
      <c r="AJ931" s="13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</row>
    <row r="932" spans="1:125">
      <c r="A932" s="132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  <c r="AC932" s="132"/>
      <c r="AD932" s="132"/>
      <c r="AE932" s="132"/>
      <c r="AF932" s="132"/>
      <c r="AG932" s="132"/>
      <c r="AH932" s="132"/>
      <c r="AI932" s="132"/>
      <c r="AJ932" s="13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</row>
    <row r="933" spans="1:125">
      <c r="A933" s="132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  <c r="AC933" s="132"/>
      <c r="AD933" s="132"/>
      <c r="AE933" s="132"/>
      <c r="AF933" s="132"/>
      <c r="AG933" s="132"/>
      <c r="AH933" s="132"/>
      <c r="AI933" s="132"/>
      <c r="AJ933" s="13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</row>
    <row r="934" spans="1:125">
      <c r="A934" s="132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2"/>
      <c r="AC934" s="132"/>
      <c r="AD934" s="132"/>
      <c r="AE934" s="132"/>
      <c r="AF934" s="132"/>
      <c r="AG934" s="132"/>
      <c r="AH934" s="132"/>
      <c r="AI934" s="132"/>
      <c r="AJ934" s="13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</row>
    <row r="935" spans="1:125">
      <c r="A935" s="132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2"/>
      <c r="AC935" s="132"/>
      <c r="AD935" s="132"/>
      <c r="AE935" s="132"/>
      <c r="AF935" s="132"/>
      <c r="AG935" s="132"/>
      <c r="AH935" s="132"/>
      <c r="AI935" s="132"/>
      <c r="AJ935" s="13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</row>
    <row r="936" spans="1:125">
      <c r="A936" s="132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2"/>
      <c r="AC936" s="132"/>
      <c r="AD936" s="132"/>
      <c r="AE936" s="132"/>
      <c r="AF936" s="132"/>
      <c r="AG936" s="132"/>
      <c r="AH936" s="132"/>
      <c r="AI936" s="132"/>
      <c r="AJ936" s="13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</row>
    <row r="937" spans="1:125">
      <c r="A937" s="132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2"/>
      <c r="AC937" s="132"/>
      <c r="AD937" s="132"/>
      <c r="AE937" s="132"/>
      <c r="AF937" s="132"/>
      <c r="AG937" s="132"/>
      <c r="AH937" s="132"/>
      <c r="AI937" s="132"/>
      <c r="AJ937" s="13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</row>
    <row r="938" spans="1:125">
      <c r="A938" s="132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2"/>
      <c r="AC938" s="132"/>
      <c r="AD938" s="132"/>
      <c r="AE938" s="132"/>
      <c r="AF938" s="132"/>
      <c r="AG938" s="132"/>
      <c r="AH938" s="132"/>
      <c r="AI938" s="132"/>
      <c r="AJ938" s="13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</row>
    <row r="939" spans="1:125">
      <c r="A939" s="132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2"/>
      <c r="AC939" s="132"/>
      <c r="AD939" s="132"/>
      <c r="AE939" s="132"/>
      <c r="AF939" s="132"/>
      <c r="AG939" s="132"/>
      <c r="AH939" s="132"/>
      <c r="AI939" s="132"/>
      <c r="AJ939" s="13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</row>
    <row r="940" spans="1:125">
      <c r="A940" s="132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2"/>
      <c r="AC940" s="132"/>
      <c r="AD940" s="132"/>
      <c r="AE940" s="132"/>
      <c r="AF940" s="132"/>
      <c r="AG940" s="132"/>
      <c r="AH940" s="132"/>
      <c r="AI940" s="132"/>
      <c r="AJ940" s="13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</row>
    <row r="941" spans="1:125">
      <c r="A941" s="132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2"/>
      <c r="AC941" s="132"/>
      <c r="AD941" s="132"/>
      <c r="AE941" s="132"/>
      <c r="AF941" s="132"/>
      <c r="AG941" s="132"/>
      <c r="AH941" s="132"/>
      <c r="AI941" s="132"/>
      <c r="AJ941" s="13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</row>
    <row r="942" spans="1:125">
      <c r="A942" s="132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2"/>
      <c r="AC942" s="132"/>
      <c r="AD942" s="132"/>
      <c r="AE942" s="132"/>
      <c r="AF942" s="132"/>
      <c r="AG942" s="132"/>
      <c r="AH942" s="132"/>
      <c r="AI942" s="132"/>
      <c r="AJ942" s="13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</row>
    <row r="943" spans="1:125">
      <c r="A943" s="132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2"/>
      <c r="AC943" s="132"/>
      <c r="AD943" s="132"/>
      <c r="AE943" s="132"/>
      <c r="AF943" s="132"/>
      <c r="AG943" s="132"/>
      <c r="AH943" s="132"/>
      <c r="AI943" s="132"/>
      <c r="AJ943" s="13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</row>
    <row r="944" spans="1:125">
      <c r="A944" s="132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2"/>
      <c r="AC944" s="132"/>
      <c r="AD944" s="132"/>
      <c r="AE944" s="132"/>
      <c r="AF944" s="132"/>
      <c r="AG944" s="132"/>
      <c r="AH944" s="132"/>
      <c r="AI944" s="132"/>
      <c r="AJ944" s="13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</row>
    <row r="945" spans="1:125">
      <c r="A945" s="132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2"/>
      <c r="AC945" s="132"/>
      <c r="AD945" s="132"/>
      <c r="AE945" s="132"/>
      <c r="AF945" s="132"/>
      <c r="AG945" s="132"/>
      <c r="AH945" s="132"/>
      <c r="AI945" s="132"/>
      <c r="AJ945" s="13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</row>
    <row r="946" spans="1:125">
      <c r="A946" s="132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  <c r="AC946" s="132"/>
      <c r="AD946" s="132"/>
      <c r="AE946" s="132"/>
      <c r="AF946" s="132"/>
      <c r="AG946" s="132"/>
      <c r="AH946" s="132"/>
      <c r="AI946" s="132"/>
      <c r="AJ946" s="13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</row>
    <row r="947" spans="1:125">
      <c r="A947" s="132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2"/>
      <c r="AC947" s="132"/>
      <c r="AD947" s="132"/>
      <c r="AE947" s="132"/>
      <c r="AF947" s="132"/>
      <c r="AG947" s="132"/>
      <c r="AH947" s="132"/>
      <c r="AI947" s="132"/>
      <c r="AJ947" s="13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</row>
    <row r="948" spans="1:125">
      <c r="A948" s="132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2"/>
      <c r="AC948" s="132"/>
      <c r="AD948" s="132"/>
      <c r="AE948" s="132"/>
      <c r="AF948" s="132"/>
      <c r="AG948" s="132"/>
      <c r="AH948" s="132"/>
      <c r="AI948" s="132"/>
      <c r="AJ948" s="13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</row>
    <row r="949" spans="1:125">
      <c r="A949" s="132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2"/>
      <c r="AC949" s="132"/>
      <c r="AD949" s="132"/>
      <c r="AE949" s="132"/>
      <c r="AF949" s="132"/>
      <c r="AG949" s="132"/>
      <c r="AH949" s="132"/>
      <c r="AI949" s="132"/>
      <c r="AJ949" s="13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</row>
    <row r="950" spans="1:125">
      <c r="A950" s="132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2"/>
      <c r="AC950" s="132"/>
      <c r="AD950" s="132"/>
      <c r="AE950" s="132"/>
      <c r="AF950" s="132"/>
      <c r="AG950" s="132"/>
      <c r="AH950" s="132"/>
      <c r="AI950" s="132"/>
      <c r="AJ950" s="13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</row>
    <row r="951" spans="1:125">
      <c r="A951" s="132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2"/>
      <c r="AC951" s="132"/>
      <c r="AD951" s="132"/>
      <c r="AE951" s="132"/>
      <c r="AF951" s="132"/>
      <c r="AG951" s="132"/>
      <c r="AH951" s="132"/>
      <c r="AI951" s="132"/>
      <c r="AJ951" s="13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</row>
    <row r="952" spans="1:125">
      <c r="A952" s="132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2"/>
      <c r="AC952" s="132"/>
      <c r="AD952" s="132"/>
      <c r="AE952" s="132"/>
      <c r="AF952" s="132"/>
      <c r="AG952" s="132"/>
      <c r="AH952" s="132"/>
      <c r="AI952" s="132"/>
      <c r="AJ952" s="13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</row>
    <row r="953" spans="1:125">
      <c r="A953" s="132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2"/>
      <c r="AC953" s="132"/>
      <c r="AD953" s="132"/>
      <c r="AE953" s="132"/>
      <c r="AF953" s="132"/>
      <c r="AG953" s="132"/>
      <c r="AH953" s="132"/>
      <c r="AI953" s="132"/>
      <c r="AJ953" s="13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</row>
    <row r="954" spans="1:125">
      <c r="A954" s="132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2"/>
      <c r="AC954" s="132"/>
      <c r="AD954" s="132"/>
      <c r="AE954" s="132"/>
      <c r="AF954" s="132"/>
      <c r="AG954" s="132"/>
      <c r="AH954" s="132"/>
      <c r="AI954" s="132"/>
      <c r="AJ954" s="13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</row>
    <row r="955" spans="1:125">
      <c r="A955" s="132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2"/>
      <c r="AC955" s="132"/>
      <c r="AD955" s="132"/>
      <c r="AE955" s="132"/>
      <c r="AF955" s="132"/>
      <c r="AG955" s="132"/>
      <c r="AH955" s="132"/>
      <c r="AI955" s="132"/>
      <c r="AJ955" s="13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</row>
    <row r="956" spans="1:125">
      <c r="A956" s="132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2"/>
      <c r="AC956" s="132"/>
      <c r="AD956" s="132"/>
      <c r="AE956" s="132"/>
      <c r="AF956" s="132"/>
      <c r="AG956" s="132"/>
      <c r="AH956" s="132"/>
      <c r="AI956" s="132"/>
      <c r="AJ956" s="13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</row>
    <row r="957" spans="1:125">
      <c r="A957" s="132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2"/>
      <c r="AC957" s="132"/>
      <c r="AD957" s="132"/>
      <c r="AE957" s="132"/>
      <c r="AF957" s="132"/>
      <c r="AG957" s="132"/>
      <c r="AH957" s="132"/>
      <c r="AI957" s="132"/>
      <c r="AJ957" s="13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</row>
    <row r="958" spans="1:125">
      <c r="A958" s="132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2"/>
      <c r="AC958" s="132"/>
      <c r="AD958" s="132"/>
      <c r="AE958" s="132"/>
      <c r="AF958" s="132"/>
      <c r="AG958" s="132"/>
      <c r="AH958" s="132"/>
      <c r="AI958" s="132"/>
      <c r="AJ958" s="13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</row>
    <row r="959" spans="1:125">
      <c r="A959" s="132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2"/>
      <c r="AC959" s="132"/>
      <c r="AD959" s="132"/>
      <c r="AE959" s="132"/>
      <c r="AF959" s="132"/>
      <c r="AG959" s="132"/>
      <c r="AH959" s="132"/>
      <c r="AI959" s="132"/>
      <c r="AJ959" s="13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</row>
    <row r="960" spans="1:125">
      <c r="A960" s="132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2"/>
      <c r="AC960" s="132"/>
      <c r="AD960" s="132"/>
      <c r="AE960" s="132"/>
      <c r="AF960" s="132"/>
      <c r="AG960" s="132"/>
      <c r="AH960" s="132"/>
      <c r="AI960" s="132"/>
      <c r="AJ960" s="13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</row>
    <row r="961" spans="1:125">
      <c r="A961" s="132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2"/>
      <c r="AC961" s="132"/>
      <c r="AD961" s="132"/>
      <c r="AE961" s="132"/>
      <c r="AF961" s="132"/>
      <c r="AG961" s="132"/>
      <c r="AH961" s="132"/>
      <c r="AI961" s="132"/>
      <c r="AJ961" s="13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</row>
    <row r="962" spans="1:125">
      <c r="A962" s="132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2"/>
      <c r="AC962" s="132"/>
      <c r="AD962" s="132"/>
      <c r="AE962" s="132"/>
      <c r="AF962" s="132"/>
      <c r="AG962" s="132"/>
      <c r="AH962" s="132"/>
      <c r="AI962" s="132"/>
      <c r="AJ962" s="13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</row>
    <row r="963" spans="1:125">
      <c r="A963" s="132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2"/>
      <c r="AC963" s="132"/>
      <c r="AD963" s="132"/>
      <c r="AE963" s="132"/>
      <c r="AF963" s="132"/>
      <c r="AG963" s="132"/>
      <c r="AH963" s="132"/>
      <c r="AI963" s="132"/>
      <c r="AJ963" s="13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</row>
    <row r="964" spans="1:125">
      <c r="A964" s="132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2"/>
      <c r="AC964" s="132"/>
      <c r="AD964" s="132"/>
      <c r="AE964" s="132"/>
      <c r="AF964" s="132"/>
      <c r="AG964" s="132"/>
      <c r="AH964" s="132"/>
      <c r="AI964" s="132"/>
      <c r="AJ964" s="13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</row>
    <row r="965" spans="1:125">
      <c r="A965" s="132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2"/>
      <c r="AC965" s="132"/>
      <c r="AD965" s="132"/>
      <c r="AE965" s="132"/>
      <c r="AF965" s="132"/>
      <c r="AG965" s="132"/>
      <c r="AH965" s="132"/>
      <c r="AI965" s="132"/>
      <c r="AJ965" s="13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</row>
    <row r="966" spans="1:125">
      <c r="A966" s="132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2"/>
      <c r="AC966" s="132"/>
      <c r="AD966" s="132"/>
      <c r="AE966" s="132"/>
      <c r="AF966" s="132"/>
      <c r="AG966" s="132"/>
      <c r="AH966" s="132"/>
      <c r="AI966" s="132"/>
      <c r="AJ966" s="13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</row>
    <row r="967" spans="1:125">
      <c r="A967" s="132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2"/>
      <c r="AC967" s="132"/>
      <c r="AD967" s="132"/>
      <c r="AE967" s="132"/>
      <c r="AF967" s="132"/>
      <c r="AG967" s="132"/>
      <c r="AH967" s="132"/>
      <c r="AI967" s="132"/>
      <c r="AJ967" s="13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</row>
    <row r="968" spans="1:125">
      <c r="A968" s="132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2"/>
      <c r="AC968" s="132"/>
      <c r="AD968" s="132"/>
      <c r="AE968" s="132"/>
      <c r="AF968" s="132"/>
      <c r="AG968" s="132"/>
      <c r="AH968" s="132"/>
      <c r="AI968" s="132"/>
      <c r="AJ968" s="13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</row>
    <row r="969" spans="1:125">
      <c r="A969" s="132"/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2"/>
      <c r="AC969" s="132"/>
      <c r="AD969" s="132"/>
      <c r="AE969" s="132"/>
      <c r="AF969" s="132"/>
      <c r="AG969" s="132"/>
      <c r="AH969" s="132"/>
      <c r="AI969" s="132"/>
      <c r="AJ969" s="13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</row>
    <row r="970" spans="1:125">
      <c r="A970" s="132"/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2"/>
      <c r="AC970" s="132"/>
      <c r="AD970" s="132"/>
      <c r="AE970" s="132"/>
      <c r="AF970" s="132"/>
      <c r="AG970" s="132"/>
      <c r="AH970" s="132"/>
      <c r="AI970" s="132"/>
      <c r="AJ970" s="13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</row>
    <row r="971" spans="1:125">
      <c r="A971" s="132"/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2"/>
      <c r="AC971" s="132"/>
      <c r="AD971" s="132"/>
      <c r="AE971" s="132"/>
      <c r="AF971" s="132"/>
      <c r="AG971" s="132"/>
      <c r="AH971" s="132"/>
      <c r="AI971" s="132"/>
      <c r="AJ971" s="13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</row>
    <row r="972" spans="1:125">
      <c r="A972" s="132"/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2"/>
      <c r="AC972" s="132"/>
      <c r="AD972" s="132"/>
      <c r="AE972" s="132"/>
      <c r="AF972" s="132"/>
      <c r="AG972" s="132"/>
      <c r="AH972" s="132"/>
      <c r="AI972" s="132"/>
      <c r="AJ972" s="13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</row>
    <row r="973" spans="1:125">
      <c r="A973" s="132"/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2"/>
      <c r="AC973" s="132"/>
      <c r="AD973" s="132"/>
      <c r="AE973" s="132"/>
      <c r="AF973" s="132"/>
      <c r="AG973" s="132"/>
      <c r="AH973" s="132"/>
      <c r="AI973" s="132"/>
      <c r="AJ973" s="13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</row>
    <row r="974" spans="1:125">
      <c r="A974" s="132"/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  <c r="AC974" s="132"/>
      <c r="AD974" s="132"/>
      <c r="AE974" s="132"/>
      <c r="AF974" s="132"/>
      <c r="AG974" s="132"/>
      <c r="AH974" s="132"/>
      <c r="AI974" s="132"/>
      <c r="AJ974" s="13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</row>
    <row r="975" spans="1:125">
      <c r="A975" s="132"/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  <c r="AC975" s="132"/>
      <c r="AD975" s="132"/>
      <c r="AE975" s="132"/>
      <c r="AF975" s="132"/>
      <c r="AG975" s="132"/>
      <c r="AH975" s="132"/>
      <c r="AI975" s="132"/>
      <c r="AJ975" s="13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</row>
    <row r="976" spans="1:125">
      <c r="A976" s="132"/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2"/>
      <c r="AC976" s="132"/>
      <c r="AD976" s="132"/>
      <c r="AE976" s="132"/>
      <c r="AF976" s="132"/>
      <c r="AG976" s="132"/>
      <c r="AH976" s="132"/>
      <c r="AI976" s="132"/>
      <c r="AJ976" s="13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</row>
    <row r="977" spans="1:125">
      <c r="A977" s="132"/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2"/>
      <c r="AC977" s="132"/>
      <c r="AD977" s="132"/>
      <c r="AE977" s="132"/>
      <c r="AF977" s="132"/>
      <c r="AG977" s="132"/>
      <c r="AH977" s="132"/>
      <c r="AI977" s="132"/>
      <c r="AJ977" s="13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</row>
    <row r="978" spans="1:125">
      <c r="A978" s="132"/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2"/>
      <c r="AC978" s="132"/>
      <c r="AD978" s="132"/>
      <c r="AE978" s="132"/>
      <c r="AF978" s="132"/>
      <c r="AG978" s="132"/>
      <c r="AH978" s="132"/>
      <c r="AI978" s="132"/>
      <c r="AJ978" s="13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</row>
    <row r="979" spans="1:125">
      <c r="A979" s="132"/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2"/>
      <c r="AC979" s="132"/>
      <c r="AD979" s="132"/>
      <c r="AE979" s="132"/>
      <c r="AF979" s="132"/>
      <c r="AG979" s="132"/>
      <c r="AH979" s="132"/>
      <c r="AI979" s="132"/>
      <c r="AJ979" s="13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</row>
    <row r="980" spans="1:125">
      <c r="A980" s="132"/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  <c r="AB980" s="132"/>
      <c r="AC980" s="132"/>
      <c r="AD980" s="132"/>
      <c r="AE980" s="132"/>
      <c r="AF980" s="132"/>
      <c r="AG980" s="132"/>
      <c r="AH980" s="132"/>
      <c r="AI980" s="132"/>
      <c r="AJ980" s="13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</row>
    <row r="981" spans="1:125">
      <c r="A981" s="132"/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  <c r="AB981" s="132"/>
      <c r="AC981" s="132"/>
      <c r="AD981" s="132"/>
      <c r="AE981" s="132"/>
      <c r="AF981" s="132"/>
      <c r="AG981" s="132"/>
      <c r="AH981" s="132"/>
      <c r="AI981" s="132"/>
      <c r="AJ981" s="13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</row>
    <row r="982" spans="1:125">
      <c r="A982" s="132"/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  <c r="AB982" s="132"/>
      <c r="AC982" s="132"/>
      <c r="AD982" s="132"/>
      <c r="AE982" s="132"/>
      <c r="AF982" s="132"/>
      <c r="AG982" s="132"/>
      <c r="AH982" s="132"/>
      <c r="AI982" s="132"/>
      <c r="AJ982" s="13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</row>
    <row r="983" spans="1:125">
      <c r="A983" s="132"/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  <c r="AB983" s="132"/>
      <c r="AC983" s="132"/>
      <c r="AD983" s="132"/>
      <c r="AE983" s="132"/>
      <c r="AF983" s="132"/>
      <c r="AG983" s="132"/>
      <c r="AH983" s="132"/>
      <c r="AI983" s="132"/>
      <c r="AJ983" s="13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</row>
    <row r="984" spans="1:125">
      <c r="A984" s="132"/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  <c r="AB984" s="132"/>
      <c r="AC984" s="132"/>
      <c r="AD984" s="132"/>
      <c r="AE984" s="132"/>
      <c r="AF984" s="132"/>
      <c r="AG984" s="132"/>
      <c r="AH984" s="132"/>
      <c r="AI984" s="132"/>
      <c r="AJ984" s="13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</row>
    <row r="985" spans="1:125">
      <c r="A985" s="132"/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  <c r="AB985" s="132"/>
      <c r="AC985" s="132"/>
      <c r="AD985" s="132"/>
      <c r="AE985" s="132"/>
      <c r="AF985" s="132"/>
      <c r="AG985" s="132"/>
      <c r="AH985" s="132"/>
      <c r="AI985" s="132"/>
      <c r="AJ985" s="13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</row>
    <row r="986" spans="1:125">
      <c r="A986" s="132"/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  <c r="AB986" s="132"/>
      <c r="AC986" s="132"/>
      <c r="AD986" s="132"/>
      <c r="AE986" s="132"/>
      <c r="AF986" s="132"/>
      <c r="AG986" s="132"/>
      <c r="AH986" s="132"/>
      <c r="AI986" s="132"/>
      <c r="AJ986" s="13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</row>
    <row r="987" spans="1:125">
      <c r="A987" s="132"/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  <c r="AB987" s="132"/>
      <c r="AC987" s="132"/>
      <c r="AD987" s="132"/>
      <c r="AE987" s="132"/>
      <c r="AF987" s="132"/>
      <c r="AG987" s="132"/>
      <c r="AH987" s="132"/>
      <c r="AI987" s="132"/>
      <c r="AJ987" s="13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</row>
    <row r="988" spans="1:125">
      <c r="A988" s="132"/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  <c r="AB988" s="132"/>
      <c r="AC988" s="132"/>
      <c r="AD988" s="132"/>
      <c r="AE988" s="132"/>
      <c r="AF988" s="132"/>
      <c r="AG988" s="132"/>
      <c r="AH988" s="132"/>
      <c r="AI988" s="132"/>
      <c r="AJ988" s="13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</row>
    <row r="989" spans="1:125">
      <c r="A989" s="132"/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  <c r="AB989" s="132"/>
      <c r="AC989" s="132"/>
      <c r="AD989" s="132"/>
      <c r="AE989" s="132"/>
      <c r="AF989" s="132"/>
      <c r="AG989" s="132"/>
      <c r="AH989" s="132"/>
      <c r="AI989" s="132"/>
      <c r="AJ989" s="13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</row>
    <row r="990" spans="1:125">
      <c r="A990" s="132"/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  <c r="AB990" s="132"/>
      <c r="AC990" s="132"/>
      <c r="AD990" s="132"/>
      <c r="AE990" s="132"/>
      <c r="AF990" s="132"/>
      <c r="AG990" s="132"/>
      <c r="AH990" s="132"/>
      <c r="AI990" s="132"/>
      <c r="AJ990" s="13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</row>
    <row r="991" spans="1:125">
      <c r="A991" s="132"/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  <c r="AB991" s="132"/>
      <c r="AC991" s="132"/>
      <c r="AD991" s="132"/>
      <c r="AE991" s="132"/>
      <c r="AF991" s="132"/>
      <c r="AG991" s="132"/>
      <c r="AH991" s="132"/>
      <c r="AI991" s="132"/>
      <c r="AJ991" s="13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</row>
    <row r="992" spans="1:125">
      <c r="A992" s="132"/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  <c r="AB992" s="132"/>
      <c r="AC992" s="132"/>
      <c r="AD992" s="132"/>
      <c r="AE992" s="132"/>
      <c r="AF992" s="132"/>
      <c r="AG992" s="132"/>
      <c r="AH992" s="132"/>
      <c r="AI992" s="132"/>
      <c r="AJ992" s="13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</row>
    <row r="993" spans="1:125">
      <c r="A993" s="132"/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  <c r="AB993" s="132"/>
      <c r="AC993" s="132"/>
      <c r="AD993" s="132"/>
      <c r="AE993" s="132"/>
      <c r="AF993" s="132"/>
      <c r="AG993" s="132"/>
      <c r="AH993" s="132"/>
      <c r="AI993" s="132"/>
      <c r="AJ993" s="13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</row>
    <row r="994" spans="1:125">
      <c r="A994" s="132"/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2"/>
      <c r="AC994" s="132"/>
      <c r="AD994" s="132"/>
      <c r="AE994" s="132"/>
      <c r="AF994" s="132"/>
      <c r="AG994" s="132"/>
      <c r="AH994" s="132"/>
      <c r="AI994" s="132"/>
      <c r="AJ994" s="13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</row>
    <row r="995" spans="1:125">
      <c r="A995" s="132"/>
      <c r="B995" s="132"/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  <c r="AA995" s="132"/>
      <c r="AB995" s="132"/>
      <c r="AC995" s="132"/>
      <c r="AD995" s="132"/>
      <c r="AE995" s="132"/>
      <c r="AF995" s="132"/>
      <c r="AG995" s="132"/>
      <c r="AH995" s="132"/>
      <c r="AI995" s="132"/>
      <c r="AJ995" s="13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</row>
    <row r="996" spans="1:125">
      <c r="A996" s="132"/>
      <c r="B996" s="132"/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  <c r="AA996" s="132"/>
      <c r="AB996" s="132"/>
      <c r="AC996" s="132"/>
      <c r="AD996" s="132"/>
      <c r="AE996" s="132"/>
      <c r="AF996" s="132"/>
      <c r="AG996" s="132"/>
      <c r="AH996" s="132"/>
      <c r="AI996" s="132"/>
      <c r="AJ996" s="13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</row>
    <row r="997" spans="1:125">
      <c r="A997" s="132"/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  <c r="AA997" s="132"/>
      <c r="AB997" s="132"/>
      <c r="AC997" s="132"/>
      <c r="AD997" s="132"/>
      <c r="AE997" s="132"/>
      <c r="AF997" s="132"/>
      <c r="AG997" s="132"/>
      <c r="AH997" s="132"/>
      <c r="AI997" s="132"/>
      <c r="AJ997" s="13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</row>
    <row r="998" spans="1:125">
      <c r="A998" s="132"/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  <c r="AA998" s="132"/>
      <c r="AB998" s="132"/>
      <c r="AC998" s="132"/>
      <c r="AD998" s="132"/>
      <c r="AE998" s="132"/>
      <c r="AF998" s="132"/>
      <c r="AG998" s="132"/>
      <c r="AH998" s="132"/>
      <c r="AI998" s="132"/>
      <c r="AJ998" s="13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</row>
    <row r="999" spans="1:125">
      <c r="A999" s="132"/>
      <c r="B999" s="132"/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  <c r="AA999" s="132"/>
      <c r="AB999" s="132"/>
      <c r="AC999" s="132"/>
      <c r="AD999" s="132"/>
      <c r="AE999" s="132"/>
      <c r="AF999" s="132"/>
      <c r="AG999" s="132"/>
      <c r="AH999" s="132"/>
      <c r="AI999" s="132"/>
      <c r="AJ999" s="13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</row>
    <row r="1000" spans="1:125">
      <c r="A1000" s="132"/>
      <c r="B1000" s="132"/>
      <c r="C1000" s="132"/>
      <c r="D1000" s="132"/>
      <c r="E1000" s="132"/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  <c r="AB1000" s="132"/>
      <c r="AC1000" s="132"/>
      <c r="AD1000" s="132"/>
      <c r="AE1000" s="132"/>
      <c r="AF1000" s="132"/>
      <c r="AG1000" s="132"/>
      <c r="AH1000" s="132"/>
      <c r="AI1000" s="132"/>
      <c r="AJ1000" s="13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</row>
    <row r="1001" spans="1:125">
      <c r="A1001" s="132"/>
      <c r="B1001" s="132"/>
      <c r="C1001" s="132"/>
      <c r="D1001" s="132"/>
      <c r="E1001" s="132"/>
      <c r="F1001" s="132"/>
      <c r="G1001" s="132"/>
      <c r="H1001" s="132"/>
      <c r="I1001" s="132"/>
      <c r="J1001" s="132"/>
      <c r="K1001" s="132"/>
      <c r="L1001" s="132"/>
      <c r="M1001" s="132"/>
      <c r="N1001" s="132"/>
      <c r="O1001" s="132"/>
      <c r="P1001" s="132"/>
      <c r="Q1001" s="132"/>
      <c r="R1001" s="132"/>
      <c r="S1001" s="132"/>
      <c r="T1001" s="132"/>
      <c r="U1001" s="132"/>
      <c r="V1001" s="132"/>
      <c r="W1001" s="132"/>
      <c r="X1001" s="132"/>
      <c r="Y1001" s="132"/>
      <c r="Z1001" s="132"/>
      <c r="AA1001" s="132"/>
      <c r="AB1001" s="132"/>
      <c r="AC1001" s="132"/>
      <c r="AD1001" s="132"/>
      <c r="AE1001" s="132"/>
      <c r="AF1001" s="132"/>
      <c r="AG1001" s="132"/>
      <c r="AH1001" s="132"/>
      <c r="AI1001" s="132"/>
      <c r="AJ1001" s="13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  <c r="DR1001" s="12"/>
      <c r="DS1001" s="12"/>
      <c r="DT1001" s="12"/>
      <c r="DU1001" s="12"/>
    </row>
    <row r="1002" spans="1:125">
      <c r="A1002" s="132"/>
      <c r="B1002" s="132"/>
      <c r="C1002" s="132"/>
      <c r="D1002" s="132"/>
      <c r="E1002" s="132"/>
      <c r="F1002" s="132"/>
      <c r="G1002" s="132"/>
      <c r="H1002" s="132"/>
      <c r="I1002" s="132"/>
      <c r="J1002" s="132"/>
      <c r="K1002" s="132"/>
      <c r="L1002" s="132"/>
      <c r="M1002" s="132"/>
      <c r="N1002" s="132"/>
      <c r="O1002" s="132"/>
      <c r="P1002" s="132"/>
      <c r="Q1002" s="132"/>
      <c r="R1002" s="132"/>
      <c r="S1002" s="132"/>
      <c r="T1002" s="132"/>
      <c r="U1002" s="132"/>
      <c r="V1002" s="132"/>
      <c r="W1002" s="132"/>
      <c r="X1002" s="132"/>
      <c r="Y1002" s="132"/>
      <c r="Z1002" s="132"/>
      <c r="AA1002" s="132"/>
      <c r="AB1002" s="132"/>
      <c r="AC1002" s="132"/>
      <c r="AD1002" s="132"/>
      <c r="AE1002" s="132"/>
      <c r="AF1002" s="132"/>
      <c r="AG1002" s="132"/>
      <c r="AH1002" s="132"/>
      <c r="AI1002" s="132"/>
      <c r="AJ1002" s="13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  <c r="DR1002" s="12"/>
      <c r="DS1002" s="12"/>
      <c r="DT1002" s="12"/>
      <c r="DU1002" s="12"/>
    </row>
    <row r="1003" spans="1:125">
      <c r="A1003" s="132"/>
      <c r="B1003" s="132"/>
      <c r="C1003" s="132"/>
      <c r="D1003" s="132"/>
      <c r="E1003" s="132"/>
      <c r="F1003" s="132"/>
      <c r="G1003" s="132"/>
      <c r="H1003" s="132"/>
      <c r="I1003" s="132"/>
      <c r="J1003" s="132"/>
      <c r="K1003" s="132"/>
      <c r="L1003" s="132"/>
      <c r="M1003" s="132"/>
      <c r="N1003" s="132"/>
      <c r="O1003" s="132"/>
      <c r="P1003" s="132"/>
      <c r="Q1003" s="132"/>
      <c r="R1003" s="132"/>
      <c r="S1003" s="132"/>
      <c r="T1003" s="132"/>
      <c r="U1003" s="132"/>
      <c r="V1003" s="132"/>
      <c r="W1003" s="132"/>
      <c r="X1003" s="132"/>
      <c r="Y1003" s="132"/>
      <c r="Z1003" s="132"/>
      <c r="AA1003" s="132"/>
      <c r="AB1003" s="132"/>
      <c r="AC1003" s="132"/>
      <c r="AD1003" s="132"/>
      <c r="AE1003" s="132"/>
      <c r="AF1003" s="132"/>
      <c r="AG1003" s="132"/>
      <c r="AH1003" s="132"/>
      <c r="AI1003" s="132"/>
      <c r="AJ1003" s="13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  <c r="DR1003" s="12"/>
      <c r="DS1003" s="12"/>
      <c r="DT1003" s="12"/>
      <c r="DU1003" s="12"/>
    </row>
    <row r="1004" spans="1:125">
      <c r="A1004" s="132"/>
      <c r="B1004" s="132"/>
      <c r="C1004" s="132"/>
      <c r="D1004" s="132"/>
      <c r="E1004" s="132"/>
      <c r="F1004" s="132"/>
      <c r="G1004" s="132"/>
      <c r="H1004" s="132"/>
      <c r="I1004" s="132"/>
      <c r="J1004" s="132"/>
      <c r="K1004" s="132"/>
      <c r="L1004" s="132"/>
      <c r="M1004" s="132"/>
      <c r="N1004" s="132"/>
      <c r="O1004" s="132"/>
      <c r="P1004" s="132"/>
      <c r="Q1004" s="132"/>
      <c r="R1004" s="132"/>
      <c r="S1004" s="132"/>
      <c r="T1004" s="132"/>
      <c r="U1004" s="132"/>
      <c r="V1004" s="132"/>
      <c r="W1004" s="132"/>
      <c r="X1004" s="132"/>
      <c r="Y1004" s="132"/>
      <c r="Z1004" s="132"/>
      <c r="AA1004" s="132"/>
      <c r="AB1004" s="132"/>
      <c r="AC1004" s="132"/>
      <c r="AD1004" s="132"/>
      <c r="AE1004" s="132"/>
      <c r="AF1004" s="132"/>
      <c r="AG1004" s="132"/>
      <c r="AH1004" s="132"/>
      <c r="AI1004" s="132"/>
      <c r="AJ1004" s="13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  <c r="DR1004" s="12"/>
      <c r="DS1004" s="12"/>
      <c r="DT1004" s="12"/>
      <c r="DU1004" s="12"/>
    </row>
    <row r="1005" spans="1:125">
      <c r="A1005" s="132"/>
      <c r="B1005" s="132"/>
      <c r="C1005" s="132"/>
      <c r="D1005" s="132"/>
      <c r="E1005" s="132"/>
      <c r="F1005" s="132"/>
      <c r="G1005" s="132"/>
      <c r="H1005" s="132"/>
      <c r="I1005" s="132"/>
      <c r="J1005" s="132"/>
      <c r="K1005" s="132"/>
      <c r="L1005" s="132"/>
      <c r="M1005" s="132"/>
      <c r="N1005" s="132"/>
      <c r="O1005" s="132"/>
      <c r="P1005" s="132"/>
      <c r="Q1005" s="132"/>
      <c r="R1005" s="132"/>
      <c r="S1005" s="132"/>
      <c r="T1005" s="132"/>
      <c r="U1005" s="132"/>
      <c r="V1005" s="132"/>
      <c r="W1005" s="132"/>
      <c r="X1005" s="132"/>
      <c r="Y1005" s="132"/>
      <c r="Z1005" s="132"/>
      <c r="AA1005" s="132"/>
      <c r="AB1005" s="132"/>
      <c r="AC1005" s="132"/>
      <c r="AD1005" s="132"/>
      <c r="AE1005" s="132"/>
      <c r="AF1005" s="132"/>
      <c r="AG1005" s="132"/>
      <c r="AH1005" s="132"/>
      <c r="AI1005" s="132"/>
      <c r="AJ1005" s="13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  <c r="DR1005" s="12"/>
      <c r="DS1005" s="12"/>
      <c r="DT1005" s="12"/>
      <c r="DU1005" s="12"/>
    </row>
    <row r="1006" spans="1:125">
      <c r="A1006" s="132"/>
      <c r="B1006" s="132"/>
      <c r="C1006" s="132"/>
      <c r="D1006" s="132"/>
      <c r="E1006" s="132"/>
      <c r="F1006" s="132"/>
      <c r="G1006" s="132"/>
      <c r="H1006" s="132"/>
      <c r="I1006" s="132"/>
      <c r="J1006" s="132"/>
      <c r="K1006" s="132"/>
      <c r="L1006" s="132"/>
      <c r="M1006" s="132"/>
      <c r="N1006" s="132"/>
      <c r="O1006" s="132"/>
      <c r="P1006" s="132"/>
      <c r="Q1006" s="132"/>
      <c r="R1006" s="132"/>
      <c r="S1006" s="132"/>
      <c r="T1006" s="132"/>
      <c r="U1006" s="132"/>
      <c r="V1006" s="132"/>
      <c r="W1006" s="132"/>
      <c r="X1006" s="132"/>
      <c r="Y1006" s="132"/>
      <c r="Z1006" s="132"/>
      <c r="AA1006" s="132"/>
      <c r="AB1006" s="132"/>
      <c r="AC1006" s="132"/>
      <c r="AD1006" s="132"/>
      <c r="AE1006" s="132"/>
      <c r="AF1006" s="132"/>
      <c r="AG1006" s="132"/>
      <c r="AH1006" s="132"/>
      <c r="AI1006" s="132"/>
      <c r="AJ1006" s="13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  <c r="DR1006" s="12"/>
      <c r="DS1006" s="12"/>
      <c r="DT1006" s="12"/>
      <c r="DU1006" s="12"/>
    </row>
    <row r="1007" spans="1:125">
      <c r="A1007" s="132"/>
      <c r="B1007" s="132"/>
      <c r="C1007" s="132"/>
      <c r="D1007" s="132"/>
      <c r="E1007" s="132"/>
      <c r="F1007" s="132"/>
      <c r="G1007" s="132"/>
      <c r="H1007" s="132"/>
      <c r="I1007" s="132"/>
      <c r="J1007" s="132"/>
      <c r="K1007" s="132"/>
      <c r="L1007" s="132"/>
      <c r="M1007" s="132"/>
      <c r="N1007" s="132"/>
      <c r="O1007" s="132"/>
      <c r="P1007" s="132"/>
      <c r="Q1007" s="132"/>
      <c r="R1007" s="132"/>
      <c r="S1007" s="132"/>
      <c r="T1007" s="132"/>
      <c r="U1007" s="132"/>
      <c r="V1007" s="132"/>
      <c r="W1007" s="132"/>
      <c r="X1007" s="132"/>
      <c r="Y1007" s="132"/>
      <c r="Z1007" s="132"/>
      <c r="AA1007" s="132"/>
      <c r="AB1007" s="132"/>
      <c r="AC1007" s="132"/>
      <c r="AD1007" s="132"/>
      <c r="AE1007" s="132"/>
      <c r="AF1007" s="132"/>
      <c r="AG1007" s="132"/>
      <c r="AH1007" s="132"/>
      <c r="AI1007" s="132"/>
      <c r="AJ1007" s="13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  <c r="DR1007" s="12"/>
      <c r="DS1007" s="12"/>
      <c r="DT1007" s="12"/>
      <c r="DU1007" s="12"/>
    </row>
    <row r="1008" spans="1:125">
      <c r="A1008" s="132"/>
      <c r="B1008" s="132"/>
      <c r="C1008" s="132"/>
      <c r="D1008" s="132"/>
      <c r="E1008" s="132"/>
      <c r="F1008" s="132"/>
      <c r="G1008" s="132"/>
      <c r="H1008" s="132"/>
      <c r="I1008" s="132"/>
      <c r="J1008" s="132"/>
      <c r="K1008" s="132"/>
      <c r="L1008" s="132"/>
      <c r="M1008" s="132"/>
      <c r="N1008" s="132"/>
      <c r="O1008" s="132"/>
      <c r="P1008" s="132"/>
      <c r="Q1008" s="132"/>
      <c r="R1008" s="132"/>
      <c r="S1008" s="132"/>
      <c r="T1008" s="132"/>
      <c r="U1008" s="132"/>
      <c r="V1008" s="132"/>
      <c r="W1008" s="132"/>
      <c r="X1008" s="132"/>
      <c r="Y1008" s="132"/>
      <c r="Z1008" s="132"/>
      <c r="AA1008" s="132"/>
      <c r="AB1008" s="132"/>
      <c r="AC1008" s="132"/>
      <c r="AD1008" s="132"/>
      <c r="AE1008" s="132"/>
      <c r="AF1008" s="132"/>
      <c r="AG1008" s="132"/>
      <c r="AH1008" s="132"/>
      <c r="AI1008" s="132"/>
      <c r="AJ1008" s="13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</row>
    <row r="1009" spans="1:125">
      <c r="A1009" s="132"/>
      <c r="B1009" s="132"/>
      <c r="C1009" s="132"/>
      <c r="D1009" s="132"/>
      <c r="E1009" s="132"/>
      <c r="F1009" s="132"/>
      <c r="G1009" s="132"/>
      <c r="H1009" s="132"/>
      <c r="I1009" s="132"/>
      <c r="J1009" s="132"/>
      <c r="K1009" s="132"/>
      <c r="L1009" s="132"/>
      <c r="M1009" s="132"/>
      <c r="N1009" s="132"/>
      <c r="O1009" s="132"/>
      <c r="P1009" s="132"/>
      <c r="Q1009" s="132"/>
      <c r="R1009" s="132"/>
      <c r="S1009" s="132"/>
      <c r="T1009" s="132"/>
      <c r="U1009" s="132"/>
      <c r="V1009" s="132"/>
      <c r="W1009" s="132"/>
      <c r="X1009" s="132"/>
      <c r="Y1009" s="132"/>
      <c r="Z1009" s="132"/>
      <c r="AA1009" s="132"/>
      <c r="AB1009" s="132"/>
      <c r="AC1009" s="132"/>
      <c r="AD1009" s="132"/>
      <c r="AE1009" s="132"/>
      <c r="AF1009" s="132"/>
      <c r="AG1009" s="132"/>
      <c r="AH1009" s="132"/>
      <c r="AI1009" s="132"/>
      <c r="AJ1009" s="13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</row>
    <row r="1010" spans="1:125">
      <c r="A1010" s="132"/>
      <c r="B1010" s="132"/>
      <c r="C1010" s="132"/>
      <c r="D1010" s="132"/>
      <c r="E1010" s="132"/>
      <c r="F1010" s="132"/>
      <c r="G1010" s="132"/>
      <c r="H1010" s="132"/>
      <c r="I1010" s="132"/>
      <c r="J1010" s="132"/>
      <c r="K1010" s="132"/>
      <c r="L1010" s="132"/>
      <c r="M1010" s="132"/>
      <c r="N1010" s="132"/>
      <c r="O1010" s="132"/>
      <c r="P1010" s="132"/>
      <c r="Q1010" s="132"/>
      <c r="R1010" s="132"/>
      <c r="S1010" s="132"/>
      <c r="T1010" s="132"/>
      <c r="U1010" s="132"/>
      <c r="V1010" s="132"/>
      <c r="W1010" s="132"/>
      <c r="X1010" s="132"/>
      <c r="Y1010" s="132"/>
      <c r="Z1010" s="132"/>
      <c r="AA1010" s="132"/>
      <c r="AB1010" s="132"/>
      <c r="AC1010" s="132"/>
      <c r="AD1010" s="132"/>
      <c r="AE1010" s="132"/>
      <c r="AF1010" s="132"/>
      <c r="AG1010" s="132"/>
      <c r="AH1010" s="132"/>
      <c r="AI1010" s="132"/>
      <c r="AJ1010" s="13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</row>
    <row r="1011" spans="1:125">
      <c r="A1011" s="132"/>
      <c r="B1011" s="132"/>
      <c r="C1011" s="132"/>
      <c r="D1011" s="132"/>
      <c r="E1011" s="132"/>
      <c r="F1011" s="132"/>
      <c r="G1011" s="132"/>
      <c r="H1011" s="132"/>
      <c r="I1011" s="132"/>
      <c r="J1011" s="132"/>
      <c r="K1011" s="132"/>
      <c r="L1011" s="132"/>
      <c r="M1011" s="132"/>
      <c r="N1011" s="132"/>
      <c r="O1011" s="132"/>
      <c r="P1011" s="132"/>
      <c r="Q1011" s="132"/>
      <c r="R1011" s="132"/>
      <c r="S1011" s="132"/>
      <c r="T1011" s="132"/>
      <c r="U1011" s="132"/>
      <c r="V1011" s="132"/>
      <c r="W1011" s="132"/>
      <c r="X1011" s="132"/>
      <c r="Y1011" s="132"/>
      <c r="Z1011" s="132"/>
      <c r="AA1011" s="132"/>
      <c r="AB1011" s="132"/>
      <c r="AC1011" s="132"/>
      <c r="AD1011" s="132"/>
      <c r="AE1011" s="132"/>
      <c r="AF1011" s="132"/>
      <c r="AG1011" s="132"/>
      <c r="AH1011" s="132"/>
      <c r="AI1011" s="132"/>
      <c r="AJ1011" s="13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</row>
    <row r="1012" spans="1:125">
      <c r="A1012" s="132"/>
      <c r="B1012" s="132"/>
      <c r="C1012" s="132"/>
      <c r="D1012" s="132"/>
      <c r="E1012" s="132"/>
      <c r="F1012" s="132"/>
      <c r="G1012" s="132"/>
      <c r="H1012" s="132"/>
      <c r="I1012" s="132"/>
      <c r="J1012" s="132"/>
      <c r="K1012" s="132"/>
      <c r="L1012" s="132"/>
      <c r="M1012" s="132"/>
      <c r="N1012" s="132"/>
      <c r="O1012" s="132"/>
      <c r="P1012" s="132"/>
      <c r="Q1012" s="132"/>
      <c r="R1012" s="132"/>
      <c r="S1012" s="132"/>
      <c r="T1012" s="132"/>
      <c r="U1012" s="132"/>
      <c r="V1012" s="132"/>
      <c r="W1012" s="132"/>
      <c r="X1012" s="132"/>
      <c r="Y1012" s="132"/>
      <c r="Z1012" s="132"/>
      <c r="AA1012" s="132"/>
      <c r="AB1012" s="132"/>
      <c r="AC1012" s="132"/>
      <c r="AD1012" s="132"/>
      <c r="AE1012" s="132"/>
      <c r="AF1012" s="132"/>
      <c r="AG1012" s="132"/>
      <c r="AH1012" s="132"/>
      <c r="AI1012" s="132"/>
      <c r="AJ1012" s="13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  <c r="DR1012" s="12"/>
      <c r="DS1012" s="12"/>
      <c r="DT1012" s="12"/>
      <c r="DU1012" s="12"/>
    </row>
    <row r="1013" spans="1:125">
      <c r="A1013" s="132"/>
      <c r="B1013" s="132"/>
      <c r="C1013" s="132"/>
      <c r="D1013" s="132"/>
      <c r="E1013" s="132"/>
      <c r="F1013" s="132"/>
      <c r="G1013" s="132"/>
      <c r="H1013" s="132"/>
      <c r="I1013" s="132"/>
      <c r="J1013" s="132"/>
      <c r="K1013" s="132"/>
      <c r="L1013" s="132"/>
      <c r="M1013" s="132"/>
      <c r="N1013" s="132"/>
      <c r="O1013" s="132"/>
      <c r="P1013" s="132"/>
      <c r="Q1013" s="132"/>
      <c r="R1013" s="132"/>
      <c r="S1013" s="132"/>
      <c r="T1013" s="132"/>
      <c r="U1013" s="132"/>
      <c r="V1013" s="132"/>
      <c r="W1013" s="132"/>
      <c r="X1013" s="132"/>
      <c r="Y1013" s="132"/>
      <c r="Z1013" s="132"/>
      <c r="AA1013" s="132"/>
      <c r="AB1013" s="132"/>
      <c r="AC1013" s="132"/>
      <c r="AD1013" s="132"/>
      <c r="AE1013" s="132"/>
      <c r="AF1013" s="132"/>
      <c r="AG1013" s="132"/>
      <c r="AH1013" s="132"/>
      <c r="AI1013" s="132"/>
      <c r="AJ1013" s="13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  <c r="DR1013" s="12"/>
      <c r="DS1013" s="12"/>
      <c r="DT1013" s="12"/>
      <c r="DU1013" s="12"/>
    </row>
    <row r="1014" spans="1:125">
      <c r="A1014" s="132"/>
      <c r="B1014" s="132"/>
      <c r="C1014" s="132"/>
      <c r="D1014" s="132"/>
      <c r="E1014" s="132"/>
      <c r="F1014" s="132"/>
      <c r="G1014" s="132"/>
      <c r="H1014" s="132"/>
      <c r="I1014" s="132"/>
      <c r="J1014" s="132"/>
      <c r="K1014" s="132"/>
      <c r="L1014" s="132"/>
      <c r="M1014" s="132"/>
      <c r="N1014" s="132"/>
      <c r="O1014" s="132"/>
      <c r="P1014" s="132"/>
      <c r="Q1014" s="132"/>
      <c r="R1014" s="132"/>
      <c r="S1014" s="132"/>
      <c r="T1014" s="132"/>
      <c r="U1014" s="132"/>
      <c r="V1014" s="132"/>
      <c r="W1014" s="132"/>
      <c r="X1014" s="132"/>
      <c r="Y1014" s="132"/>
      <c r="Z1014" s="132"/>
      <c r="AA1014" s="132"/>
      <c r="AB1014" s="132"/>
      <c r="AC1014" s="132"/>
      <c r="AD1014" s="132"/>
      <c r="AE1014" s="132"/>
      <c r="AF1014" s="132"/>
      <c r="AG1014" s="132"/>
      <c r="AH1014" s="132"/>
      <c r="AI1014" s="132"/>
      <c r="AJ1014" s="13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</row>
    <row r="1015" spans="1:125">
      <c r="A1015" s="132"/>
      <c r="B1015" s="132"/>
      <c r="C1015" s="132"/>
      <c r="D1015" s="132"/>
      <c r="E1015" s="132"/>
      <c r="F1015" s="132"/>
      <c r="G1015" s="132"/>
      <c r="H1015" s="132"/>
      <c r="I1015" s="132"/>
      <c r="J1015" s="132"/>
      <c r="K1015" s="132"/>
      <c r="L1015" s="132"/>
      <c r="M1015" s="132"/>
      <c r="N1015" s="132"/>
      <c r="O1015" s="132"/>
      <c r="P1015" s="132"/>
      <c r="Q1015" s="132"/>
      <c r="R1015" s="132"/>
      <c r="S1015" s="132"/>
      <c r="T1015" s="132"/>
      <c r="U1015" s="132"/>
      <c r="V1015" s="132"/>
      <c r="W1015" s="132"/>
      <c r="X1015" s="132"/>
      <c r="Y1015" s="132"/>
      <c r="Z1015" s="132"/>
      <c r="AA1015" s="132"/>
      <c r="AB1015" s="132"/>
      <c r="AC1015" s="132"/>
      <c r="AD1015" s="132"/>
      <c r="AE1015" s="132"/>
      <c r="AF1015" s="132"/>
      <c r="AG1015" s="132"/>
      <c r="AH1015" s="132"/>
      <c r="AI1015" s="132"/>
      <c r="AJ1015" s="13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  <c r="DR1015" s="12"/>
      <c r="DS1015" s="12"/>
      <c r="DT1015" s="12"/>
      <c r="DU1015" s="12"/>
    </row>
    <row r="1016" spans="1:125">
      <c r="A1016" s="132"/>
      <c r="B1016" s="132"/>
      <c r="C1016" s="132"/>
      <c r="D1016" s="132"/>
      <c r="E1016" s="132"/>
      <c r="F1016" s="132"/>
      <c r="G1016" s="132"/>
      <c r="H1016" s="132"/>
      <c r="I1016" s="132"/>
      <c r="J1016" s="132"/>
      <c r="K1016" s="132"/>
      <c r="L1016" s="132"/>
      <c r="M1016" s="132"/>
      <c r="N1016" s="132"/>
      <c r="O1016" s="132"/>
      <c r="P1016" s="132"/>
      <c r="Q1016" s="132"/>
      <c r="R1016" s="132"/>
      <c r="S1016" s="132"/>
      <c r="T1016" s="132"/>
      <c r="U1016" s="132"/>
      <c r="V1016" s="132"/>
      <c r="W1016" s="132"/>
      <c r="X1016" s="132"/>
      <c r="Y1016" s="132"/>
      <c r="Z1016" s="132"/>
      <c r="AA1016" s="132"/>
      <c r="AB1016" s="132"/>
      <c r="AC1016" s="132"/>
      <c r="AD1016" s="132"/>
      <c r="AE1016" s="132"/>
      <c r="AF1016" s="132"/>
      <c r="AG1016" s="132"/>
      <c r="AH1016" s="132"/>
      <c r="AI1016" s="132"/>
      <c r="AJ1016" s="13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  <c r="DR1016" s="12"/>
      <c r="DS1016" s="12"/>
      <c r="DT1016" s="12"/>
      <c r="DU1016" s="12"/>
    </row>
    <row r="1017" spans="1:125">
      <c r="A1017" s="132"/>
      <c r="B1017" s="132"/>
      <c r="C1017" s="132"/>
      <c r="D1017" s="132"/>
      <c r="E1017" s="132"/>
      <c r="F1017" s="132"/>
      <c r="G1017" s="132"/>
      <c r="H1017" s="132"/>
      <c r="I1017" s="132"/>
      <c r="J1017" s="132"/>
      <c r="K1017" s="132"/>
      <c r="L1017" s="132"/>
      <c r="M1017" s="132"/>
      <c r="N1017" s="132"/>
      <c r="O1017" s="132"/>
      <c r="P1017" s="132"/>
      <c r="Q1017" s="132"/>
      <c r="R1017" s="132"/>
      <c r="S1017" s="132"/>
      <c r="T1017" s="132"/>
      <c r="U1017" s="132"/>
      <c r="V1017" s="132"/>
      <c r="W1017" s="132"/>
      <c r="X1017" s="132"/>
      <c r="Y1017" s="132"/>
      <c r="Z1017" s="132"/>
      <c r="AA1017" s="132"/>
      <c r="AB1017" s="132"/>
      <c r="AC1017" s="132"/>
      <c r="AD1017" s="132"/>
      <c r="AE1017" s="132"/>
      <c r="AF1017" s="132"/>
      <c r="AG1017" s="132"/>
      <c r="AH1017" s="132"/>
      <c r="AI1017" s="132"/>
      <c r="AJ1017" s="13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  <c r="DR1017" s="12"/>
      <c r="DS1017" s="12"/>
      <c r="DT1017" s="12"/>
      <c r="DU1017" s="12"/>
    </row>
    <row r="1018" spans="1:125">
      <c r="A1018" s="132"/>
      <c r="B1018" s="132"/>
      <c r="C1018" s="132"/>
      <c r="D1018" s="132"/>
      <c r="E1018" s="132"/>
      <c r="F1018" s="132"/>
      <c r="G1018" s="132"/>
      <c r="H1018" s="132"/>
      <c r="I1018" s="132"/>
      <c r="J1018" s="132"/>
      <c r="K1018" s="132"/>
      <c r="L1018" s="132"/>
      <c r="M1018" s="132"/>
      <c r="N1018" s="132"/>
      <c r="O1018" s="132"/>
      <c r="P1018" s="132"/>
      <c r="Q1018" s="132"/>
      <c r="R1018" s="132"/>
      <c r="S1018" s="132"/>
      <c r="T1018" s="132"/>
      <c r="U1018" s="132"/>
      <c r="V1018" s="132"/>
      <c r="W1018" s="132"/>
      <c r="X1018" s="132"/>
      <c r="Y1018" s="132"/>
      <c r="Z1018" s="132"/>
      <c r="AA1018" s="132"/>
      <c r="AB1018" s="132"/>
      <c r="AC1018" s="132"/>
      <c r="AD1018" s="132"/>
      <c r="AE1018" s="132"/>
      <c r="AF1018" s="132"/>
      <c r="AG1018" s="132"/>
      <c r="AH1018" s="132"/>
      <c r="AI1018" s="132"/>
      <c r="AJ1018" s="13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</row>
    <row r="1019" spans="1:125">
      <c r="A1019" s="132"/>
      <c r="B1019" s="132"/>
      <c r="C1019" s="132"/>
      <c r="D1019" s="132"/>
      <c r="E1019" s="132"/>
      <c r="F1019" s="132"/>
      <c r="G1019" s="132"/>
      <c r="H1019" s="132"/>
      <c r="I1019" s="132"/>
      <c r="J1019" s="132"/>
      <c r="K1019" s="132"/>
      <c r="L1019" s="132"/>
      <c r="M1019" s="132"/>
      <c r="N1019" s="132"/>
      <c r="O1019" s="132"/>
      <c r="P1019" s="132"/>
      <c r="Q1019" s="132"/>
      <c r="R1019" s="132"/>
      <c r="S1019" s="132"/>
      <c r="T1019" s="132"/>
      <c r="U1019" s="132"/>
      <c r="V1019" s="132"/>
      <c r="W1019" s="132"/>
      <c r="X1019" s="132"/>
      <c r="Y1019" s="132"/>
      <c r="Z1019" s="132"/>
      <c r="AA1019" s="132"/>
      <c r="AB1019" s="132"/>
      <c r="AC1019" s="132"/>
      <c r="AD1019" s="132"/>
      <c r="AE1019" s="132"/>
      <c r="AF1019" s="132"/>
      <c r="AG1019" s="132"/>
      <c r="AH1019" s="132"/>
      <c r="AI1019" s="132"/>
      <c r="AJ1019" s="13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  <c r="DR1019" s="12"/>
      <c r="DS1019" s="12"/>
      <c r="DT1019" s="12"/>
      <c r="DU1019" s="12"/>
    </row>
    <row r="1020" spans="1:125">
      <c r="A1020" s="132"/>
      <c r="B1020" s="132"/>
      <c r="C1020" s="132"/>
      <c r="D1020" s="132"/>
      <c r="E1020" s="132"/>
      <c r="F1020" s="132"/>
      <c r="G1020" s="132"/>
      <c r="H1020" s="132"/>
      <c r="I1020" s="132"/>
      <c r="J1020" s="132"/>
      <c r="K1020" s="132"/>
      <c r="L1020" s="132"/>
      <c r="M1020" s="132"/>
      <c r="N1020" s="132"/>
      <c r="O1020" s="132"/>
      <c r="P1020" s="132"/>
      <c r="Q1020" s="132"/>
      <c r="R1020" s="132"/>
      <c r="S1020" s="132"/>
      <c r="T1020" s="132"/>
      <c r="U1020" s="132"/>
      <c r="V1020" s="132"/>
      <c r="W1020" s="132"/>
      <c r="X1020" s="132"/>
      <c r="Y1020" s="132"/>
      <c r="Z1020" s="132"/>
      <c r="AA1020" s="132"/>
      <c r="AB1020" s="132"/>
      <c r="AC1020" s="132"/>
      <c r="AD1020" s="132"/>
      <c r="AE1020" s="132"/>
      <c r="AF1020" s="132"/>
      <c r="AG1020" s="132"/>
      <c r="AH1020" s="132"/>
      <c r="AI1020" s="132"/>
      <c r="AJ1020" s="13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  <c r="DR1020" s="12"/>
      <c r="DS1020" s="12"/>
      <c r="DT1020" s="12"/>
      <c r="DU1020" s="12"/>
    </row>
    <row r="1021" spans="1:125">
      <c r="A1021" s="132"/>
      <c r="B1021" s="132"/>
      <c r="C1021" s="132"/>
      <c r="D1021" s="132"/>
      <c r="E1021" s="132"/>
      <c r="F1021" s="132"/>
      <c r="G1021" s="132"/>
      <c r="H1021" s="132"/>
      <c r="I1021" s="132"/>
      <c r="J1021" s="132"/>
      <c r="K1021" s="132"/>
      <c r="L1021" s="132"/>
      <c r="M1021" s="132"/>
      <c r="N1021" s="132"/>
      <c r="O1021" s="132"/>
      <c r="P1021" s="132"/>
      <c r="Q1021" s="132"/>
      <c r="R1021" s="132"/>
      <c r="S1021" s="132"/>
      <c r="T1021" s="132"/>
      <c r="U1021" s="132"/>
      <c r="V1021" s="132"/>
      <c r="W1021" s="132"/>
      <c r="X1021" s="132"/>
      <c r="Y1021" s="132"/>
      <c r="Z1021" s="132"/>
      <c r="AA1021" s="132"/>
      <c r="AB1021" s="132"/>
      <c r="AC1021" s="132"/>
      <c r="AD1021" s="132"/>
      <c r="AE1021" s="132"/>
      <c r="AF1021" s="132"/>
      <c r="AG1021" s="132"/>
      <c r="AH1021" s="132"/>
      <c r="AI1021" s="132"/>
      <c r="AJ1021" s="13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  <c r="DR1021" s="12"/>
      <c r="DS1021" s="12"/>
      <c r="DT1021" s="12"/>
      <c r="DU1021" s="12"/>
    </row>
    <row r="1022" spans="1:125">
      <c r="A1022" s="132"/>
      <c r="B1022" s="132"/>
      <c r="C1022" s="132"/>
      <c r="D1022" s="132"/>
      <c r="E1022" s="132"/>
      <c r="F1022" s="132"/>
      <c r="G1022" s="132"/>
      <c r="H1022" s="132"/>
      <c r="I1022" s="132"/>
      <c r="J1022" s="132"/>
      <c r="K1022" s="132"/>
      <c r="L1022" s="132"/>
      <c r="M1022" s="132"/>
      <c r="N1022" s="132"/>
      <c r="O1022" s="132"/>
      <c r="P1022" s="132"/>
      <c r="Q1022" s="132"/>
      <c r="R1022" s="132"/>
      <c r="S1022" s="132"/>
      <c r="T1022" s="132"/>
      <c r="U1022" s="132"/>
      <c r="V1022" s="132"/>
      <c r="W1022" s="132"/>
      <c r="X1022" s="132"/>
      <c r="Y1022" s="132"/>
      <c r="Z1022" s="132"/>
      <c r="AA1022" s="132"/>
      <c r="AB1022" s="132"/>
      <c r="AC1022" s="132"/>
      <c r="AD1022" s="132"/>
      <c r="AE1022" s="132"/>
      <c r="AF1022" s="132"/>
      <c r="AG1022" s="132"/>
      <c r="AH1022" s="132"/>
      <c r="AI1022" s="132"/>
      <c r="AJ1022" s="13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  <c r="DR1022" s="12"/>
      <c r="DS1022" s="12"/>
      <c r="DT1022" s="12"/>
      <c r="DU1022" s="12"/>
    </row>
    <row r="1023" spans="1:125">
      <c r="A1023" s="132"/>
      <c r="B1023" s="132"/>
      <c r="C1023" s="132"/>
      <c r="D1023" s="132"/>
      <c r="E1023" s="132"/>
      <c r="F1023" s="132"/>
      <c r="G1023" s="132"/>
      <c r="H1023" s="132"/>
      <c r="I1023" s="132"/>
      <c r="J1023" s="132"/>
      <c r="K1023" s="132"/>
      <c r="L1023" s="132"/>
      <c r="M1023" s="132"/>
      <c r="N1023" s="132"/>
      <c r="O1023" s="132"/>
      <c r="P1023" s="132"/>
      <c r="Q1023" s="132"/>
      <c r="R1023" s="132"/>
      <c r="S1023" s="132"/>
      <c r="T1023" s="132"/>
      <c r="U1023" s="132"/>
      <c r="V1023" s="132"/>
      <c r="W1023" s="132"/>
      <c r="X1023" s="132"/>
      <c r="Y1023" s="132"/>
      <c r="Z1023" s="132"/>
      <c r="AA1023" s="132"/>
      <c r="AB1023" s="132"/>
      <c r="AC1023" s="132"/>
      <c r="AD1023" s="132"/>
      <c r="AE1023" s="132"/>
      <c r="AF1023" s="132"/>
      <c r="AG1023" s="132"/>
      <c r="AH1023" s="132"/>
      <c r="AI1023" s="132"/>
      <c r="AJ1023" s="13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  <c r="DR1023" s="12"/>
      <c r="DS1023" s="12"/>
      <c r="DT1023" s="12"/>
      <c r="DU1023" s="12"/>
    </row>
    <row r="1024" spans="1:125">
      <c r="A1024" s="132"/>
      <c r="B1024" s="132"/>
      <c r="C1024" s="132"/>
      <c r="D1024" s="132"/>
      <c r="E1024" s="132"/>
      <c r="F1024" s="132"/>
      <c r="G1024" s="132"/>
      <c r="H1024" s="132"/>
      <c r="I1024" s="132"/>
      <c r="J1024" s="132"/>
      <c r="K1024" s="132"/>
      <c r="L1024" s="132"/>
      <c r="M1024" s="132"/>
      <c r="N1024" s="132"/>
      <c r="O1024" s="132"/>
      <c r="P1024" s="132"/>
      <c r="Q1024" s="132"/>
      <c r="R1024" s="132"/>
      <c r="S1024" s="132"/>
      <c r="T1024" s="132"/>
      <c r="U1024" s="132"/>
      <c r="V1024" s="132"/>
      <c r="W1024" s="132"/>
      <c r="X1024" s="132"/>
      <c r="Y1024" s="132"/>
      <c r="Z1024" s="132"/>
      <c r="AA1024" s="132"/>
      <c r="AB1024" s="132"/>
      <c r="AC1024" s="132"/>
      <c r="AD1024" s="132"/>
      <c r="AE1024" s="132"/>
      <c r="AF1024" s="132"/>
      <c r="AG1024" s="132"/>
      <c r="AH1024" s="132"/>
      <c r="AI1024" s="132"/>
      <c r="AJ1024" s="13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  <c r="DR1024" s="12"/>
      <c r="DS1024" s="12"/>
      <c r="DT1024" s="12"/>
      <c r="DU1024" s="12"/>
    </row>
    <row r="1025" spans="1:125">
      <c r="A1025" s="132"/>
      <c r="B1025" s="132"/>
      <c r="C1025" s="132"/>
      <c r="D1025" s="132"/>
      <c r="E1025" s="132"/>
      <c r="F1025" s="132"/>
      <c r="G1025" s="132"/>
      <c r="H1025" s="132"/>
      <c r="I1025" s="132"/>
      <c r="J1025" s="132"/>
      <c r="K1025" s="132"/>
      <c r="L1025" s="132"/>
      <c r="M1025" s="132"/>
      <c r="N1025" s="132"/>
      <c r="O1025" s="132"/>
      <c r="P1025" s="132"/>
      <c r="Q1025" s="132"/>
      <c r="R1025" s="132"/>
      <c r="S1025" s="132"/>
      <c r="T1025" s="132"/>
      <c r="U1025" s="132"/>
      <c r="V1025" s="132"/>
      <c r="W1025" s="132"/>
      <c r="X1025" s="132"/>
      <c r="Y1025" s="132"/>
      <c r="Z1025" s="132"/>
      <c r="AA1025" s="132"/>
      <c r="AB1025" s="132"/>
      <c r="AC1025" s="132"/>
      <c r="AD1025" s="132"/>
      <c r="AE1025" s="132"/>
      <c r="AF1025" s="132"/>
      <c r="AG1025" s="132"/>
      <c r="AH1025" s="132"/>
      <c r="AI1025" s="132"/>
      <c r="AJ1025" s="13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</row>
    <row r="1026" spans="1:125">
      <c r="A1026" s="132"/>
      <c r="B1026" s="132"/>
      <c r="C1026" s="132"/>
      <c r="D1026" s="132"/>
      <c r="E1026" s="132"/>
      <c r="F1026" s="132"/>
      <c r="G1026" s="132"/>
      <c r="H1026" s="132"/>
      <c r="I1026" s="132"/>
      <c r="J1026" s="132"/>
      <c r="K1026" s="132"/>
      <c r="L1026" s="132"/>
      <c r="M1026" s="132"/>
      <c r="N1026" s="132"/>
      <c r="O1026" s="132"/>
      <c r="P1026" s="132"/>
      <c r="Q1026" s="132"/>
      <c r="R1026" s="132"/>
      <c r="S1026" s="132"/>
      <c r="T1026" s="132"/>
      <c r="U1026" s="132"/>
      <c r="V1026" s="132"/>
      <c r="W1026" s="132"/>
      <c r="X1026" s="132"/>
      <c r="Y1026" s="132"/>
      <c r="Z1026" s="132"/>
      <c r="AA1026" s="132"/>
      <c r="AB1026" s="132"/>
      <c r="AC1026" s="132"/>
      <c r="AD1026" s="132"/>
      <c r="AE1026" s="132"/>
      <c r="AF1026" s="132"/>
      <c r="AG1026" s="132"/>
      <c r="AH1026" s="132"/>
      <c r="AI1026" s="132"/>
      <c r="AJ1026" s="13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</row>
    <row r="1027" spans="1:125">
      <c r="A1027" s="132"/>
      <c r="B1027" s="132"/>
      <c r="C1027" s="132"/>
      <c r="D1027" s="132"/>
      <c r="E1027" s="132"/>
      <c r="F1027" s="132"/>
      <c r="G1027" s="132"/>
      <c r="H1027" s="132"/>
      <c r="I1027" s="132"/>
      <c r="J1027" s="132"/>
      <c r="K1027" s="132"/>
      <c r="L1027" s="132"/>
      <c r="M1027" s="132"/>
      <c r="N1027" s="132"/>
      <c r="O1027" s="132"/>
      <c r="P1027" s="132"/>
      <c r="Q1027" s="132"/>
      <c r="R1027" s="132"/>
      <c r="S1027" s="132"/>
      <c r="T1027" s="132"/>
      <c r="U1027" s="132"/>
      <c r="V1027" s="132"/>
      <c r="W1027" s="132"/>
      <c r="X1027" s="132"/>
      <c r="Y1027" s="132"/>
      <c r="Z1027" s="132"/>
      <c r="AA1027" s="132"/>
      <c r="AB1027" s="132"/>
      <c r="AC1027" s="132"/>
      <c r="AD1027" s="132"/>
      <c r="AE1027" s="132"/>
      <c r="AF1027" s="132"/>
      <c r="AG1027" s="132"/>
      <c r="AH1027" s="132"/>
      <c r="AI1027" s="132"/>
      <c r="AJ1027" s="13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2"/>
    </row>
    <row r="1028" spans="1:125">
      <c r="A1028" s="132"/>
      <c r="B1028" s="132"/>
      <c r="C1028" s="132"/>
      <c r="D1028" s="132"/>
      <c r="E1028" s="132"/>
      <c r="F1028" s="132"/>
      <c r="G1028" s="132"/>
      <c r="H1028" s="132"/>
      <c r="I1028" s="132"/>
      <c r="J1028" s="132"/>
      <c r="K1028" s="132"/>
      <c r="L1028" s="132"/>
      <c r="M1028" s="132"/>
      <c r="N1028" s="132"/>
      <c r="O1028" s="132"/>
      <c r="P1028" s="132"/>
      <c r="Q1028" s="132"/>
      <c r="R1028" s="132"/>
      <c r="S1028" s="132"/>
      <c r="T1028" s="132"/>
      <c r="U1028" s="132"/>
      <c r="V1028" s="132"/>
      <c r="W1028" s="132"/>
      <c r="X1028" s="132"/>
      <c r="Y1028" s="132"/>
      <c r="Z1028" s="132"/>
      <c r="AA1028" s="132"/>
      <c r="AB1028" s="132"/>
      <c r="AC1028" s="132"/>
      <c r="AD1028" s="132"/>
      <c r="AE1028" s="132"/>
      <c r="AF1028" s="132"/>
      <c r="AG1028" s="132"/>
      <c r="AH1028" s="132"/>
      <c r="AI1028" s="132"/>
      <c r="AJ1028" s="13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  <c r="DR1028" s="12"/>
      <c r="DS1028" s="12"/>
      <c r="DT1028" s="12"/>
      <c r="DU1028" s="12"/>
    </row>
    <row r="1029" spans="1:125">
      <c r="A1029" s="132"/>
      <c r="B1029" s="132"/>
      <c r="C1029" s="132"/>
      <c r="D1029" s="132"/>
      <c r="E1029" s="132"/>
      <c r="F1029" s="132"/>
      <c r="G1029" s="132"/>
      <c r="H1029" s="132"/>
      <c r="I1029" s="132"/>
      <c r="J1029" s="132"/>
      <c r="K1029" s="132"/>
      <c r="L1029" s="132"/>
      <c r="M1029" s="132"/>
      <c r="N1029" s="132"/>
      <c r="O1029" s="132"/>
      <c r="P1029" s="132"/>
      <c r="Q1029" s="132"/>
      <c r="R1029" s="132"/>
      <c r="S1029" s="132"/>
      <c r="T1029" s="132"/>
      <c r="U1029" s="132"/>
      <c r="V1029" s="132"/>
      <c r="W1029" s="132"/>
      <c r="X1029" s="132"/>
      <c r="Y1029" s="132"/>
      <c r="Z1029" s="132"/>
      <c r="AA1029" s="132"/>
      <c r="AB1029" s="132"/>
      <c r="AC1029" s="132"/>
      <c r="AD1029" s="132"/>
      <c r="AE1029" s="132"/>
      <c r="AF1029" s="132"/>
      <c r="AG1029" s="132"/>
      <c r="AH1029" s="132"/>
      <c r="AI1029" s="132"/>
      <c r="AJ1029" s="13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  <c r="DR1029" s="12"/>
      <c r="DS1029" s="12"/>
      <c r="DT1029" s="12"/>
      <c r="DU1029" s="12"/>
    </row>
    <row r="1030" spans="1:125">
      <c r="A1030" s="132"/>
      <c r="B1030" s="132"/>
      <c r="C1030" s="132"/>
      <c r="D1030" s="132"/>
      <c r="E1030" s="132"/>
      <c r="F1030" s="132"/>
      <c r="G1030" s="132"/>
      <c r="H1030" s="132"/>
      <c r="I1030" s="132"/>
      <c r="J1030" s="132"/>
      <c r="K1030" s="132"/>
      <c r="L1030" s="132"/>
      <c r="M1030" s="132"/>
      <c r="N1030" s="132"/>
      <c r="O1030" s="132"/>
      <c r="P1030" s="132"/>
      <c r="Q1030" s="132"/>
      <c r="R1030" s="132"/>
      <c r="S1030" s="132"/>
      <c r="T1030" s="132"/>
      <c r="U1030" s="132"/>
      <c r="V1030" s="132"/>
      <c r="W1030" s="132"/>
      <c r="X1030" s="132"/>
      <c r="Y1030" s="132"/>
      <c r="Z1030" s="132"/>
      <c r="AA1030" s="132"/>
      <c r="AB1030" s="132"/>
      <c r="AC1030" s="132"/>
      <c r="AD1030" s="132"/>
      <c r="AE1030" s="132"/>
      <c r="AF1030" s="132"/>
      <c r="AG1030" s="132"/>
      <c r="AH1030" s="132"/>
      <c r="AI1030" s="132"/>
      <c r="AJ1030" s="13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  <c r="DR1030" s="12"/>
      <c r="DS1030" s="12"/>
      <c r="DT1030" s="12"/>
      <c r="DU1030" s="12"/>
    </row>
    <row r="1031" spans="1:125">
      <c r="A1031" s="132"/>
      <c r="B1031" s="132"/>
      <c r="C1031" s="132"/>
      <c r="D1031" s="132"/>
      <c r="E1031" s="132"/>
      <c r="F1031" s="132"/>
      <c r="G1031" s="132"/>
      <c r="H1031" s="132"/>
      <c r="I1031" s="132"/>
      <c r="J1031" s="132"/>
      <c r="K1031" s="132"/>
      <c r="L1031" s="132"/>
      <c r="M1031" s="132"/>
      <c r="N1031" s="132"/>
      <c r="O1031" s="132"/>
      <c r="P1031" s="132"/>
      <c r="Q1031" s="132"/>
      <c r="R1031" s="132"/>
      <c r="S1031" s="132"/>
      <c r="T1031" s="132"/>
      <c r="U1031" s="132"/>
      <c r="V1031" s="132"/>
      <c r="W1031" s="132"/>
      <c r="X1031" s="132"/>
      <c r="Y1031" s="132"/>
      <c r="Z1031" s="132"/>
      <c r="AA1031" s="132"/>
      <c r="AB1031" s="132"/>
      <c r="AC1031" s="132"/>
      <c r="AD1031" s="132"/>
      <c r="AE1031" s="132"/>
      <c r="AF1031" s="132"/>
      <c r="AG1031" s="132"/>
      <c r="AH1031" s="132"/>
      <c r="AI1031" s="132"/>
      <c r="AJ1031" s="13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</row>
    <row r="1032" spans="1:125">
      <c r="A1032" s="132"/>
      <c r="B1032" s="132"/>
      <c r="C1032" s="132"/>
      <c r="D1032" s="132"/>
      <c r="E1032" s="132"/>
      <c r="F1032" s="132"/>
      <c r="G1032" s="132"/>
      <c r="H1032" s="132"/>
      <c r="I1032" s="132"/>
      <c r="J1032" s="132"/>
      <c r="K1032" s="132"/>
      <c r="L1032" s="132"/>
      <c r="M1032" s="132"/>
      <c r="N1032" s="132"/>
      <c r="O1032" s="132"/>
      <c r="P1032" s="132"/>
      <c r="Q1032" s="132"/>
      <c r="R1032" s="132"/>
      <c r="S1032" s="132"/>
      <c r="T1032" s="132"/>
      <c r="U1032" s="132"/>
      <c r="V1032" s="132"/>
      <c r="W1032" s="132"/>
      <c r="X1032" s="132"/>
      <c r="Y1032" s="132"/>
      <c r="Z1032" s="132"/>
      <c r="AA1032" s="132"/>
      <c r="AB1032" s="132"/>
      <c r="AC1032" s="132"/>
      <c r="AD1032" s="132"/>
      <c r="AE1032" s="132"/>
      <c r="AF1032" s="132"/>
      <c r="AG1032" s="132"/>
      <c r="AH1032" s="132"/>
      <c r="AI1032" s="132"/>
      <c r="AJ1032" s="13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</row>
    <row r="1033" spans="1:125">
      <c r="A1033" s="132"/>
      <c r="B1033" s="132"/>
      <c r="C1033" s="132"/>
      <c r="D1033" s="132"/>
      <c r="E1033" s="132"/>
      <c r="F1033" s="132"/>
      <c r="G1033" s="132"/>
      <c r="H1033" s="132"/>
      <c r="I1033" s="132"/>
      <c r="J1033" s="132"/>
      <c r="K1033" s="132"/>
      <c r="L1033" s="132"/>
      <c r="M1033" s="132"/>
      <c r="N1033" s="132"/>
      <c r="O1033" s="132"/>
      <c r="P1033" s="132"/>
      <c r="Q1033" s="132"/>
      <c r="R1033" s="132"/>
      <c r="S1033" s="132"/>
      <c r="T1033" s="132"/>
      <c r="U1033" s="132"/>
      <c r="V1033" s="132"/>
      <c r="W1033" s="132"/>
      <c r="X1033" s="132"/>
      <c r="Y1033" s="132"/>
      <c r="Z1033" s="132"/>
      <c r="AA1033" s="132"/>
      <c r="AB1033" s="132"/>
      <c r="AC1033" s="132"/>
      <c r="AD1033" s="132"/>
      <c r="AE1033" s="132"/>
      <c r="AF1033" s="132"/>
      <c r="AG1033" s="132"/>
      <c r="AH1033" s="132"/>
      <c r="AI1033" s="132"/>
      <c r="AJ1033" s="13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</row>
    <row r="1034" spans="1:125">
      <c r="A1034" s="132"/>
      <c r="B1034" s="132"/>
      <c r="C1034" s="132"/>
      <c r="D1034" s="132"/>
      <c r="E1034" s="132"/>
      <c r="F1034" s="132"/>
      <c r="G1034" s="132"/>
      <c r="H1034" s="132"/>
      <c r="I1034" s="132"/>
      <c r="J1034" s="132"/>
      <c r="K1034" s="132"/>
      <c r="L1034" s="132"/>
      <c r="M1034" s="132"/>
      <c r="N1034" s="132"/>
      <c r="O1034" s="132"/>
      <c r="P1034" s="132"/>
      <c r="Q1034" s="132"/>
      <c r="R1034" s="132"/>
      <c r="S1034" s="132"/>
      <c r="T1034" s="132"/>
      <c r="U1034" s="132"/>
      <c r="V1034" s="132"/>
      <c r="W1034" s="132"/>
      <c r="X1034" s="132"/>
      <c r="Y1034" s="132"/>
      <c r="Z1034" s="132"/>
      <c r="AA1034" s="132"/>
      <c r="AB1034" s="132"/>
      <c r="AC1034" s="132"/>
      <c r="AD1034" s="132"/>
      <c r="AE1034" s="132"/>
      <c r="AF1034" s="132"/>
      <c r="AG1034" s="132"/>
      <c r="AH1034" s="132"/>
      <c r="AI1034" s="132"/>
      <c r="AJ1034" s="13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  <c r="DR1034" s="12"/>
      <c r="DS1034" s="12"/>
      <c r="DT1034" s="12"/>
      <c r="DU1034" s="12"/>
    </row>
    <row r="1035" spans="1:125">
      <c r="A1035" s="132"/>
      <c r="B1035" s="132"/>
      <c r="C1035" s="132"/>
      <c r="D1035" s="132"/>
      <c r="E1035" s="132"/>
      <c r="F1035" s="132"/>
      <c r="G1035" s="132"/>
      <c r="H1035" s="132"/>
      <c r="I1035" s="132"/>
      <c r="J1035" s="132"/>
      <c r="K1035" s="132"/>
      <c r="L1035" s="132"/>
      <c r="M1035" s="132"/>
      <c r="N1035" s="132"/>
      <c r="O1035" s="132"/>
      <c r="P1035" s="132"/>
      <c r="Q1035" s="132"/>
      <c r="R1035" s="132"/>
      <c r="S1035" s="132"/>
      <c r="T1035" s="132"/>
      <c r="U1035" s="132"/>
      <c r="V1035" s="132"/>
      <c r="W1035" s="132"/>
      <c r="X1035" s="132"/>
      <c r="Y1035" s="132"/>
      <c r="Z1035" s="132"/>
      <c r="AA1035" s="132"/>
      <c r="AB1035" s="132"/>
      <c r="AC1035" s="132"/>
      <c r="AD1035" s="132"/>
      <c r="AE1035" s="132"/>
      <c r="AF1035" s="132"/>
      <c r="AG1035" s="132"/>
      <c r="AH1035" s="132"/>
      <c r="AI1035" s="132"/>
      <c r="AJ1035" s="13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  <c r="DR1035" s="12"/>
      <c r="DS1035" s="12"/>
      <c r="DT1035" s="12"/>
      <c r="DU1035" s="12"/>
    </row>
    <row r="1036" spans="1:125">
      <c r="A1036" s="132"/>
      <c r="B1036" s="132"/>
      <c r="C1036" s="132"/>
      <c r="D1036" s="132"/>
      <c r="E1036" s="132"/>
      <c r="F1036" s="132"/>
      <c r="G1036" s="132"/>
      <c r="H1036" s="132"/>
      <c r="I1036" s="132"/>
      <c r="J1036" s="132"/>
      <c r="K1036" s="132"/>
      <c r="L1036" s="132"/>
      <c r="M1036" s="132"/>
      <c r="N1036" s="132"/>
      <c r="O1036" s="132"/>
      <c r="P1036" s="132"/>
      <c r="Q1036" s="132"/>
      <c r="R1036" s="132"/>
      <c r="S1036" s="132"/>
      <c r="T1036" s="132"/>
      <c r="U1036" s="132"/>
      <c r="V1036" s="132"/>
      <c r="W1036" s="132"/>
      <c r="X1036" s="132"/>
      <c r="Y1036" s="132"/>
      <c r="Z1036" s="132"/>
      <c r="AA1036" s="132"/>
      <c r="AB1036" s="132"/>
      <c r="AC1036" s="132"/>
      <c r="AD1036" s="132"/>
      <c r="AE1036" s="132"/>
      <c r="AF1036" s="132"/>
      <c r="AG1036" s="132"/>
      <c r="AH1036" s="132"/>
      <c r="AI1036" s="132"/>
      <c r="AJ1036" s="13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  <c r="DR1036" s="12"/>
      <c r="DS1036" s="12"/>
      <c r="DT1036" s="12"/>
      <c r="DU1036" s="12"/>
    </row>
    <row r="1037" spans="1:125">
      <c r="A1037" s="132"/>
      <c r="B1037" s="132"/>
      <c r="C1037" s="132"/>
      <c r="D1037" s="132"/>
      <c r="E1037" s="132"/>
      <c r="F1037" s="132"/>
      <c r="G1037" s="132"/>
      <c r="H1037" s="132"/>
      <c r="I1037" s="132"/>
      <c r="J1037" s="132"/>
      <c r="K1037" s="132"/>
      <c r="L1037" s="132"/>
      <c r="M1037" s="132"/>
      <c r="N1037" s="132"/>
      <c r="O1037" s="132"/>
      <c r="P1037" s="132"/>
      <c r="Q1037" s="132"/>
      <c r="R1037" s="132"/>
      <c r="S1037" s="132"/>
      <c r="T1037" s="132"/>
      <c r="U1037" s="132"/>
      <c r="V1037" s="132"/>
      <c r="W1037" s="132"/>
      <c r="X1037" s="132"/>
      <c r="Y1037" s="132"/>
      <c r="Z1037" s="132"/>
      <c r="AA1037" s="132"/>
      <c r="AB1037" s="132"/>
      <c r="AC1037" s="132"/>
      <c r="AD1037" s="132"/>
      <c r="AE1037" s="132"/>
      <c r="AF1037" s="132"/>
      <c r="AG1037" s="132"/>
      <c r="AH1037" s="132"/>
      <c r="AI1037" s="132"/>
      <c r="AJ1037" s="13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  <c r="DR1037" s="12"/>
      <c r="DS1037" s="12"/>
      <c r="DT1037" s="12"/>
      <c r="DU1037" s="12"/>
    </row>
    <row r="1038" spans="1:125">
      <c r="A1038" s="132"/>
      <c r="B1038" s="132"/>
      <c r="C1038" s="132"/>
      <c r="D1038" s="132"/>
      <c r="E1038" s="132"/>
      <c r="F1038" s="132"/>
      <c r="G1038" s="132"/>
      <c r="H1038" s="132"/>
      <c r="I1038" s="132"/>
      <c r="J1038" s="132"/>
      <c r="K1038" s="132"/>
      <c r="L1038" s="132"/>
      <c r="M1038" s="132"/>
      <c r="N1038" s="132"/>
      <c r="O1038" s="132"/>
      <c r="P1038" s="132"/>
      <c r="Q1038" s="132"/>
      <c r="R1038" s="132"/>
      <c r="S1038" s="132"/>
      <c r="T1038" s="132"/>
      <c r="U1038" s="132"/>
      <c r="V1038" s="132"/>
      <c r="W1038" s="132"/>
      <c r="X1038" s="132"/>
      <c r="Y1038" s="132"/>
      <c r="Z1038" s="132"/>
      <c r="AA1038" s="132"/>
      <c r="AB1038" s="132"/>
      <c r="AC1038" s="132"/>
      <c r="AD1038" s="132"/>
      <c r="AE1038" s="132"/>
      <c r="AF1038" s="132"/>
      <c r="AG1038" s="132"/>
      <c r="AH1038" s="132"/>
      <c r="AI1038" s="132"/>
      <c r="AJ1038" s="13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  <c r="DR1038" s="12"/>
      <c r="DS1038" s="12"/>
      <c r="DT1038" s="12"/>
      <c r="DU1038" s="12"/>
    </row>
    <row r="1039" spans="1:125">
      <c r="A1039" s="132"/>
      <c r="B1039" s="132"/>
      <c r="C1039" s="132"/>
      <c r="D1039" s="132"/>
      <c r="E1039" s="132"/>
      <c r="F1039" s="132"/>
      <c r="G1039" s="132"/>
      <c r="H1039" s="132"/>
      <c r="I1039" s="132"/>
      <c r="J1039" s="132"/>
      <c r="K1039" s="132"/>
      <c r="L1039" s="132"/>
      <c r="M1039" s="132"/>
      <c r="N1039" s="132"/>
      <c r="O1039" s="132"/>
      <c r="P1039" s="132"/>
      <c r="Q1039" s="132"/>
      <c r="R1039" s="132"/>
      <c r="S1039" s="132"/>
      <c r="T1039" s="132"/>
      <c r="U1039" s="132"/>
      <c r="V1039" s="132"/>
      <c r="W1039" s="132"/>
      <c r="X1039" s="132"/>
      <c r="Y1039" s="132"/>
      <c r="Z1039" s="132"/>
      <c r="AA1039" s="132"/>
      <c r="AB1039" s="132"/>
      <c r="AC1039" s="132"/>
      <c r="AD1039" s="132"/>
      <c r="AE1039" s="132"/>
      <c r="AF1039" s="132"/>
      <c r="AG1039" s="132"/>
      <c r="AH1039" s="132"/>
      <c r="AI1039" s="132"/>
      <c r="AJ1039" s="13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  <c r="DR1039" s="12"/>
      <c r="DS1039" s="12"/>
      <c r="DT1039" s="12"/>
      <c r="DU1039" s="12"/>
    </row>
    <row r="1040" spans="1:125">
      <c r="A1040" s="132"/>
      <c r="B1040" s="132"/>
      <c r="C1040" s="132"/>
      <c r="D1040" s="132"/>
      <c r="E1040" s="132"/>
      <c r="F1040" s="132"/>
      <c r="G1040" s="132"/>
      <c r="H1040" s="132"/>
      <c r="I1040" s="132"/>
      <c r="J1040" s="132"/>
      <c r="K1040" s="132"/>
      <c r="L1040" s="132"/>
      <c r="M1040" s="132"/>
      <c r="N1040" s="132"/>
      <c r="O1040" s="132"/>
      <c r="P1040" s="132"/>
      <c r="Q1040" s="132"/>
      <c r="R1040" s="132"/>
      <c r="S1040" s="132"/>
      <c r="T1040" s="132"/>
      <c r="U1040" s="132"/>
      <c r="V1040" s="132"/>
      <c r="W1040" s="132"/>
      <c r="X1040" s="132"/>
      <c r="Y1040" s="132"/>
      <c r="Z1040" s="132"/>
      <c r="AA1040" s="132"/>
      <c r="AB1040" s="132"/>
      <c r="AC1040" s="132"/>
      <c r="AD1040" s="132"/>
      <c r="AE1040" s="132"/>
      <c r="AF1040" s="132"/>
      <c r="AG1040" s="132"/>
      <c r="AH1040" s="132"/>
      <c r="AI1040" s="132"/>
      <c r="AJ1040" s="13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  <c r="DR1040" s="12"/>
      <c r="DS1040" s="12"/>
      <c r="DT1040" s="12"/>
      <c r="DU1040" s="12"/>
    </row>
    <row r="1041" spans="1:125">
      <c r="A1041" s="132"/>
      <c r="B1041" s="132"/>
      <c r="C1041" s="132"/>
      <c r="D1041" s="132"/>
      <c r="E1041" s="132"/>
      <c r="F1041" s="132"/>
      <c r="G1041" s="132"/>
      <c r="H1041" s="132"/>
      <c r="I1041" s="132"/>
      <c r="J1041" s="132"/>
      <c r="K1041" s="132"/>
      <c r="L1041" s="132"/>
      <c r="M1041" s="132"/>
      <c r="N1041" s="132"/>
      <c r="O1041" s="132"/>
      <c r="P1041" s="132"/>
      <c r="Q1041" s="132"/>
      <c r="R1041" s="132"/>
      <c r="S1041" s="132"/>
      <c r="T1041" s="132"/>
      <c r="U1041" s="132"/>
      <c r="V1041" s="132"/>
      <c r="W1041" s="132"/>
      <c r="X1041" s="132"/>
      <c r="Y1041" s="132"/>
      <c r="Z1041" s="132"/>
      <c r="AA1041" s="132"/>
      <c r="AB1041" s="132"/>
      <c r="AC1041" s="132"/>
      <c r="AD1041" s="132"/>
      <c r="AE1041" s="132"/>
      <c r="AF1041" s="132"/>
      <c r="AG1041" s="132"/>
      <c r="AH1041" s="132"/>
      <c r="AI1041" s="132"/>
      <c r="AJ1041" s="13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2"/>
    </row>
    <row r="1042" spans="1:125">
      <c r="A1042" s="132"/>
      <c r="B1042" s="132"/>
      <c r="C1042" s="132"/>
      <c r="D1042" s="132"/>
      <c r="E1042" s="132"/>
      <c r="F1042" s="132"/>
      <c r="G1042" s="132"/>
      <c r="H1042" s="132"/>
      <c r="I1042" s="132"/>
      <c r="J1042" s="132"/>
      <c r="K1042" s="132"/>
      <c r="L1042" s="132"/>
      <c r="M1042" s="132"/>
      <c r="N1042" s="132"/>
      <c r="O1042" s="132"/>
      <c r="P1042" s="132"/>
      <c r="Q1042" s="132"/>
      <c r="R1042" s="132"/>
      <c r="S1042" s="132"/>
      <c r="T1042" s="132"/>
      <c r="U1042" s="132"/>
      <c r="V1042" s="132"/>
      <c r="W1042" s="132"/>
      <c r="X1042" s="132"/>
      <c r="Y1042" s="132"/>
      <c r="Z1042" s="132"/>
      <c r="AA1042" s="132"/>
      <c r="AB1042" s="132"/>
      <c r="AC1042" s="132"/>
      <c r="AD1042" s="132"/>
      <c r="AE1042" s="132"/>
      <c r="AF1042" s="132"/>
      <c r="AG1042" s="132"/>
      <c r="AH1042" s="132"/>
      <c r="AI1042" s="132"/>
      <c r="AJ1042" s="13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  <c r="DR1042" s="12"/>
      <c r="DS1042" s="12"/>
      <c r="DT1042" s="12"/>
      <c r="DU1042" s="12"/>
    </row>
    <row r="1043" spans="1:125">
      <c r="A1043" s="132"/>
      <c r="B1043" s="132"/>
      <c r="C1043" s="132"/>
      <c r="D1043" s="132"/>
      <c r="E1043" s="132"/>
      <c r="F1043" s="132"/>
      <c r="G1043" s="132"/>
      <c r="H1043" s="132"/>
      <c r="I1043" s="132"/>
      <c r="J1043" s="132"/>
      <c r="K1043" s="132"/>
      <c r="L1043" s="132"/>
      <c r="M1043" s="132"/>
      <c r="N1043" s="132"/>
      <c r="O1043" s="132"/>
      <c r="P1043" s="132"/>
      <c r="Q1043" s="132"/>
      <c r="R1043" s="132"/>
      <c r="S1043" s="132"/>
      <c r="T1043" s="132"/>
      <c r="U1043" s="132"/>
      <c r="V1043" s="132"/>
      <c r="W1043" s="132"/>
      <c r="X1043" s="132"/>
      <c r="Y1043" s="132"/>
      <c r="Z1043" s="132"/>
      <c r="AA1043" s="132"/>
      <c r="AB1043" s="132"/>
      <c r="AC1043" s="132"/>
      <c r="AD1043" s="132"/>
      <c r="AE1043" s="132"/>
      <c r="AF1043" s="132"/>
      <c r="AG1043" s="132"/>
      <c r="AH1043" s="132"/>
      <c r="AI1043" s="132"/>
      <c r="AJ1043" s="13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  <c r="DR1043" s="12"/>
      <c r="DS1043" s="12"/>
      <c r="DT1043" s="12"/>
      <c r="DU1043" s="12"/>
    </row>
    <row r="1044" spans="1:125">
      <c r="A1044" s="132"/>
      <c r="B1044" s="132"/>
      <c r="C1044" s="132"/>
      <c r="D1044" s="132"/>
      <c r="E1044" s="132"/>
      <c r="F1044" s="132"/>
      <c r="G1044" s="132"/>
      <c r="H1044" s="132"/>
      <c r="I1044" s="132"/>
      <c r="J1044" s="132"/>
      <c r="K1044" s="132"/>
      <c r="L1044" s="132"/>
      <c r="M1044" s="132"/>
      <c r="N1044" s="132"/>
      <c r="O1044" s="132"/>
      <c r="P1044" s="132"/>
      <c r="Q1044" s="132"/>
      <c r="R1044" s="132"/>
      <c r="S1044" s="132"/>
      <c r="T1044" s="132"/>
      <c r="U1044" s="132"/>
      <c r="V1044" s="132"/>
      <c r="W1044" s="132"/>
      <c r="X1044" s="132"/>
      <c r="Y1044" s="132"/>
      <c r="Z1044" s="132"/>
      <c r="AA1044" s="132"/>
      <c r="AB1044" s="132"/>
      <c r="AC1044" s="132"/>
      <c r="AD1044" s="132"/>
      <c r="AE1044" s="132"/>
      <c r="AF1044" s="132"/>
      <c r="AG1044" s="132"/>
      <c r="AH1044" s="132"/>
      <c r="AI1044" s="132"/>
      <c r="AJ1044" s="13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  <c r="DR1044" s="12"/>
      <c r="DS1044" s="12"/>
      <c r="DT1044" s="12"/>
      <c r="DU1044" s="12"/>
    </row>
    <row r="1045" spans="1:125">
      <c r="A1045" s="132"/>
      <c r="B1045" s="132"/>
      <c r="C1045" s="132"/>
      <c r="D1045" s="132"/>
      <c r="E1045" s="132"/>
      <c r="F1045" s="132"/>
      <c r="G1045" s="132"/>
      <c r="H1045" s="132"/>
      <c r="I1045" s="132"/>
      <c r="J1045" s="132"/>
      <c r="K1045" s="132"/>
      <c r="L1045" s="132"/>
      <c r="M1045" s="132"/>
      <c r="N1045" s="132"/>
      <c r="O1045" s="132"/>
      <c r="P1045" s="132"/>
      <c r="Q1045" s="132"/>
      <c r="R1045" s="132"/>
      <c r="S1045" s="132"/>
      <c r="T1045" s="132"/>
      <c r="U1045" s="132"/>
      <c r="V1045" s="132"/>
      <c r="W1045" s="132"/>
      <c r="X1045" s="132"/>
      <c r="Y1045" s="132"/>
      <c r="Z1045" s="132"/>
      <c r="AA1045" s="132"/>
      <c r="AB1045" s="132"/>
      <c r="AC1045" s="132"/>
      <c r="AD1045" s="132"/>
      <c r="AE1045" s="132"/>
      <c r="AF1045" s="132"/>
      <c r="AG1045" s="132"/>
      <c r="AH1045" s="132"/>
      <c r="AI1045" s="132"/>
      <c r="AJ1045" s="13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  <c r="DR1045" s="12"/>
      <c r="DS1045" s="12"/>
      <c r="DT1045" s="12"/>
      <c r="DU1045" s="12"/>
    </row>
    <row r="1046" spans="1:125">
      <c r="A1046" s="132"/>
      <c r="B1046" s="132"/>
      <c r="C1046" s="132"/>
      <c r="D1046" s="132"/>
      <c r="E1046" s="132"/>
      <c r="F1046" s="132"/>
      <c r="G1046" s="132"/>
      <c r="H1046" s="132"/>
      <c r="I1046" s="132"/>
      <c r="J1046" s="132"/>
      <c r="K1046" s="132"/>
      <c r="L1046" s="132"/>
      <c r="M1046" s="132"/>
      <c r="N1046" s="132"/>
      <c r="O1046" s="132"/>
      <c r="P1046" s="132"/>
      <c r="Q1046" s="132"/>
      <c r="R1046" s="132"/>
      <c r="S1046" s="132"/>
      <c r="T1046" s="132"/>
      <c r="U1046" s="132"/>
      <c r="V1046" s="132"/>
      <c r="W1046" s="132"/>
      <c r="X1046" s="132"/>
      <c r="Y1046" s="132"/>
      <c r="Z1046" s="132"/>
      <c r="AA1046" s="132"/>
      <c r="AB1046" s="132"/>
      <c r="AC1046" s="132"/>
      <c r="AD1046" s="132"/>
      <c r="AE1046" s="132"/>
      <c r="AF1046" s="132"/>
      <c r="AG1046" s="132"/>
      <c r="AH1046" s="132"/>
      <c r="AI1046" s="132"/>
      <c r="AJ1046" s="13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  <c r="DR1046" s="12"/>
      <c r="DS1046" s="12"/>
      <c r="DT1046" s="12"/>
      <c r="DU1046" s="12"/>
    </row>
    <row r="1047" spans="1:125">
      <c r="A1047" s="132"/>
      <c r="B1047" s="132"/>
      <c r="C1047" s="132"/>
      <c r="D1047" s="132"/>
      <c r="E1047" s="132"/>
      <c r="F1047" s="132"/>
      <c r="G1047" s="132"/>
      <c r="H1047" s="132"/>
      <c r="I1047" s="132"/>
      <c r="J1047" s="132"/>
      <c r="K1047" s="132"/>
      <c r="L1047" s="132"/>
      <c r="M1047" s="132"/>
      <c r="N1047" s="132"/>
      <c r="O1047" s="132"/>
      <c r="P1047" s="132"/>
      <c r="Q1047" s="132"/>
      <c r="R1047" s="132"/>
      <c r="S1047" s="132"/>
      <c r="T1047" s="132"/>
      <c r="U1047" s="132"/>
      <c r="V1047" s="132"/>
      <c r="W1047" s="132"/>
      <c r="X1047" s="132"/>
      <c r="Y1047" s="132"/>
      <c r="Z1047" s="132"/>
      <c r="AA1047" s="132"/>
      <c r="AB1047" s="132"/>
      <c r="AC1047" s="132"/>
      <c r="AD1047" s="132"/>
      <c r="AE1047" s="132"/>
      <c r="AF1047" s="132"/>
      <c r="AG1047" s="132"/>
      <c r="AH1047" s="132"/>
      <c r="AI1047" s="132"/>
      <c r="AJ1047" s="13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  <c r="DR1047" s="12"/>
      <c r="DS1047" s="12"/>
      <c r="DT1047" s="12"/>
      <c r="DU1047" s="12"/>
    </row>
    <row r="1048" spans="1:125">
      <c r="A1048" s="132"/>
      <c r="B1048" s="132"/>
      <c r="C1048" s="132"/>
      <c r="D1048" s="132"/>
      <c r="E1048" s="132"/>
      <c r="F1048" s="132"/>
      <c r="G1048" s="132"/>
      <c r="H1048" s="132"/>
      <c r="I1048" s="132"/>
      <c r="J1048" s="132"/>
      <c r="K1048" s="132"/>
      <c r="L1048" s="132"/>
      <c r="M1048" s="132"/>
      <c r="N1048" s="132"/>
      <c r="O1048" s="132"/>
      <c r="P1048" s="132"/>
      <c r="Q1048" s="132"/>
      <c r="R1048" s="132"/>
      <c r="S1048" s="132"/>
      <c r="T1048" s="132"/>
      <c r="U1048" s="132"/>
      <c r="V1048" s="132"/>
      <c r="W1048" s="132"/>
      <c r="X1048" s="132"/>
      <c r="Y1048" s="132"/>
      <c r="Z1048" s="132"/>
      <c r="AA1048" s="132"/>
      <c r="AB1048" s="132"/>
      <c r="AC1048" s="132"/>
      <c r="AD1048" s="132"/>
      <c r="AE1048" s="132"/>
      <c r="AF1048" s="132"/>
      <c r="AG1048" s="132"/>
      <c r="AH1048" s="132"/>
      <c r="AI1048" s="132"/>
      <c r="AJ1048" s="13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  <c r="DR1048" s="12"/>
      <c r="DS1048" s="12"/>
      <c r="DT1048" s="12"/>
      <c r="DU1048" s="12"/>
    </row>
    <row r="1049" spans="1:125">
      <c r="A1049" s="132"/>
      <c r="B1049" s="132"/>
      <c r="C1049" s="132"/>
      <c r="D1049" s="132"/>
      <c r="E1049" s="132"/>
      <c r="F1049" s="132"/>
      <c r="G1049" s="132"/>
      <c r="H1049" s="132"/>
      <c r="I1049" s="132"/>
      <c r="J1049" s="132"/>
      <c r="K1049" s="132"/>
      <c r="L1049" s="132"/>
      <c r="M1049" s="132"/>
      <c r="N1049" s="132"/>
      <c r="O1049" s="132"/>
      <c r="P1049" s="132"/>
      <c r="Q1049" s="132"/>
      <c r="R1049" s="132"/>
      <c r="S1049" s="132"/>
      <c r="T1049" s="132"/>
      <c r="U1049" s="132"/>
      <c r="V1049" s="132"/>
      <c r="W1049" s="132"/>
      <c r="X1049" s="132"/>
      <c r="Y1049" s="132"/>
      <c r="Z1049" s="132"/>
      <c r="AA1049" s="132"/>
      <c r="AB1049" s="132"/>
      <c r="AC1049" s="132"/>
      <c r="AD1049" s="132"/>
      <c r="AE1049" s="132"/>
      <c r="AF1049" s="132"/>
      <c r="AG1049" s="132"/>
      <c r="AH1049" s="132"/>
      <c r="AI1049" s="132"/>
      <c r="AJ1049" s="13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  <c r="DR1049" s="12"/>
      <c r="DS1049" s="12"/>
      <c r="DT1049" s="12"/>
      <c r="DU1049" s="12"/>
    </row>
    <row r="1050" spans="1:125">
      <c r="A1050" s="132"/>
      <c r="B1050" s="132"/>
      <c r="C1050" s="132"/>
      <c r="D1050" s="132"/>
      <c r="E1050" s="132"/>
      <c r="F1050" s="132"/>
      <c r="G1050" s="132"/>
      <c r="H1050" s="132"/>
      <c r="I1050" s="132"/>
      <c r="J1050" s="132"/>
      <c r="K1050" s="132"/>
      <c r="L1050" s="132"/>
      <c r="M1050" s="132"/>
      <c r="N1050" s="132"/>
      <c r="O1050" s="132"/>
      <c r="P1050" s="132"/>
      <c r="Q1050" s="132"/>
      <c r="R1050" s="132"/>
      <c r="S1050" s="132"/>
      <c r="T1050" s="132"/>
      <c r="U1050" s="132"/>
      <c r="V1050" s="132"/>
      <c r="W1050" s="132"/>
      <c r="X1050" s="132"/>
      <c r="Y1050" s="132"/>
      <c r="Z1050" s="132"/>
      <c r="AA1050" s="132"/>
      <c r="AB1050" s="132"/>
      <c r="AC1050" s="132"/>
      <c r="AD1050" s="132"/>
      <c r="AE1050" s="132"/>
      <c r="AF1050" s="132"/>
      <c r="AG1050" s="132"/>
      <c r="AH1050" s="132"/>
      <c r="AI1050" s="132"/>
      <c r="AJ1050" s="13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/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  <c r="DR1050" s="12"/>
      <c r="DS1050" s="12"/>
      <c r="DT1050" s="12"/>
      <c r="DU1050" s="12"/>
    </row>
    <row r="1051" spans="1:125">
      <c r="A1051" s="132"/>
      <c r="B1051" s="132"/>
      <c r="C1051" s="132"/>
      <c r="D1051" s="132"/>
      <c r="E1051" s="132"/>
      <c r="F1051" s="132"/>
      <c r="G1051" s="132"/>
      <c r="H1051" s="132"/>
      <c r="I1051" s="132"/>
      <c r="J1051" s="132"/>
      <c r="K1051" s="132"/>
      <c r="L1051" s="132"/>
      <c r="M1051" s="132"/>
      <c r="N1051" s="132"/>
      <c r="O1051" s="132"/>
      <c r="P1051" s="132"/>
      <c r="Q1051" s="132"/>
      <c r="R1051" s="132"/>
      <c r="S1051" s="132"/>
      <c r="T1051" s="132"/>
      <c r="U1051" s="132"/>
      <c r="V1051" s="132"/>
      <c r="W1051" s="132"/>
      <c r="X1051" s="132"/>
      <c r="Y1051" s="132"/>
      <c r="Z1051" s="132"/>
      <c r="AA1051" s="132"/>
      <c r="AB1051" s="132"/>
      <c r="AC1051" s="132"/>
      <c r="AD1051" s="132"/>
      <c r="AE1051" s="132"/>
      <c r="AF1051" s="132"/>
      <c r="AG1051" s="132"/>
      <c r="AH1051" s="132"/>
      <c r="AI1051" s="132"/>
      <c r="AJ1051" s="13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  <c r="DR1051" s="12"/>
      <c r="DS1051" s="12"/>
      <c r="DT1051" s="12"/>
      <c r="DU1051" s="12"/>
    </row>
    <row r="1052" spans="1:125">
      <c r="A1052" s="132"/>
      <c r="B1052" s="132"/>
      <c r="C1052" s="132"/>
      <c r="D1052" s="132"/>
      <c r="E1052" s="132"/>
      <c r="F1052" s="132"/>
      <c r="G1052" s="132"/>
      <c r="H1052" s="132"/>
      <c r="I1052" s="132"/>
      <c r="J1052" s="132"/>
      <c r="K1052" s="132"/>
      <c r="L1052" s="132"/>
      <c r="M1052" s="132"/>
      <c r="N1052" s="132"/>
      <c r="O1052" s="132"/>
      <c r="P1052" s="132"/>
      <c r="Q1052" s="132"/>
      <c r="R1052" s="132"/>
      <c r="S1052" s="132"/>
      <c r="T1052" s="132"/>
      <c r="U1052" s="132"/>
      <c r="V1052" s="132"/>
      <c r="W1052" s="132"/>
      <c r="X1052" s="132"/>
      <c r="Y1052" s="132"/>
      <c r="Z1052" s="132"/>
      <c r="AA1052" s="132"/>
      <c r="AB1052" s="132"/>
      <c r="AC1052" s="132"/>
      <c r="AD1052" s="132"/>
      <c r="AE1052" s="132"/>
      <c r="AF1052" s="132"/>
      <c r="AG1052" s="132"/>
      <c r="AH1052" s="132"/>
      <c r="AI1052" s="132"/>
      <c r="AJ1052" s="13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</row>
    <row r="1053" spans="1:125">
      <c r="A1053" s="132"/>
      <c r="B1053" s="132"/>
      <c r="C1053" s="132"/>
      <c r="D1053" s="132"/>
      <c r="E1053" s="132"/>
      <c r="F1053" s="132"/>
      <c r="G1053" s="132"/>
      <c r="H1053" s="132"/>
      <c r="I1053" s="132"/>
      <c r="J1053" s="132"/>
      <c r="K1053" s="132"/>
      <c r="L1053" s="132"/>
      <c r="M1053" s="132"/>
      <c r="N1053" s="132"/>
      <c r="O1053" s="132"/>
      <c r="P1053" s="132"/>
      <c r="Q1053" s="132"/>
      <c r="R1053" s="132"/>
      <c r="S1053" s="132"/>
      <c r="T1053" s="132"/>
      <c r="U1053" s="132"/>
      <c r="V1053" s="132"/>
      <c r="W1053" s="132"/>
      <c r="X1053" s="132"/>
      <c r="Y1053" s="132"/>
      <c r="Z1053" s="132"/>
      <c r="AA1053" s="132"/>
      <c r="AB1053" s="132"/>
      <c r="AC1053" s="132"/>
      <c r="AD1053" s="132"/>
      <c r="AE1053" s="132"/>
      <c r="AF1053" s="132"/>
      <c r="AG1053" s="132"/>
      <c r="AH1053" s="132"/>
      <c r="AI1053" s="132"/>
      <c r="AJ1053" s="13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  <c r="DR1053" s="12"/>
      <c r="DS1053" s="12"/>
      <c r="DT1053" s="12"/>
      <c r="DU1053" s="12"/>
    </row>
    <row r="1054" spans="1:125">
      <c r="A1054" s="132"/>
      <c r="B1054" s="132"/>
      <c r="C1054" s="132"/>
      <c r="D1054" s="132"/>
      <c r="E1054" s="132"/>
      <c r="F1054" s="132"/>
      <c r="G1054" s="132"/>
      <c r="H1054" s="132"/>
      <c r="I1054" s="132"/>
      <c r="J1054" s="132"/>
      <c r="K1054" s="132"/>
      <c r="L1054" s="132"/>
      <c r="M1054" s="132"/>
      <c r="N1054" s="132"/>
      <c r="O1054" s="132"/>
      <c r="P1054" s="132"/>
      <c r="Q1054" s="132"/>
      <c r="R1054" s="132"/>
      <c r="S1054" s="132"/>
      <c r="T1054" s="132"/>
      <c r="U1054" s="132"/>
      <c r="V1054" s="132"/>
      <c r="W1054" s="132"/>
      <c r="X1054" s="132"/>
      <c r="Y1054" s="132"/>
      <c r="Z1054" s="132"/>
      <c r="AA1054" s="132"/>
      <c r="AB1054" s="132"/>
      <c r="AC1054" s="132"/>
      <c r="AD1054" s="132"/>
      <c r="AE1054" s="132"/>
      <c r="AF1054" s="132"/>
      <c r="AG1054" s="132"/>
      <c r="AH1054" s="132"/>
      <c r="AI1054" s="132"/>
      <c r="AJ1054" s="13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  <c r="DR1054" s="12"/>
      <c r="DS1054" s="12"/>
      <c r="DT1054" s="12"/>
      <c r="DU1054" s="12"/>
    </row>
    <row r="1055" spans="1:125">
      <c r="A1055" s="132"/>
      <c r="B1055" s="132"/>
      <c r="C1055" s="132"/>
      <c r="D1055" s="132"/>
      <c r="E1055" s="132"/>
      <c r="F1055" s="132"/>
      <c r="G1055" s="132"/>
      <c r="H1055" s="132"/>
      <c r="I1055" s="132"/>
      <c r="J1055" s="132"/>
      <c r="K1055" s="132"/>
      <c r="L1055" s="132"/>
      <c r="M1055" s="132"/>
      <c r="N1055" s="132"/>
      <c r="O1055" s="132"/>
      <c r="P1055" s="132"/>
      <c r="Q1055" s="132"/>
      <c r="R1055" s="132"/>
      <c r="S1055" s="132"/>
      <c r="T1055" s="132"/>
      <c r="U1055" s="132"/>
      <c r="V1055" s="132"/>
      <c r="W1055" s="132"/>
      <c r="X1055" s="132"/>
      <c r="Y1055" s="132"/>
      <c r="Z1055" s="132"/>
      <c r="AA1055" s="132"/>
      <c r="AB1055" s="132"/>
      <c r="AC1055" s="132"/>
      <c r="AD1055" s="132"/>
      <c r="AE1055" s="132"/>
      <c r="AF1055" s="132"/>
      <c r="AG1055" s="132"/>
      <c r="AH1055" s="132"/>
      <c r="AI1055" s="132"/>
      <c r="AJ1055" s="13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  <c r="DR1055" s="12"/>
      <c r="DS1055" s="12"/>
      <c r="DT1055" s="12"/>
      <c r="DU1055" s="12"/>
    </row>
    <row r="1056" spans="1:125">
      <c r="A1056" s="132"/>
      <c r="B1056" s="132"/>
      <c r="C1056" s="132"/>
      <c r="D1056" s="132"/>
      <c r="E1056" s="132"/>
      <c r="F1056" s="132"/>
      <c r="G1056" s="132"/>
      <c r="H1056" s="132"/>
      <c r="I1056" s="132"/>
      <c r="J1056" s="132"/>
      <c r="K1056" s="132"/>
      <c r="L1056" s="132"/>
      <c r="M1056" s="132"/>
      <c r="N1056" s="132"/>
      <c r="O1056" s="132"/>
      <c r="P1056" s="132"/>
      <c r="Q1056" s="132"/>
      <c r="R1056" s="132"/>
      <c r="S1056" s="132"/>
      <c r="T1056" s="132"/>
      <c r="U1056" s="132"/>
      <c r="V1056" s="132"/>
      <c r="W1056" s="132"/>
      <c r="X1056" s="132"/>
      <c r="Y1056" s="132"/>
      <c r="Z1056" s="132"/>
      <c r="AA1056" s="132"/>
      <c r="AB1056" s="132"/>
      <c r="AC1056" s="132"/>
      <c r="AD1056" s="132"/>
      <c r="AE1056" s="132"/>
      <c r="AF1056" s="132"/>
      <c r="AG1056" s="132"/>
      <c r="AH1056" s="132"/>
      <c r="AI1056" s="132"/>
      <c r="AJ1056" s="13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  <c r="CW1056" s="12"/>
      <c r="CX1056" s="12"/>
      <c r="CY1056" s="12"/>
      <c r="CZ1056" s="12"/>
      <c r="DA1056" s="12"/>
      <c r="DB1056" s="12"/>
      <c r="DC1056" s="12"/>
      <c r="DD1056" s="12"/>
      <c r="DE1056" s="12"/>
      <c r="DF1056" s="12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  <c r="DR1056" s="12"/>
      <c r="DS1056" s="12"/>
      <c r="DT1056" s="12"/>
      <c r="DU1056" s="12"/>
    </row>
    <row r="1057" spans="1:125">
      <c r="A1057" s="132"/>
      <c r="B1057" s="132"/>
      <c r="C1057" s="132"/>
      <c r="D1057" s="132"/>
      <c r="E1057" s="132"/>
      <c r="F1057" s="132"/>
      <c r="G1057" s="132"/>
      <c r="H1057" s="132"/>
      <c r="I1057" s="132"/>
      <c r="J1057" s="132"/>
      <c r="K1057" s="132"/>
      <c r="L1057" s="132"/>
      <c r="M1057" s="132"/>
      <c r="N1057" s="132"/>
      <c r="O1057" s="132"/>
      <c r="P1057" s="132"/>
      <c r="Q1057" s="132"/>
      <c r="R1057" s="132"/>
      <c r="S1057" s="132"/>
      <c r="T1057" s="132"/>
      <c r="U1057" s="132"/>
      <c r="V1057" s="132"/>
      <c r="W1057" s="132"/>
      <c r="X1057" s="132"/>
      <c r="Y1057" s="132"/>
      <c r="Z1057" s="132"/>
      <c r="AA1057" s="132"/>
      <c r="AB1057" s="132"/>
      <c r="AC1057" s="132"/>
      <c r="AD1057" s="132"/>
      <c r="AE1057" s="132"/>
      <c r="AF1057" s="132"/>
      <c r="AG1057" s="132"/>
      <c r="AH1057" s="132"/>
      <c r="AI1057" s="132"/>
      <c r="AJ1057" s="13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  <c r="DR1057" s="12"/>
      <c r="DS1057" s="12"/>
      <c r="DT1057" s="12"/>
      <c r="DU1057" s="12"/>
    </row>
    <row r="1058" spans="1:125">
      <c r="A1058" s="132"/>
      <c r="B1058" s="132"/>
      <c r="C1058" s="132"/>
      <c r="D1058" s="132"/>
      <c r="E1058" s="132"/>
      <c r="F1058" s="132"/>
      <c r="G1058" s="132"/>
      <c r="H1058" s="132"/>
      <c r="I1058" s="132"/>
      <c r="J1058" s="132"/>
      <c r="K1058" s="132"/>
      <c r="L1058" s="132"/>
      <c r="M1058" s="132"/>
      <c r="N1058" s="132"/>
      <c r="O1058" s="132"/>
      <c r="P1058" s="132"/>
      <c r="Q1058" s="132"/>
      <c r="R1058" s="132"/>
      <c r="S1058" s="132"/>
      <c r="T1058" s="132"/>
      <c r="U1058" s="132"/>
      <c r="V1058" s="132"/>
      <c r="W1058" s="132"/>
      <c r="X1058" s="132"/>
      <c r="Y1058" s="132"/>
      <c r="Z1058" s="132"/>
      <c r="AA1058" s="132"/>
      <c r="AB1058" s="132"/>
      <c r="AC1058" s="132"/>
      <c r="AD1058" s="132"/>
      <c r="AE1058" s="132"/>
      <c r="AF1058" s="132"/>
      <c r="AG1058" s="132"/>
      <c r="AH1058" s="132"/>
      <c r="AI1058" s="132"/>
      <c r="AJ1058" s="13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  <c r="DR1058" s="12"/>
      <c r="DS1058" s="12"/>
      <c r="DT1058" s="12"/>
      <c r="DU1058" s="12"/>
    </row>
    <row r="1059" spans="1:125">
      <c r="A1059" s="132"/>
      <c r="B1059" s="132"/>
      <c r="C1059" s="132"/>
      <c r="D1059" s="132"/>
      <c r="E1059" s="132"/>
      <c r="F1059" s="132"/>
      <c r="G1059" s="132"/>
      <c r="H1059" s="132"/>
      <c r="I1059" s="132"/>
      <c r="J1059" s="132"/>
      <c r="K1059" s="132"/>
      <c r="L1059" s="132"/>
      <c r="M1059" s="132"/>
      <c r="N1059" s="132"/>
      <c r="O1059" s="132"/>
      <c r="P1059" s="132"/>
      <c r="Q1059" s="132"/>
      <c r="R1059" s="132"/>
      <c r="S1059" s="132"/>
      <c r="T1059" s="132"/>
      <c r="U1059" s="132"/>
      <c r="V1059" s="132"/>
      <c r="W1059" s="132"/>
      <c r="X1059" s="132"/>
      <c r="Y1059" s="132"/>
      <c r="Z1059" s="132"/>
      <c r="AA1059" s="132"/>
      <c r="AB1059" s="132"/>
      <c r="AC1059" s="132"/>
      <c r="AD1059" s="132"/>
      <c r="AE1059" s="132"/>
      <c r="AF1059" s="132"/>
      <c r="AG1059" s="132"/>
      <c r="AH1059" s="132"/>
      <c r="AI1059" s="132"/>
      <c r="AJ1059" s="13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  <c r="DR1059" s="12"/>
      <c r="DS1059" s="12"/>
      <c r="DT1059" s="12"/>
      <c r="DU1059" s="12"/>
    </row>
    <row r="1060" spans="1:125">
      <c r="A1060" s="132"/>
      <c r="B1060" s="132"/>
      <c r="C1060" s="132"/>
      <c r="D1060" s="132"/>
      <c r="E1060" s="132"/>
      <c r="F1060" s="132"/>
      <c r="G1060" s="132"/>
      <c r="H1060" s="132"/>
      <c r="I1060" s="132"/>
      <c r="J1060" s="132"/>
      <c r="K1060" s="132"/>
      <c r="L1060" s="132"/>
      <c r="M1060" s="132"/>
      <c r="N1060" s="132"/>
      <c r="O1060" s="132"/>
      <c r="P1060" s="132"/>
      <c r="Q1060" s="132"/>
      <c r="R1060" s="132"/>
      <c r="S1060" s="132"/>
      <c r="T1060" s="132"/>
      <c r="U1060" s="132"/>
      <c r="V1060" s="132"/>
      <c r="W1060" s="132"/>
      <c r="X1060" s="132"/>
      <c r="Y1060" s="132"/>
      <c r="Z1060" s="132"/>
      <c r="AA1060" s="132"/>
      <c r="AB1060" s="132"/>
      <c r="AC1060" s="132"/>
      <c r="AD1060" s="132"/>
      <c r="AE1060" s="132"/>
      <c r="AF1060" s="132"/>
      <c r="AG1060" s="132"/>
      <c r="AH1060" s="132"/>
      <c r="AI1060" s="132"/>
      <c r="AJ1060" s="13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  <c r="DR1060" s="12"/>
      <c r="DS1060" s="12"/>
      <c r="DT1060" s="12"/>
      <c r="DU1060" s="12"/>
    </row>
    <row r="1061" spans="1:125">
      <c r="A1061" s="132"/>
      <c r="B1061" s="132"/>
      <c r="C1061" s="132"/>
      <c r="D1061" s="132"/>
      <c r="E1061" s="132"/>
      <c r="F1061" s="132"/>
      <c r="G1061" s="132"/>
      <c r="H1061" s="132"/>
      <c r="I1061" s="132"/>
      <c r="J1061" s="132"/>
      <c r="K1061" s="132"/>
      <c r="L1061" s="132"/>
      <c r="M1061" s="132"/>
      <c r="N1061" s="132"/>
      <c r="O1061" s="132"/>
      <c r="P1061" s="132"/>
      <c r="Q1061" s="132"/>
      <c r="R1061" s="132"/>
      <c r="S1061" s="132"/>
      <c r="T1061" s="132"/>
      <c r="U1061" s="132"/>
      <c r="V1061" s="132"/>
      <c r="W1061" s="132"/>
      <c r="X1061" s="132"/>
      <c r="Y1061" s="132"/>
      <c r="Z1061" s="132"/>
      <c r="AA1061" s="132"/>
      <c r="AB1061" s="132"/>
      <c r="AC1061" s="132"/>
      <c r="AD1061" s="132"/>
      <c r="AE1061" s="132"/>
      <c r="AF1061" s="132"/>
      <c r="AG1061" s="132"/>
      <c r="AH1061" s="132"/>
      <c r="AI1061" s="132"/>
      <c r="AJ1061" s="13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  <c r="DR1061" s="12"/>
      <c r="DS1061" s="12"/>
      <c r="DT1061" s="12"/>
      <c r="DU1061" s="12"/>
    </row>
    <row r="1062" spans="1:125">
      <c r="A1062" s="132"/>
      <c r="B1062" s="132"/>
      <c r="C1062" s="132"/>
      <c r="D1062" s="132"/>
      <c r="E1062" s="132"/>
      <c r="F1062" s="132"/>
      <c r="G1062" s="132"/>
      <c r="H1062" s="132"/>
      <c r="I1062" s="132"/>
      <c r="J1062" s="132"/>
      <c r="K1062" s="132"/>
      <c r="L1062" s="132"/>
      <c r="M1062" s="132"/>
      <c r="N1062" s="132"/>
      <c r="O1062" s="132"/>
      <c r="P1062" s="132"/>
      <c r="Q1062" s="132"/>
      <c r="R1062" s="132"/>
      <c r="S1062" s="132"/>
      <c r="T1062" s="132"/>
      <c r="U1062" s="132"/>
      <c r="V1062" s="132"/>
      <c r="W1062" s="132"/>
      <c r="X1062" s="132"/>
      <c r="Y1062" s="132"/>
      <c r="Z1062" s="132"/>
      <c r="AA1062" s="132"/>
      <c r="AB1062" s="132"/>
      <c r="AC1062" s="132"/>
      <c r="AD1062" s="132"/>
      <c r="AE1062" s="132"/>
      <c r="AF1062" s="132"/>
      <c r="AG1062" s="132"/>
      <c r="AH1062" s="132"/>
      <c r="AI1062" s="132"/>
      <c r="AJ1062" s="13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  <c r="DR1062" s="12"/>
      <c r="DS1062" s="12"/>
      <c r="DT1062" s="12"/>
      <c r="DU1062" s="12"/>
    </row>
    <row r="1063" spans="1:125">
      <c r="A1063" s="132"/>
      <c r="B1063" s="132"/>
      <c r="C1063" s="132"/>
      <c r="D1063" s="132"/>
      <c r="E1063" s="132"/>
      <c r="F1063" s="132"/>
      <c r="G1063" s="132"/>
      <c r="H1063" s="132"/>
      <c r="I1063" s="132"/>
      <c r="J1063" s="132"/>
      <c r="K1063" s="132"/>
      <c r="L1063" s="132"/>
      <c r="M1063" s="132"/>
      <c r="N1063" s="132"/>
      <c r="O1063" s="132"/>
      <c r="P1063" s="132"/>
      <c r="Q1063" s="132"/>
      <c r="R1063" s="132"/>
      <c r="S1063" s="132"/>
      <c r="T1063" s="132"/>
      <c r="U1063" s="132"/>
      <c r="V1063" s="132"/>
      <c r="W1063" s="132"/>
      <c r="X1063" s="132"/>
      <c r="Y1063" s="132"/>
      <c r="Z1063" s="132"/>
      <c r="AA1063" s="132"/>
      <c r="AB1063" s="132"/>
      <c r="AC1063" s="132"/>
      <c r="AD1063" s="132"/>
      <c r="AE1063" s="132"/>
      <c r="AF1063" s="132"/>
      <c r="AG1063" s="132"/>
      <c r="AH1063" s="132"/>
      <c r="AI1063" s="132"/>
      <c r="AJ1063" s="13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  <c r="DR1063" s="12"/>
      <c r="DS1063" s="12"/>
      <c r="DT1063" s="12"/>
      <c r="DU1063" s="12"/>
    </row>
    <row r="1064" spans="1:125">
      <c r="A1064" s="132"/>
      <c r="B1064" s="132"/>
      <c r="C1064" s="132"/>
      <c r="D1064" s="132"/>
      <c r="E1064" s="132"/>
      <c r="F1064" s="132"/>
      <c r="G1064" s="132"/>
      <c r="H1064" s="132"/>
      <c r="I1064" s="132"/>
      <c r="J1064" s="132"/>
      <c r="K1064" s="132"/>
      <c r="L1064" s="132"/>
      <c r="M1064" s="132"/>
      <c r="N1064" s="132"/>
      <c r="O1064" s="132"/>
      <c r="P1064" s="132"/>
      <c r="Q1064" s="132"/>
      <c r="R1064" s="132"/>
      <c r="S1064" s="132"/>
      <c r="T1064" s="132"/>
      <c r="U1064" s="132"/>
      <c r="V1064" s="132"/>
      <c r="W1064" s="132"/>
      <c r="X1064" s="132"/>
      <c r="Y1064" s="132"/>
      <c r="Z1064" s="132"/>
      <c r="AA1064" s="132"/>
      <c r="AB1064" s="132"/>
      <c r="AC1064" s="132"/>
      <c r="AD1064" s="132"/>
      <c r="AE1064" s="132"/>
      <c r="AF1064" s="132"/>
      <c r="AG1064" s="132"/>
      <c r="AH1064" s="132"/>
      <c r="AI1064" s="132"/>
      <c r="AJ1064" s="13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  <c r="DR1064" s="12"/>
      <c r="DS1064" s="12"/>
      <c r="DT1064" s="12"/>
      <c r="DU1064" s="12"/>
    </row>
    <row r="1065" spans="1:125">
      <c r="A1065" s="132"/>
      <c r="B1065" s="132"/>
      <c r="C1065" s="132"/>
      <c r="D1065" s="132"/>
      <c r="E1065" s="132"/>
      <c r="F1065" s="132"/>
      <c r="G1065" s="132"/>
      <c r="H1065" s="132"/>
      <c r="I1065" s="132"/>
      <c r="J1065" s="132"/>
      <c r="K1065" s="132"/>
      <c r="L1065" s="132"/>
      <c r="M1065" s="132"/>
      <c r="N1065" s="132"/>
      <c r="O1065" s="132"/>
      <c r="P1065" s="132"/>
      <c r="Q1065" s="132"/>
      <c r="R1065" s="132"/>
      <c r="S1065" s="132"/>
      <c r="T1065" s="132"/>
      <c r="U1065" s="132"/>
      <c r="V1065" s="132"/>
      <c r="W1065" s="132"/>
      <c r="X1065" s="132"/>
      <c r="Y1065" s="132"/>
      <c r="Z1065" s="132"/>
      <c r="AA1065" s="132"/>
      <c r="AB1065" s="132"/>
      <c r="AC1065" s="132"/>
      <c r="AD1065" s="132"/>
      <c r="AE1065" s="132"/>
      <c r="AF1065" s="132"/>
      <c r="AG1065" s="132"/>
      <c r="AH1065" s="132"/>
      <c r="AI1065" s="132"/>
      <c r="AJ1065" s="13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</row>
    <row r="1066" spans="1:125">
      <c r="A1066" s="132"/>
      <c r="B1066" s="132"/>
      <c r="C1066" s="132"/>
      <c r="D1066" s="132"/>
      <c r="E1066" s="132"/>
      <c r="F1066" s="132"/>
      <c r="G1066" s="132"/>
      <c r="H1066" s="132"/>
      <c r="I1066" s="132"/>
      <c r="J1066" s="132"/>
      <c r="K1066" s="132"/>
      <c r="L1066" s="132"/>
      <c r="M1066" s="132"/>
      <c r="N1066" s="132"/>
      <c r="O1066" s="132"/>
      <c r="P1066" s="132"/>
      <c r="Q1066" s="132"/>
      <c r="R1066" s="132"/>
      <c r="S1066" s="132"/>
      <c r="T1066" s="132"/>
      <c r="U1066" s="132"/>
      <c r="V1066" s="132"/>
      <c r="W1066" s="132"/>
      <c r="X1066" s="132"/>
      <c r="Y1066" s="132"/>
      <c r="Z1066" s="132"/>
      <c r="AA1066" s="132"/>
      <c r="AB1066" s="132"/>
      <c r="AC1066" s="132"/>
      <c r="AD1066" s="132"/>
      <c r="AE1066" s="132"/>
      <c r="AF1066" s="132"/>
      <c r="AG1066" s="132"/>
      <c r="AH1066" s="132"/>
      <c r="AI1066" s="132"/>
      <c r="AJ1066" s="13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</row>
    <row r="1067" spans="1:125">
      <c r="A1067" s="132"/>
      <c r="B1067" s="132"/>
      <c r="C1067" s="132"/>
      <c r="D1067" s="132"/>
      <c r="E1067" s="132"/>
      <c r="F1067" s="132"/>
      <c r="G1067" s="132"/>
      <c r="H1067" s="132"/>
      <c r="I1067" s="132"/>
      <c r="J1067" s="132"/>
      <c r="K1067" s="132"/>
      <c r="L1067" s="132"/>
      <c r="M1067" s="132"/>
      <c r="N1067" s="132"/>
      <c r="O1067" s="132"/>
      <c r="P1067" s="132"/>
      <c r="Q1067" s="132"/>
      <c r="R1067" s="132"/>
      <c r="S1067" s="132"/>
      <c r="T1067" s="132"/>
      <c r="U1067" s="132"/>
      <c r="V1067" s="132"/>
      <c r="W1067" s="132"/>
      <c r="X1067" s="132"/>
      <c r="Y1067" s="132"/>
      <c r="Z1067" s="132"/>
      <c r="AA1067" s="132"/>
      <c r="AB1067" s="132"/>
      <c r="AC1067" s="132"/>
      <c r="AD1067" s="132"/>
      <c r="AE1067" s="132"/>
      <c r="AF1067" s="132"/>
      <c r="AG1067" s="132"/>
      <c r="AH1067" s="132"/>
      <c r="AI1067" s="132"/>
      <c r="AJ1067" s="13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  <c r="DR1067" s="12"/>
      <c r="DS1067" s="12"/>
      <c r="DT1067" s="12"/>
      <c r="DU1067" s="12"/>
    </row>
    <row r="1068" spans="1:125">
      <c r="A1068" s="132"/>
      <c r="B1068" s="132"/>
      <c r="C1068" s="132"/>
      <c r="D1068" s="132"/>
      <c r="E1068" s="132"/>
      <c r="F1068" s="132"/>
      <c r="G1068" s="132"/>
      <c r="H1068" s="132"/>
      <c r="I1068" s="132"/>
      <c r="J1068" s="132"/>
      <c r="K1068" s="132"/>
      <c r="L1068" s="132"/>
      <c r="M1068" s="132"/>
      <c r="N1068" s="132"/>
      <c r="O1068" s="132"/>
      <c r="P1068" s="132"/>
      <c r="Q1068" s="132"/>
      <c r="R1068" s="132"/>
      <c r="S1068" s="132"/>
      <c r="T1068" s="132"/>
      <c r="U1068" s="132"/>
      <c r="V1068" s="132"/>
      <c r="W1068" s="132"/>
      <c r="X1068" s="132"/>
      <c r="Y1068" s="132"/>
      <c r="Z1068" s="132"/>
      <c r="AA1068" s="132"/>
      <c r="AB1068" s="132"/>
      <c r="AC1068" s="132"/>
      <c r="AD1068" s="132"/>
      <c r="AE1068" s="132"/>
      <c r="AF1068" s="132"/>
      <c r="AG1068" s="132"/>
      <c r="AH1068" s="132"/>
      <c r="AI1068" s="132"/>
      <c r="AJ1068" s="13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  <c r="DR1068" s="12"/>
      <c r="DS1068" s="12"/>
      <c r="DT1068" s="12"/>
      <c r="DU1068" s="12"/>
    </row>
    <row r="1069" spans="1:125">
      <c r="A1069" s="132"/>
      <c r="B1069" s="132"/>
      <c r="C1069" s="132"/>
      <c r="D1069" s="132"/>
      <c r="E1069" s="132"/>
      <c r="F1069" s="132"/>
      <c r="G1069" s="132"/>
      <c r="H1069" s="132"/>
      <c r="I1069" s="132"/>
      <c r="J1069" s="132"/>
      <c r="K1069" s="132"/>
      <c r="L1069" s="132"/>
      <c r="M1069" s="132"/>
      <c r="N1069" s="132"/>
      <c r="O1069" s="132"/>
      <c r="P1069" s="132"/>
      <c r="Q1069" s="132"/>
      <c r="R1069" s="132"/>
      <c r="S1069" s="132"/>
      <c r="T1069" s="132"/>
      <c r="U1069" s="132"/>
      <c r="V1069" s="132"/>
      <c r="W1069" s="132"/>
      <c r="X1069" s="132"/>
      <c r="Y1069" s="132"/>
      <c r="Z1069" s="132"/>
      <c r="AA1069" s="132"/>
      <c r="AB1069" s="132"/>
      <c r="AC1069" s="132"/>
      <c r="AD1069" s="132"/>
      <c r="AE1069" s="132"/>
      <c r="AF1069" s="132"/>
      <c r="AG1069" s="132"/>
      <c r="AH1069" s="132"/>
      <c r="AI1069" s="132"/>
      <c r="AJ1069" s="13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  <c r="DR1069" s="12"/>
      <c r="DS1069" s="12"/>
      <c r="DT1069" s="12"/>
      <c r="DU1069" s="12"/>
    </row>
    <row r="1070" spans="1:125">
      <c r="A1070" s="132"/>
      <c r="B1070" s="132"/>
      <c r="C1070" s="132"/>
      <c r="D1070" s="132"/>
      <c r="E1070" s="132"/>
      <c r="F1070" s="132"/>
      <c r="G1070" s="132"/>
      <c r="H1070" s="132"/>
      <c r="I1070" s="132"/>
      <c r="J1070" s="132"/>
      <c r="K1070" s="132"/>
      <c r="L1070" s="132"/>
      <c r="M1070" s="132"/>
      <c r="N1070" s="132"/>
      <c r="O1070" s="132"/>
      <c r="P1070" s="132"/>
      <c r="Q1070" s="132"/>
      <c r="R1070" s="132"/>
      <c r="S1070" s="132"/>
      <c r="T1070" s="132"/>
      <c r="U1070" s="132"/>
      <c r="V1070" s="132"/>
      <c r="W1070" s="132"/>
      <c r="X1070" s="132"/>
      <c r="Y1070" s="132"/>
      <c r="Z1070" s="132"/>
      <c r="AA1070" s="132"/>
      <c r="AB1070" s="132"/>
      <c r="AC1070" s="132"/>
      <c r="AD1070" s="132"/>
      <c r="AE1070" s="132"/>
      <c r="AF1070" s="132"/>
      <c r="AG1070" s="132"/>
      <c r="AH1070" s="132"/>
      <c r="AI1070" s="132"/>
      <c r="AJ1070" s="13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  <c r="CW1070" s="12"/>
      <c r="CX1070" s="12"/>
      <c r="CY1070" s="12"/>
      <c r="CZ1070" s="12"/>
      <c r="DA1070" s="12"/>
      <c r="DB1070" s="12"/>
      <c r="DC1070" s="12"/>
      <c r="DD1070" s="12"/>
      <c r="DE1070" s="12"/>
      <c r="DF1070" s="12"/>
      <c r="DG1070" s="12"/>
      <c r="DH1070" s="12"/>
      <c r="DI1070" s="12"/>
      <c r="DJ1070" s="12"/>
      <c r="DK1070" s="12"/>
      <c r="DL1070" s="12"/>
      <c r="DM1070" s="12"/>
      <c r="DN1070" s="12"/>
      <c r="DO1070" s="12"/>
      <c r="DP1070" s="12"/>
      <c r="DQ1070" s="12"/>
      <c r="DR1070" s="12"/>
      <c r="DS1070" s="12"/>
      <c r="DT1070" s="12"/>
      <c r="DU1070" s="12"/>
    </row>
    <row r="1071" spans="1:125">
      <c r="A1071" s="132"/>
      <c r="B1071" s="132"/>
      <c r="C1071" s="132"/>
      <c r="D1071" s="132"/>
      <c r="E1071" s="132"/>
      <c r="F1071" s="132"/>
      <c r="G1071" s="132"/>
      <c r="H1071" s="132"/>
      <c r="I1071" s="132"/>
      <c r="J1071" s="132"/>
      <c r="K1071" s="132"/>
      <c r="L1071" s="132"/>
      <c r="M1071" s="132"/>
      <c r="N1071" s="132"/>
      <c r="O1071" s="132"/>
      <c r="P1071" s="132"/>
      <c r="Q1071" s="132"/>
      <c r="R1071" s="132"/>
      <c r="S1071" s="132"/>
      <c r="T1071" s="132"/>
      <c r="U1071" s="132"/>
      <c r="V1071" s="132"/>
      <c r="W1071" s="132"/>
      <c r="X1071" s="132"/>
      <c r="Y1071" s="132"/>
      <c r="Z1071" s="132"/>
      <c r="AA1071" s="132"/>
      <c r="AB1071" s="132"/>
      <c r="AC1071" s="132"/>
      <c r="AD1071" s="132"/>
      <c r="AE1071" s="132"/>
      <c r="AF1071" s="132"/>
      <c r="AG1071" s="132"/>
      <c r="AH1071" s="132"/>
      <c r="AI1071" s="132"/>
      <c r="AJ1071" s="13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</row>
    <row r="1072" spans="1:125">
      <c r="A1072" s="132"/>
      <c r="B1072" s="132"/>
      <c r="C1072" s="132"/>
      <c r="D1072" s="132"/>
      <c r="E1072" s="132"/>
      <c r="F1072" s="132"/>
      <c r="G1072" s="132"/>
      <c r="H1072" s="132"/>
      <c r="I1072" s="132"/>
      <c r="J1072" s="132"/>
      <c r="K1072" s="132"/>
      <c r="L1072" s="132"/>
      <c r="M1072" s="132"/>
      <c r="N1072" s="132"/>
      <c r="O1072" s="132"/>
      <c r="P1072" s="132"/>
      <c r="Q1072" s="132"/>
      <c r="R1072" s="132"/>
      <c r="S1072" s="132"/>
      <c r="T1072" s="132"/>
      <c r="U1072" s="132"/>
      <c r="V1072" s="132"/>
      <c r="W1072" s="132"/>
      <c r="X1072" s="132"/>
      <c r="Y1072" s="132"/>
      <c r="Z1072" s="132"/>
      <c r="AA1072" s="132"/>
      <c r="AB1072" s="132"/>
      <c r="AC1072" s="132"/>
      <c r="AD1072" s="132"/>
      <c r="AE1072" s="132"/>
      <c r="AF1072" s="132"/>
      <c r="AG1072" s="132"/>
      <c r="AH1072" s="132"/>
      <c r="AI1072" s="132"/>
      <c r="AJ1072" s="13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</row>
    <row r="1073" spans="1:125">
      <c r="A1073" s="132"/>
      <c r="B1073" s="132"/>
      <c r="C1073" s="132"/>
      <c r="D1073" s="132"/>
      <c r="E1073" s="132"/>
      <c r="F1073" s="132"/>
      <c r="G1073" s="132"/>
      <c r="H1073" s="132"/>
      <c r="I1073" s="132"/>
      <c r="J1073" s="132"/>
      <c r="K1073" s="132"/>
      <c r="L1073" s="132"/>
      <c r="M1073" s="132"/>
      <c r="N1073" s="132"/>
      <c r="O1073" s="132"/>
      <c r="P1073" s="132"/>
      <c r="Q1073" s="132"/>
      <c r="R1073" s="132"/>
      <c r="S1073" s="132"/>
      <c r="T1073" s="132"/>
      <c r="U1073" s="132"/>
      <c r="V1073" s="132"/>
      <c r="W1073" s="132"/>
      <c r="X1073" s="132"/>
      <c r="Y1073" s="132"/>
      <c r="Z1073" s="132"/>
      <c r="AA1073" s="132"/>
      <c r="AB1073" s="132"/>
      <c r="AC1073" s="132"/>
      <c r="AD1073" s="132"/>
      <c r="AE1073" s="132"/>
      <c r="AF1073" s="132"/>
      <c r="AG1073" s="132"/>
      <c r="AH1073" s="132"/>
      <c r="AI1073" s="132"/>
      <c r="AJ1073" s="13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</row>
    <row r="1074" spans="1:125">
      <c r="A1074" s="132"/>
      <c r="B1074" s="132"/>
      <c r="C1074" s="132"/>
      <c r="D1074" s="132"/>
      <c r="E1074" s="132"/>
      <c r="F1074" s="132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2"/>
      <c r="V1074" s="132"/>
      <c r="W1074" s="132"/>
      <c r="X1074" s="132"/>
      <c r="Y1074" s="132"/>
      <c r="Z1074" s="132"/>
      <c r="AA1074" s="132"/>
      <c r="AB1074" s="132"/>
      <c r="AC1074" s="132"/>
      <c r="AD1074" s="132"/>
      <c r="AE1074" s="132"/>
      <c r="AF1074" s="132"/>
      <c r="AG1074" s="132"/>
      <c r="AH1074" s="132"/>
      <c r="AI1074" s="132"/>
      <c r="AJ1074" s="13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  <c r="CW1074" s="12"/>
      <c r="CX1074" s="12"/>
      <c r="CY1074" s="12"/>
      <c r="CZ1074" s="12"/>
      <c r="DA1074" s="12"/>
      <c r="DB1074" s="12"/>
      <c r="DC1074" s="12"/>
      <c r="DD1074" s="12"/>
      <c r="DE1074" s="12"/>
      <c r="DF1074" s="12"/>
      <c r="DG1074" s="12"/>
      <c r="DH1074" s="12"/>
      <c r="DI1074" s="12"/>
      <c r="DJ1074" s="12"/>
      <c r="DK1074" s="12"/>
      <c r="DL1074" s="12"/>
      <c r="DM1074" s="12"/>
      <c r="DN1074" s="12"/>
      <c r="DO1074" s="12"/>
      <c r="DP1074" s="12"/>
      <c r="DQ1074" s="12"/>
      <c r="DR1074" s="12"/>
      <c r="DS1074" s="12"/>
      <c r="DT1074" s="12"/>
      <c r="DU1074" s="12"/>
    </row>
    <row r="1075" spans="1:125">
      <c r="A1075" s="132"/>
      <c r="B1075" s="132"/>
      <c r="C1075" s="132"/>
      <c r="D1075" s="132"/>
      <c r="E1075" s="132"/>
      <c r="F1075" s="132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2"/>
      <c r="V1075" s="132"/>
      <c r="W1075" s="132"/>
      <c r="X1075" s="132"/>
      <c r="Y1075" s="132"/>
      <c r="Z1075" s="132"/>
      <c r="AA1075" s="132"/>
      <c r="AB1075" s="132"/>
      <c r="AC1075" s="132"/>
      <c r="AD1075" s="132"/>
      <c r="AE1075" s="132"/>
      <c r="AF1075" s="132"/>
      <c r="AG1075" s="132"/>
      <c r="AH1075" s="132"/>
      <c r="AI1075" s="132"/>
      <c r="AJ1075" s="13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  <c r="DE1075" s="12"/>
      <c r="DF1075" s="12"/>
      <c r="DG1075" s="12"/>
      <c r="DH1075" s="12"/>
      <c r="DI1075" s="12"/>
      <c r="DJ1075" s="12"/>
      <c r="DK1075" s="12"/>
      <c r="DL1075" s="12"/>
      <c r="DM1075" s="12"/>
      <c r="DN1075" s="12"/>
      <c r="DO1075" s="12"/>
      <c r="DP1075" s="12"/>
      <c r="DQ1075" s="12"/>
      <c r="DR1075" s="12"/>
      <c r="DS1075" s="12"/>
      <c r="DT1075" s="12"/>
      <c r="DU1075" s="12"/>
    </row>
    <row r="1076" spans="1:125">
      <c r="A1076" s="132"/>
      <c r="B1076" s="132"/>
      <c r="C1076" s="132"/>
      <c r="D1076" s="132"/>
      <c r="E1076" s="132"/>
      <c r="F1076" s="132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2"/>
      <c r="V1076" s="132"/>
      <c r="W1076" s="132"/>
      <c r="X1076" s="132"/>
      <c r="Y1076" s="132"/>
      <c r="Z1076" s="132"/>
      <c r="AA1076" s="132"/>
      <c r="AB1076" s="132"/>
      <c r="AC1076" s="132"/>
      <c r="AD1076" s="132"/>
      <c r="AE1076" s="132"/>
      <c r="AF1076" s="132"/>
      <c r="AG1076" s="132"/>
      <c r="AH1076" s="132"/>
      <c r="AI1076" s="132"/>
      <c r="AJ1076" s="13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  <c r="CW1076" s="12"/>
      <c r="CX1076" s="12"/>
      <c r="CY1076" s="12"/>
      <c r="CZ1076" s="12"/>
      <c r="DA1076" s="12"/>
      <c r="DB1076" s="12"/>
      <c r="DC1076" s="12"/>
      <c r="DD1076" s="12"/>
      <c r="DE1076" s="12"/>
      <c r="DF1076" s="12"/>
      <c r="DG1076" s="12"/>
      <c r="DH1076" s="12"/>
      <c r="DI1076" s="12"/>
      <c r="DJ1076" s="12"/>
      <c r="DK1076" s="12"/>
      <c r="DL1076" s="12"/>
      <c r="DM1076" s="12"/>
      <c r="DN1076" s="12"/>
      <c r="DO1076" s="12"/>
      <c r="DP1076" s="12"/>
      <c r="DQ1076" s="12"/>
      <c r="DR1076" s="12"/>
      <c r="DS1076" s="12"/>
      <c r="DT1076" s="12"/>
      <c r="DU1076" s="12"/>
    </row>
    <row r="1077" spans="1:125">
      <c r="A1077" s="132"/>
      <c r="B1077" s="132"/>
      <c r="C1077" s="132"/>
      <c r="D1077" s="132"/>
      <c r="E1077" s="132"/>
      <c r="F1077" s="132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2"/>
      <c r="V1077" s="132"/>
      <c r="W1077" s="132"/>
      <c r="X1077" s="132"/>
      <c r="Y1077" s="132"/>
      <c r="Z1077" s="132"/>
      <c r="AA1077" s="132"/>
      <c r="AB1077" s="132"/>
      <c r="AC1077" s="132"/>
      <c r="AD1077" s="132"/>
      <c r="AE1077" s="132"/>
      <c r="AF1077" s="132"/>
      <c r="AG1077" s="132"/>
      <c r="AH1077" s="132"/>
      <c r="AI1077" s="132"/>
      <c r="AJ1077" s="13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  <c r="DE1077" s="12"/>
      <c r="DF1077" s="12"/>
      <c r="DG1077" s="12"/>
      <c r="DH1077" s="12"/>
      <c r="DI1077" s="12"/>
      <c r="DJ1077" s="12"/>
      <c r="DK1077" s="12"/>
      <c r="DL1077" s="12"/>
      <c r="DM1077" s="12"/>
      <c r="DN1077" s="12"/>
      <c r="DO1077" s="12"/>
      <c r="DP1077" s="12"/>
      <c r="DQ1077" s="12"/>
      <c r="DR1077" s="12"/>
      <c r="DS1077" s="12"/>
      <c r="DT1077" s="12"/>
      <c r="DU1077" s="12"/>
    </row>
    <row r="1078" spans="1:125">
      <c r="A1078" s="132"/>
      <c r="B1078" s="132"/>
      <c r="C1078" s="132"/>
      <c r="D1078" s="132"/>
      <c r="E1078" s="132"/>
      <c r="F1078" s="132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2"/>
      <c r="V1078" s="132"/>
      <c r="W1078" s="132"/>
      <c r="X1078" s="132"/>
      <c r="Y1078" s="132"/>
      <c r="Z1078" s="132"/>
      <c r="AA1078" s="132"/>
      <c r="AB1078" s="132"/>
      <c r="AC1078" s="132"/>
      <c r="AD1078" s="132"/>
      <c r="AE1078" s="132"/>
      <c r="AF1078" s="132"/>
      <c r="AG1078" s="132"/>
      <c r="AH1078" s="132"/>
      <c r="AI1078" s="132"/>
      <c r="AJ1078" s="13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  <c r="CW1078" s="12"/>
      <c r="CX1078" s="12"/>
      <c r="CY1078" s="12"/>
      <c r="CZ1078" s="12"/>
      <c r="DA1078" s="12"/>
      <c r="DB1078" s="12"/>
      <c r="DC1078" s="12"/>
      <c r="DD1078" s="12"/>
      <c r="DE1078" s="12"/>
      <c r="DF1078" s="12"/>
      <c r="DG1078" s="12"/>
      <c r="DH1078" s="12"/>
      <c r="DI1078" s="12"/>
      <c r="DJ1078" s="12"/>
      <c r="DK1078" s="12"/>
      <c r="DL1078" s="12"/>
      <c r="DM1078" s="12"/>
      <c r="DN1078" s="12"/>
      <c r="DO1078" s="12"/>
      <c r="DP1078" s="12"/>
      <c r="DQ1078" s="12"/>
      <c r="DR1078" s="12"/>
      <c r="DS1078" s="12"/>
      <c r="DT1078" s="12"/>
      <c r="DU1078" s="12"/>
    </row>
    <row r="1079" spans="1:125">
      <c r="A1079" s="132"/>
      <c r="B1079" s="132"/>
      <c r="C1079" s="132"/>
      <c r="D1079" s="132"/>
      <c r="E1079" s="132"/>
      <c r="F1079" s="132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2"/>
      <c r="V1079" s="132"/>
      <c r="W1079" s="132"/>
      <c r="X1079" s="132"/>
      <c r="Y1079" s="132"/>
      <c r="Z1079" s="132"/>
      <c r="AA1079" s="132"/>
      <c r="AB1079" s="132"/>
      <c r="AC1079" s="132"/>
      <c r="AD1079" s="132"/>
      <c r="AE1079" s="132"/>
      <c r="AF1079" s="132"/>
      <c r="AG1079" s="132"/>
      <c r="AH1079" s="132"/>
      <c r="AI1079" s="132"/>
      <c r="AJ1079" s="13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  <c r="DE1079" s="12"/>
      <c r="DF1079" s="12"/>
      <c r="DG1079" s="12"/>
      <c r="DH1079" s="12"/>
      <c r="DI1079" s="12"/>
      <c r="DJ1079" s="12"/>
      <c r="DK1079" s="12"/>
      <c r="DL1079" s="12"/>
      <c r="DM1079" s="12"/>
      <c r="DN1079" s="12"/>
      <c r="DO1079" s="12"/>
      <c r="DP1079" s="12"/>
      <c r="DQ1079" s="12"/>
      <c r="DR1079" s="12"/>
      <c r="DS1079" s="12"/>
      <c r="DT1079" s="12"/>
      <c r="DU1079" s="12"/>
    </row>
    <row r="1080" spans="1:125">
      <c r="A1080" s="132"/>
      <c r="B1080" s="132"/>
      <c r="C1080" s="132"/>
      <c r="D1080" s="132"/>
      <c r="E1080" s="132"/>
      <c r="F1080" s="132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2"/>
      <c r="V1080" s="132"/>
      <c r="W1080" s="132"/>
      <c r="X1080" s="132"/>
      <c r="Y1080" s="132"/>
      <c r="Z1080" s="132"/>
      <c r="AA1080" s="132"/>
      <c r="AB1080" s="132"/>
      <c r="AC1080" s="132"/>
      <c r="AD1080" s="132"/>
      <c r="AE1080" s="132"/>
      <c r="AF1080" s="132"/>
      <c r="AG1080" s="132"/>
      <c r="AH1080" s="132"/>
      <c r="AI1080" s="132"/>
      <c r="AJ1080" s="13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  <c r="DR1080" s="12"/>
      <c r="DS1080" s="12"/>
      <c r="DT1080" s="12"/>
      <c r="DU1080" s="12"/>
    </row>
    <row r="1081" spans="1:125">
      <c r="A1081" s="132"/>
      <c r="B1081" s="132"/>
      <c r="C1081" s="132"/>
      <c r="D1081" s="132"/>
      <c r="E1081" s="132"/>
      <c r="F1081" s="132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2"/>
      <c r="V1081" s="132"/>
      <c r="W1081" s="132"/>
      <c r="X1081" s="132"/>
      <c r="Y1081" s="132"/>
      <c r="Z1081" s="132"/>
      <c r="AA1081" s="132"/>
      <c r="AB1081" s="132"/>
      <c r="AC1081" s="132"/>
      <c r="AD1081" s="132"/>
      <c r="AE1081" s="132"/>
      <c r="AF1081" s="132"/>
      <c r="AG1081" s="132"/>
      <c r="AH1081" s="132"/>
      <c r="AI1081" s="132"/>
      <c r="AJ1081" s="13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  <c r="DR1081" s="12"/>
      <c r="DS1081" s="12"/>
      <c r="DT1081" s="12"/>
      <c r="DU1081" s="12"/>
    </row>
    <row r="1082" spans="1:125">
      <c r="A1082" s="132"/>
      <c r="B1082" s="132"/>
      <c r="C1082" s="132"/>
      <c r="D1082" s="132"/>
      <c r="E1082" s="132"/>
      <c r="F1082" s="132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2"/>
      <c r="V1082" s="132"/>
      <c r="W1082" s="132"/>
      <c r="X1082" s="132"/>
      <c r="Y1082" s="132"/>
      <c r="Z1082" s="132"/>
      <c r="AA1082" s="132"/>
      <c r="AB1082" s="132"/>
      <c r="AC1082" s="132"/>
      <c r="AD1082" s="132"/>
      <c r="AE1082" s="132"/>
      <c r="AF1082" s="132"/>
      <c r="AG1082" s="132"/>
      <c r="AH1082" s="132"/>
      <c r="AI1082" s="132"/>
      <c r="AJ1082" s="13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  <c r="CW1082" s="12"/>
      <c r="CX1082" s="12"/>
      <c r="CY1082" s="12"/>
      <c r="CZ1082" s="12"/>
      <c r="DA1082" s="12"/>
      <c r="DB1082" s="12"/>
      <c r="DC1082" s="12"/>
      <c r="DD1082" s="12"/>
      <c r="DE1082" s="12"/>
      <c r="DF1082" s="12"/>
      <c r="DG1082" s="12"/>
      <c r="DH1082" s="12"/>
      <c r="DI1082" s="12"/>
      <c r="DJ1082" s="12"/>
      <c r="DK1082" s="12"/>
      <c r="DL1082" s="12"/>
      <c r="DM1082" s="12"/>
      <c r="DN1082" s="12"/>
      <c r="DO1082" s="12"/>
      <c r="DP1082" s="12"/>
      <c r="DQ1082" s="12"/>
      <c r="DR1082" s="12"/>
      <c r="DS1082" s="12"/>
      <c r="DT1082" s="12"/>
      <c r="DU1082" s="12"/>
    </row>
    <row r="1083" spans="1:125">
      <c r="A1083" s="132"/>
      <c r="B1083" s="132"/>
      <c r="C1083" s="132"/>
      <c r="D1083" s="132"/>
      <c r="E1083" s="132"/>
      <c r="F1083" s="132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2"/>
      <c r="V1083" s="132"/>
      <c r="W1083" s="132"/>
      <c r="X1083" s="132"/>
      <c r="Y1083" s="132"/>
      <c r="Z1083" s="132"/>
      <c r="AA1083" s="132"/>
      <c r="AB1083" s="132"/>
      <c r="AC1083" s="132"/>
      <c r="AD1083" s="132"/>
      <c r="AE1083" s="132"/>
      <c r="AF1083" s="132"/>
      <c r="AG1083" s="132"/>
      <c r="AH1083" s="132"/>
      <c r="AI1083" s="132"/>
      <c r="AJ1083" s="13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  <c r="DE1083" s="12"/>
      <c r="DF1083" s="12"/>
      <c r="DG1083" s="12"/>
      <c r="DH1083" s="12"/>
      <c r="DI1083" s="12"/>
      <c r="DJ1083" s="12"/>
      <c r="DK1083" s="12"/>
      <c r="DL1083" s="12"/>
      <c r="DM1083" s="12"/>
      <c r="DN1083" s="12"/>
      <c r="DO1083" s="12"/>
      <c r="DP1083" s="12"/>
      <c r="DQ1083" s="12"/>
      <c r="DR1083" s="12"/>
      <c r="DS1083" s="12"/>
      <c r="DT1083" s="12"/>
      <c r="DU1083" s="12"/>
    </row>
    <row r="1084" spans="1:125">
      <c r="A1084" s="132"/>
      <c r="B1084" s="132"/>
      <c r="C1084" s="132"/>
      <c r="D1084" s="132"/>
      <c r="E1084" s="132"/>
      <c r="F1084" s="132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2"/>
      <c r="V1084" s="132"/>
      <c r="W1084" s="132"/>
      <c r="X1084" s="132"/>
      <c r="Y1084" s="132"/>
      <c r="Z1084" s="132"/>
      <c r="AA1084" s="132"/>
      <c r="AB1084" s="132"/>
      <c r="AC1084" s="132"/>
      <c r="AD1084" s="132"/>
      <c r="AE1084" s="132"/>
      <c r="AF1084" s="132"/>
      <c r="AG1084" s="132"/>
      <c r="AH1084" s="132"/>
      <c r="AI1084" s="132"/>
      <c r="AJ1084" s="13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  <c r="CW1084" s="12"/>
      <c r="CX1084" s="12"/>
      <c r="CY1084" s="12"/>
      <c r="CZ1084" s="12"/>
      <c r="DA1084" s="12"/>
      <c r="DB1084" s="12"/>
      <c r="DC1084" s="12"/>
      <c r="DD1084" s="12"/>
      <c r="DE1084" s="12"/>
      <c r="DF1084" s="12"/>
      <c r="DG1084" s="12"/>
      <c r="DH1084" s="12"/>
      <c r="DI1084" s="12"/>
      <c r="DJ1084" s="12"/>
      <c r="DK1084" s="12"/>
      <c r="DL1084" s="12"/>
      <c r="DM1084" s="12"/>
      <c r="DN1084" s="12"/>
      <c r="DO1084" s="12"/>
      <c r="DP1084" s="12"/>
      <c r="DQ1084" s="12"/>
      <c r="DR1084" s="12"/>
      <c r="DS1084" s="12"/>
      <c r="DT1084" s="12"/>
      <c r="DU1084" s="12"/>
    </row>
    <row r="1085" spans="1:125">
      <c r="A1085" s="132"/>
      <c r="B1085" s="132"/>
      <c r="C1085" s="132"/>
      <c r="D1085" s="132"/>
      <c r="E1085" s="132"/>
      <c r="F1085" s="132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2"/>
      <c r="V1085" s="132"/>
      <c r="W1085" s="132"/>
      <c r="X1085" s="132"/>
      <c r="Y1085" s="132"/>
      <c r="Z1085" s="132"/>
      <c r="AA1085" s="132"/>
      <c r="AB1085" s="132"/>
      <c r="AC1085" s="132"/>
      <c r="AD1085" s="132"/>
      <c r="AE1085" s="132"/>
      <c r="AF1085" s="132"/>
      <c r="AG1085" s="132"/>
      <c r="AH1085" s="132"/>
      <c r="AI1085" s="132"/>
      <c r="AJ1085" s="13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  <c r="DE1085" s="12"/>
      <c r="DF1085" s="12"/>
      <c r="DG1085" s="12"/>
      <c r="DH1085" s="12"/>
      <c r="DI1085" s="12"/>
      <c r="DJ1085" s="12"/>
      <c r="DK1085" s="12"/>
      <c r="DL1085" s="12"/>
      <c r="DM1085" s="12"/>
      <c r="DN1085" s="12"/>
      <c r="DO1085" s="12"/>
      <c r="DP1085" s="12"/>
      <c r="DQ1085" s="12"/>
      <c r="DR1085" s="12"/>
      <c r="DS1085" s="12"/>
      <c r="DT1085" s="12"/>
      <c r="DU1085" s="12"/>
    </row>
    <row r="1086" spans="1:125">
      <c r="A1086" s="132"/>
      <c r="B1086" s="132"/>
      <c r="C1086" s="132"/>
      <c r="D1086" s="132"/>
      <c r="E1086" s="132"/>
      <c r="F1086" s="132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2"/>
      <c r="V1086" s="132"/>
      <c r="W1086" s="132"/>
      <c r="X1086" s="132"/>
      <c r="Y1086" s="132"/>
      <c r="Z1086" s="132"/>
      <c r="AA1086" s="132"/>
      <c r="AB1086" s="132"/>
      <c r="AC1086" s="132"/>
      <c r="AD1086" s="132"/>
      <c r="AE1086" s="132"/>
      <c r="AF1086" s="132"/>
      <c r="AG1086" s="132"/>
      <c r="AH1086" s="132"/>
      <c r="AI1086" s="132"/>
      <c r="AJ1086" s="13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  <c r="CW1086" s="12"/>
      <c r="CX1086" s="12"/>
      <c r="CY1086" s="12"/>
      <c r="CZ1086" s="12"/>
      <c r="DA1086" s="12"/>
      <c r="DB1086" s="12"/>
      <c r="DC1086" s="12"/>
      <c r="DD1086" s="12"/>
      <c r="DE1086" s="12"/>
      <c r="DF1086" s="12"/>
      <c r="DG1086" s="12"/>
      <c r="DH1086" s="12"/>
      <c r="DI1086" s="12"/>
      <c r="DJ1086" s="12"/>
      <c r="DK1086" s="12"/>
      <c r="DL1086" s="12"/>
      <c r="DM1086" s="12"/>
      <c r="DN1086" s="12"/>
      <c r="DO1086" s="12"/>
      <c r="DP1086" s="12"/>
      <c r="DQ1086" s="12"/>
      <c r="DR1086" s="12"/>
      <c r="DS1086" s="12"/>
      <c r="DT1086" s="12"/>
      <c r="DU1086" s="12"/>
    </row>
    <row r="1087" spans="1:125">
      <c r="A1087" s="132"/>
      <c r="B1087" s="132"/>
      <c r="C1087" s="132"/>
      <c r="D1087" s="132"/>
      <c r="E1087" s="132"/>
      <c r="F1087" s="132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2"/>
      <c r="V1087" s="132"/>
      <c r="W1087" s="132"/>
      <c r="X1087" s="132"/>
      <c r="Y1087" s="132"/>
      <c r="Z1087" s="132"/>
      <c r="AA1087" s="132"/>
      <c r="AB1087" s="132"/>
      <c r="AC1087" s="132"/>
      <c r="AD1087" s="132"/>
      <c r="AE1087" s="132"/>
      <c r="AF1087" s="132"/>
      <c r="AG1087" s="132"/>
      <c r="AH1087" s="132"/>
      <c r="AI1087" s="132"/>
      <c r="AJ1087" s="13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  <c r="DE1087" s="12"/>
      <c r="DF1087" s="12"/>
      <c r="DG1087" s="12"/>
      <c r="DH1087" s="12"/>
      <c r="DI1087" s="12"/>
      <c r="DJ1087" s="12"/>
      <c r="DK1087" s="12"/>
      <c r="DL1087" s="12"/>
      <c r="DM1087" s="12"/>
      <c r="DN1087" s="12"/>
      <c r="DO1087" s="12"/>
      <c r="DP1087" s="12"/>
      <c r="DQ1087" s="12"/>
      <c r="DR1087" s="12"/>
      <c r="DS1087" s="12"/>
      <c r="DT1087" s="12"/>
      <c r="DU1087" s="12"/>
    </row>
    <row r="1088" spans="1:125">
      <c r="A1088" s="132"/>
      <c r="B1088" s="132"/>
      <c r="C1088" s="132"/>
      <c r="D1088" s="132"/>
      <c r="E1088" s="132"/>
      <c r="F1088" s="132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2"/>
      <c r="V1088" s="132"/>
      <c r="W1088" s="132"/>
      <c r="X1088" s="132"/>
      <c r="Y1088" s="132"/>
      <c r="Z1088" s="132"/>
      <c r="AA1088" s="132"/>
      <c r="AB1088" s="132"/>
      <c r="AC1088" s="132"/>
      <c r="AD1088" s="132"/>
      <c r="AE1088" s="132"/>
      <c r="AF1088" s="132"/>
      <c r="AG1088" s="132"/>
      <c r="AH1088" s="132"/>
      <c r="AI1088" s="132"/>
      <c r="AJ1088" s="13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  <c r="DR1088" s="12"/>
      <c r="DS1088" s="12"/>
      <c r="DT1088" s="12"/>
      <c r="DU1088" s="12"/>
    </row>
    <row r="1089" spans="1:125">
      <c r="A1089" s="132"/>
      <c r="B1089" s="132"/>
      <c r="C1089" s="132"/>
      <c r="D1089" s="132"/>
      <c r="E1089" s="132"/>
      <c r="F1089" s="132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2"/>
      <c r="V1089" s="132"/>
      <c r="W1089" s="132"/>
      <c r="X1089" s="132"/>
      <c r="Y1089" s="132"/>
      <c r="Z1089" s="132"/>
      <c r="AA1089" s="132"/>
      <c r="AB1089" s="132"/>
      <c r="AC1089" s="132"/>
      <c r="AD1089" s="132"/>
      <c r="AE1089" s="132"/>
      <c r="AF1089" s="132"/>
      <c r="AG1089" s="132"/>
      <c r="AH1089" s="132"/>
      <c r="AI1089" s="132"/>
      <c r="AJ1089" s="13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  <c r="DR1089" s="12"/>
      <c r="DS1089" s="12"/>
      <c r="DT1089" s="12"/>
      <c r="DU1089" s="12"/>
    </row>
    <row r="1090" spans="1:125">
      <c r="A1090" s="132"/>
      <c r="B1090" s="132"/>
      <c r="C1090" s="132"/>
      <c r="D1090" s="132"/>
      <c r="E1090" s="132"/>
      <c r="F1090" s="132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2"/>
      <c r="V1090" s="132"/>
      <c r="W1090" s="132"/>
      <c r="X1090" s="132"/>
      <c r="Y1090" s="132"/>
      <c r="Z1090" s="132"/>
      <c r="AA1090" s="132"/>
      <c r="AB1090" s="132"/>
      <c r="AC1090" s="132"/>
      <c r="AD1090" s="132"/>
      <c r="AE1090" s="132"/>
      <c r="AF1090" s="132"/>
      <c r="AG1090" s="132"/>
      <c r="AH1090" s="132"/>
      <c r="AI1090" s="132"/>
      <c r="AJ1090" s="13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</row>
    <row r="1091" spans="1:125">
      <c r="A1091" s="132"/>
      <c r="B1091" s="132"/>
      <c r="C1091" s="132"/>
      <c r="D1091" s="132"/>
      <c r="E1091" s="132"/>
      <c r="F1091" s="132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2"/>
      <c r="V1091" s="132"/>
      <c r="W1091" s="132"/>
      <c r="X1091" s="132"/>
      <c r="Y1091" s="132"/>
      <c r="Z1091" s="132"/>
      <c r="AA1091" s="132"/>
      <c r="AB1091" s="132"/>
      <c r="AC1091" s="132"/>
      <c r="AD1091" s="132"/>
      <c r="AE1091" s="132"/>
      <c r="AF1091" s="132"/>
      <c r="AG1091" s="132"/>
      <c r="AH1091" s="132"/>
      <c r="AI1091" s="132"/>
      <c r="AJ1091" s="13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  <c r="DE1091" s="12"/>
      <c r="DF1091" s="12"/>
      <c r="DG1091" s="12"/>
      <c r="DH1091" s="12"/>
      <c r="DI1091" s="12"/>
      <c r="DJ1091" s="12"/>
      <c r="DK1091" s="12"/>
      <c r="DL1091" s="12"/>
      <c r="DM1091" s="12"/>
      <c r="DN1091" s="12"/>
      <c r="DO1091" s="12"/>
      <c r="DP1091" s="12"/>
      <c r="DQ1091" s="12"/>
      <c r="DR1091" s="12"/>
      <c r="DS1091" s="12"/>
      <c r="DT1091" s="12"/>
      <c r="DU1091" s="12"/>
    </row>
    <row r="1092" spans="1:125">
      <c r="A1092" s="132"/>
      <c r="B1092" s="132"/>
      <c r="C1092" s="132"/>
      <c r="D1092" s="132"/>
      <c r="E1092" s="132"/>
      <c r="F1092" s="132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2"/>
      <c r="V1092" s="132"/>
      <c r="W1092" s="132"/>
      <c r="X1092" s="132"/>
      <c r="Y1092" s="132"/>
      <c r="Z1092" s="132"/>
      <c r="AA1092" s="132"/>
      <c r="AB1092" s="132"/>
      <c r="AC1092" s="132"/>
      <c r="AD1092" s="132"/>
      <c r="AE1092" s="132"/>
      <c r="AF1092" s="132"/>
      <c r="AG1092" s="132"/>
      <c r="AH1092" s="132"/>
      <c r="AI1092" s="132"/>
      <c r="AJ1092" s="13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  <c r="CW1092" s="12"/>
      <c r="CX1092" s="12"/>
      <c r="CY1092" s="12"/>
      <c r="CZ1092" s="12"/>
      <c r="DA1092" s="12"/>
      <c r="DB1092" s="12"/>
      <c r="DC1092" s="12"/>
      <c r="DD1092" s="12"/>
      <c r="DE1092" s="12"/>
      <c r="DF1092" s="12"/>
      <c r="DG1092" s="12"/>
      <c r="DH1092" s="12"/>
      <c r="DI1092" s="12"/>
      <c r="DJ1092" s="12"/>
      <c r="DK1092" s="12"/>
      <c r="DL1092" s="12"/>
      <c r="DM1092" s="12"/>
      <c r="DN1092" s="12"/>
      <c r="DO1092" s="12"/>
      <c r="DP1092" s="12"/>
      <c r="DQ1092" s="12"/>
      <c r="DR1092" s="12"/>
      <c r="DS1092" s="12"/>
      <c r="DT1092" s="12"/>
      <c r="DU1092" s="12"/>
    </row>
    <row r="1093" spans="1:125">
      <c r="A1093" s="132"/>
      <c r="B1093" s="132"/>
      <c r="C1093" s="132"/>
      <c r="D1093" s="132"/>
      <c r="E1093" s="132"/>
      <c r="F1093" s="132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2"/>
      <c r="V1093" s="132"/>
      <c r="W1093" s="132"/>
      <c r="X1093" s="132"/>
      <c r="Y1093" s="132"/>
      <c r="Z1093" s="132"/>
      <c r="AA1093" s="132"/>
      <c r="AB1093" s="132"/>
      <c r="AC1093" s="132"/>
      <c r="AD1093" s="132"/>
      <c r="AE1093" s="132"/>
      <c r="AF1093" s="132"/>
      <c r="AG1093" s="132"/>
      <c r="AH1093" s="132"/>
      <c r="AI1093" s="132"/>
      <c r="AJ1093" s="13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/>
      <c r="DM1093" s="12"/>
      <c r="DN1093" s="12"/>
      <c r="DO1093" s="12"/>
      <c r="DP1093" s="12"/>
      <c r="DQ1093" s="12"/>
      <c r="DR1093" s="12"/>
      <c r="DS1093" s="12"/>
      <c r="DT1093" s="12"/>
      <c r="DU1093" s="12"/>
    </row>
    <row r="1094" spans="1:125">
      <c r="A1094" s="132"/>
      <c r="B1094" s="132"/>
      <c r="C1094" s="132"/>
      <c r="D1094" s="132"/>
      <c r="E1094" s="132"/>
      <c r="F1094" s="132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2"/>
      <c r="V1094" s="132"/>
      <c r="W1094" s="132"/>
      <c r="X1094" s="132"/>
      <c r="Y1094" s="132"/>
      <c r="Z1094" s="132"/>
      <c r="AA1094" s="132"/>
      <c r="AB1094" s="132"/>
      <c r="AC1094" s="132"/>
      <c r="AD1094" s="132"/>
      <c r="AE1094" s="132"/>
      <c r="AF1094" s="132"/>
      <c r="AG1094" s="132"/>
      <c r="AH1094" s="132"/>
      <c r="AI1094" s="132"/>
      <c r="AJ1094" s="13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/>
      <c r="DM1094" s="12"/>
      <c r="DN1094" s="12"/>
      <c r="DO1094" s="12"/>
      <c r="DP1094" s="12"/>
      <c r="DQ1094" s="12"/>
      <c r="DR1094" s="12"/>
      <c r="DS1094" s="12"/>
      <c r="DT1094" s="12"/>
      <c r="DU1094" s="12"/>
    </row>
    <row r="1095" spans="1:125">
      <c r="A1095" s="132"/>
      <c r="B1095" s="132"/>
      <c r="C1095" s="132"/>
      <c r="D1095" s="132"/>
      <c r="E1095" s="132"/>
      <c r="F1095" s="132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2"/>
      <c r="V1095" s="132"/>
      <c r="W1095" s="132"/>
      <c r="X1095" s="132"/>
      <c r="Y1095" s="132"/>
      <c r="Z1095" s="132"/>
      <c r="AA1095" s="132"/>
      <c r="AB1095" s="132"/>
      <c r="AC1095" s="132"/>
      <c r="AD1095" s="132"/>
      <c r="AE1095" s="132"/>
      <c r="AF1095" s="132"/>
      <c r="AG1095" s="132"/>
      <c r="AH1095" s="132"/>
      <c r="AI1095" s="132"/>
      <c r="AJ1095" s="13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  <c r="DE1095" s="12"/>
      <c r="DF1095" s="12"/>
      <c r="DG1095" s="12"/>
      <c r="DH1095" s="12"/>
      <c r="DI1095" s="12"/>
      <c r="DJ1095" s="12"/>
      <c r="DK1095" s="12"/>
      <c r="DL1095" s="12"/>
      <c r="DM1095" s="12"/>
      <c r="DN1095" s="12"/>
      <c r="DO1095" s="12"/>
      <c r="DP1095" s="12"/>
      <c r="DQ1095" s="12"/>
      <c r="DR1095" s="12"/>
      <c r="DS1095" s="12"/>
      <c r="DT1095" s="12"/>
      <c r="DU1095" s="12"/>
    </row>
    <row r="1096" spans="1:125">
      <c r="A1096" s="132"/>
      <c r="B1096" s="132"/>
      <c r="C1096" s="132"/>
      <c r="D1096" s="132"/>
      <c r="E1096" s="132"/>
      <c r="F1096" s="132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2"/>
      <c r="V1096" s="132"/>
      <c r="W1096" s="132"/>
      <c r="X1096" s="132"/>
      <c r="Y1096" s="132"/>
      <c r="Z1096" s="132"/>
      <c r="AA1096" s="132"/>
      <c r="AB1096" s="132"/>
      <c r="AC1096" s="132"/>
      <c r="AD1096" s="132"/>
      <c r="AE1096" s="132"/>
      <c r="AF1096" s="132"/>
      <c r="AG1096" s="132"/>
      <c r="AH1096" s="132"/>
      <c r="AI1096" s="132"/>
      <c r="AJ1096" s="13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/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  <c r="DR1096" s="12"/>
      <c r="DS1096" s="12"/>
      <c r="DT1096" s="12"/>
      <c r="DU1096" s="12"/>
    </row>
    <row r="1097" spans="1:125">
      <c r="A1097" s="132"/>
      <c r="B1097" s="132"/>
      <c r="C1097" s="132"/>
      <c r="D1097" s="132"/>
      <c r="E1097" s="132"/>
      <c r="F1097" s="132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2"/>
      <c r="V1097" s="132"/>
      <c r="W1097" s="132"/>
      <c r="X1097" s="132"/>
      <c r="Y1097" s="132"/>
      <c r="Z1097" s="132"/>
      <c r="AA1097" s="132"/>
      <c r="AB1097" s="132"/>
      <c r="AC1097" s="132"/>
      <c r="AD1097" s="132"/>
      <c r="AE1097" s="132"/>
      <c r="AF1097" s="132"/>
      <c r="AG1097" s="132"/>
      <c r="AH1097" s="132"/>
      <c r="AI1097" s="132"/>
      <c r="AJ1097" s="13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  <c r="CF1097" s="12"/>
      <c r="CG1097" s="12"/>
      <c r="CH1097" s="12"/>
      <c r="CI1097" s="12"/>
      <c r="CJ1097" s="12"/>
      <c r="CK1097" s="12"/>
      <c r="CL1097" s="12"/>
      <c r="CM1097" s="12"/>
      <c r="CN1097" s="12"/>
      <c r="CO1097" s="12"/>
      <c r="CP1097" s="12"/>
      <c r="CQ1097" s="12"/>
      <c r="CR1097" s="12"/>
      <c r="CS1097" s="12"/>
      <c r="CT1097" s="12"/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  <c r="DE1097" s="12"/>
      <c r="DF1097" s="12"/>
      <c r="DG1097" s="12"/>
      <c r="DH1097" s="12"/>
      <c r="DI1097" s="12"/>
      <c r="DJ1097" s="12"/>
      <c r="DK1097" s="12"/>
      <c r="DL1097" s="12"/>
      <c r="DM1097" s="12"/>
      <c r="DN1097" s="12"/>
      <c r="DO1097" s="12"/>
      <c r="DP1097" s="12"/>
      <c r="DQ1097" s="12"/>
      <c r="DR1097" s="12"/>
      <c r="DS1097" s="12"/>
      <c r="DT1097" s="12"/>
      <c r="DU1097" s="12"/>
    </row>
    <row r="1098" spans="1:125">
      <c r="A1098" s="132"/>
      <c r="B1098" s="132"/>
      <c r="C1098" s="132"/>
      <c r="D1098" s="132"/>
      <c r="E1098" s="132"/>
      <c r="F1098" s="132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2"/>
      <c r="V1098" s="132"/>
      <c r="W1098" s="132"/>
      <c r="X1098" s="132"/>
      <c r="Y1098" s="132"/>
      <c r="Z1098" s="132"/>
      <c r="AA1098" s="132"/>
      <c r="AB1098" s="132"/>
      <c r="AC1098" s="132"/>
      <c r="AD1098" s="132"/>
      <c r="AE1098" s="132"/>
      <c r="AF1098" s="132"/>
      <c r="AG1098" s="132"/>
      <c r="AH1098" s="132"/>
      <c r="AI1098" s="132"/>
      <c r="AJ1098" s="13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  <c r="DR1098" s="12"/>
      <c r="DS1098" s="12"/>
      <c r="DT1098" s="12"/>
      <c r="DU1098" s="12"/>
    </row>
    <row r="1099" spans="1:125">
      <c r="A1099" s="132"/>
      <c r="B1099" s="132"/>
      <c r="C1099" s="132"/>
      <c r="D1099" s="132"/>
      <c r="E1099" s="132"/>
      <c r="F1099" s="132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2"/>
      <c r="V1099" s="132"/>
      <c r="W1099" s="132"/>
      <c r="X1099" s="132"/>
      <c r="Y1099" s="132"/>
      <c r="Z1099" s="132"/>
      <c r="AA1099" s="132"/>
      <c r="AB1099" s="132"/>
      <c r="AC1099" s="132"/>
      <c r="AD1099" s="132"/>
      <c r="AE1099" s="132"/>
      <c r="AF1099" s="132"/>
      <c r="AG1099" s="132"/>
      <c r="AH1099" s="132"/>
      <c r="AI1099" s="132"/>
      <c r="AJ1099" s="13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  <c r="DR1099" s="12"/>
      <c r="DS1099" s="12"/>
      <c r="DT1099" s="12"/>
      <c r="DU1099" s="12"/>
    </row>
    <row r="1100" spans="1:125">
      <c r="A1100" s="132"/>
      <c r="B1100" s="132"/>
      <c r="C1100" s="132"/>
      <c r="D1100" s="132"/>
      <c r="E1100" s="132"/>
      <c r="F1100" s="132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2"/>
      <c r="V1100" s="132"/>
      <c r="W1100" s="132"/>
      <c r="X1100" s="132"/>
      <c r="Y1100" s="132"/>
      <c r="Z1100" s="132"/>
      <c r="AA1100" s="132"/>
      <c r="AB1100" s="132"/>
      <c r="AC1100" s="132"/>
      <c r="AD1100" s="132"/>
      <c r="AE1100" s="132"/>
      <c r="AF1100" s="132"/>
      <c r="AG1100" s="132"/>
      <c r="AH1100" s="132"/>
      <c r="AI1100" s="132"/>
      <c r="AJ1100" s="13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  <c r="DR1100" s="12"/>
      <c r="DS1100" s="12"/>
      <c r="DT1100" s="12"/>
      <c r="DU1100" s="12"/>
    </row>
    <row r="1101" spans="1:125">
      <c r="A1101" s="132"/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  <c r="AG1101" s="132"/>
      <c r="AH1101" s="132"/>
      <c r="AI1101" s="132"/>
      <c r="AJ1101" s="13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  <c r="CF1101" s="12"/>
      <c r="CG1101" s="12"/>
      <c r="CH1101" s="12"/>
      <c r="CI1101" s="12"/>
      <c r="CJ1101" s="12"/>
      <c r="CK1101" s="12"/>
      <c r="CL1101" s="12"/>
      <c r="CM1101" s="12"/>
      <c r="CN1101" s="12"/>
      <c r="CO1101" s="12"/>
      <c r="CP1101" s="12"/>
      <c r="CQ1101" s="12"/>
      <c r="CR1101" s="12"/>
      <c r="CS1101" s="12"/>
      <c r="CT1101" s="12"/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  <c r="DE1101" s="12"/>
      <c r="DF1101" s="12"/>
      <c r="DG1101" s="12"/>
      <c r="DH1101" s="12"/>
      <c r="DI1101" s="12"/>
      <c r="DJ1101" s="12"/>
      <c r="DK1101" s="12"/>
      <c r="DL1101" s="12"/>
      <c r="DM1101" s="12"/>
      <c r="DN1101" s="12"/>
      <c r="DO1101" s="12"/>
      <c r="DP1101" s="12"/>
      <c r="DQ1101" s="12"/>
      <c r="DR1101" s="12"/>
      <c r="DS1101" s="12"/>
      <c r="DT1101" s="12"/>
      <c r="DU1101" s="12"/>
    </row>
    <row r="1102" spans="1:125">
      <c r="A1102" s="132"/>
      <c r="B1102" s="132"/>
      <c r="C1102" s="132"/>
      <c r="D1102" s="132"/>
      <c r="E1102" s="132"/>
      <c r="F1102" s="132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2"/>
      <c r="V1102" s="132"/>
      <c r="W1102" s="132"/>
      <c r="X1102" s="132"/>
      <c r="Y1102" s="132"/>
      <c r="Z1102" s="132"/>
      <c r="AA1102" s="132"/>
      <c r="AB1102" s="132"/>
      <c r="AC1102" s="132"/>
      <c r="AD1102" s="132"/>
      <c r="AE1102" s="132"/>
      <c r="AF1102" s="132"/>
      <c r="AG1102" s="132"/>
      <c r="AH1102" s="132"/>
      <c r="AI1102" s="132"/>
      <c r="AJ1102" s="13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  <c r="CV1102" s="12"/>
      <c r="CW1102" s="12"/>
      <c r="CX1102" s="12"/>
      <c r="CY1102" s="12"/>
      <c r="CZ1102" s="12"/>
      <c r="DA1102" s="12"/>
      <c r="DB1102" s="12"/>
      <c r="DC1102" s="12"/>
      <c r="DD1102" s="12"/>
      <c r="DE1102" s="12"/>
      <c r="DF1102" s="12"/>
      <c r="DG1102" s="12"/>
      <c r="DH1102" s="12"/>
      <c r="DI1102" s="12"/>
      <c r="DJ1102" s="12"/>
      <c r="DK1102" s="12"/>
      <c r="DL1102" s="12"/>
      <c r="DM1102" s="12"/>
      <c r="DN1102" s="12"/>
      <c r="DO1102" s="12"/>
      <c r="DP1102" s="12"/>
      <c r="DQ1102" s="12"/>
      <c r="DR1102" s="12"/>
      <c r="DS1102" s="12"/>
      <c r="DT1102" s="12"/>
      <c r="DU1102" s="12"/>
    </row>
    <row r="1103" spans="1:125">
      <c r="A1103" s="132"/>
      <c r="B1103" s="132"/>
      <c r="C1103" s="132"/>
      <c r="D1103" s="132"/>
      <c r="E1103" s="132"/>
      <c r="F1103" s="132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2"/>
      <c r="V1103" s="132"/>
      <c r="W1103" s="132"/>
      <c r="X1103" s="132"/>
      <c r="Y1103" s="132"/>
      <c r="Z1103" s="132"/>
      <c r="AA1103" s="132"/>
      <c r="AB1103" s="132"/>
      <c r="AC1103" s="132"/>
      <c r="AD1103" s="132"/>
      <c r="AE1103" s="132"/>
      <c r="AF1103" s="132"/>
      <c r="AG1103" s="132"/>
      <c r="AH1103" s="132"/>
      <c r="AI1103" s="132"/>
      <c r="AJ1103" s="13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  <c r="DR1103" s="12"/>
      <c r="DS1103" s="12"/>
      <c r="DT1103" s="12"/>
      <c r="DU1103" s="12"/>
    </row>
    <row r="1104" spans="1:125">
      <c r="A1104" s="132"/>
      <c r="B1104" s="132"/>
      <c r="C1104" s="132"/>
      <c r="D1104" s="132"/>
      <c r="E1104" s="132"/>
      <c r="F1104" s="132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2"/>
      <c r="V1104" s="132"/>
      <c r="W1104" s="132"/>
      <c r="X1104" s="132"/>
      <c r="Y1104" s="132"/>
      <c r="Z1104" s="132"/>
      <c r="AA1104" s="132"/>
      <c r="AB1104" s="132"/>
      <c r="AC1104" s="132"/>
      <c r="AD1104" s="132"/>
      <c r="AE1104" s="132"/>
      <c r="AF1104" s="132"/>
      <c r="AG1104" s="132"/>
      <c r="AH1104" s="132"/>
      <c r="AI1104" s="132"/>
      <c r="AJ1104" s="13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  <c r="CD1104" s="12"/>
      <c r="CE1104" s="12"/>
      <c r="CF1104" s="12"/>
      <c r="CG1104" s="12"/>
      <c r="CH1104" s="12"/>
      <c r="CI1104" s="12"/>
      <c r="CJ1104" s="12"/>
      <c r="CK1104" s="12"/>
      <c r="CL1104" s="12"/>
      <c r="CM1104" s="12"/>
      <c r="CN1104" s="12"/>
      <c r="CO1104" s="12"/>
      <c r="CP1104" s="12"/>
      <c r="CQ1104" s="12"/>
      <c r="CR1104" s="12"/>
      <c r="CS1104" s="12"/>
      <c r="CT1104" s="12"/>
      <c r="CU1104" s="12"/>
      <c r="CV1104" s="12"/>
      <c r="CW1104" s="12"/>
      <c r="CX1104" s="12"/>
      <c r="CY1104" s="12"/>
      <c r="CZ1104" s="12"/>
      <c r="DA1104" s="12"/>
      <c r="DB1104" s="12"/>
      <c r="DC1104" s="12"/>
      <c r="DD1104" s="12"/>
      <c r="DE1104" s="12"/>
      <c r="DF1104" s="12"/>
      <c r="DG1104" s="12"/>
      <c r="DH1104" s="12"/>
      <c r="DI1104" s="12"/>
      <c r="DJ1104" s="12"/>
      <c r="DK1104" s="12"/>
      <c r="DL1104" s="12"/>
      <c r="DM1104" s="12"/>
      <c r="DN1104" s="12"/>
      <c r="DO1104" s="12"/>
      <c r="DP1104" s="12"/>
      <c r="DQ1104" s="12"/>
      <c r="DR1104" s="12"/>
      <c r="DS1104" s="12"/>
      <c r="DT1104" s="12"/>
      <c r="DU1104" s="12"/>
    </row>
    <row r="1105" spans="1:125">
      <c r="A1105" s="132"/>
      <c r="B1105" s="132"/>
      <c r="C1105" s="132"/>
      <c r="D1105" s="132"/>
      <c r="E1105" s="132"/>
      <c r="F1105" s="132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2"/>
      <c r="V1105" s="132"/>
      <c r="W1105" s="132"/>
      <c r="X1105" s="132"/>
      <c r="Y1105" s="132"/>
      <c r="Z1105" s="132"/>
      <c r="AA1105" s="132"/>
      <c r="AB1105" s="132"/>
      <c r="AC1105" s="132"/>
      <c r="AD1105" s="132"/>
      <c r="AE1105" s="132"/>
      <c r="AF1105" s="132"/>
      <c r="AG1105" s="132"/>
      <c r="AH1105" s="132"/>
      <c r="AI1105" s="132"/>
      <c r="AJ1105" s="13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</row>
    <row r="1106" spans="1:125">
      <c r="A1106" s="132"/>
      <c r="B1106" s="132"/>
      <c r="C1106" s="132"/>
      <c r="D1106" s="132"/>
      <c r="E1106" s="132"/>
      <c r="F1106" s="132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2"/>
      <c r="V1106" s="132"/>
      <c r="W1106" s="132"/>
      <c r="X1106" s="132"/>
      <c r="Y1106" s="132"/>
      <c r="Z1106" s="132"/>
      <c r="AA1106" s="132"/>
      <c r="AB1106" s="132"/>
      <c r="AC1106" s="132"/>
      <c r="AD1106" s="132"/>
      <c r="AE1106" s="132"/>
      <c r="AF1106" s="132"/>
      <c r="AG1106" s="132"/>
      <c r="AH1106" s="132"/>
      <c r="AI1106" s="132"/>
      <c r="AJ1106" s="13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</row>
    <row r="1107" spans="1:125">
      <c r="A1107" s="132"/>
      <c r="B1107" s="132"/>
      <c r="C1107" s="132"/>
      <c r="D1107" s="132"/>
      <c r="E1107" s="132"/>
      <c r="F1107" s="132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2"/>
      <c r="V1107" s="132"/>
      <c r="W1107" s="132"/>
      <c r="X1107" s="132"/>
      <c r="Y1107" s="132"/>
      <c r="Z1107" s="132"/>
      <c r="AA1107" s="132"/>
      <c r="AB1107" s="132"/>
      <c r="AC1107" s="132"/>
      <c r="AD1107" s="132"/>
      <c r="AE1107" s="132"/>
      <c r="AF1107" s="132"/>
      <c r="AG1107" s="132"/>
      <c r="AH1107" s="132"/>
      <c r="AI1107" s="132"/>
      <c r="AJ1107" s="13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  <c r="CF1107" s="12"/>
      <c r="CG1107" s="12"/>
      <c r="CH1107" s="12"/>
      <c r="CI1107" s="12"/>
      <c r="CJ1107" s="12"/>
      <c r="CK1107" s="12"/>
      <c r="CL1107" s="12"/>
      <c r="CM1107" s="12"/>
      <c r="CN1107" s="12"/>
      <c r="CO1107" s="12"/>
      <c r="CP1107" s="12"/>
      <c r="CQ1107" s="12"/>
      <c r="CR1107" s="12"/>
      <c r="CS1107" s="12"/>
      <c r="CT1107" s="12"/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  <c r="DE1107" s="12"/>
      <c r="DF1107" s="12"/>
      <c r="DG1107" s="12"/>
      <c r="DH1107" s="12"/>
      <c r="DI1107" s="12"/>
      <c r="DJ1107" s="12"/>
      <c r="DK1107" s="12"/>
      <c r="DL1107" s="12"/>
      <c r="DM1107" s="12"/>
      <c r="DN1107" s="12"/>
      <c r="DO1107" s="12"/>
      <c r="DP1107" s="12"/>
      <c r="DQ1107" s="12"/>
      <c r="DR1107" s="12"/>
      <c r="DS1107" s="12"/>
      <c r="DT1107" s="12"/>
      <c r="DU1107" s="12"/>
    </row>
    <row r="1108" spans="1:125">
      <c r="A1108" s="132"/>
      <c r="B1108" s="132"/>
      <c r="C1108" s="132"/>
      <c r="D1108" s="132"/>
      <c r="E1108" s="132"/>
      <c r="F1108" s="132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2"/>
      <c r="V1108" s="132"/>
      <c r="W1108" s="132"/>
      <c r="X1108" s="132"/>
      <c r="Y1108" s="132"/>
      <c r="Z1108" s="132"/>
      <c r="AA1108" s="132"/>
      <c r="AB1108" s="132"/>
      <c r="AC1108" s="132"/>
      <c r="AD1108" s="132"/>
      <c r="AE1108" s="132"/>
      <c r="AF1108" s="132"/>
      <c r="AG1108" s="132"/>
      <c r="AH1108" s="132"/>
      <c r="AI1108" s="132"/>
      <c r="AJ1108" s="13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  <c r="CD1108" s="12"/>
      <c r="CE1108" s="12"/>
      <c r="CF1108" s="12"/>
      <c r="CG1108" s="12"/>
      <c r="CH1108" s="12"/>
      <c r="CI1108" s="12"/>
      <c r="CJ1108" s="12"/>
      <c r="CK1108" s="12"/>
      <c r="CL1108" s="12"/>
      <c r="CM1108" s="12"/>
      <c r="CN1108" s="12"/>
      <c r="CO1108" s="12"/>
      <c r="CP1108" s="12"/>
      <c r="CQ1108" s="12"/>
      <c r="CR1108" s="12"/>
      <c r="CS1108" s="12"/>
      <c r="CT1108" s="12"/>
      <c r="CU1108" s="12"/>
      <c r="CV1108" s="12"/>
      <c r="CW1108" s="12"/>
      <c r="CX1108" s="12"/>
      <c r="CY1108" s="12"/>
      <c r="CZ1108" s="12"/>
      <c r="DA1108" s="12"/>
      <c r="DB1108" s="12"/>
      <c r="DC1108" s="12"/>
      <c r="DD1108" s="12"/>
      <c r="DE1108" s="12"/>
      <c r="DF1108" s="12"/>
      <c r="DG1108" s="12"/>
      <c r="DH1108" s="12"/>
      <c r="DI1108" s="12"/>
      <c r="DJ1108" s="12"/>
      <c r="DK1108" s="12"/>
      <c r="DL1108" s="12"/>
      <c r="DM1108" s="12"/>
      <c r="DN1108" s="12"/>
      <c r="DO1108" s="12"/>
      <c r="DP1108" s="12"/>
      <c r="DQ1108" s="12"/>
      <c r="DR1108" s="12"/>
      <c r="DS1108" s="12"/>
      <c r="DT1108" s="12"/>
      <c r="DU1108" s="12"/>
    </row>
    <row r="1109" spans="1:125">
      <c r="A1109" s="132"/>
      <c r="B1109" s="132"/>
      <c r="C1109" s="132"/>
      <c r="D1109" s="132"/>
      <c r="E1109" s="132"/>
      <c r="F1109" s="132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2"/>
      <c r="V1109" s="132"/>
      <c r="W1109" s="132"/>
      <c r="X1109" s="132"/>
      <c r="Y1109" s="132"/>
      <c r="Z1109" s="132"/>
      <c r="AA1109" s="132"/>
      <c r="AB1109" s="132"/>
      <c r="AC1109" s="132"/>
      <c r="AD1109" s="132"/>
      <c r="AE1109" s="132"/>
      <c r="AF1109" s="132"/>
      <c r="AG1109" s="132"/>
      <c r="AH1109" s="132"/>
      <c r="AI1109" s="132"/>
      <c r="AJ1109" s="13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  <c r="CD1109" s="12"/>
      <c r="CE1109" s="12"/>
      <c r="CF1109" s="12"/>
      <c r="CG1109" s="12"/>
      <c r="CH1109" s="12"/>
      <c r="CI1109" s="12"/>
      <c r="CJ1109" s="12"/>
      <c r="CK1109" s="12"/>
      <c r="CL1109" s="12"/>
      <c r="CM1109" s="12"/>
      <c r="CN1109" s="12"/>
      <c r="CO1109" s="12"/>
      <c r="CP1109" s="12"/>
      <c r="CQ1109" s="12"/>
      <c r="CR1109" s="12"/>
      <c r="CS1109" s="12"/>
      <c r="CT1109" s="12"/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  <c r="DE1109" s="12"/>
      <c r="DF1109" s="12"/>
      <c r="DG1109" s="12"/>
      <c r="DH1109" s="12"/>
      <c r="DI1109" s="12"/>
      <c r="DJ1109" s="12"/>
      <c r="DK1109" s="12"/>
      <c r="DL1109" s="12"/>
      <c r="DM1109" s="12"/>
      <c r="DN1109" s="12"/>
      <c r="DO1109" s="12"/>
      <c r="DP1109" s="12"/>
      <c r="DQ1109" s="12"/>
      <c r="DR1109" s="12"/>
      <c r="DS1109" s="12"/>
      <c r="DT1109" s="12"/>
      <c r="DU1109" s="12"/>
    </row>
    <row r="1110" spans="1:125">
      <c r="A1110" s="132"/>
      <c r="B1110" s="132"/>
      <c r="C1110" s="132"/>
      <c r="D1110" s="132"/>
      <c r="E1110" s="132"/>
      <c r="F1110" s="132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2"/>
      <c r="V1110" s="132"/>
      <c r="W1110" s="132"/>
      <c r="X1110" s="132"/>
      <c r="Y1110" s="132"/>
      <c r="Z1110" s="132"/>
      <c r="AA1110" s="132"/>
      <c r="AB1110" s="132"/>
      <c r="AC1110" s="132"/>
      <c r="AD1110" s="132"/>
      <c r="AE1110" s="132"/>
      <c r="AF1110" s="132"/>
      <c r="AG1110" s="132"/>
      <c r="AH1110" s="132"/>
      <c r="AI1110" s="132"/>
      <c r="AJ1110" s="13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  <c r="CD1110" s="12"/>
      <c r="CE1110" s="12"/>
      <c r="CF1110" s="12"/>
      <c r="CG1110" s="12"/>
      <c r="CH1110" s="12"/>
      <c r="CI1110" s="12"/>
      <c r="CJ1110" s="12"/>
      <c r="CK1110" s="12"/>
      <c r="CL1110" s="12"/>
      <c r="CM1110" s="12"/>
      <c r="CN1110" s="12"/>
      <c r="CO1110" s="12"/>
      <c r="CP1110" s="12"/>
      <c r="CQ1110" s="12"/>
      <c r="CR1110" s="12"/>
      <c r="CS1110" s="12"/>
      <c r="CT1110" s="12"/>
      <c r="CU1110" s="12"/>
      <c r="CV1110" s="12"/>
      <c r="CW1110" s="12"/>
      <c r="CX1110" s="12"/>
      <c r="CY1110" s="12"/>
      <c r="CZ1110" s="12"/>
      <c r="DA1110" s="12"/>
      <c r="DB1110" s="12"/>
      <c r="DC1110" s="12"/>
      <c r="DD1110" s="12"/>
      <c r="DE1110" s="12"/>
      <c r="DF1110" s="12"/>
      <c r="DG1110" s="12"/>
      <c r="DH1110" s="12"/>
      <c r="DI1110" s="12"/>
      <c r="DJ1110" s="12"/>
      <c r="DK1110" s="12"/>
      <c r="DL1110" s="12"/>
      <c r="DM1110" s="12"/>
      <c r="DN1110" s="12"/>
      <c r="DO1110" s="12"/>
      <c r="DP1110" s="12"/>
      <c r="DQ1110" s="12"/>
      <c r="DR1110" s="12"/>
      <c r="DS1110" s="12"/>
      <c r="DT1110" s="12"/>
      <c r="DU1110" s="12"/>
    </row>
    <row r="1111" spans="1:125">
      <c r="A1111" s="132"/>
      <c r="B1111" s="132"/>
      <c r="C1111" s="132"/>
      <c r="D1111" s="132"/>
      <c r="E1111" s="132"/>
      <c r="F1111" s="132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2"/>
      <c r="V1111" s="132"/>
      <c r="W1111" s="132"/>
      <c r="X1111" s="132"/>
      <c r="Y1111" s="132"/>
      <c r="Z1111" s="132"/>
      <c r="AA1111" s="132"/>
      <c r="AB1111" s="132"/>
      <c r="AC1111" s="132"/>
      <c r="AD1111" s="132"/>
      <c r="AE1111" s="132"/>
      <c r="AF1111" s="132"/>
      <c r="AG1111" s="132"/>
      <c r="AH1111" s="132"/>
      <c r="AI1111" s="132"/>
      <c r="AJ1111" s="13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  <c r="DE1111" s="12"/>
      <c r="DF1111" s="12"/>
      <c r="DG1111" s="12"/>
      <c r="DH1111" s="12"/>
      <c r="DI1111" s="12"/>
      <c r="DJ1111" s="12"/>
      <c r="DK1111" s="12"/>
      <c r="DL1111" s="12"/>
      <c r="DM1111" s="12"/>
      <c r="DN1111" s="12"/>
      <c r="DO1111" s="12"/>
      <c r="DP1111" s="12"/>
      <c r="DQ1111" s="12"/>
      <c r="DR1111" s="12"/>
      <c r="DS1111" s="12"/>
      <c r="DT1111" s="12"/>
      <c r="DU1111" s="12"/>
    </row>
    <row r="1112" spans="1:125">
      <c r="A1112" s="132"/>
      <c r="B1112" s="132"/>
      <c r="C1112" s="132"/>
      <c r="D1112" s="132"/>
      <c r="E1112" s="132"/>
      <c r="F1112" s="132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2"/>
      <c r="V1112" s="132"/>
      <c r="W1112" s="132"/>
      <c r="X1112" s="132"/>
      <c r="Y1112" s="132"/>
      <c r="Z1112" s="132"/>
      <c r="AA1112" s="132"/>
      <c r="AB1112" s="132"/>
      <c r="AC1112" s="132"/>
      <c r="AD1112" s="132"/>
      <c r="AE1112" s="132"/>
      <c r="AF1112" s="132"/>
      <c r="AG1112" s="132"/>
      <c r="AH1112" s="132"/>
      <c r="AI1112" s="132"/>
      <c r="AJ1112" s="13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/>
      <c r="CZ1112" s="12"/>
      <c r="DA1112" s="12"/>
      <c r="DB1112" s="12"/>
      <c r="DC1112" s="12"/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</row>
    <row r="1113" spans="1:125">
      <c r="A1113" s="132"/>
      <c r="B1113" s="132"/>
      <c r="C1113" s="132"/>
      <c r="D1113" s="132"/>
      <c r="E1113" s="132"/>
      <c r="F1113" s="132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2"/>
      <c r="V1113" s="132"/>
      <c r="W1113" s="132"/>
      <c r="X1113" s="132"/>
      <c r="Y1113" s="132"/>
      <c r="Z1113" s="132"/>
      <c r="AA1113" s="132"/>
      <c r="AB1113" s="132"/>
      <c r="AC1113" s="132"/>
      <c r="AD1113" s="132"/>
      <c r="AE1113" s="132"/>
      <c r="AF1113" s="132"/>
      <c r="AG1113" s="132"/>
      <c r="AH1113" s="132"/>
      <c r="AI1113" s="132"/>
      <c r="AJ1113" s="13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</row>
    <row r="1114" spans="1:125">
      <c r="A1114" s="132"/>
      <c r="B1114" s="132"/>
      <c r="C1114" s="132"/>
      <c r="D1114" s="132"/>
      <c r="E1114" s="132"/>
      <c r="F1114" s="132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2"/>
      <c r="V1114" s="132"/>
      <c r="W1114" s="132"/>
      <c r="X1114" s="132"/>
      <c r="Y1114" s="132"/>
      <c r="Z1114" s="132"/>
      <c r="AA1114" s="132"/>
      <c r="AB1114" s="132"/>
      <c r="AC1114" s="132"/>
      <c r="AD1114" s="132"/>
      <c r="AE1114" s="132"/>
      <c r="AF1114" s="132"/>
      <c r="AG1114" s="132"/>
      <c r="AH1114" s="132"/>
      <c r="AI1114" s="132"/>
      <c r="AJ1114" s="13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  <c r="CD1114" s="12"/>
      <c r="CE1114" s="12"/>
      <c r="CF1114" s="12"/>
      <c r="CG1114" s="12"/>
      <c r="CH1114" s="12"/>
      <c r="CI1114" s="12"/>
      <c r="CJ1114" s="12"/>
      <c r="CK1114" s="12"/>
      <c r="CL1114" s="12"/>
      <c r="CM1114" s="12"/>
      <c r="CN1114" s="12"/>
      <c r="CO1114" s="12"/>
      <c r="CP1114" s="12"/>
      <c r="CQ1114" s="12"/>
      <c r="CR1114" s="12"/>
      <c r="CS1114" s="12"/>
      <c r="CT1114" s="12"/>
      <c r="CU1114" s="12"/>
      <c r="CV1114" s="12"/>
      <c r="CW1114" s="12"/>
      <c r="CX1114" s="12"/>
      <c r="CY1114" s="12"/>
      <c r="CZ1114" s="12"/>
      <c r="DA1114" s="12"/>
      <c r="DB1114" s="12"/>
      <c r="DC1114" s="12"/>
      <c r="DD1114" s="12"/>
      <c r="DE1114" s="12"/>
      <c r="DF1114" s="12"/>
      <c r="DG1114" s="12"/>
      <c r="DH1114" s="12"/>
      <c r="DI1114" s="12"/>
      <c r="DJ1114" s="12"/>
      <c r="DK1114" s="12"/>
      <c r="DL1114" s="12"/>
      <c r="DM1114" s="12"/>
      <c r="DN1114" s="12"/>
      <c r="DO1114" s="12"/>
      <c r="DP1114" s="12"/>
      <c r="DQ1114" s="12"/>
      <c r="DR1114" s="12"/>
      <c r="DS1114" s="12"/>
      <c r="DT1114" s="12"/>
      <c r="DU1114" s="12"/>
    </row>
    <row r="1115" spans="1:125">
      <c r="A1115" s="132"/>
      <c r="B1115" s="132"/>
      <c r="C1115" s="132"/>
      <c r="D1115" s="132"/>
      <c r="E1115" s="132"/>
      <c r="F1115" s="132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2"/>
      <c r="V1115" s="132"/>
      <c r="W1115" s="132"/>
      <c r="X1115" s="132"/>
      <c r="Y1115" s="132"/>
      <c r="Z1115" s="132"/>
      <c r="AA1115" s="132"/>
      <c r="AB1115" s="132"/>
      <c r="AC1115" s="132"/>
      <c r="AD1115" s="132"/>
      <c r="AE1115" s="132"/>
      <c r="AF1115" s="132"/>
      <c r="AG1115" s="132"/>
      <c r="AH1115" s="132"/>
      <c r="AI1115" s="132"/>
      <c r="AJ1115" s="13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  <c r="CD1115" s="12"/>
      <c r="CE1115" s="12"/>
      <c r="CF1115" s="12"/>
      <c r="CG1115" s="12"/>
      <c r="CH1115" s="12"/>
      <c r="CI1115" s="12"/>
      <c r="CJ1115" s="12"/>
      <c r="CK1115" s="12"/>
      <c r="CL1115" s="12"/>
      <c r="CM1115" s="12"/>
      <c r="CN1115" s="12"/>
      <c r="CO1115" s="12"/>
      <c r="CP1115" s="12"/>
      <c r="CQ1115" s="12"/>
      <c r="CR1115" s="12"/>
      <c r="CS1115" s="12"/>
      <c r="CT1115" s="12"/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  <c r="DE1115" s="12"/>
      <c r="DF1115" s="12"/>
      <c r="DG1115" s="12"/>
      <c r="DH1115" s="12"/>
      <c r="DI1115" s="12"/>
      <c r="DJ1115" s="12"/>
      <c r="DK1115" s="12"/>
      <c r="DL1115" s="12"/>
      <c r="DM1115" s="12"/>
      <c r="DN1115" s="12"/>
      <c r="DO1115" s="12"/>
      <c r="DP1115" s="12"/>
      <c r="DQ1115" s="12"/>
      <c r="DR1115" s="12"/>
      <c r="DS1115" s="12"/>
      <c r="DT1115" s="12"/>
      <c r="DU1115" s="12"/>
    </row>
    <row r="1116" spans="1:125">
      <c r="A1116" s="132"/>
      <c r="B1116" s="132"/>
      <c r="C1116" s="132"/>
      <c r="D1116" s="132"/>
      <c r="E1116" s="132"/>
      <c r="F1116" s="132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2"/>
      <c r="V1116" s="132"/>
      <c r="W1116" s="132"/>
      <c r="X1116" s="132"/>
      <c r="Y1116" s="132"/>
      <c r="Z1116" s="132"/>
      <c r="AA1116" s="132"/>
      <c r="AB1116" s="132"/>
      <c r="AC1116" s="132"/>
      <c r="AD1116" s="132"/>
      <c r="AE1116" s="132"/>
      <c r="AF1116" s="132"/>
      <c r="AG1116" s="132"/>
      <c r="AH1116" s="132"/>
      <c r="AI1116" s="132"/>
      <c r="AJ1116" s="13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  <c r="CD1116" s="12"/>
      <c r="CE1116" s="12"/>
      <c r="CF1116" s="12"/>
      <c r="CG1116" s="12"/>
      <c r="CH1116" s="12"/>
      <c r="CI1116" s="12"/>
      <c r="CJ1116" s="12"/>
      <c r="CK1116" s="12"/>
      <c r="CL1116" s="12"/>
      <c r="CM1116" s="12"/>
      <c r="CN1116" s="12"/>
      <c r="CO1116" s="12"/>
      <c r="CP1116" s="12"/>
      <c r="CQ1116" s="12"/>
      <c r="CR1116" s="12"/>
      <c r="CS1116" s="12"/>
      <c r="CT1116" s="12"/>
      <c r="CU1116" s="12"/>
      <c r="CV1116" s="12"/>
      <c r="CW1116" s="12"/>
      <c r="CX1116" s="12"/>
      <c r="CY1116" s="12"/>
      <c r="CZ1116" s="12"/>
      <c r="DA1116" s="12"/>
      <c r="DB1116" s="12"/>
      <c r="DC1116" s="12"/>
      <c r="DD1116" s="12"/>
      <c r="DE1116" s="12"/>
      <c r="DF1116" s="12"/>
      <c r="DG1116" s="12"/>
      <c r="DH1116" s="12"/>
      <c r="DI1116" s="12"/>
      <c r="DJ1116" s="12"/>
      <c r="DK1116" s="12"/>
      <c r="DL1116" s="12"/>
      <c r="DM1116" s="12"/>
      <c r="DN1116" s="12"/>
      <c r="DO1116" s="12"/>
      <c r="DP1116" s="12"/>
      <c r="DQ1116" s="12"/>
      <c r="DR1116" s="12"/>
      <c r="DS1116" s="12"/>
      <c r="DT1116" s="12"/>
      <c r="DU1116" s="12"/>
    </row>
    <row r="1117" spans="1:125">
      <c r="A1117" s="132"/>
      <c r="B1117" s="132"/>
      <c r="C1117" s="132"/>
      <c r="D1117" s="132"/>
      <c r="E1117" s="132"/>
      <c r="F1117" s="132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2"/>
      <c r="V1117" s="132"/>
      <c r="W1117" s="132"/>
      <c r="X1117" s="132"/>
      <c r="Y1117" s="132"/>
      <c r="Z1117" s="132"/>
      <c r="AA1117" s="132"/>
      <c r="AB1117" s="132"/>
      <c r="AC1117" s="132"/>
      <c r="AD1117" s="132"/>
      <c r="AE1117" s="132"/>
      <c r="AF1117" s="132"/>
      <c r="AG1117" s="132"/>
      <c r="AH1117" s="132"/>
      <c r="AI1117" s="132"/>
      <c r="AJ1117" s="13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  <c r="CD1117" s="12"/>
      <c r="CE1117" s="12"/>
      <c r="CF1117" s="12"/>
      <c r="CG1117" s="12"/>
      <c r="CH1117" s="12"/>
      <c r="CI1117" s="12"/>
      <c r="CJ1117" s="12"/>
      <c r="CK1117" s="12"/>
      <c r="CL1117" s="12"/>
      <c r="CM1117" s="12"/>
      <c r="CN1117" s="12"/>
      <c r="CO1117" s="12"/>
      <c r="CP1117" s="12"/>
      <c r="CQ1117" s="12"/>
      <c r="CR1117" s="12"/>
      <c r="CS1117" s="12"/>
      <c r="CT1117" s="12"/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  <c r="DE1117" s="12"/>
      <c r="DF1117" s="12"/>
      <c r="DG1117" s="12"/>
      <c r="DH1117" s="12"/>
      <c r="DI1117" s="12"/>
      <c r="DJ1117" s="12"/>
      <c r="DK1117" s="12"/>
      <c r="DL1117" s="12"/>
      <c r="DM1117" s="12"/>
      <c r="DN1117" s="12"/>
      <c r="DO1117" s="12"/>
      <c r="DP1117" s="12"/>
      <c r="DQ1117" s="12"/>
      <c r="DR1117" s="12"/>
      <c r="DS1117" s="12"/>
      <c r="DT1117" s="12"/>
      <c r="DU1117" s="12"/>
    </row>
    <row r="1118" spans="1:125">
      <c r="A1118" s="132"/>
      <c r="B1118" s="132"/>
      <c r="C1118" s="132"/>
      <c r="D1118" s="132"/>
      <c r="E1118" s="132"/>
      <c r="F1118" s="132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2"/>
      <c r="V1118" s="132"/>
      <c r="W1118" s="132"/>
      <c r="X1118" s="132"/>
      <c r="Y1118" s="132"/>
      <c r="Z1118" s="132"/>
      <c r="AA1118" s="132"/>
      <c r="AB1118" s="132"/>
      <c r="AC1118" s="132"/>
      <c r="AD1118" s="132"/>
      <c r="AE1118" s="132"/>
      <c r="AF1118" s="132"/>
      <c r="AG1118" s="132"/>
      <c r="AH1118" s="132"/>
      <c r="AI1118" s="132"/>
      <c r="AJ1118" s="13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  <c r="CD1118" s="12"/>
      <c r="CE1118" s="12"/>
      <c r="CF1118" s="12"/>
      <c r="CG1118" s="12"/>
      <c r="CH1118" s="12"/>
      <c r="CI1118" s="12"/>
      <c r="CJ1118" s="12"/>
      <c r="CK1118" s="12"/>
      <c r="CL1118" s="12"/>
      <c r="CM1118" s="12"/>
      <c r="CN1118" s="12"/>
      <c r="CO1118" s="12"/>
      <c r="CP1118" s="12"/>
      <c r="CQ1118" s="12"/>
      <c r="CR1118" s="12"/>
      <c r="CS1118" s="12"/>
      <c r="CT1118" s="12"/>
      <c r="CU1118" s="12"/>
      <c r="CV1118" s="12"/>
      <c r="CW1118" s="12"/>
      <c r="CX1118" s="12"/>
      <c r="CY1118" s="12"/>
      <c r="CZ1118" s="12"/>
      <c r="DA1118" s="12"/>
      <c r="DB1118" s="12"/>
      <c r="DC1118" s="12"/>
      <c r="DD1118" s="12"/>
      <c r="DE1118" s="12"/>
      <c r="DF1118" s="12"/>
      <c r="DG1118" s="12"/>
      <c r="DH1118" s="12"/>
      <c r="DI1118" s="12"/>
      <c r="DJ1118" s="12"/>
      <c r="DK1118" s="12"/>
      <c r="DL1118" s="12"/>
      <c r="DM1118" s="12"/>
      <c r="DN1118" s="12"/>
      <c r="DO1118" s="12"/>
      <c r="DP1118" s="12"/>
      <c r="DQ1118" s="12"/>
      <c r="DR1118" s="12"/>
      <c r="DS1118" s="12"/>
      <c r="DT1118" s="12"/>
      <c r="DU1118" s="12"/>
    </row>
    <row r="1119" spans="1:125">
      <c r="A1119" s="132"/>
      <c r="B1119" s="132"/>
      <c r="C1119" s="132"/>
      <c r="D1119" s="132"/>
      <c r="E1119" s="132"/>
      <c r="F1119" s="132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2"/>
      <c r="V1119" s="132"/>
      <c r="W1119" s="132"/>
      <c r="X1119" s="132"/>
      <c r="Y1119" s="132"/>
      <c r="Z1119" s="132"/>
      <c r="AA1119" s="132"/>
      <c r="AB1119" s="132"/>
      <c r="AC1119" s="132"/>
      <c r="AD1119" s="132"/>
      <c r="AE1119" s="132"/>
      <c r="AF1119" s="132"/>
      <c r="AG1119" s="132"/>
      <c r="AH1119" s="132"/>
      <c r="AI1119" s="132"/>
      <c r="AJ1119" s="13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  <c r="CD1119" s="12"/>
      <c r="CE1119" s="12"/>
      <c r="CF1119" s="12"/>
      <c r="CG1119" s="12"/>
      <c r="CH1119" s="12"/>
      <c r="CI1119" s="12"/>
      <c r="CJ1119" s="12"/>
      <c r="CK1119" s="12"/>
      <c r="CL1119" s="12"/>
      <c r="CM1119" s="12"/>
      <c r="CN1119" s="12"/>
      <c r="CO1119" s="12"/>
      <c r="CP1119" s="12"/>
      <c r="CQ1119" s="12"/>
      <c r="CR1119" s="12"/>
      <c r="CS1119" s="12"/>
      <c r="CT1119" s="12"/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  <c r="DE1119" s="12"/>
      <c r="DF1119" s="12"/>
      <c r="DG1119" s="12"/>
      <c r="DH1119" s="12"/>
      <c r="DI1119" s="12"/>
      <c r="DJ1119" s="12"/>
      <c r="DK1119" s="12"/>
      <c r="DL1119" s="12"/>
      <c r="DM1119" s="12"/>
      <c r="DN1119" s="12"/>
      <c r="DO1119" s="12"/>
      <c r="DP1119" s="12"/>
      <c r="DQ1119" s="12"/>
      <c r="DR1119" s="12"/>
      <c r="DS1119" s="12"/>
      <c r="DT1119" s="12"/>
      <c r="DU1119" s="12"/>
    </row>
    <row r="1120" spans="1:125">
      <c r="A1120" s="132"/>
      <c r="B1120" s="132"/>
      <c r="C1120" s="132"/>
      <c r="D1120" s="132"/>
      <c r="E1120" s="132"/>
      <c r="F1120" s="132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2"/>
      <c r="V1120" s="132"/>
      <c r="W1120" s="132"/>
      <c r="X1120" s="132"/>
      <c r="Y1120" s="132"/>
      <c r="Z1120" s="132"/>
      <c r="AA1120" s="132"/>
      <c r="AB1120" s="132"/>
      <c r="AC1120" s="132"/>
      <c r="AD1120" s="132"/>
      <c r="AE1120" s="132"/>
      <c r="AF1120" s="132"/>
      <c r="AG1120" s="132"/>
      <c r="AH1120" s="132"/>
      <c r="AI1120" s="132"/>
      <c r="AJ1120" s="13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  <c r="CD1120" s="12"/>
      <c r="CE1120" s="12"/>
      <c r="CF1120" s="12"/>
      <c r="CG1120" s="12"/>
      <c r="CH1120" s="12"/>
      <c r="CI1120" s="12"/>
      <c r="CJ1120" s="12"/>
      <c r="CK1120" s="12"/>
      <c r="CL1120" s="12"/>
      <c r="CM1120" s="12"/>
      <c r="CN1120" s="12"/>
      <c r="CO1120" s="12"/>
      <c r="CP1120" s="12"/>
      <c r="CQ1120" s="12"/>
      <c r="CR1120" s="12"/>
      <c r="CS1120" s="12"/>
      <c r="CT1120" s="12"/>
      <c r="CU1120" s="12"/>
      <c r="CV1120" s="12"/>
      <c r="CW1120" s="12"/>
      <c r="CX1120" s="12"/>
      <c r="CY1120" s="12"/>
      <c r="CZ1120" s="12"/>
      <c r="DA1120" s="12"/>
      <c r="DB1120" s="12"/>
      <c r="DC1120" s="12"/>
      <c r="DD1120" s="12"/>
      <c r="DE1120" s="12"/>
      <c r="DF1120" s="12"/>
      <c r="DG1120" s="12"/>
      <c r="DH1120" s="12"/>
      <c r="DI1120" s="12"/>
      <c r="DJ1120" s="12"/>
      <c r="DK1120" s="12"/>
      <c r="DL1120" s="12"/>
      <c r="DM1120" s="12"/>
      <c r="DN1120" s="12"/>
      <c r="DO1120" s="12"/>
      <c r="DP1120" s="12"/>
      <c r="DQ1120" s="12"/>
      <c r="DR1120" s="12"/>
      <c r="DS1120" s="12"/>
      <c r="DT1120" s="12"/>
      <c r="DU1120" s="12"/>
    </row>
    <row r="1121" spans="1:125">
      <c r="A1121" s="132"/>
      <c r="B1121" s="132"/>
      <c r="C1121" s="132"/>
      <c r="D1121" s="132"/>
      <c r="E1121" s="132"/>
      <c r="F1121" s="132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2"/>
      <c r="V1121" s="132"/>
      <c r="W1121" s="132"/>
      <c r="X1121" s="132"/>
      <c r="Y1121" s="132"/>
      <c r="Z1121" s="132"/>
      <c r="AA1121" s="132"/>
      <c r="AB1121" s="132"/>
      <c r="AC1121" s="132"/>
      <c r="AD1121" s="132"/>
      <c r="AE1121" s="132"/>
      <c r="AF1121" s="132"/>
      <c r="AG1121" s="132"/>
      <c r="AH1121" s="132"/>
      <c r="AI1121" s="132"/>
      <c r="AJ1121" s="13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  <c r="CD1121" s="12"/>
      <c r="CE1121" s="12"/>
      <c r="CF1121" s="12"/>
      <c r="CG1121" s="12"/>
      <c r="CH1121" s="12"/>
      <c r="CI1121" s="12"/>
      <c r="CJ1121" s="12"/>
      <c r="CK1121" s="12"/>
      <c r="CL1121" s="12"/>
      <c r="CM1121" s="12"/>
      <c r="CN1121" s="12"/>
      <c r="CO1121" s="12"/>
      <c r="CP1121" s="12"/>
      <c r="CQ1121" s="12"/>
      <c r="CR1121" s="12"/>
      <c r="CS1121" s="12"/>
      <c r="CT1121" s="12"/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  <c r="DE1121" s="12"/>
      <c r="DF1121" s="12"/>
      <c r="DG1121" s="12"/>
      <c r="DH1121" s="12"/>
      <c r="DI1121" s="12"/>
      <c r="DJ1121" s="12"/>
      <c r="DK1121" s="12"/>
      <c r="DL1121" s="12"/>
      <c r="DM1121" s="12"/>
      <c r="DN1121" s="12"/>
      <c r="DO1121" s="12"/>
      <c r="DP1121" s="12"/>
      <c r="DQ1121" s="12"/>
      <c r="DR1121" s="12"/>
      <c r="DS1121" s="12"/>
      <c r="DT1121" s="12"/>
      <c r="DU1121" s="12"/>
    </row>
    <row r="1122" spans="1:125">
      <c r="A1122" s="132"/>
      <c r="B1122" s="132"/>
      <c r="C1122" s="132"/>
      <c r="D1122" s="132"/>
      <c r="E1122" s="132"/>
      <c r="F1122" s="132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2"/>
      <c r="V1122" s="132"/>
      <c r="W1122" s="132"/>
      <c r="X1122" s="132"/>
      <c r="Y1122" s="132"/>
      <c r="Z1122" s="132"/>
      <c r="AA1122" s="132"/>
      <c r="AB1122" s="132"/>
      <c r="AC1122" s="132"/>
      <c r="AD1122" s="132"/>
      <c r="AE1122" s="132"/>
      <c r="AF1122" s="132"/>
      <c r="AG1122" s="132"/>
      <c r="AH1122" s="132"/>
      <c r="AI1122" s="132"/>
      <c r="AJ1122" s="13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  <c r="CD1122" s="12"/>
      <c r="CE1122" s="12"/>
      <c r="CF1122" s="12"/>
      <c r="CG1122" s="12"/>
      <c r="CH1122" s="12"/>
      <c r="CI1122" s="12"/>
      <c r="CJ1122" s="12"/>
      <c r="CK1122" s="12"/>
      <c r="CL1122" s="12"/>
      <c r="CM1122" s="12"/>
      <c r="CN1122" s="12"/>
      <c r="CO1122" s="12"/>
      <c r="CP1122" s="12"/>
      <c r="CQ1122" s="12"/>
      <c r="CR1122" s="12"/>
      <c r="CS1122" s="12"/>
      <c r="CT1122" s="12"/>
      <c r="CU1122" s="12"/>
      <c r="CV1122" s="12"/>
      <c r="CW1122" s="12"/>
      <c r="CX1122" s="12"/>
      <c r="CY1122" s="12"/>
      <c r="CZ1122" s="12"/>
      <c r="DA1122" s="12"/>
      <c r="DB1122" s="12"/>
      <c r="DC1122" s="12"/>
      <c r="DD1122" s="12"/>
      <c r="DE1122" s="12"/>
      <c r="DF1122" s="12"/>
      <c r="DG1122" s="12"/>
      <c r="DH1122" s="12"/>
      <c r="DI1122" s="12"/>
      <c r="DJ1122" s="12"/>
      <c r="DK1122" s="12"/>
      <c r="DL1122" s="12"/>
      <c r="DM1122" s="12"/>
      <c r="DN1122" s="12"/>
      <c r="DO1122" s="12"/>
      <c r="DP1122" s="12"/>
      <c r="DQ1122" s="12"/>
      <c r="DR1122" s="12"/>
      <c r="DS1122" s="12"/>
      <c r="DT1122" s="12"/>
      <c r="DU1122" s="12"/>
    </row>
    <row r="1123" spans="1:125">
      <c r="A1123" s="132"/>
      <c r="B1123" s="132"/>
      <c r="C1123" s="132"/>
      <c r="D1123" s="132"/>
      <c r="E1123" s="132"/>
      <c r="F1123" s="132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2"/>
      <c r="V1123" s="132"/>
      <c r="W1123" s="132"/>
      <c r="X1123" s="132"/>
      <c r="Y1123" s="132"/>
      <c r="Z1123" s="132"/>
      <c r="AA1123" s="132"/>
      <c r="AB1123" s="132"/>
      <c r="AC1123" s="132"/>
      <c r="AD1123" s="132"/>
      <c r="AE1123" s="132"/>
      <c r="AF1123" s="132"/>
      <c r="AG1123" s="132"/>
      <c r="AH1123" s="132"/>
      <c r="AI1123" s="132"/>
      <c r="AJ1123" s="13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  <c r="DE1123" s="12"/>
      <c r="DF1123" s="12"/>
      <c r="DG1123" s="12"/>
      <c r="DH1123" s="12"/>
      <c r="DI1123" s="12"/>
      <c r="DJ1123" s="12"/>
      <c r="DK1123" s="12"/>
      <c r="DL1123" s="12"/>
      <c r="DM1123" s="12"/>
      <c r="DN1123" s="12"/>
      <c r="DO1123" s="12"/>
      <c r="DP1123" s="12"/>
      <c r="DQ1123" s="12"/>
      <c r="DR1123" s="12"/>
      <c r="DS1123" s="12"/>
      <c r="DT1123" s="12"/>
      <c r="DU1123" s="12"/>
    </row>
    <row r="1124" spans="1:125">
      <c r="A1124" s="132"/>
      <c r="B1124" s="132"/>
      <c r="C1124" s="132"/>
      <c r="D1124" s="132"/>
      <c r="E1124" s="132"/>
      <c r="F1124" s="132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2"/>
      <c r="V1124" s="132"/>
      <c r="W1124" s="132"/>
      <c r="X1124" s="132"/>
      <c r="Y1124" s="132"/>
      <c r="Z1124" s="132"/>
      <c r="AA1124" s="132"/>
      <c r="AB1124" s="132"/>
      <c r="AC1124" s="132"/>
      <c r="AD1124" s="132"/>
      <c r="AE1124" s="132"/>
      <c r="AF1124" s="132"/>
      <c r="AG1124" s="132"/>
      <c r="AH1124" s="132"/>
      <c r="AI1124" s="132"/>
      <c r="AJ1124" s="13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</row>
    <row r="1125" spans="1:125">
      <c r="A1125" s="132"/>
      <c r="B1125" s="132"/>
      <c r="C1125" s="132"/>
      <c r="D1125" s="132"/>
      <c r="E1125" s="132"/>
      <c r="F1125" s="132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2"/>
      <c r="V1125" s="132"/>
      <c r="W1125" s="132"/>
      <c r="X1125" s="132"/>
      <c r="Y1125" s="132"/>
      <c r="Z1125" s="132"/>
      <c r="AA1125" s="132"/>
      <c r="AB1125" s="132"/>
      <c r="AC1125" s="132"/>
      <c r="AD1125" s="132"/>
      <c r="AE1125" s="132"/>
      <c r="AF1125" s="132"/>
      <c r="AG1125" s="132"/>
      <c r="AH1125" s="132"/>
      <c r="AI1125" s="132"/>
      <c r="AJ1125" s="13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</row>
    <row r="1126" spans="1:125">
      <c r="A1126" s="132"/>
      <c r="B1126" s="132"/>
      <c r="C1126" s="132"/>
      <c r="D1126" s="132"/>
      <c r="E1126" s="132"/>
      <c r="F1126" s="132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2"/>
      <c r="V1126" s="132"/>
      <c r="W1126" s="132"/>
      <c r="X1126" s="132"/>
      <c r="Y1126" s="132"/>
      <c r="Z1126" s="132"/>
      <c r="AA1126" s="132"/>
      <c r="AB1126" s="132"/>
      <c r="AC1126" s="132"/>
      <c r="AD1126" s="132"/>
      <c r="AE1126" s="132"/>
      <c r="AF1126" s="132"/>
      <c r="AG1126" s="132"/>
      <c r="AH1126" s="132"/>
      <c r="AI1126" s="132"/>
      <c r="AJ1126" s="13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</row>
    <row r="1127" spans="1:125">
      <c r="A1127" s="132"/>
      <c r="B1127" s="132"/>
      <c r="C1127" s="132"/>
      <c r="D1127" s="132"/>
      <c r="E1127" s="132"/>
      <c r="F1127" s="132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2"/>
      <c r="V1127" s="132"/>
      <c r="W1127" s="132"/>
      <c r="X1127" s="132"/>
      <c r="Y1127" s="132"/>
      <c r="Z1127" s="132"/>
      <c r="AA1127" s="132"/>
      <c r="AB1127" s="132"/>
      <c r="AC1127" s="132"/>
      <c r="AD1127" s="132"/>
      <c r="AE1127" s="132"/>
      <c r="AF1127" s="132"/>
      <c r="AG1127" s="132"/>
      <c r="AH1127" s="132"/>
      <c r="AI1127" s="132"/>
      <c r="AJ1127" s="13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</row>
    <row r="1128" spans="1:125">
      <c r="A1128" s="132"/>
      <c r="B1128" s="132"/>
      <c r="C1128" s="132"/>
      <c r="D1128" s="132"/>
      <c r="E1128" s="132"/>
      <c r="F1128" s="132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2"/>
      <c r="V1128" s="132"/>
      <c r="W1128" s="132"/>
      <c r="X1128" s="132"/>
      <c r="Y1128" s="132"/>
      <c r="Z1128" s="132"/>
      <c r="AA1128" s="132"/>
      <c r="AB1128" s="132"/>
      <c r="AC1128" s="132"/>
      <c r="AD1128" s="132"/>
      <c r="AE1128" s="132"/>
      <c r="AF1128" s="132"/>
      <c r="AG1128" s="132"/>
      <c r="AH1128" s="132"/>
      <c r="AI1128" s="132"/>
      <c r="AJ1128" s="13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</row>
    <row r="1129" spans="1:125">
      <c r="A1129" s="132"/>
      <c r="B1129" s="132"/>
      <c r="C1129" s="132"/>
      <c r="D1129" s="132"/>
      <c r="E1129" s="132"/>
      <c r="F1129" s="132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2"/>
      <c r="V1129" s="132"/>
      <c r="W1129" s="132"/>
      <c r="X1129" s="132"/>
      <c r="Y1129" s="132"/>
      <c r="Z1129" s="132"/>
      <c r="AA1129" s="132"/>
      <c r="AB1129" s="132"/>
      <c r="AC1129" s="132"/>
      <c r="AD1129" s="132"/>
      <c r="AE1129" s="132"/>
      <c r="AF1129" s="132"/>
      <c r="AG1129" s="132"/>
      <c r="AH1129" s="132"/>
      <c r="AI1129" s="132"/>
      <c r="AJ1129" s="13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  <c r="CD1129" s="12"/>
      <c r="CE1129" s="12"/>
      <c r="CF1129" s="12"/>
      <c r="CG1129" s="12"/>
      <c r="CH1129" s="12"/>
      <c r="CI1129" s="12"/>
      <c r="CJ1129" s="12"/>
      <c r="CK1129" s="12"/>
      <c r="CL1129" s="12"/>
      <c r="CM1129" s="12"/>
      <c r="CN1129" s="12"/>
      <c r="CO1129" s="12"/>
      <c r="CP1129" s="12"/>
      <c r="CQ1129" s="12"/>
      <c r="CR1129" s="12"/>
      <c r="CS1129" s="12"/>
      <c r="CT1129" s="12"/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  <c r="DE1129" s="12"/>
      <c r="DF1129" s="12"/>
      <c r="DG1129" s="12"/>
      <c r="DH1129" s="12"/>
      <c r="DI1129" s="12"/>
      <c r="DJ1129" s="12"/>
      <c r="DK1129" s="12"/>
      <c r="DL1129" s="12"/>
      <c r="DM1129" s="12"/>
      <c r="DN1129" s="12"/>
      <c r="DO1129" s="12"/>
      <c r="DP1129" s="12"/>
      <c r="DQ1129" s="12"/>
      <c r="DR1129" s="12"/>
      <c r="DS1129" s="12"/>
      <c r="DT1129" s="12"/>
      <c r="DU1129" s="12"/>
    </row>
    <row r="1130" spans="1:125">
      <c r="A1130" s="132"/>
      <c r="B1130" s="132"/>
      <c r="C1130" s="132"/>
      <c r="D1130" s="132"/>
      <c r="E1130" s="132"/>
      <c r="F1130" s="132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2"/>
      <c r="V1130" s="132"/>
      <c r="W1130" s="132"/>
      <c r="X1130" s="132"/>
      <c r="Y1130" s="132"/>
      <c r="Z1130" s="132"/>
      <c r="AA1130" s="132"/>
      <c r="AB1130" s="132"/>
      <c r="AC1130" s="132"/>
      <c r="AD1130" s="132"/>
      <c r="AE1130" s="132"/>
      <c r="AF1130" s="132"/>
      <c r="AG1130" s="132"/>
      <c r="AH1130" s="132"/>
      <c r="AI1130" s="132"/>
      <c r="AJ1130" s="13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  <c r="CD1130" s="12"/>
      <c r="CE1130" s="12"/>
      <c r="CF1130" s="12"/>
      <c r="CG1130" s="12"/>
      <c r="CH1130" s="12"/>
      <c r="CI1130" s="12"/>
      <c r="CJ1130" s="12"/>
      <c r="CK1130" s="12"/>
      <c r="CL1130" s="12"/>
      <c r="CM1130" s="12"/>
      <c r="CN1130" s="12"/>
      <c r="CO1130" s="12"/>
      <c r="CP1130" s="12"/>
      <c r="CQ1130" s="12"/>
      <c r="CR1130" s="12"/>
      <c r="CS1130" s="12"/>
      <c r="CT1130" s="12"/>
      <c r="CU1130" s="12"/>
      <c r="CV1130" s="12"/>
      <c r="CW1130" s="12"/>
      <c r="CX1130" s="12"/>
      <c r="CY1130" s="12"/>
      <c r="CZ1130" s="12"/>
      <c r="DA1130" s="12"/>
      <c r="DB1130" s="12"/>
      <c r="DC1130" s="12"/>
      <c r="DD1130" s="12"/>
      <c r="DE1130" s="12"/>
      <c r="DF1130" s="12"/>
      <c r="DG1130" s="12"/>
      <c r="DH1130" s="12"/>
      <c r="DI1130" s="12"/>
      <c r="DJ1130" s="12"/>
      <c r="DK1130" s="12"/>
      <c r="DL1130" s="12"/>
      <c r="DM1130" s="12"/>
      <c r="DN1130" s="12"/>
      <c r="DO1130" s="12"/>
      <c r="DP1130" s="12"/>
      <c r="DQ1130" s="12"/>
      <c r="DR1130" s="12"/>
      <c r="DS1130" s="12"/>
      <c r="DT1130" s="12"/>
      <c r="DU1130" s="12"/>
    </row>
    <row r="1131" spans="1:125">
      <c r="A1131" s="132"/>
      <c r="B1131" s="132"/>
      <c r="C1131" s="132"/>
      <c r="D1131" s="132"/>
      <c r="E1131" s="132"/>
      <c r="F1131" s="132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2"/>
      <c r="V1131" s="132"/>
      <c r="W1131" s="132"/>
      <c r="X1131" s="132"/>
      <c r="Y1131" s="132"/>
      <c r="Z1131" s="132"/>
      <c r="AA1131" s="132"/>
      <c r="AB1131" s="132"/>
      <c r="AC1131" s="132"/>
      <c r="AD1131" s="132"/>
      <c r="AE1131" s="132"/>
      <c r="AF1131" s="132"/>
      <c r="AG1131" s="132"/>
      <c r="AH1131" s="132"/>
      <c r="AI1131" s="132"/>
      <c r="AJ1131" s="13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  <c r="CD1131" s="12"/>
      <c r="CE1131" s="12"/>
      <c r="CF1131" s="12"/>
      <c r="CG1131" s="12"/>
      <c r="CH1131" s="12"/>
      <c r="CI1131" s="12"/>
      <c r="CJ1131" s="12"/>
      <c r="CK1131" s="12"/>
      <c r="CL1131" s="12"/>
      <c r="CM1131" s="12"/>
      <c r="CN1131" s="12"/>
      <c r="CO1131" s="12"/>
      <c r="CP1131" s="12"/>
      <c r="CQ1131" s="12"/>
      <c r="CR1131" s="12"/>
      <c r="CS1131" s="12"/>
      <c r="CT1131" s="12"/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  <c r="DE1131" s="12"/>
      <c r="DF1131" s="12"/>
      <c r="DG1131" s="12"/>
      <c r="DH1131" s="12"/>
      <c r="DI1131" s="12"/>
      <c r="DJ1131" s="12"/>
      <c r="DK1131" s="12"/>
      <c r="DL1131" s="12"/>
      <c r="DM1131" s="12"/>
      <c r="DN1131" s="12"/>
      <c r="DO1131" s="12"/>
      <c r="DP1131" s="12"/>
      <c r="DQ1131" s="12"/>
      <c r="DR1131" s="12"/>
      <c r="DS1131" s="12"/>
      <c r="DT1131" s="12"/>
      <c r="DU1131" s="12"/>
    </row>
    <row r="1132" spans="1:125">
      <c r="A1132" s="132"/>
      <c r="B1132" s="132"/>
      <c r="C1132" s="132"/>
      <c r="D1132" s="132"/>
      <c r="E1132" s="132"/>
      <c r="F1132" s="132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2"/>
      <c r="V1132" s="132"/>
      <c r="W1132" s="132"/>
      <c r="X1132" s="132"/>
      <c r="Y1132" s="132"/>
      <c r="Z1132" s="132"/>
      <c r="AA1132" s="132"/>
      <c r="AB1132" s="132"/>
      <c r="AC1132" s="132"/>
      <c r="AD1132" s="132"/>
      <c r="AE1132" s="132"/>
      <c r="AF1132" s="132"/>
      <c r="AG1132" s="132"/>
      <c r="AH1132" s="132"/>
      <c r="AI1132" s="132"/>
      <c r="AJ1132" s="13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  <c r="CD1132" s="12"/>
      <c r="CE1132" s="12"/>
      <c r="CF1132" s="12"/>
      <c r="CG1132" s="12"/>
      <c r="CH1132" s="12"/>
      <c r="CI1132" s="12"/>
      <c r="CJ1132" s="12"/>
      <c r="CK1132" s="12"/>
      <c r="CL1132" s="12"/>
      <c r="CM1132" s="12"/>
      <c r="CN1132" s="12"/>
      <c r="CO1132" s="12"/>
      <c r="CP1132" s="12"/>
      <c r="CQ1132" s="12"/>
      <c r="CR1132" s="12"/>
      <c r="CS1132" s="12"/>
      <c r="CT1132" s="12"/>
      <c r="CU1132" s="12"/>
      <c r="CV1132" s="12"/>
      <c r="CW1132" s="12"/>
      <c r="CX1132" s="12"/>
      <c r="CY1132" s="12"/>
      <c r="CZ1132" s="12"/>
      <c r="DA1132" s="12"/>
      <c r="DB1132" s="12"/>
      <c r="DC1132" s="12"/>
      <c r="DD1132" s="12"/>
      <c r="DE1132" s="12"/>
      <c r="DF1132" s="12"/>
      <c r="DG1132" s="12"/>
      <c r="DH1132" s="12"/>
      <c r="DI1132" s="12"/>
      <c r="DJ1132" s="12"/>
      <c r="DK1132" s="12"/>
      <c r="DL1132" s="12"/>
      <c r="DM1132" s="12"/>
      <c r="DN1132" s="12"/>
      <c r="DO1132" s="12"/>
      <c r="DP1132" s="12"/>
      <c r="DQ1132" s="12"/>
      <c r="DR1132" s="12"/>
      <c r="DS1132" s="12"/>
      <c r="DT1132" s="12"/>
      <c r="DU1132" s="12"/>
    </row>
    <row r="1133" spans="1:125">
      <c r="A1133" s="132"/>
      <c r="B1133" s="132"/>
      <c r="C1133" s="132"/>
      <c r="D1133" s="132"/>
      <c r="E1133" s="132"/>
      <c r="F1133" s="132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2"/>
      <c r="V1133" s="132"/>
      <c r="W1133" s="132"/>
      <c r="X1133" s="132"/>
      <c r="Y1133" s="132"/>
      <c r="Z1133" s="132"/>
      <c r="AA1133" s="132"/>
      <c r="AB1133" s="132"/>
      <c r="AC1133" s="132"/>
      <c r="AD1133" s="132"/>
      <c r="AE1133" s="132"/>
      <c r="AF1133" s="132"/>
      <c r="AG1133" s="132"/>
      <c r="AH1133" s="132"/>
      <c r="AI1133" s="132"/>
      <c r="AJ1133" s="13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  <c r="CD1133" s="12"/>
      <c r="CE1133" s="12"/>
      <c r="CF1133" s="12"/>
      <c r="CG1133" s="12"/>
      <c r="CH1133" s="12"/>
      <c r="CI1133" s="12"/>
      <c r="CJ1133" s="12"/>
      <c r="CK1133" s="12"/>
      <c r="CL1133" s="12"/>
      <c r="CM1133" s="12"/>
      <c r="CN1133" s="12"/>
      <c r="CO1133" s="12"/>
      <c r="CP1133" s="12"/>
      <c r="CQ1133" s="12"/>
      <c r="CR1133" s="12"/>
      <c r="CS1133" s="12"/>
      <c r="CT1133" s="12"/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  <c r="DE1133" s="12"/>
      <c r="DF1133" s="12"/>
      <c r="DG1133" s="12"/>
      <c r="DH1133" s="12"/>
      <c r="DI1133" s="12"/>
      <c r="DJ1133" s="12"/>
      <c r="DK1133" s="12"/>
      <c r="DL1133" s="12"/>
      <c r="DM1133" s="12"/>
      <c r="DN1133" s="12"/>
      <c r="DO1133" s="12"/>
      <c r="DP1133" s="12"/>
      <c r="DQ1133" s="12"/>
      <c r="DR1133" s="12"/>
      <c r="DS1133" s="12"/>
      <c r="DT1133" s="12"/>
      <c r="DU1133" s="12"/>
    </row>
    <row r="1134" spans="1:125">
      <c r="A1134" s="132"/>
      <c r="B1134" s="132"/>
      <c r="C1134" s="132"/>
      <c r="D1134" s="132"/>
      <c r="E1134" s="132"/>
      <c r="F1134" s="132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2"/>
      <c r="V1134" s="132"/>
      <c r="W1134" s="132"/>
      <c r="X1134" s="132"/>
      <c r="Y1134" s="132"/>
      <c r="Z1134" s="132"/>
      <c r="AA1134" s="132"/>
      <c r="AB1134" s="132"/>
      <c r="AC1134" s="132"/>
      <c r="AD1134" s="132"/>
      <c r="AE1134" s="132"/>
      <c r="AF1134" s="132"/>
      <c r="AG1134" s="132"/>
      <c r="AH1134" s="132"/>
      <c r="AI1134" s="132"/>
      <c r="AJ1134" s="13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  <c r="CD1134" s="12"/>
      <c r="CE1134" s="12"/>
      <c r="CF1134" s="12"/>
      <c r="CG1134" s="12"/>
      <c r="CH1134" s="12"/>
      <c r="CI1134" s="12"/>
      <c r="CJ1134" s="12"/>
      <c r="CK1134" s="12"/>
      <c r="CL1134" s="12"/>
      <c r="CM1134" s="12"/>
      <c r="CN1134" s="12"/>
      <c r="CO1134" s="12"/>
      <c r="CP1134" s="12"/>
      <c r="CQ1134" s="12"/>
      <c r="CR1134" s="12"/>
      <c r="CS1134" s="12"/>
      <c r="CT1134" s="12"/>
      <c r="CU1134" s="12"/>
      <c r="CV1134" s="12"/>
      <c r="CW1134" s="12"/>
      <c r="CX1134" s="12"/>
      <c r="CY1134" s="12"/>
      <c r="CZ1134" s="12"/>
      <c r="DA1134" s="12"/>
      <c r="DB1134" s="12"/>
      <c r="DC1134" s="12"/>
      <c r="DD1134" s="12"/>
      <c r="DE1134" s="12"/>
      <c r="DF1134" s="12"/>
      <c r="DG1134" s="12"/>
      <c r="DH1134" s="12"/>
      <c r="DI1134" s="12"/>
      <c r="DJ1134" s="12"/>
      <c r="DK1134" s="12"/>
      <c r="DL1134" s="12"/>
      <c r="DM1134" s="12"/>
      <c r="DN1134" s="12"/>
      <c r="DO1134" s="12"/>
      <c r="DP1134" s="12"/>
      <c r="DQ1134" s="12"/>
      <c r="DR1134" s="12"/>
      <c r="DS1134" s="12"/>
      <c r="DT1134" s="12"/>
      <c r="DU1134" s="12"/>
    </row>
    <row r="1135" spans="1:125">
      <c r="A1135" s="132"/>
      <c r="B1135" s="132"/>
      <c r="C1135" s="132"/>
      <c r="D1135" s="132"/>
      <c r="E1135" s="132"/>
      <c r="F1135" s="132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2"/>
      <c r="V1135" s="132"/>
      <c r="W1135" s="132"/>
      <c r="X1135" s="132"/>
      <c r="Y1135" s="132"/>
      <c r="Z1135" s="132"/>
      <c r="AA1135" s="132"/>
      <c r="AB1135" s="132"/>
      <c r="AC1135" s="132"/>
      <c r="AD1135" s="132"/>
      <c r="AE1135" s="132"/>
      <c r="AF1135" s="132"/>
      <c r="AG1135" s="132"/>
      <c r="AH1135" s="132"/>
      <c r="AI1135" s="132"/>
      <c r="AJ1135" s="13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  <c r="CD1135" s="12"/>
      <c r="CE1135" s="12"/>
      <c r="CF1135" s="12"/>
      <c r="CG1135" s="12"/>
      <c r="CH1135" s="12"/>
      <c r="CI1135" s="12"/>
      <c r="CJ1135" s="12"/>
      <c r="CK1135" s="12"/>
      <c r="CL1135" s="12"/>
      <c r="CM1135" s="12"/>
      <c r="CN1135" s="12"/>
      <c r="CO1135" s="12"/>
      <c r="CP1135" s="12"/>
      <c r="CQ1135" s="12"/>
      <c r="CR1135" s="12"/>
      <c r="CS1135" s="12"/>
      <c r="CT1135" s="12"/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  <c r="DE1135" s="12"/>
      <c r="DF1135" s="12"/>
      <c r="DG1135" s="12"/>
      <c r="DH1135" s="12"/>
      <c r="DI1135" s="12"/>
      <c r="DJ1135" s="12"/>
      <c r="DK1135" s="12"/>
      <c r="DL1135" s="12"/>
      <c r="DM1135" s="12"/>
      <c r="DN1135" s="12"/>
      <c r="DO1135" s="12"/>
      <c r="DP1135" s="12"/>
      <c r="DQ1135" s="12"/>
      <c r="DR1135" s="12"/>
      <c r="DS1135" s="12"/>
      <c r="DT1135" s="12"/>
      <c r="DU1135" s="12"/>
    </row>
    <row r="1136" spans="1:125">
      <c r="A1136" s="132"/>
      <c r="B1136" s="132"/>
      <c r="C1136" s="132"/>
      <c r="D1136" s="132"/>
      <c r="E1136" s="132"/>
      <c r="F1136" s="132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2"/>
      <c r="V1136" s="132"/>
      <c r="W1136" s="132"/>
      <c r="X1136" s="132"/>
      <c r="Y1136" s="132"/>
      <c r="Z1136" s="132"/>
      <c r="AA1136" s="132"/>
      <c r="AB1136" s="132"/>
      <c r="AC1136" s="132"/>
      <c r="AD1136" s="132"/>
      <c r="AE1136" s="132"/>
      <c r="AF1136" s="132"/>
      <c r="AG1136" s="132"/>
      <c r="AH1136" s="132"/>
      <c r="AI1136" s="132"/>
      <c r="AJ1136" s="13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  <c r="CD1136" s="12"/>
      <c r="CE1136" s="12"/>
      <c r="CF1136" s="12"/>
      <c r="CG1136" s="12"/>
      <c r="CH1136" s="12"/>
      <c r="CI1136" s="12"/>
      <c r="CJ1136" s="12"/>
      <c r="CK1136" s="12"/>
      <c r="CL1136" s="12"/>
      <c r="CM1136" s="12"/>
      <c r="CN1136" s="12"/>
      <c r="CO1136" s="12"/>
      <c r="CP1136" s="12"/>
      <c r="CQ1136" s="12"/>
      <c r="CR1136" s="12"/>
      <c r="CS1136" s="12"/>
      <c r="CT1136" s="12"/>
      <c r="CU1136" s="12"/>
      <c r="CV1136" s="12"/>
      <c r="CW1136" s="12"/>
      <c r="CX1136" s="12"/>
      <c r="CY1136" s="12"/>
      <c r="CZ1136" s="12"/>
      <c r="DA1136" s="12"/>
      <c r="DB1136" s="12"/>
      <c r="DC1136" s="12"/>
      <c r="DD1136" s="12"/>
      <c r="DE1136" s="12"/>
      <c r="DF1136" s="12"/>
      <c r="DG1136" s="12"/>
      <c r="DH1136" s="12"/>
      <c r="DI1136" s="12"/>
      <c r="DJ1136" s="12"/>
      <c r="DK1136" s="12"/>
      <c r="DL1136" s="12"/>
      <c r="DM1136" s="12"/>
      <c r="DN1136" s="12"/>
      <c r="DO1136" s="12"/>
      <c r="DP1136" s="12"/>
      <c r="DQ1136" s="12"/>
      <c r="DR1136" s="12"/>
      <c r="DS1136" s="12"/>
      <c r="DT1136" s="12"/>
      <c r="DU1136" s="12"/>
    </row>
    <row r="1137" spans="1:125">
      <c r="A1137" s="132"/>
      <c r="B1137" s="132"/>
      <c r="C1137" s="132"/>
      <c r="D1137" s="132"/>
      <c r="E1137" s="132"/>
      <c r="F1137" s="132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2"/>
      <c r="V1137" s="132"/>
      <c r="W1137" s="132"/>
      <c r="X1137" s="132"/>
      <c r="Y1137" s="132"/>
      <c r="Z1137" s="132"/>
      <c r="AA1137" s="132"/>
      <c r="AB1137" s="132"/>
      <c r="AC1137" s="132"/>
      <c r="AD1137" s="132"/>
      <c r="AE1137" s="132"/>
      <c r="AF1137" s="132"/>
      <c r="AG1137" s="132"/>
      <c r="AH1137" s="132"/>
      <c r="AI1137" s="132"/>
      <c r="AJ1137" s="13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  <c r="CD1137" s="12"/>
      <c r="CE1137" s="12"/>
      <c r="CF1137" s="12"/>
      <c r="CG1137" s="12"/>
      <c r="CH1137" s="12"/>
      <c r="CI1137" s="12"/>
      <c r="CJ1137" s="12"/>
      <c r="CK1137" s="12"/>
      <c r="CL1137" s="12"/>
      <c r="CM1137" s="12"/>
      <c r="CN1137" s="12"/>
      <c r="CO1137" s="12"/>
      <c r="CP1137" s="12"/>
      <c r="CQ1137" s="12"/>
      <c r="CR1137" s="12"/>
      <c r="CS1137" s="12"/>
      <c r="CT1137" s="12"/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  <c r="DE1137" s="12"/>
      <c r="DF1137" s="12"/>
      <c r="DG1137" s="12"/>
      <c r="DH1137" s="12"/>
      <c r="DI1137" s="12"/>
      <c r="DJ1137" s="12"/>
      <c r="DK1137" s="12"/>
      <c r="DL1137" s="12"/>
      <c r="DM1137" s="12"/>
      <c r="DN1137" s="12"/>
      <c r="DO1137" s="12"/>
      <c r="DP1137" s="12"/>
      <c r="DQ1137" s="12"/>
      <c r="DR1137" s="12"/>
      <c r="DS1137" s="12"/>
      <c r="DT1137" s="12"/>
      <c r="DU1137" s="12"/>
    </row>
    <row r="1138" spans="1:125">
      <c r="A1138" s="132"/>
      <c r="B1138" s="132"/>
      <c r="C1138" s="132"/>
      <c r="D1138" s="132"/>
      <c r="E1138" s="132"/>
      <c r="F1138" s="132"/>
      <c r="G1138" s="132"/>
      <c r="H1138" s="132"/>
      <c r="I1138" s="132"/>
      <c r="J1138" s="132"/>
      <c r="K1138" s="132"/>
      <c r="L1138" s="132"/>
      <c r="M1138" s="132"/>
      <c r="N1138" s="132"/>
      <c r="O1138" s="132"/>
      <c r="P1138" s="132"/>
      <c r="Q1138" s="132"/>
      <c r="R1138" s="132"/>
      <c r="S1138" s="132"/>
      <c r="T1138" s="132"/>
      <c r="U1138" s="132"/>
      <c r="V1138" s="132"/>
      <c r="W1138" s="132"/>
      <c r="X1138" s="132"/>
      <c r="Y1138" s="132"/>
      <c r="Z1138" s="132"/>
      <c r="AA1138" s="132"/>
      <c r="AB1138" s="132"/>
      <c r="AC1138" s="132"/>
      <c r="AD1138" s="132"/>
      <c r="AE1138" s="132"/>
      <c r="AF1138" s="132"/>
      <c r="AG1138" s="132"/>
      <c r="AH1138" s="132"/>
      <c r="AI1138" s="132"/>
      <c r="AJ1138" s="13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  <c r="CD1138" s="12"/>
      <c r="CE1138" s="12"/>
      <c r="CF1138" s="12"/>
      <c r="CG1138" s="12"/>
      <c r="CH1138" s="12"/>
      <c r="CI1138" s="12"/>
      <c r="CJ1138" s="12"/>
      <c r="CK1138" s="12"/>
      <c r="CL1138" s="12"/>
      <c r="CM1138" s="12"/>
      <c r="CN1138" s="12"/>
      <c r="CO1138" s="12"/>
      <c r="CP1138" s="12"/>
      <c r="CQ1138" s="12"/>
      <c r="CR1138" s="12"/>
      <c r="CS1138" s="12"/>
      <c r="CT1138" s="12"/>
      <c r="CU1138" s="12"/>
      <c r="CV1138" s="12"/>
      <c r="CW1138" s="12"/>
      <c r="CX1138" s="12"/>
      <c r="CY1138" s="12"/>
      <c r="CZ1138" s="12"/>
      <c r="DA1138" s="12"/>
      <c r="DB1138" s="12"/>
      <c r="DC1138" s="12"/>
      <c r="DD1138" s="12"/>
      <c r="DE1138" s="12"/>
      <c r="DF1138" s="12"/>
      <c r="DG1138" s="12"/>
      <c r="DH1138" s="12"/>
      <c r="DI1138" s="12"/>
      <c r="DJ1138" s="12"/>
      <c r="DK1138" s="12"/>
      <c r="DL1138" s="12"/>
      <c r="DM1138" s="12"/>
      <c r="DN1138" s="12"/>
      <c r="DO1138" s="12"/>
      <c r="DP1138" s="12"/>
      <c r="DQ1138" s="12"/>
      <c r="DR1138" s="12"/>
      <c r="DS1138" s="12"/>
      <c r="DT1138" s="12"/>
      <c r="DU1138" s="12"/>
    </row>
    <row r="1139" spans="1:125">
      <c r="A1139" s="132"/>
      <c r="B1139" s="132"/>
      <c r="C1139" s="132"/>
      <c r="D1139" s="132"/>
      <c r="E1139" s="132"/>
      <c r="F1139" s="132"/>
      <c r="G1139" s="132"/>
      <c r="H1139" s="132"/>
      <c r="I1139" s="132"/>
      <c r="J1139" s="132"/>
      <c r="K1139" s="132"/>
      <c r="L1139" s="132"/>
      <c r="M1139" s="132"/>
      <c r="N1139" s="132"/>
      <c r="O1139" s="132"/>
      <c r="P1139" s="132"/>
      <c r="Q1139" s="132"/>
      <c r="R1139" s="132"/>
      <c r="S1139" s="132"/>
      <c r="T1139" s="132"/>
      <c r="U1139" s="132"/>
      <c r="V1139" s="132"/>
      <c r="W1139" s="132"/>
      <c r="X1139" s="132"/>
      <c r="Y1139" s="132"/>
      <c r="Z1139" s="132"/>
      <c r="AA1139" s="132"/>
      <c r="AB1139" s="132"/>
      <c r="AC1139" s="132"/>
      <c r="AD1139" s="132"/>
      <c r="AE1139" s="132"/>
      <c r="AF1139" s="132"/>
      <c r="AG1139" s="132"/>
      <c r="AH1139" s="132"/>
      <c r="AI1139" s="132"/>
      <c r="AJ1139" s="13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  <c r="CD1139" s="12"/>
      <c r="CE1139" s="12"/>
      <c r="CF1139" s="12"/>
      <c r="CG1139" s="12"/>
      <c r="CH1139" s="12"/>
      <c r="CI1139" s="12"/>
      <c r="CJ1139" s="12"/>
      <c r="CK1139" s="12"/>
      <c r="CL1139" s="12"/>
      <c r="CM1139" s="12"/>
      <c r="CN1139" s="12"/>
      <c r="CO1139" s="12"/>
      <c r="CP1139" s="12"/>
      <c r="CQ1139" s="12"/>
      <c r="CR1139" s="12"/>
      <c r="CS1139" s="12"/>
      <c r="CT1139" s="12"/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  <c r="DE1139" s="12"/>
      <c r="DF1139" s="12"/>
      <c r="DG1139" s="12"/>
      <c r="DH1139" s="12"/>
      <c r="DI1139" s="12"/>
      <c r="DJ1139" s="12"/>
      <c r="DK1139" s="12"/>
      <c r="DL1139" s="12"/>
      <c r="DM1139" s="12"/>
      <c r="DN1139" s="12"/>
      <c r="DO1139" s="12"/>
      <c r="DP1139" s="12"/>
      <c r="DQ1139" s="12"/>
      <c r="DR1139" s="12"/>
      <c r="DS1139" s="12"/>
      <c r="DT1139" s="12"/>
      <c r="DU1139" s="12"/>
    </row>
    <row r="1140" spans="1:125">
      <c r="A1140" s="132"/>
      <c r="B1140" s="132"/>
      <c r="C1140" s="132"/>
      <c r="D1140" s="132"/>
      <c r="E1140" s="132"/>
      <c r="F1140" s="132"/>
      <c r="G1140" s="132"/>
      <c r="H1140" s="132"/>
      <c r="I1140" s="132"/>
      <c r="J1140" s="132"/>
      <c r="K1140" s="132"/>
      <c r="L1140" s="132"/>
      <c r="M1140" s="132"/>
      <c r="N1140" s="132"/>
      <c r="O1140" s="132"/>
      <c r="P1140" s="132"/>
      <c r="Q1140" s="132"/>
      <c r="R1140" s="132"/>
      <c r="S1140" s="132"/>
      <c r="T1140" s="132"/>
      <c r="U1140" s="132"/>
      <c r="V1140" s="132"/>
      <c r="W1140" s="132"/>
      <c r="X1140" s="132"/>
      <c r="Y1140" s="132"/>
      <c r="Z1140" s="132"/>
      <c r="AA1140" s="132"/>
      <c r="AB1140" s="132"/>
      <c r="AC1140" s="132"/>
      <c r="AD1140" s="132"/>
      <c r="AE1140" s="132"/>
      <c r="AF1140" s="132"/>
      <c r="AG1140" s="132"/>
      <c r="AH1140" s="132"/>
      <c r="AI1140" s="132"/>
      <c r="AJ1140" s="13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  <c r="CD1140" s="12"/>
      <c r="CE1140" s="12"/>
      <c r="CF1140" s="12"/>
      <c r="CG1140" s="12"/>
      <c r="CH1140" s="12"/>
      <c r="CI1140" s="12"/>
      <c r="CJ1140" s="12"/>
      <c r="CK1140" s="12"/>
      <c r="CL1140" s="12"/>
      <c r="CM1140" s="12"/>
      <c r="CN1140" s="12"/>
      <c r="CO1140" s="12"/>
      <c r="CP1140" s="12"/>
      <c r="CQ1140" s="12"/>
      <c r="CR1140" s="12"/>
      <c r="CS1140" s="12"/>
      <c r="CT1140" s="12"/>
      <c r="CU1140" s="12"/>
      <c r="CV1140" s="12"/>
      <c r="CW1140" s="12"/>
      <c r="CX1140" s="12"/>
      <c r="CY1140" s="12"/>
      <c r="CZ1140" s="12"/>
      <c r="DA1140" s="12"/>
      <c r="DB1140" s="12"/>
      <c r="DC1140" s="12"/>
      <c r="DD1140" s="12"/>
      <c r="DE1140" s="12"/>
      <c r="DF1140" s="12"/>
      <c r="DG1140" s="12"/>
      <c r="DH1140" s="12"/>
      <c r="DI1140" s="12"/>
      <c r="DJ1140" s="12"/>
      <c r="DK1140" s="12"/>
      <c r="DL1140" s="12"/>
      <c r="DM1140" s="12"/>
      <c r="DN1140" s="12"/>
      <c r="DO1140" s="12"/>
      <c r="DP1140" s="12"/>
      <c r="DQ1140" s="12"/>
      <c r="DR1140" s="12"/>
      <c r="DS1140" s="12"/>
      <c r="DT1140" s="12"/>
      <c r="DU1140" s="12"/>
    </row>
    <row r="1141" spans="1:125">
      <c r="A1141" s="132"/>
      <c r="B1141" s="132"/>
      <c r="C1141" s="132"/>
      <c r="D1141" s="132"/>
      <c r="E1141" s="132"/>
      <c r="F1141" s="132"/>
      <c r="G1141" s="132"/>
      <c r="H1141" s="132"/>
      <c r="I1141" s="132"/>
      <c r="J1141" s="132"/>
      <c r="K1141" s="132"/>
      <c r="L1141" s="132"/>
      <c r="M1141" s="132"/>
      <c r="N1141" s="132"/>
      <c r="O1141" s="132"/>
      <c r="P1141" s="132"/>
      <c r="Q1141" s="132"/>
      <c r="R1141" s="132"/>
      <c r="S1141" s="132"/>
      <c r="T1141" s="132"/>
      <c r="U1141" s="132"/>
      <c r="V1141" s="132"/>
      <c r="W1141" s="132"/>
      <c r="X1141" s="132"/>
      <c r="Y1141" s="132"/>
      <c r="Z1141" s="132"/>
      <c r="AA1141" s="132"/>
      <c r="AB1141" s="132"/>
      <c r="AC1141" s="132"/>
      <c r="AD1141" s="132"/>
      <c r="AE1141" s="132"/>
      <c r="AF1141" s="132"/>
      <c r="AG1141" s="132"/>
      <c r="AH1141" s="132"/>
      <c r="AI1141" s="132"/>
      <c r="AJ1141" s="13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  <c r="CD1141" s="12"/>
      <c r="CE1141" s="12"/>
      <c r="CF1141" s="12"/>
      <c r="CG1141" s="12"/>
      <c r="CH1141" s="12"/>
      <c r="CI1141" s="12"/>
      <c r="CJ1141" s="12"/>
      <c r="CK1141" s="12"/>
      <c r="CL1141" s="12"/>
      <c r="CM1141" s="12"/>
      <c r="CN1141" s="12"/>
      <c r="CO1141" s="12"/>
      <c r="CP1141" s="12"/>
      <c r="CQ1141" s="12"/>
      <c r="CR1141" s="12"/>
      <c r="CS1141" s="12"/>
      <c r="CT1141" s="12"/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  <c r="DE1141" s="12"/>
      <c r="DF1141" s="12"/>
      <c r="DG1141" s="12"/>
      <c r="DH1141" s="12"/>
      <c r="DI1141" s="12"/>
      <c r="DJ1141" s="12"/>
      <c r="DK1141" s="12"/>
      <c r="DL1141" s="12"/>
      <c r="DM1141" s="12"/>
      <c r="DN1141" s="12"/>
      <c r="DO1141" s="12"/>
      <c r="DP1141" s="12"/>
      <c r="DQ1141" s="12"/>
      <c r="DR1141" s="12"/>
      <c r="DS1141" s="12"/>
      <c r="DT1141" s="12"/>
      <c r="DU1141" s="12"/>
    </row>
    <row r="1142" spans="1:125">
      <c r="A1142" s="132"/>
      <c r="B1142" s="132"/>
      <c r="C1142" s="132"/>
      <c r="D1142" s="132"/>
      <c r="E1142" s="132"/>
      <c r="F1142" s="132"/>
      <c r="G1142" s="132"/>
      <c r="H1142" s="132"/>
      <c r="I1142" s="132"/>
      <c r="J1142" s="132"/>
      <c r="K1142" s="132"/>
      <c r="L1142" s="132"/>
      <c r="M1142" s="132"/>
      <c r="N1142" s="132"/>
      <c r="O1142" s="132"/>
      <c r="P1142" s="132"/>
      <c r="Q1142" s="132"/>
      <c r="R1142" s="132"/>
      <c r="S1142" s="132"/>
      <c r="T1142" s="132"/>
      <c r="U1142" s="132"/>
      <c r="V1142" s="132"/>
      <c r="W1142" s="132"/>
      <c r="X1142" s="132"/>
      <c r="Y1142" s="132"/>
      <c r="Z1142" s="132"/>
      <c r="AA1142" s="132"/>
      <c r="AB1142" s="132"/>
      <c r="AC1142" s="132"/>
      <c r="AD1142" s="132"/>
      <c r="AE1142" s="132"/>
      <c r="AF1142" s="132"/>
      <c r="AG1142" s="132"/>
      <c r="AH1142" s="132"/>
      <c r="AI1142" s="132"/>
      <c r="AJ1142" s="13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  <c r="CD1142" s="12"/>
      <c r="CE1142" s="12"/>
      <c r="CF1142" s="12"/>
      <c r="CG1142" s="12"/>
      <c r="CH1142" s="12"/>
      <c r="CI1142" s="12"/>
      <c r="CJ1142" s="12"/>
      <c r="CK1142" s="12"/>
      <c r="CL1142" s="12"/>
      <c r="CM1142" s="12"/>
      <c r="CN1142" s="12"/>
      <c r="CO1142" s="12"/>
      <c r="CP1142" s="12"/>
      <c r="CQ1142" s="12"/>
      <c r="CR1142" s="12"/>
      <c r="CS1142" s="12"/>
      <c r="CT1142" s="12"/>
      <c r="CU1142" s="12"/>
      <c r="CV1142" s="12"/>
      <c r="CW1142" s="12"/>
      <c r="CX1142" s="12"/>
      <c r="CY1142" s="12"/>
      <c r="CZ1142" s="12"/>
      <c r="DA1142" s="12"/>
      <c r="DB1142" s="12"/>
      <c r="DC1142" s="12"/>
      <c r="DD1142" s="12"/>
      <c r="DE1142" s="12"/>
      <c r="DF1142" s="12"/>
      <c r="DG1142" s="12"/>
      <c r="DH1142" s="12"/>
      <c r="DI1142" s="12"/>
      <c r="DJ1142" s="12"/>
      <c r="DK1142" s="12"/>
      <c r="DL1142" s="12"/>
      <c r="DM1142" s="12"/>
      <c r="DN1142" s="12"/>
      <c r="DO1142" s="12"/>
      <c r="DP1142" s="12"/>
      <c r="DQ1142" s="12"/>
      <c r="DR1142" s="12"/>
      <c r="DS1142" s="12"/>
      <c r="DT1142" s="12"/>
      <c r="DU1142" s="12"/>
    </row>
    <row r="1143" spans="1:125">
      <c r="A1143" s="132"/>
      <c r="B1143" s="132"/>
      <c r="C1143" s="132"/>
      <c r="D1143" s="132"/>
      <c r="E1143" s="132"/>
      <c r="F1143" s="132"/>
      <c r="G1143" s="132"/>
      <c r="H1143" s="132"/>
      <c r="I1143" s="132"/>
      <c r="J1143" s="132"/>
      <c r="K1143" s="132"/>
      <c r="L1143" s="132"/>
      <c r="M1143" s="132"/>
      <c r="N1143" s="132"/>
      <c r="O1143" s="132"/>
      <c r="P1143" s="132"/>
      <c r="Q1143" s="132"/>
      <c r="R1143" s="132"/>
      <c r="S1143" s="132"/>
      <c r="T1143" s="132"/>
      <c r="U1143" s="132"/>
      <c r="V1143" s="132"/>
      <c r="W1143" s="132"/>
      <c r="X1143" s="132"/>
      <c r="Y1143" s="132"/>
      <c r="Z1143" s="132"/>
      <c r="AA1143" s="132"/>
      <c r="AB1143" s="132"/>
      <c r="AC1143" s="132"/>
      <c r="AD1143" s="132"/>
      <c r="AE1143" s="132"/>
      <c r="AF1143" s="132"/>
      <c r="AG1143" s="132"/>
      <c r="AH1143" s="132"/>
      <c r="AI1143" s="132"/>
      <c r="AJ1143" s="13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  <c r="CD1143" s="12"/>
      <c r="CE1143" s="12"/>
      <c r="CF1143" s="12"/>
      <c r="CG1143" s="12"/>
      <c r="CH1143" s="12"/>
      <c r="CI1143" s="12"/>
      <c r="CJ1143" s="12"/>
      <c r="CK1143" s="12"/>
      <c r="CL1143" s="12"/>
      <c r="CM1143" s="12"/>
      <c r="CN1143" s="12"/>
      <c r="CO1143" s="12"/>
      <c r="CP1143" s="12"/>
      <c r="CQ1143" s="12"/>
      <c r="CR1143" s="12"/>
      <c r="CS1143" s="12"/>
      <c r="CT1143" s="12"/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  <c r="DE1143" s="12"/>
      <c r="DF1143" s="12"/>
      <c r="DG1143" s="12"/>
      <c r="DH1143" s="12"/>
      <c r="DI1143" s="12"/>
      <c r="DJ1143" s="12"/>
      <c r="DK1143" s="12"/>
      <c r="DL1143" s="12"/>
      <c r="DM1143" s="12"/>
      <c r="DN1143" s="12"/>
      <c r="DO1143" s="12"/>
      <c r="DP1143" s="12"/>
      <c r="DQ1143" s="12"/>
      <c r="DR1143" s="12"/>
      <c r="DS1143" s="12"/>
      <c r="DT1143" s="12"/>
      <c r="DU1143" s="12"/>
    </row>
    <row r="1144" spans="1:125">
      <c r="A1144" s="132"/>
      <c r="B1144" s="132"/>
      <c r="C1144" s="132"/>
      <c r="D1144" s="132"/>
      <c r="E1144" s="132"/>
      <c r="F1144" s="132"/>
      <c r="G1144" s="132"/>
      <c r="H1144" s="132"/>
      <c r="I1144" s="132"/>
      <c r="J1144" s="132"/>
      <c r="K1144" s="132"/>
      <c r="L1144" s="132"/>
      <c r="M1144" s="132"/>
      <c r="N1144" s="132"/>
      <c r="O1144" s="132"/>
      <c r="P1144" s="132"/>
      <c r="Q1144" s="132"/>
      <c r="R1144" s="132"/>
      <c r="S1144" s="132"/>
      <c r="T1144" s="132"/>
      <c r="U1144" s="132"/>
      <c r="V1144" s="132"/>
      <c r="W1144" s="132"/>
      <c r="X1144" s="132"/>
      <c r="Y1144" s="132"/>
      <c r="Z1144" s="132"/>
      <c r="AA1144" s="132"/>
      <c r="AB1144" s="132"/>
      <c r="AC1144" s="132"/>
      <c r="AD1144" s="132"/>
      <c r="AE1144" s="132"/>
      <c r="AF1144" s="132"/>
      <c r="AG1144" s="132"/>
      <c r="AH1144" s="132"/>
      <c r="AI1144" s="132"/>
      <c r="AJ1144" s="13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  <c r="CD1144" s="12"/>
      <c r="CE1144" s="12"/>
      <c r="CF1144" s="12"/>
      <c r="CG1144" s="12"/>
      <c r="CH1144" s="12"/>
      <c r="CI1144" s="12"/>
      <c r="CJ1144" s="12"/>
      <c r="CK1144" s="12"/>
      <c r="CL1144" s="12"/>
      <c r="CM1144" s="12"/>
      <c r="CN1144" s="12"/>
      <c r="CO1144" s="12"/>
      <c r="CP1144" s="12"/>
      <c r="CQ1144" s="12"/>
      <c r="CR1144" s="12"/>
      <c r="CS1144" s="12"/>
      <c r="CT1144" s="12"/>
      <c r="CU1144" s="12"/>
      <c r="CV1144" s="12"/>
      <c r="CW1144" s="12"/>
      <c r="CX1144" s="12"/>
      <c r="CY1144" s="12"/>
      <c r="CZ1144" s="12"/>
      <c r="DA1144" s="12"/>
      <c r="DB1144" s="12"/>
      <c r="DC1144" s="12"/>
      <c r="DD1144" s="12"/>
      <c r="DE1144" s="12"/>
      <c r="DF1144" s="12"/>
      <c r="DG1144" s="12"/>
      <c r="DH1144" s="12"/>
      <c r="DI1144" s="12"/>
      <c r="DJ1144" s="12"/>
      <c r="DK1144" s="12"/>
      <c r="DL1144" s="12"/>
      <c r="DM1144" s="12"/>
      <c r="DN1144" s="12"/>
      <c r="DO1144" s="12"/>
      <c r="DP1144" s="12"/>
      <c r="DQ1144" s="12"/>
      <c r="DR1144" s="12"/>
      <c r="DS1144" s="12"/>
      <c r="DT1144" s="12"/>
      <c r="DU1144" s="12"/>
    </row>
    <row r="1145" spans="1:125">
      <c r="A1145" s="132"/>
      <c r="B1145" s="132"/>
      <c r="C1145" s="132"/>
      <c r="D1145" s="132"/>
      <c r="E1145" s="132"/>
      <c r="F1145" s="132"/>
      <c r="G1145" s="132"/>
      <c r="H1145" s="132"/>
      <c r="I1145" s="132"/>
      <c r="J1145" s="132"/>
      <c r="K1145" s="132"/>
      <c r="L1145" s="132"/>
      <c r="M1145" s="132"/>
      <c r="N1145" s="132"/>
      <c r="O1145" s="132"/>
      <c r="P1145" s="132"/>
      <c r="Q1145" s="132"/>
      <c r="R1145" s="132"/>
      <c r="S1145" s="132"/>
      <c r="T1145" s="132"/>
      <c r="U1145" s="132"/>
      <c r="V1145" s="132"/>
      <c r="W1145" s="132"/>
      <c r="X1145" s="132"/>
      <c r="Y1145" s="132"/>
      <c r="Z1145" s="132"/>
      <c r="AA1145" s="132"/>
      <c r="AB1145" s="132"/>
      <c r="AC1145" s="132"/>
      <c r="AD1145" s="132"/>
      <c r="AE1145" s="132"/>
      <c r="AF1145" s="132"/>
      <c r="AG1145" s="132"/>
      <c r="AH1145" s="132"/>
      <c r="AI1145" s="132"/>
      <c r="AJ1145" s="13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  <c r="CD1145" s="12"/>
      <c r="CE1145" s="12"/>
      <c r="CF1145" s="12"/>
      <c r="CG1145" s="12"/>
      <c r="CH1145" s="12"/>
      <c r="CI1145" s="12"/>
      <c r="CJ1145" s="12"/>
      <c r="CK1145" s="12"/>
      <c r="CL1145" s="12"/>
      <c r="CM1145" s="12"/>
      <c r="CN1145" s="12"/>
      <c r="CO1145" s="12"/>
      <c r="CP1145" s="12"/>
      <c r="CQ1145" s="12"/>
      <c r="CR1145" s="12"/>
      <c r="CS1145" s="12"/>
      <c r="CT1145" s="12"/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  <c r="DE1145" s="12"/>
      <c r="DF1145" s="12"/>
      <c r="DG1145" s="12"/>
      <c r="DH1145" s="12"/>
      <c r="DI1145" s="12"/>
      <c r="DJ1145" s="12"/>
      <c r="DK1145" s="12"/>
      <c r="DL1145" s="12"/>
      <c r="DM1145" s="12"/>
      <c r="DN1145" s="12"/>
      <c r="DO1145" s="12"/>
      <c r="DP1145" s="12"/>
      <c r="DQ1145" s="12"/>
      <c r="DR1145" s="12"/>
      <c r="DS1145" s="12"/>
      <c r="DT1145" s="12"/>
      <c r="DU1145" s="12"/>
    </row>
    <row r="1146" spans="1:125">
      <c r="A1146" s="132"/>
      <c r="B1146" s="132"/>
      <c r="C1146" s="132"/>
      <c r="D1146" s="132"/>
      <c r="E1146" s="132"/>
      <c r="F1146" s="132"/>
      <c r="G1146" s="132"/>
      <c r="H1146" s="132"/>
      <c r="I1146" s="132"/>
      <c r="J1146" s="132"/>
      <c r="K1146" s="132"/>
      <c r="L1146" s="132"/>
      <c r="M1146" s="132"/>
      <c r="N1146" s="132"/>
      <c r="O1146" s="132"/>
      <c r="P1146" s="132"/>
      <c r="Q1146" s="132"/>
      <c r="R1146" s="132"/>
      <c r="S1146" s="132"/>
      <c r="T1146" s="132"/>
      <c r="U1146" s="132"/>
      <c r="V1146" s="132"/>
      <c r="W1146" s="132"/>
      <c r="X1146" s="132"/>
      <c r="Y1146" s="132"/>
      <c r="Z1146" s="132"/>
      <c r="AA1146" s="132"/>
      <c r="AB1146" s="132"/>
      <c r="AC1146" s="132"/>
      <c r="AD1146" s="132"/>
      <c r="AE1146" s="132"/>
      <c r="AF1146" s="132"/>
      <c r="AG1146" s="132"/>
      <c r="AH1146" s="132"/>
      <c r="AI1146" s="132"/>
      <c r="AJ1146" s="13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</row>
    <row r="1147" spans="1:125">
      <c r="A1147" s="132"/>
      <c r="B1147" s="132"/>
      <c r="C1147" s="132"/>
      <c r="D1147" s="132"/>
      <c r="E1147" s="132"/>
      <c r="F1147" s="132"/>
      <c r="G1147" s="132"/>
      <c r="H1147" s="132"/>
      <c r="I1147" s="132"/>
      <c r="J1147" s="132"/>
      <c r="K1147" s="132"/>
      <c r="L1147" s="132"/>
      <c r="M1147" s="132"/>
      <c r="N1147" s="132"/>
      <c r="O1147" s="132"/>
      <c r="P1147" s="132"/>
      <c r="Q1147" s="132"/>
      <c r="R1147" s="132"/>
      <c r="S1147" s="132"/>
      <c r="T1147" s="132"/>
      <c r="U1147" s="132"/>
      <c r="V1147" s="132"/>
      <c r="W1147" s="132"/>
      <c r="X1147" s="132"/>
      <c r="Y1147" s="132"/>
      <c r="Z1147" s="132"/>
      <c r="AA1147" s="132"/>
      <c r="AB1147" s="132"/>
      <c r="AC1147" s="132"/>
      <c r="AD1147" s="132"/>
      <c r="AE1147" s="132"/>
      <c r="AF1147" s="132"/>
      <c r="AG1147" s="132"/>
      <c r="AH1147" s="132"/>
      <c r="AI1147" s="132"/>
      <c r="AJ1147" s="13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  <c r="CD1147" s="12"/>
      <c r="CE1147" s="12"/>
      <c r="CF1147" s="12"/>
      <c r="CG1147" s="12"/>
      <c r="CH1147" s="12"/>
      <c r="CI1147" s="12"/>
      <c r="CJ1147" s="12"/>
      <c r="CK1147" s="12"/>
      <c r="CL1147" s="12"/>
      <c r="CM1147" s="12"/>
      <c r="CN1147" s="12"/>
      <c r="CO1147" s="12"/>
      <c r="CP1147" s="12"/>
      <c r="CQ1147" s="12"/>
      <c r="CR1147" s="12"/>
      <c r="CS1147" s="12"/>
      <c r="CT1147" s="12"/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  <c r="DE1147" s="12"/>
      <c r="DF1147" s="12"/>
      <c r="DG1147" s="12"/>
      <c r="DH1147" s="12"/>
      <c r="DI1147" s="12"/>
      <c r="DJ1147" s="12"/>
      <c r="DK1147" s="12"/>
      <c r="DL1147" s="12"/>
      <c r="DM1147" s="12"/>
      <c r="DN1147" s="12"/>
      <c r="DO1147" s="12"/>
      <c r="DP1147" s="12"/>
      <c r="DQ1147" s="12"/>
      <c r="DR1147" s="12"/>
      <c r="DS1147" s="12"/>
      <c r="DT1147" s="12"/>
      <c r="DU1147" s="12"/>
    </row>
    <row r="1148" spans="1:125">
      <c r="A1148" s="132"/>
      <c r="B1148" s="132"/>
      <c r="C1148" s="132"/>
      <c r="D1148" s="132"/>
      <c r="E1148" s="132"/>
      <c r="F1148" s="132"/>
      <c r="G1148" s="132"/>
      <c r="H1148" s="132"/>
      <c r="I1148" s="132"/>
      <c r="J1148" s="132"/>
      <c r="K1148" s="132"/>
      <c r="L1148" s="132"/>
      <c r="M1148" s="132"/>
      <c r="N1148" s="132"/>
      <c r="O1148" s="132"/>
      <c r="P1148" s="132"/>
      <c r="Q1148" s="132"/>
      <c r="R1148" s="132"/>
      <c r="S1148" s="132"/>
      <c r="T1148" s="132"/>
      <c r="U1148" s="132"/>
      <c r="V1148" s="132"/>
      <c r="W1148" s="132"/>
      <c r="X1148" s="132"/>
      <c r="Y1148" s="132"/>
      <c r="Z1148" s="132"/>
      <c r="AA1148" s="132"/>
      <c r="AB1148" s="132"/>
      <c r="AC1148" s="132"/>
      <c r="AD1148" s="132"/>
      <c r="AE1148" s="132"/>
      <c r="AF1148" s="132"/>
      <c r="AG1148" s="132"/>
      <c r="AH1148" s="132"/>
      <c r="AI1148" s="132"/>
      <c r="AJ1148" s="13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  <c r="CD1148" s="12"/>
      <c r="CE1148" s="12"/>
      <c r="CF1148" s="12"/>
      <c r="CG1148" s="12"/>
      <c r="CH1148" s="12"/>
      <c r="CI1148" s="12"/>
      <c r="CJ1148" s="12"/>
      <c r="CK1148" s="12"/>
      <c r="CL1148" s="12"/>
      <c r="CM1148" s="12"/>
      <c r="CN1148" s="12"/>
      <c r="CO1148" s="12"/>
      <c r="CP1148" s="12"/>
      <c r="CQ1148" s="12"/>
      <c r="CR1148" s="12"/>
      <c r="CS1148" s="12"/>
      <c r="CT1148" s="12"/>
      <c r="CU1148" s="12"/>
      <c r="CV1148" s="12"/>
      <c r="CW1148" s="12"/>
      <c r="CX1148" s="12"/>
      <c r="CY1148" s="12"/>
      <c r="CZ1148" s="12"/>
      <c r="DA1148" s="12"/>
      <c r="DB1148" s="12"/>
      <c r="DC1148" s="12"/>
      <c r="DD1148" s="12"/>
      <c r="DE1148" s="12"/>
      <c r="DF1148" s="12"/>
      <c r="DG1148" s="12"/>
      <c r="DH1148" s="12"/>
      <c r="DI1148" s="12"/>
      <c r="DJ1148" s="12"/>
      <c r="DK1148" s="12"/>
      <c r="DL1148" s="12"/>
      <c r="DM1148" s="12"/>
      <c r="DN1148" s="12"/>
      <c r="DO1148" s="12"/>
      <c r="DP1148" s="12"/>
      <c r="DQ1148" s="12"/>
      <c r="DR1148" s="12"/>
      <c r="DS1148" s="12"/>
      <c r="DT1148" s="12"/>
      <c r="DU1148" s="12"/>
    </row>
    <row r="1149" spans="1:125">
      <c r="A1149" s="132"/>
      <c r="B1149" s="132"/>
      <c r="C1149" s="132"/>
      <c r="D1149" s="132"/>
      <c r="E1149" s="132"/>
      <c r="F1149" s="132"/>
      <c r="G1149" s="132"/>
      <c r="H1149" s="132"/>
      <c r="I1149" s="132"/>
      <c r="J1149" s="132"/>
      <c r="K1149" s="132"/>
      <c r="L1149" s="132"/>
      <c r="M1149" s="132"/>
      <c r="N1149" s="132"/>
      <c r="O1149" s="132"/>
      <c r="P1149" s="132"/>
      <c r="Q1149" s="132"/>
      <c r="R1149" s="132"/>
      <c r="S1149" s="132"/>
      <c r="T1149" s="132"/>
      <c r="U1149" s="132"/>
      <c r="V1149" s="132"/>
      <c r="W1149" s="132"/>
      <c r="X1149" s="132"/>
      <c r="Y1149" s="132"/>
      <c r="Z1149" s="132"/>
      <c r="AA1149" s="132"/>
      <c r="AB1149" s="132"/>
      <c r="AC1149" s="132"/>
      <c r="AD1149" s="132"/>
      <c r="AE1149" s="132"/>
      <c r="AF1149" s="132"/>
      <c r="AG1149" s="132"/>
      <c r="AH1149" s="132"/>
      <c r="AI1149" s="132"/>
      <c r="AJ1149" s="13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  <c r="CD1149" s="12"/>
      <c r="CE1149" s="12"/>
      <c r="CF1149" s="12"/>
      <c r="CG1149" s="12"/>
      <c r="CH1149" s="12"/>
      <c r="CI1149" s="12"/>
      <c r="CJ1149" s="12"/>
      <c r="CK1149" s="12"/>
      <c r="CL1149" s="12"/>
      <c r="CM1149" s="12"/>
      <c r="CN1149" s="12"/>
      <c r="CO1149" s="12"/>
      <c r="CP1149" s="12"/>
      <c r="CQ1149" s="12"/>
      <c r="CR1149" s="12"/>
      <c r="CS1149" s="12"/>
      <c r="CT1149" s="12"/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  <c r="DE1149" s="12"/>
      <c r="DF1149" s="12"/>
      <c r="DG1149" s="12"/>
      <c r="DH1149" s="12"/>
      <c r="DI1149" s="12"/>
      <c r="DJ1149" s="12"/>
      <c r="DK1149" s="12"/>
      <c r="DL1149" s="12"/>
      <c r="DM1149" s="12"/>
      <c r="DN1149" s="12"/>
      <c r="DO1149" s="12"/>
      <c r="DP1149" s="12"/>
      <c r="DQ1149" s="12"/>
      <c r="DR1149" s="12"/>
      <c r="DS1149" s="12"/>
      <c r="DT1149" s="12"/>
      <c r="DU1149" s="12"/>
    </row>
    <row r="1150" spans="1:125">
      <c r="A1150" s="132"/>
      <c r="B1150" s="132"/>
      <c r="C1150" s="132"/>
      <c r="D1150" s="132"/>
      <c r="E1150" s="132"/>
      <c r="F1150" s="132"/>
      <c r="G1150" s="132"/>
      <c r="H1150" s="132"/>
      <c r="I1150" s="132"/>
      <c r="J1150" s="132"/>
      <c r="K1150" s="132"/>
      <c r="L1150" s="132"/>
      <c r="M1150" s="132"/>
      <c r="N1150" s="132"/>
      <c r="O1150" s="132"/>
      <c r="P1150" s="132"/>
      <c r="Q1150" s="132"/>
      <c r="R1150" s="132"/>
      <c r="S1150" s="132"/>
      <c r="T1150" s="132"/>
      <c r="U1150" s="132"/>
      <c r="V1150" s="132"/>
      <c r="W1150" s="132"/>
      <c r="X1150" s="132"/>
      <c r="Y1150" s="132"/>
      <c r="Z1150" s="132"/>
      <c r="AA1150" s="132"/>
      <c r="AB1150" s="132"/>
      <c r="AC1150" s="132"/>
      <c r="AD1150" s="132"/>
      <c r="AE1150" s="132"/>
      <c r="AF1150" s="132"/>
      <c r="AG1150" s="132"/>
      <c r="AH1150" s="132"/>
      <c r="AI1150" s="132"/>
      <c r="AJ1150" s="13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  <c r="CD1150" s="12"/>
      <c r="CE1150" s="12"/>
      <c r="CF1150" s="12"/>
      <c r="CG1150" s="12"/>
      <c r="CH1150" s="12"/>
      <c r="CI1150" s="12"/>
      <c r="CJ1150" s="12"/>
      <c r="CK1150" s="12"/>
      <c r="CL1150" s="12"/>
      <c r="CM1150" s="12"/>
      <c r="CN1150" s="12"/>
      <c r="CO1150" s="12"/>
      <c r="CP1150" s="12"/>
      <c r="CQ1150" s="12"/>
      <c r="CR1150" s="12"/>
      <c r="CS1150" s="12"/>
      <c r="CT1150" s="12"/>
      <c r="CU1150" s="12"/>
      <c r="CV1150" s="12"/>
      <c r="CW1150" s="12"/>
      <c r="CX1150" s="12"/>
      <c r="CY1150" s="12"/>
      <c r="CZ1150" s="12"/>
      <c r="DA1150" s="12"/>
      <c r="DB1150" s="12"/>
      <c r="DC1150" s="12"/>
      <c r="DD1150" s="12"/>
      <c r="DE1150" s="12"/>
      <c r="DF1150" s="12"/>
      <c r="DG1150" s="12"/>
      <c r="DH1150" s="12"/>
      <c r="DI1150" s="12"/>
      <c r="DJ1150" s="12"/>
      <c r="DK1150" s="12"/>
      <c r="DL1150" s="12"/>
      <c r="DM1150" s="12"/>
      <c r="DN1150" s="12"/>
      <c r="DO1150" s="12"/>
      <c r="DP1150" s="12"/>
      <c r="DQ1150" s="12"/>
      <c r="DR1150" s="12"/>
      <c r="DS1150" s="12"/>
      <c r="DT1150" s="12"/>
      <c r="DU1150" s="12"/>
    </row>
    <row r="1151" spans="1:125">
      <c r="A1151" s="132"/>
      <c r="B1151" s="132"/>
      <c r="C1151" s="132"/>
      <c r="D1151" s="132"/>
      <c r="E1151" s="132"/>
      <c r="F1151" s="132"/>
      <c r="G1151" s="132"/>
      <c r="H1151" s="132"/>
      <c r="I1151" s="132"/>
      <c r="J1151" s="132"/>
      <c r="K1151" s="132"/>
      <c r="L1151" s="132"/>
      <c r="M1151" s="132"/>
      <c r="N1151" s="132"/>
      <c r="O1151" s="132"/>
      <c r="P1151" s="132"/>
      <c r="Q1151" s="132"/>
      <c r="R1151" s="132"/>
      <c r="S1151" s="132"/>
      <c r="T1151" s="132"/>
      <c r="U1151" s="132"/>
      <c r="V1151" s="132"/>
      <c r="W1151" s="132"/>
      <c r="X1151" s="132"/>
      <c r="Y1151" s="132"/>
      <c r="Z1151" s="132"/>
      <c r="AA1151" s="132"/>
      <c r="AB1151" s="132"/>
      <c r="AC1151" s="132"/>
      <c r="AD1151" s="132"/>
      <c r="AE1151" s="132"/>
      <c r="AF1151" s="132"/>
      <c r="AG1151" s="132"/>
      <c r="AH1151" s="132"/>
      <c r="AI1151" s="132"/>
      <c r="AJ1151" s="13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  <c r="CD1151" s="12"/>
      <c r="CE1151" s="12"/>
      <c r="CF1151" s="12"/>
      <c r="CG1151" s="12"/>
      <c r="CH1151" s="12"/>
      <c r="CI1151" s="12"/>
      <c r="CJ1151" s="12"/>
      <c r="CK1151" s="12"/>
      <c r="CL1151" s="12"/>
      <c r="CM1151" s="12"/>
      <c r="CN1151" s="12"/>
      <c r="CO1151" s="12"/>
      <c r="CP1151" s="12"/>
      <c r="CQ1151" s="12"/>
      <c r="CR1151" s="12"/>
      <c r="CS1151" s="12"/>
      <c r="CT1151" s="12"/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  <c r="DE1151" s="12"/>
      <c r="DF1151" s="12"/>
      <c r="DG1151" s="12"/>
      <c r="DH1151" s="12"/>
      <c r="DI1151" s="12"/>
      <c r="DJ1151" s="12"/>
      <c r="DK1151" s="12"/>
      <c r="DL1151" s="12"/>
      <c r="DM1151" s="12"/>
      <c r="DN1151" s="12"/>
      <c r="DO1151" s="12"/>
      <c r="DP1151" s="12"/>
      <c r="DQ1151" s="12"/>
      <c r="DR1151" s="12"/>
      <c r="DS1151" s="12"/>
      <c r="DT1151" s="12"/>
      <c r="DU1151" s="12"/>
    </row>
    <row r="1152" spans="1:125">
      <c r="A1152" s="132"/>
      <c r="B1152" s="132"/>
      <c r="C1152" s="132"/>
      <c r="D1152" s="132"/>
      <c r="E1152" s="132"/>
      <c r="F1152" s="132"/>
      <c r="G1152" s="132"/>
      <c r="H1152" s="132"/>
      <c r="I1152" s="132"/>
      <c r="J1152" s="132"/>
      <c r="K1152" s="132"/>
      <c r="L1152" s="132"/>
      <c r="M1152" s="132"/>
      <c r="N1152" s="132"/>
      <c r="O1152" s="132"/>
      <c r="P1152" s="132"/>
      <c r="Q1152" s="132"/>
      <c r="R1152" s="132"/>
      <c r="S1152" s="132"/>
      <c r="T1152" s="132"/>
      <c r="U1152" s="132"/>
      <c r="V1152" s="132"/>
      <c r="W1152" s="132"/>
      <c r="X1152" s="132"/>
      <c r="Y1152" s="132"/>
      <c r="Z1152" s="132"/>
      <c r="AA1152" s="132"/>
      <c r="AB1152" s="132"/>
      <c r="AC1152" s="132"/>
      <c r="AD1152" s="132"/>
      <c r="AE1152" s="132"/>
      <c r="AF1152" s="132"/>
      <c r="AG1152" s="132"/>
      <c r="AH1152" s="132"/>
      <c r="AI1152" s="132"/>
      <c r="AJ1152" s="13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  <c r="CD1152" s="12"/>
      <c r="CE1152" s="12"/>
      <c r="CF1152" s="12"/>
      <c r="CG1152" s="12"/>
      <c r="CH1152" s="12"/>
      <c r="CI1152" s="12"/>
      <c r="CJ1152" s="12"/>
      <c r="CK1152" s="12"/>
      <c r="CL1152" s="12"/>
      <c r="CM1152" s="12"/>
      <c r="CN1152" s="12"/>
      <c r="CO1152" s="12"/>
      <c r="CP1152" s="12"/>
      <c r="CQ1152" s="12"/>
      <c r="CR1152" s="12"/>
      <c r="CS1152" s="12"/>
      <c r="CT1152" s="12"/>
      <c r="CU1152" s="12"/>
      <c r="CV1152" s="12"/>
      <c r="CW1152" s="12"/>
      <c r="CX1152" s="12"/>
      <c r="CY1152" s="12"/>
      <c r="CZ1152" s="12"/>
      <c r="DA1152" s="12"/>
      <c r="DB1152" s="12"/>
      <c r="DC1152" s="12"/>
      <c r="DD1152" s="12"/>
      <c r="DE1152" s="12"/>
      <c r="DF1152" s="12"/>
      <c r="DG1152" s="12"/>
      <c r="DH1152" s="12"/>
      <c r="DI1152" s="12"/>
      <c r="DJ1152" s="12"/>
      <c r="DK1152" s="12"/>
      <c r="DL1152" s="12"/>
      <c r="DM1152" s="12"/>
      <c r="DN1152" s="12"/>
      <c r="DO1152" s="12"/>
      <c r="DP1152" s="12"/>
      <c r="DQ1152" s="12"/>
      <c r="DR1152" s="12"/>
      <c r="DS1152" s="12"/>
      <c r="DT1152" s="12"/>
      <c r="DU1152" s="12"/>
    </row>
    <row r="1153" spans="1:125">
      <c r="A1153" s="132"/>
      <c r="B1153" s="132"/>
      <c r="C1153" s="132"/>
      <c r="D1153" s="132"/>
      <c r="E1153" s="132"/>
      <c r="F1153" s="132"/>
      <c r="G1153" s="132"/>
      <c r="H1153" s="132"/>
      <c r="I1153" s="132"/>
      <c r="J1153" s="132"/>
      <c r="K1153" s="132"/>
      <c r="L1153" s="132"/>
      <c r="M1153" s="132"/>
      <c r="N1153" s="132"/>
      <c r="O1153" s="132"/>
      <c r="P1153" s="132"/>
      <c r="Q1153" s="132"/>
      <c r="R1153" s="132"/>
      <c r="S1153" s="132"/>
      <c r="T1153" s="132"/>
      <c r="U1153" s="132"/>
      <c r="V1153" s="132"/>
      <c r="W1153" s="132"/>
      <c r="X1153" s="132"/>
      <c r="Y1153" s="132"/>
      <c r="Z1153" s="132"/>
      <c r="AA1153" s="132"/>
      <c r="AB1153" s="132"/>
      <c r="AC1153" s="132"/>
      <c r="AD1153" s="132"/>
      <c r="AE1153" s="132"/>
      <c r="AF1153" s="132"/>
      <c r="AG1153" s="132"/>
      <c r="AH1153" s="132"/>
      <c r="AI1153" s="132"/>
      <c r="AJ1153" s="13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  <c r="CD1153" s="12"/>
      <c r="CE1153" s="12"/>
      <c r="CF1153" s="12"/>
      <c r="CG1153" s="12"/>
      <c r="CH1153" s="12"/>
      <c r="CI1153" s="12"/>
      <c r="CJ1153" s="12"/>
      <c r="CK1153" s="12"/>
      <c r="CL1153" s="12"/>
      <c r="CM1153" s="12"/>
      <c r="CN1153" s="12"/>
      <c r="CO1153" s="12"/>
      <c r="CP1153" s="12"/>
      <c r="CQ1153" s="12"/>
      <c r="CR1153" s="12"/>
      <c r="CS1153" s="12"/>
      <c r="CT1153" s="12"/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  <c r="DE1153" s="12"/>
      <c r="DF1153" s="12"/>
      <c r="DG1153" s="12"/>
      <c r="DH1153" s="12"/>
      <c r="DI1153" s="12"/>
      <c r="DJ1153" s="12"/>
      <c r="DK1153" s="12"/>
      <c r="DL1153" s="12"/>
      <c r="DM1153" s="12"/>
      <c r="DN1153" s="12"/>
      <c r="DO1153" s="12"/>
      <c r="DP1153" s="12"/>
      <c r="DQ1153" s="12"/>
      <c r="DR1153" s="12"/>
      <c r="DS1153" s="12"/>
      <c r="DT1153" s="12"/>
      <c r="DU1153" s="12"/>
    </row>
    <row r="1154" spans="1:125">
      <c r="A1154" s="132"/>
      <c r="B1154" s="132"/>
      <c r="C1154" s="132"/>
      <c r="D1154" s="132"/>
      <c r="E1154" s="132"/>
      <c r="F1154" s="132"/>
      <c r="G1154" s="132"/>
      <c r="H1154" s="132"/>
      <c r="I1154" s="132"/>
      <c r="J1154" s="132"/>
      <c r="K1154" s="132"/>
      <c r="L1154" s="132"/>
      <c r="M1154" s="132"/>
      <c r="N1154" s="132"/>
      <c r="O1154" s="132"/>
      <c r="P1154" s="132"/>
      <c r="Q1154" s="132"/>
      <c r="R1154" s="132"/>
      <c r="S1154" s="132"/>
      <c r="T1154" s="132"/>
      <c r="U1154" s="132"/>
      <c r="V1154" s="132"/>
      <c r="W1154" s="132"/>
      <c r="X1154" s="132"/>
      <c r="Y1154" s="132"/>
      <c r="Z1154" s="132"/>
      <c r="AA1154" s="132"/>
      <c r="AB1154" s="132"/>
      <c r="AC1154" s="132"/>
      <c r="AD1154" s="132"/>
      <c r="AE1154" s="132"/>
      <c r="AF1154" s="132"/>
      <c r="AG1154" s="132"/>
      <c r="AH1154" s="132"/>
      <c r="AI1154" s="132"/>
      <c r="AJ1154" s="13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  <c r="CD1154" s="12"/>
      <c r="CE1154" s="12"/>
      <c r="CF1154" s="12"/>
      <c r="CG1154" s="12"/>
      <c r="CH1154" s="12"/>
      <c r="CI1154" s="12"/>
      <c r="CJ1154" s="12"/>
      <c r="CK1154" s="12"/>
      <c r="CL1154" s="12"/>
      <c r="CM1154" s="12"/>
      <c r="CN1154" s="12"/>
      <c r="CO1154" s="12"/>
      <c r="CP1154" s="12"/>
      <c r="CQ1154" s="12"/>
      <c r="CR1154" s="12"/>
      <c r="CS1154" s="12"/>
      <c r="CT1154" s="12"/>
      <c r="CU1154" s="12"/>
      <c r="CV1154" s="12"/>
      <c r="CW1154" s="12"/>
      <c r="CX1154" s="12"/>
      <c r="CY1154" s="12"/>
      <c r="CZ1154" s="12"/>
      <c r="DA1154" s="12"/>
      <c r="DB1154" s="12"/>
      <c r="DC1154" s="12"/>
      <c r="DD1154" s="12"/>
      <c r="DE1154" s="12"/>
      <c r="DF1154" s="12"/>
      <c r="DG1154" s="12"/>
      <c r="DH1154" s="12"/>
      <c r="DI1154" s="12"/>
      <c r="DJ1154" s="12"/>
      <c r="DK1154" s="12"/>
      <c r="DL1154" s="12"/>
      <c r="DM1154" s="12"/>
      <c r="DN1154" s="12"/>
      <c r="DO1154" s="12"/>
      <c r="DP1154" s="12"/>
      <c r="DQ1154" s="12"/>
      <c r="DR1154" s="12"/>
      <c r="DS1154" s="12"/>
      <c r="DT1154" s="12"/>
      <c r="DU1154" s="12"/>
    </row>
    <row r="1155" spans="1:125">
      <c r="A1155" s="132"/>
      <c r="B1155" s="132"/>
      <c r="C1155" s="132"/>
      <c r="D1155" s="132"/>
      <c r="E1155" s="132"/>
      <c r="F1155" s="132"/>
      <c r="G1155" s="132"/>
      <c r="H1155" s="132"/>
      <c r="I1155" s="132"/>
      <c r="J1155" s="132"/>
      <c r="K1155" s="132"/>
      <c r="L1155" s="132"/>
      <c r="M1155" s="132"/>
      <c r="N1155" s="132"/>
      <c r="O1155" s="132"/>
      <c r="P1155" s="132"/>
      <c r="Q1155" s="132"/>
      <c r="R1155" s="132"/>
      <c r="S1155" s="132"/>
      <c r="T1155" s="132"/>
      <c r="U1155" s="132"/>
      <c r="V1155" s="132"/>
      <c r="W1155" s="132"/>
      <c r="X1155" s="132"/>
      <c r="Y1155" s="132"/>
      <c r="Z1155" s="132"/>
      <c r="AA1155" s="132"/>
      <c r="AB1155" s="132"/>
      <c r="AC1155" s="132"/>
      <c r="AD1155" s="132"/>
      <c r="AE1155" s="132"/>
      <c r="AF1155" s="132"/>
      <c r="AG1155" s="132"/>
      <c r="AH1155" s="132"/>
      <c r="AI1155" s="132"/>
      <c r="AJ1155" s="132"/>
      <c r="AK1155" s="132"/>
      <c r="AL1155" s="132"/>
      <c r="AM1155" s="132"/>
      <c r="AN1155" s="132"/>
      <c r="AO1155" s="132"/>
      <c r="AP1155" s="132"/>
      <c r="AQ1155" s="132"/>
      <c r="AR1155" s="132"/>
      <c r="AS1155" s="132"/>
      <c r="AT1155" s="132"/>
      <c r="AU1155" s="132"/>
      <c r="AV1155" s="132"/>
      <c r="AW1155" s="132"/>
      <c r="AX1155" s="132"/>
      <c r="AY1155" s="132"/>
      <c r="AZ1155" s="132"/>
      <c r="BA1155" s="132"/>
      <c r="BB1155" s="132"/>
      <c r="BC1155" s="132"/>
      <c r="BD1155" s="132"/>
      <c r="BE1155" s="132"/>
      <c r="BF1155" s="132"/>
      <c r="BG1155" s="132"/>
      <c r="BH1155" s="132"/>
      <c r="BI1155" s="132"/>
      <c r="BJ1155" s="132"/>
      <c r="BK1155" s="132"/>
      <c r="BL1155" s="132"/>
      <c r="BM1155" s="132"/>
      <c r="BN1155" s="132"/>
      <c r="BO1155" s="132"/>
      <c r="BP1155" s="132"/>
      <c r="BQ1155" s="132"/>
      <c r="BR1155" s="132"/>
      <c r="BS1155" s="132"/>
      <c r="BT1155" s="132"/>
      <c r="BU1155" s="132"/>
      <c r="BV1155" s="132"/>
      <c r="BW1155" s="132"/>
      <c r="BX1155" s="132"/>
      <c r="BY1155" s="132"/>
      <c r="BZ1155" s="132"/>
      <c r="CA1155" s="132"/>
      <c r="CB1155" s="132"/>
      <c r="CC1155" s="132"/>
      <c r="CD1155" s="132"/>
      <c r="CE1155" s="132"/>
      <c r="CF1155" s="132"/>
      <c r="CG1155" s="132"/>
      <c r="CH1155" s="132"/>
      <c r="CI1155" s="132"/>
      <c r="CJ1155" s="132"/>
      <c r="CK1155" s="132"/>
      <c r="CL1155" s="132"/>
      <c r="CM1155" s="132"/>
      <c r="CN1155" s="132"/>
      <c r="CO1155" s="132"/>
      <c r="CP1155" s="132"/>
      <c r="CQ1155" s="132"/>
      <c r="CR1155" s="132"/>
      <c r="CS1155" s="132"/>
      <c r="CT1155" s="132"/>
      <c r="CU1155" s="132"/>
      <c r="CV1155" s="132"/>
      <c r="CW1155" s="132"/>
      <c r="CX1155" s="132"/>
      <c r="CY1155" s="132"/>
    </row>
    <row r="1156" spans="1:125">
      <c r="A1156" s="132"/>
      <c r="B1156" s="132"/>
      <c r="C1156" s="132"/>
      <c r="D1156" s="132"/>
      <c r="E1156" s="132"/>
      <c r="F1156" s="132"/>
      <c r="G1156" s="132"/>
      <c r="H1156" s="132"/>
      <c r="I1156" s="132"/>
      <c r="J1156" s="132"/>
      <c r="K1156" s="132"/>
      <c r="L1156" s="132"/>
      <c r="M1156" s="132"/>
      <c r="N1156" s="132"/>
      <c r="O1156" s="132"/>
      <c r="P1156" s="132"/>
      <c r="Q1156" s="132"/>
      <c r="R1156" s="132"/>
      <c r="S1156" s="132"/>
      <c r="T1156" s="132"/>
      <c r="U1156" s="132"/>
      <c r="V1156" s="132"/>
      <c r="W1156" s="132"/>
      <c r="X1156" s="132"/>
      <c r="Y1156" s="132"/>
      <c r="Z1156" s="132"/>
      <c r="AA1156" s="132"/>
      <c r="AB1156" s="132"/>
      <c r="AC1156" s="132"/>
      <c r="AD1156" s="132"/>
      <c r="AE1156" s="132"/>
      <c r="AF1156" s="132"/>
      <c r="AG1156" s="132"/>
      <c r="AH1156" s="132"/>
      <c r="AI1156" s="132"/>
      <c r="AJ1156" s="132"/>
      <c r="AK1156" s="132"/>
      <c r="AL1156" s="132"/>
      <c r="AM1156" s="132"/>
      <c r="AN1156" s="132"/>
      <c r="AO1156" s="132"/>
      <c r="AP1156" s="132"/>
      <c r="AQ1156" s="132"/>
      <c r="AR1156" s="132"/>
      <c r="AS1156" s="132"/>
      <c r="AT1156" s="132"/>
      <c r="AU1156" s="132"/>
      <c r="AV1156" s="132"/>
      <c r="AW1156" s="132"/>
      <c r="AX1156" s="132"/>
      <c r="AY1156" s="132"/>
      <c r="AZ1156" s="132"/>
      <c r="BA1156" s="132"/>
      <c r="BB1156" s="132"/>
      <c r="BC1156" s="132"/>
      <c r="BD1156" s="132"/>
      <c r="BE1156" s="132"/>
      <c r="BF1156" s="132"/>
      <c r="BG1156" s="132"/>
      <c r="BH1156" s="132"/>
      <c r="BI1156" s="132"/>
      <c r="BJ1156" s="132"/>
      <c r="BK1156" s="132"/>
      <c r="BL1156" s="132"/>
      <c r="BM1156" s="132"/>
      <c r="BN1156" s="132"/>
      <c r="BO1156" s="132"/>
      <c r="BP1156" s="132"/>
      <c r="BQ1156" s="132"/>
      <c r="BR1156" s="132"/>
      <c r="BS1156" s="132"/>
      <c r="BT1156" s="132"/>
      <c r="BU1156" s="132"/>
      <c r="BV1156" s="132"/>
      <c r="BW1156" s="132"/>
      <c r="BX1156" s="132"/>
      <c r="BY1156" s="132"/>
      <c r="BZ1156" s="132"/>
      <c r="CA1156" s="132"/>
      <c r="CB1156" s="132"/>
      <c r="CC1156" s="132"/>
      <c r="CD1156" s="132"/>
      <c r="CE1156" s="132"/>
      <c r="CF1156" s="132"/>
      <c r="CG1156" s="132"/>
      <c r="CH1156" s="132"/>
      <c r="CI1156" s="132"/>
      <c r="CJ1156" s="132"/>
      <c r="CK1156" s="132"/>
      <c r="CL1156" s="132"/>
      <c r="CM1156" s="132"/>
      <c r="CN1156" s="132"/>
      <c r="CO1156" s="132"/>
      <c r="CP1156" s="132"/>
      <c r="CQ1156" s="132"/>
      <c r="CR1156" s="132"/>
      <c r="CS1156" s="132"/>
      <c r="CT1156" s="132"/>
      <c r="CU1156" s="132"/>
      <c r="CV1156" s="132"/>
      <c r="CW1156" s="132"/>
      <c r="CX1156" s="132"/>
      <c r="CY1156" s="132"/>
    </row>
    <row r="1157" spans="1:125">
      <c r="A1157" s="132"/>
      <c r="B1157" s="132"/>
      <c r="C1157" s="132"/>
      <c r="D1157" s="132"/>
      <c r="E1157" s="132"/>
      <c r="F1157" s="132"/>
      <c r="G1157" s="132"/>
      <c r="H1157" s="132"/>
      <c r="I1157" s="132"/>
      <c r="J1157" s="132"/>
      <c r="K1157" s="132"/>
      <c r="L1157" s="132"/>
      <c r="M1157" s="132"/>
      <c r="N1157" s="132"/>
      <c r="O1157" s="132"/>
      <c r="P1157" s="132"/>
      <c r="Q1157" s="132"/>
      <c r="R1157" s="132"/>
      <c r="S1157" s="132"/>
      <c r="T1157" s="132"/>
      <c r="U1157" s="132"/>
      <c r="V1157" s="132"/>
      <c r="W1157" s="132"/>
      <c r="X1157" s="132"/>
      <c r="Y1157" s="132"/>
      <c r="Z1157" s="132"/>
      <c r="AA1157" s="132"/>
      <c r="AB1157" s="132"/>
      <c r="AC1157" s="132"/>
      <c r="AD1157" s="132"/>
      <c r="AE1157" s="132"/>
      <c r="AF1157" s="132"/>
      <c r="AG1157" s="132"/>
      <c r="AH1157" s="132"/>
      <c r="AI1157" s="132"/>
      <c r="AJ1157" s="132"/>
      <c r="AK1157" s="132"/>
      <c r="AL1157" s="132"/>
      <c r="AM1157" s="132"/>
      <c r="AN1157" s="132"/>
      <c r="AO1157" s="132"/>
      <c r="AP1157" s="132"/>
      <c r="AQ1157" s="132"/>
      <c r="AR1157" s="132"/>
      <c r="AS1157" s="132"/>
      <c r="AT1157" s="132"/>
      <c r="AU1157" s="132"/>
      <c r="AV1157" s="132"/>
      <c r="AW1157" s="132"/>
      <c r="AX1157" s="132"/>
      <c r="AY1157" s="132"/>
      <c r="AZ1157" s="132"/>
      <c r="BA1157" s="132"/>
      <c r="BB1157" s="132"/>
      <c r="BC1157" s="132"/>
      <c r="BD1157" s="132"/>
      <c r="BE1157" s="132"/>
      <c r="BF1157" s="132"/>
      <c r="BG1157" s="132"/>
      <c r="BH1157" s="132"/>
      <c r="BI1157" s="132"/>
      <c r="BJ1157" s="132"/>
      <c r="BK1157" s="132"/>
      <c r="BL1157" s="132"/>
      <c r="BM1157" s="132"/>
      <c r="BN1157" s="132"/>
      <c r="BO1157" s="132"/>
      <c r="BP1157" s="132"/>
      <c r="BQ1157" s="132"/>
      <c r="BR1157" s="132"/>
      <c r="BS1157" s="132"/>
      <c r="BT1157" s="132"/>
      <c r="BU1157" s="132"/>
      <c r="BV1157" s="132"/>
      <c r="BW1157" s="132"/>
      <c r="BX1157" s="132"/>
      <c r="BY1157" s="132"/>
      <c r="BZ1157" s="132"/>
      <c r="CA1157" s="132"/>
      <c r="CB1157" s="132"/>
      <c r="CC1157" s="132"/>
      <c r="CD1157" s="132"/>
      <c r="CE1157" s="132"/>
      <c r="CF1157" s="132"/>
      <c r="CG1157" s="132"/>
      <c r="CH1157" s="132"/>
      <c r="CI1157" s="132"/>
      <c r="CJ1157" s="132"/>
      <c r="CK1157" s="132"/>
      <c r="CL1157" s="132"/>
      <c r="CM1157" s="132"/>
      <c r="CN1157" s="132"/>
      <c r="CO1157" s="132"/>
      <c r="CP1157" s="132"/>
      <c r="CQ1157" s="132"/>
      <c r="CR1157" s="132"/>
      <c r="CS1157" s="132"/>
      <c r="CT1157" s="132"/>
      <c r="CU1157" s="132"/>
      <c r="CV1157" s="132"/>
      <c r="CW1157" s="132"/>
      <c r="CX1157" s="132"/>
      <c r="CY1157" s="132"/>
    </row>
    <row r="1158" spans="1:125">
      <c r="A1158" s="132"/>
      <c r="B1158" s="132"/>
      <c r="C1158" s="132"/>
      <c r="D1158" s="132"/>
      <c r="E1158" s="132"/>
      <c r="F1158" s="132"/>
      <c r="G1158" s="132"/>
      <c r="H1158" s="132"/>
      <c r="I1158" s="132"/>
      <c r="J1158" s="132"/>
      <c r="K1158" s="132"/>
      <c r="L1158" s="132"/>
      <c r="M1158" s="132"/>
      <c r="N1158" s="132"/>
      <c r="O1158" s="132"/>
      <c r="P1158" s="132"/>
      <c r="Q1158" s="132"/>
      <c r="R1158" s="132"/>
      <c r="S1158" s="132"/>
      <c r="T1158" s="132"/>
      <c r="U1158" s="132"/>
      <c r="V1158" s="132"/>
      <c r="W1158" s="132"/>
      <c r="X1158" s="132"/>
      <c r="Y1158" s="132"/>
      <c r="Z1158" s="132"/>
      <c r="AA1158" s="132"/>
      <c r="AB1158" s="132"/>
      <c r="AC1158" s="132"/>
      <c r="AD1158" s="132"/>
      <c r="AE1158" s="132"/>
      <c r="AF1158" s="132"/>
      <c r="AG1158" s="132"/>
      <c r="AH1158" s="132"/>
      <c r="AI1158" s="132"/>
      <c r="AJ1158" s="132"/>
      <c r="AK1158" s="132"/>
      <c r="AL1158" s="132"/>
      <c r="AM1158" s="132"/>
      <c r="AN1158" s="132"/>
      <c r="AO1158" s="132"/>
      <c r="AP1158" s="132"/>
      <c r="AQ1158" s="132"/>
      <c r="AR1158" s="132"/>
      <c r="AS1158" s="132"/>
      <c r="AT1158" s="132"/>
      <c r="AU1158" s="132"/>
      <c r="AV1158" s="132"/>
      <c r="AW1158" s="132"/>
      <c r="AX1158" s="132"/>
      <c r="AY1158" s="132"/>
      <c r="AZ1158" s="132"/>
      <c r="BA1158" s="132"/>
      <c r="BB1158" s="132"/>
      <c r="BC1158" s="132"/>
      <c r="BD1158" s="132"/>
      <c r="BE1158" s="132"/>
      <c r="BF1158" s="132"/>
      <c r="BG1158" s="132"/>
      <c r="BH1158" s="132"/>
      <c r="BI1158" s="132"/>
      <c r="BJ1158" s="132"/>
      <c r="BK1158" s="132"/>
      <c r="BL1158" s="132"/>
      <c r="BM1158" s="132"/>
      <c r="BN1158" s="132"/>
      <c r="BO1158" s="132"/>
      <c r="BP1158" s="132"/>
      <c r="BQ1158" s="132"/>
      <c r="BR1158" s="132"/>
      <c r="BS1158" s="132"/>
      <c r="BT1158" s="132"/>
      <c r="BU1158" s="132"/>
      <c r="BV1158" s="132"/>
      <c r="BW1158" s="132"/>
      <c r="BX1158" s="132"/>
      <c r="BY1158" s="132"/>
      <c r="BZ1158" s="132"/>
      <c r="CA1158" s="132"/>
      <c r="CB1158" s="132"/>
      <c r="CC1158" s="132"/>
      <c r="CD1158" s="132"/>
      <c r="CE1158" s="132"/>
      <c r="CF1158" s="132"/>
      <c r="CG1158" s="132"/>
      <c r="CH1158" s="132"/>
      <c r="CI1158" s="132"/>
      <c r="CJ1158" s="132"/>
      <c r="CK1158" s="132"/>
      <c r="CL1158" s="132"/>
      <c r="CM1158" s="132"/>
      <c r="CN1158" s="132"/>
      <c r="CO1158" s="132"/>
      <c r="CP1158" s="132"/>
      <c r="CQ1158" s="132"/>
      <c r="CR1158" s="132"/>
      <c r="CS1158" s="132"/>
      <c r="CT1158" s="132"/>
      <c r="CU1158" s="132"/>
      <c r="CV1158" s="132"/>
      <c r="CW1158" s="132"/>
      <c r="CX1158" s="132"/>
      <c r="CY1158" s="132"/>
    </row>
    <row r="1159" spans="1:125">
      <c r="A1159" s="132"/>
      <c r="B1159" s="132"/>
      <c r="C1159" s="132"/>
      <c r="D1159" s="132"/>
      <c r="E1159" s="132"/>
      <c r="F1159" s="132"/>
      <c r="G1159" s="132"/>
      <c r="H1159" s="132"/>
      <c r="I1159" s="132"/>
      <c r="J1159" s="132"/>
      <c r="K1159" s="132"/>
      <c r="L1159" s="132"/>
      <c r="M1159" s="132"/>
      <c r="N1159" s="132"/>
      <c r="O1159" s="132"/>
      <c r="P1159" s="132"/>
      <c r="Q1159" s="132"/>
      <c r="R1159" s="132"/>
      <c r="S1159" s="132"/>
      <c r="T1159" s="132"/>
      <c r="U1159" s="132"/>
      <c r="V1159" s="132"/>
      <c r="W1159" s="132"/>
      <c r="X1159" s="132"/>
      <c r="Y1159" s="132"/>
      <c r="Z1159" s="132"/>
      <c r="AA1159" s="132"/>
      <c r="AB1159" s="132"/>
      <c r="AC1159" s="132"/>
      <c r="AD1159" s="132"/>
      <c r="AE1159" s="132"/>
      <c r="AF1159" s="132"/>
      <c r="AG1159" s="132"/>
      <c r="AH1159" s="132"/>
      <c r="AI1159" s="132"/>
      <c r="AJ1159" s="132"/>
      <c r="AK1159" s="132"/>
      <c r="AL1159" s="132"/>
      <c r="AM1159" s="132"/>
      <c r="AN1159" s="132"/>
      <c r="AO1159" s="132"/>
      <c r="AP1159" s="132"/>
      <c r="AQ1159" s="132"/>
      <c r="AR1159" s="132"/>
      <c r="AS1159" s="132"/>
      <c r="AT1159" s="132"/>
      <c r="AU1159" s="132"/>
      <c r="AV1159" s="132"/>
      <c r="AW1159" s="132"/>
      <c r="AX1159" s="132"/>
      <c r="AY1159" s="132"/>
      <c r="AZ1159" s="132"/>
      <c r="BA1159" s="132"/>
      <c r="BB1159" s="132"/>
      <c r="BC1159" s="132"/>
      <c r="BD1159" s="132"/>
      <c r="BE1159" s="132"/>
      <c r="BF1159" s="132"/>
      <c r="BG1159" s="132"/>
      <c r="BH1159" s="132"/>
      <c r="BI1159" s="132"/>
      <c r="BJ1159" s="132"/>
      <c r="BK1159" s="132"/>
      <c r="BL1159" s="132"/>
      <c r="BM1159" s="132"/>
      <c r="BN1159" s="132"/>
      <c r="BO1159" s="132"/>
      <c r="BP1159" s="132"/>
      <c r="BQ1159" s="132"/>
      <c r="BR1159" s="132"/>
      <c r="BS1159" s="132"/>
      <c r="BT1159" s="132"/>
      <c r="BU1159" s="132"/>
      <c r="BV1159" s="132"/>
      <c r="BW1159" s="132"/>
      <c r="BX1159" s="132"/>
      <c r="BY1159" s="132"/>
      <c r="BZ1159" s="132"/>
      <c r="CA1159" s="132"/>
      <c r="CB1159" s="132"/>
      <c r="CC1159" s="132"/>
      <c r="CD1159" s="132"/>
      <c r="CE1159" s="132"/>
      <c r="CF1159" s="132"/>
      <c r="CG1159" s="132"/>
      <c r="CH1159" s="132"/>
      <c r="CI1159" s="132"/>
      <c r="CJ1159" s="132"/>
      <c r="CK1159" s="132"/>
      <c r="CL1159" s="132"/>
      <c r="CM1159" s="132"/>
      <c r="CN1159" s="132"/>
      <c r="CO1159" s="132"/>
      <c r="CP1159" s="132"/>
      <c r="CQ1159" s="132"/>
      <c r="CR1159" s="132"/>
      <c r="CS1159" s="132"/>
      <c r="CT1159" s="132"/>
      <c r="CU1159" s="132"/>
      <c r="CV1159" s="132"/>
      <c r="CW1159" s="132"/>
      <c r="CX1159" s="132"/>
      <c r="CY1159" s="132"/>
    </row>
    <row r="1160" spans="1:125">
      <c r="A1160" s="132"/>
      <c r="B1160" s="132"/>
      <c r="C1160" s="132"/>
      <c r="D1160" s="132"/>
      <c r="E1160" s="132"/>
      <c r="F1160" s="132"/>
      <c r="G1160" s="132"/>
      <c r="H1160" s="132"/>
      <c r="I1160" s="132"/>
      <c r="J1160" s="132"/>
      <c r="K1160" s="132"/>
      <c r="L1160" s="132"/>
      <c r="M1160" s="132"/>
      <c r="N1160" s="132"/>
      <c r="O1160" s="132"/>
      <c r="P1160" s="132"/>
      <c r="Q1160" s="132"/>
      <c r="R1160" s="132"/>
      <c r="S1160" s="132"/>
      <c r="T1160" s="132"/>
      <c r="U1160" s="132"/>
      <c r="V1160" s="132"/>
      <c r="W1160" s="132"/>
      <c r="X1160" s="132"/>
      <c r="Y1160" s="132"/>
      <c r="Z1160" s="132"/>
      <c r="AA1160" s="132"/>
      <c r="AB1160" s="132"/>
      <c r="AC1160" s="132"/>
      <c r="AD1160" s="132"/>
      <c r="AE1160" s="132"/>
      <c r="AF1160" s="132"/>
      <c r="AG1160" s="132"/>
      <c r="AH1160" s="132"/>
      <c r="AI1160" s="132"/>
      <c r="AJ1160" s="132"/>
      <c r="AK1160" s="132"/>
      <c r="AL1160" s="132"/>
      <c r="AM1160" s="132"/>
      <c r="AN1160" s="132"/>
      <c r="AO1160" s="132"/>
      <c r="AP1160" s="132"/>
      <c r="AQ1160" s="132"/>
      <c r="AR1160" s="132"/>
      <c r="AS1160" s="132"/>
      <c r="AT1160" s="132"/>
      <c r="AU1160" s="132"/>
      <c r="AV1160" s="132"/>
      <c r="AW1160" s="132"/>
      <c r="AX1160" s="132"/>
      <c r="AY1160" s="132"/>
      <c r="AZ1160" s="132"/>
      <c r="BA1160" s="132"/>
      <c r="BB1160" s="132"/>
      <c r="BC1160" s="132"/>
      <c r="BD1160" s="132"/>
      <c r="BE1160" s="132"/>
      <c r="BF1160" s="132"/>
      <c r="BG1160" s="132"/>
      <c r="BH1160" s="132"/>
      <c r="BI1160" s="132"/>
      <c r="BJ1160" s="132"/>
      <c r="BK1160" s="132"/>
      <c r="BL1160" s="132"/>
      <c r="BM1160" s="132"/>
      <c r="BN1160" s="132"/>
      <c r="BO1160" s="132"/>
      <c r="BP1160" s="132"/>
      <c r="BQ1160" s="132"/>
      <c r="BR1160" s="132"/>
      <c r="BS1160" s="132"/>
      <c r="BT1160" s="132"/>
      <c r="BU1160" s="132"/>
      <c r="BV1160" s="132"/>
      <c r="BW1160" s="132"/>
      <c r="BX1160" s="132"/>
      <c r="BY1160" s="132"/>
      <c r="BZ1160" s="132"/>
      <c r="CA1160" s="132"/>
      <c r="CB1160" s="132"/>
      <c r="CC1160" s="132"/>
      <c r="CD1160" s="132"/>
      <c r="CE1160" s="132"/>
      <c r="CF1160" s="132"/>
      <c r="CG1160" s="132"/>
      <c r="CH1160" s="132"/>
      <c r="CI1160" s="132"/>
      <c r="CJ1160" s="132"/>
      <c r="CK1160" s="132"/>
      <c r="CL1160" s="132"/>
      <c r="CM1160" s="132"/>
      <c r="CN1160" s="132"/>
      <c r="CO1160" s="132"/>
      <c r="CP1160" s="132"/>
      <c r="CQ1160" s="132"/>
      <c r="CR1160" s="132"/>
      <c r="CS1160" s="132"/>
      <c r="CT1160" s="132"/>
      <c r="CU1160" s="132"/>
      <c r="CV1160" s="132"/>
      <c r="CW1160" s="132"/>
      <c r="CX1160" s="132"/>
      <c r="CY1160" s="132"/>
    </row>
    <row r="1161" spans="1:125">
      <c r="A1161" s="132"/>
      <c r="B1161" s="132"/>
      <c r="C1161" s="132"/>
      <c r="D1161" s="132"/>
      <c r="E1161" s="132"/>
      <c r="F1161" s="132"/>
      <c r="G1161" s="132"/>
      <c r="H1161" s="132"/>
      <c r="I1161" s="132"/>
      <c r="J1161" s="132"/>
      <c r="K1161" s="132"/>
      <c r="L1161" s="132"/>
      <c r="M1161" s="132"/>
      <c r="N1161" s="132"/>
      <c r="O1161" s="132"/>
      <c r="P1161" s="132"/>
      <c r="Q1161" s="132"/>
      <c r="R1161" s="132"/>
      <c r="S1161" s="132"/>
      <c r="T1161" s="132"/>
      <c r="U1161" s="132"/>
      <c r="V1161" s="132"/>
      <c r="W1161" s="132"/>
      <c r="X1161" s="132"/>
      <c r="Y1161" s="132"/>
      <c r="Z1161" s="132"/>
      <c r="AA1161" s="132"/>
      <c r="AB1161" s="132"/>
      <c r="AC1161" s="132"/>
      <c r="AD1161" s="132"/>
      <c r="AE1161" s="132"/>
      <c r="AF1161" s="132"/>
      <c r="AG1161" s="132"/>
      <c r="AH1161" s="132"/>
      <c r="AI1161" s="132"/>
      <c r="AJ1161" s="132"/>
      <c r="AK1161" s="132"/>
      <c r="AL1161" s="132"/>
      <c r="AM1161" s="132"/>
      <c r="AN1161" s="132"/>
      <c r="AO1161" s="132"/>
      <c r="AP1161" s="132"/>
      <c r="AQ1161" s="132"/>
      <c r="AR1161" s="132"/>
      <c r="AS1161" s="132"/>
      <c r="AT1161" s="132"/>
      <c r="AU1161" s="132"/>
      <c r="AV1161" s="132"/>
      <c r="AW1161" s="132"/>
      <c r="AX1161" s="132"/>
      <c r="AY1161" s="132"/>
      <c r="AZ1161" s="132"/>
      <c r="BA1161" s="132"/>
      <c r="BB1161" s="132"/>
      <c r="BC1161" s="132"/>
      <c r="BD1161" s="132"/>
      <c r="BE1161" s="132"/>
      <c r="BF1161" s="132"/>
      <c r="BG1161" s="132"/>
      <c r="BH1161" s="132"/>
      <c r="BI1161" s="132"/>
      <c r="BJ1161" s="132"/>
      <c r="BK1161" s="132"/>
      <c r="BL1161" s="132"/>
      <c r="BM1161" s="132"/>
      <c r="BN1161" s="132"/>
      <c r="BO1161" s="132"/>
      <c r="BP1161" s="132"/>
      <c r="BQ1161" s="132"/>
      <c r="BR1161" s="132"/>
      <c r="BS1161" s="132"/>
      <c r="BT1161" s="132"/>
      <c r="BU1161" s="132"/>
      <c r="BV1161" s="132"/>
      <c r="BW1161" s="132"/>
      <c r="BX1161" s="132"/>
      <c r="BY1161" s="132"/>
      <c r="BZ1161" s="132"/>
      <c r="CA1161" s="132"/>
      <c r="CB1161" s="132"/>
      <c r="CC1161" s="132"/>
      <c r="CD1161" s="132"/>
      <c r="CE1161" s="132"/>
      <c r="CF1161" s="132"/>
      <c r="CG1161" s="132"/>
      <c r="CH1161" s="132"/>
      <c r="CI1161" s="132"/>
      <c r="CJ1161" s="132"/>
      <c r="CK1161" s="132"/>
      <c r="CL1161" s="132"/>
      <c r="CM1161" s="132"/>
      <c r="CN1161" s="132"/>
      <c r="CO1161" s="132"/>
      <c r="CP1161" s="132"/>
      <c r="CQ1161" s="132"/>
      <c r="CR1161" s="132"/>
      <c r="CS1161" s="132"/>
      <c r="CT1161" s="132"/>
      <c r="CU1161" s="132"/>
      <c r="CV1161" s="132"/>
      <c r="CW1161" s="132"/>
      <c r="CX1161" s="132"/>
      <c r="CY1161" s="132"/>
    </row>
    <row r="1162" spans="1:125">
      <c r="A1162" s="132"/>
      <c r="B1162" s="132"/>
      <c r="C1162" s="132"/>
      <c r="D1162" s="132"/>
      <c r="E1162" s="132"/>
      <c r="F1162" s="132"/>
      <c r="G1162" s="132"/>
      <c r="H1162" s="132"/>
      <c r="I1162" s="132"/>
      <c r="J1162" s="132"/>
      <c r="K1162" s="132"/>
      <c r="L1162" s="132"/>
      <c r="M1162" s="132"/>
      <c r="N1162" s="132"/>
      <c r="O1162" s="132"/>
      <c r="P1162" s="132"/>
      <c r="Q1162" s="132"/>
      <c r="R1162" s="132"/>
      <c r="S1162" s="132"/>
      <c r="T1162" s="132"/>
      <c r="U1162" s="132"/>
      <c r="V1162" s="132"/>
      <c r="W1162" s="132"/>
      <c r="X1162" s="132"/>
      <c r="Y1162" s="132"/>
      <c r="Z1162" s="132"/>
      <c r="AA1162" s="132"/>
      <c r="AB1162" s="132"/>
      <c r="AC1162" s="132"/>
      <c r="AD1162" s="132"/>
      <c r="AE1162" s="132"/>
      <c r="AF1162" s="132"/>
      <c r="AG1162" s="132"/>
      <c r="AH1162" s="132"/>
      <c r="AI1162" s="132"/>
      <c r="AJ1162" s="132"/>
      <c r="AK1162" s="132"/>
      <c r="AL1162" s="132"/>
      <c r="AM1162" s="132"/>
      <c r="AN1162" s="132"/>
      <c r="AO1162" s="132"/>
      <c r="AP1162" s="132"/>
      <c r="AQ1162" s="132"/>
      <c r="AR1162" s="132"/>
      <c r="AS1162" s="132"/>
      <c r="AT1162" s="132"/>
      <c r="AU1162" s="132"/>
      <c r="AV1162" s="132"/>
      <c r="AW1162" s="132"/>
      <c r="AX1162" s="132"/>
      <c r="AY1162" s="132"/>
      <c r="AZ1162" s="132"/>
      <c r="BA1162" s="132"/>
      <c r="BB1162" s="132"/>
      <c r="BC1162" s="132"/>
      <c r="BD1162" s="132"/>
      <c r="BE1162" s="132"/>
      <c r="BF1162" s="132"/>
      <c r="BG1162" s="132"/>
      <c r="BH1162" s="132"/>
      <c r="BI1162" s="132"/>
      <c r="BJ1162" s="132"/>
      <c r="BK1162" s="132"/>
      <c r="BL1162" s="132"/>
      <c r="BM1162" s="132"/>
      <c r="BN1162" s="132"/>
      <c r="BO1162" s="132"/>
      <c r="BP1162" s="132"/>
      <c r="BQ1162" s="132"/>
      <c r="BR1162" s="132"/>
      <c r="BS1162" s="132"/>
      <c r="BT1162" s="132"/>
      <c r="BU1162" s="132"/>
      <c r="BV1162" s="132"/>
      <c r="BW1162" s="132"/>
      <c r="BX1162" s="132"/>
      <c r="BY1162" s="132"/>
      <c r="BZ1162" s="132"/>
      <c r="CA1162" s="132"/>
      <c r="CB1162" s="132"/>
      <c r="CC1162" s="132"/>
      <c r="CD1162" s="132"/>
      <c r="CE1162" s="132"/>
      <c r="CF1162" s="132"/>
      <c r="CG1162" s="132"/>
      <c r="CH1162" s="132"/>
      <c r="CI1162" s="132"/>
      <c r="CJ1162" s="132"/>
      <c r="CK1162" s="132"/>
      <c r="CL1162" s="132"/>
      <c r="CM1162" s="132"/>
      <c r="CN1162" s="132"/>
      <c r="CO1162" s="132"/>
      <c r="CP1162" s="132"/>
      <c r="CQ1162" s="132"/>
      <c r="CR1162" s="132"/>
      <c r="CS1162" s="132"/>
      <c r="CT1162" s="132"/>
      <c r="CU1162" s="132"/>
      <c r="CV1162" s="132"/>
      <c r="CW1162" s="132"/>
      <c r="CX1162" s="132"/>
      <c r="CY1162" s="132"/>
    </row>
    <row r="1163" spans="1:125">
      <c r="A1163" s="132"/>
      <c r="B1163" s="132"/>
      <c r="C1163" s="132"/>
      <c r="D1163" s="132"/>
      <c r="E1163" s="132"/>
      <c r="F1163" s="132"/>
      <c r="G1163" s="132"/>
      <c r="H1163" s="132"/>
      <c r="I1163" s="132"/>
      <c r="J1163" s="132"/>
      <c r="K1163" s="132"/>
      <c r="L1163" s="132"/>
      <c r="M1163" s="132"/>
      <c r="N1163" s="132"/>
      <c r="O1163" s="132"/>
      <c r="P1163" s="132"/>
      <c r="Q1163" s="132"/>
      <c r="R1163" s="132"/>
      <c r="S1163" s="132"/>
      <c r="T1163" s="132"/>
      <c r="U1163" s="132"/>
      <c r="V1163" s="132"/>
      <c r="W1163" s="132"/>
      <c r="X1163" s="132"/>
      <c r="Y1163" s="132"/>
      <c r="Z1163" s="132"/>
      <c r="AA1163" s="132"/>
      <c r="AB1163" s="132"/>
      <c r="AC1163" s="132"/>
      <c r="AD1163" s="132"/>
      <c r="AE1163" s="132"/>
      <c r="AF1163" s="132"/>
      <c r="AG1163" s="132"/>
      <c r="AH1163" s="132"/>
      <c r="AI1163" s="132"/>
      <c r="AJ1163" s="132"/>
      <c r="AK1163" s="132"/>
      <c r="AL1163" s="132"/>
      <c r="AM1163" s="132"/>
      <c r="AN1163" s="132"/>
      <c r="AO1163" s="132"/>
      <c r="AP1163" s="132"/>
      <c r="AQ1163" s="132"/>
      <c r="AR1163" s="132"/>
      <c r="AS1163" s="132"/>
      <c r="AT1163" s="132"/>
      <c r="AU1163" s="132"/>
      <c r="AV1163" s="132"/>
      <c r="AW1163" s="132"/>
      <c r="AX1163" s="132"/>
      <c r="AY1163" s="132"/>
      <c r="AZ1163" s="132"/>
      <c r="BA1163" s="132"/>
      <c r="BB1163" s="132"/>
      <c r="BC1163" s="132"/>
      <c r="BD1163" s="132"/>
      <c r="BE1163" s="132"/>
      <c r="BF1163" s="132"/>
      <c r="BG1163" s="132"/>
      <c r="BH1163" s="132"/>
      <c r="BI1163" s="132"/>
      <c r="BJ1163" s="132"/>
      <c r="BK1163" s="132"/>
      <c r="BL1163" s="132"/>
      <c r="BM1163" s="132"/>
      <c r="BN1163" s="132"/>
      <c r="BO1163" s="132"/>
      <c r="BP1163" s="132"/>
      <c r="BQ1163" s="132"/>
      <c r="BR1163" s="132"/>
      <c r="BS1163" s="132"/>
      <c r="BT1163" s="132"/>
      <c r="BU1163" s="132"/>
      <c r="BV1163" s="132"/>
      <c r="BW1163" s="132"/>
      <c r="BX1163" s="132"/>
      <c r="BY1163" s="132"/>
      <c r="BZ1163" s="132"/>
      <c r="CA1163" s="132"/>
      <c r="CB1163" s="132"/>
      <c r="CC1163" s="132"/>
      <c r="CD1163" s="132"/>
      <c r="CE1163" s="132"/>
      <c r="CF1163" s="132"/>
      <c r="CG1163" s="132"/>
      <c r="CH1163" s="132"/>
      <c r="CI1163" s="132"/>
      <c r="CJ1163" s="132"/>
      <c r="CK1163" s="132"/>
      <c r="CL1163" s="132"/>
      <c r="CM1163" s="132"/>
      <c r="CN1163" s="132"/>
      <c r="CO1163" s="132"/>
      <c r="CP1163" s="132"/>
      <c r="CQ1163" s="132"/>
      <c r="CR1163" s="132"/>
      <c r="CS1163" s="132"/>
      <c r="CT1163" s="132"/>
      <c r="CU1163" s="132"/>
      <c r="CV1163" s="132"/>
      <c r="CW1163" s="132"/>
      <c r="CX1163" s="132"/>
      <c r="CY1163" s="132"/>
    </row>
    <row r="1164" spans="1:125">
      <c r="A1164" s="132"/>
      <c r="B1164" s="132"/>
      <c r="C1164" s="132"/>
      <c r="D1164" s="132"/>
      <c r="E1164" s="132"/>
      <c r="F1164" s="132"/>
      <c r="G1164" s="132"/>
      <c r="H1164" s="132"/>
      <c r="I1164" s="132"/>
      <c r="J1164" s="132"/>
      <c r="K1164" s="132"/>
      <c r="L1164" s="132"/>
      <c r="M1164" s="132"/>
      <c r="N1164" s="132"/>
      <c r="O1164" s="132"/>
      <c r="P1164" s="132"/>
      <c r="Q1164" s="132"/>
      <c r="R1164" s="132"/>
      <c r="S1164" s="132"/>
      <c r="T1164" s="132"/>
      <c r="U1164" s="132"/>
      <c r="V1164" s="132"/>
      <c r="W1164" s="132"/>
      <c r="X1164" s="132"/>
      <c r="Y1164" s="132"/>
      <c r="Z1164" s="132"/>
      <c r="AA1164" s="132"/>
      <c r="AB1164" s="132"/>
      <c r="AC1164" s="132"/>
      <c r="AD1164" s="132"/>
      <c r="AE1164" s="132"/>
      <c r="AF1164" s="132"/>
      <c r="AG1164" s="132"/>
      <c r="AH1164" s="132"/>
      <c r="AI1164" s="132"/>
      <c r="AJ1164" s="132"/>
      <c r="AK1164" s="132"/>
      <c r="AL1164" s="132"/>
      <c r="AM1164" s="132"/>
      <c r="AN1164" s="132"/>
      <c r="AO1164" s="132"/>
      <c r="AP1164" s="132"/>
      <c r="AQ1164" s="132"/>
      <c r="AR1164" s="132"/>
      <c r="AS1164" s="132"/>
      <c r="AT1164" s="132"/>
      <c r="AU1164" s="132"/>
      <c r="AV1164" s="132"/>
      <c r="AW1164" s="132"/>
      <c r="AX1164" s="132"/>
      <c r="AY1164" s="132"/>
      <c r="AZ1164" s="132"/>
      <c r="BA1164" s="132"/>
      <c r="BB1164" s="132"/>
      <c r="BC1164" s="132"/>
      <c r="BD1164" s="132"/>
      <c r="BE1164" s="132"/>
      <c r="BF1164" s="132"/>
      <c r="BG1164" s="132"/>
      <c r="BH1164" s="132"/>
      <c r="BI1164" s="132"/>
      <c r="BJ1164" s="132"/>
      <c r="BK1164" s="132"/>
      <c r="BL1164" s="132"/>
      <c r="BM1164" s="132"/>
      <c r="BN1164" s="132"/>
      <c r="BO1164" s="132"/>
      <c r="BP1164" s="132"/>
      <c r="BQ1164" s="132"/>
      <c r="BR1164" s="132"/>
      <c r="BS1164" s="132"/>
      <c r="BT1164" s="132"/>
      <c r="BU1164" s="132"/>
      <c r="BV1164" s="132"/>
      <c r="BW1164" s="132"/>
      <c r="BX1164" s="132"/>
      <c r="BY1164" s="132"/>
      <c r="BZ1164" s="132"/>
      <c r="CA1164" s="132"/>
      <c r="CB1164" s="132"/>
      <c r="CC1164" s="132"/>
      <c r="CD1164" s="132"/>
      <c r="CE1164" s="132"/>
      <c r="CF1164" s="132"/>
      <c r="CG1164" s="132"/>
      <c r="CH1164" s="132"/>
      <c r="CI1164" s="132"/>
      <c r="CJ1164" s="132"/>
      <c r="CK1164" s="132"/>
      <c r="CL1164" s="132"/>
      <c r="CM1164" s="132"/>
      <c r="CN1164" s="132"/>
      <c r="CO1164" s="132"/>
      <c r="CP1164" s="132"/>
      <c r="CQ1164" s="132"/>
      <c r="CR1164" s="132"/>
      <c r="CS1164" s="132"/>
      <c r="CT1164" s="132"/>
      <c r="CU1164" s="132"/>
      <c r="CV1164" s="132"/>
      <c r="CW1164" s="132"/>
      <c r="CX1164" s="132"/>
      <c r="CY1164" s="132"/>
    </row>
    <row r="1165" spans="1:125">
      <c r="A1165" s="132"/>
      <c r="B1165" s="132"/>
      <c r="C1165" s="132"/>
      <c r="D1165" s="132"/>
      <c r="E1165" s="132"/>
      <c r="F1165" s="132"/>
      <c r="G1165" s="132"/>
      <c r="H1165" s="132"/>
      <c r="I1165" s="132"/>
      <c r="J1165" s="132"/>
      <c r="K1165" s="132"/>
      <c r="L1165" s="132"/>
      <c r="M1165" s="132"/>
      <c r="N1165" s="132"/>
      <c r="O1165" s="132"/>
      <c r="P1165" s="132"/>
      <c r="Q1165" s="132"/>
      <c r="R1165" s="132"/>
      <c r="S1165" s="132"/>
      <c r="T1165" s="132"/>
      <c r="U1165" s="132"/>
      <c r="V1165" s="132"/>
      <c r="W1165" s="132"/>
      <c r="X1165" s="132"/>
      <c r="Y1165" s="132"/>
      <c r="Z1165" s="132"/>
      <c r="AA1165" s="132"/>
      <c r="AB1165" s="132"/>
      <c r="AC1165" s="132"/>
      <c r="AD1165" s="132"/>
      <c r="AE1165" s="132"/>
      <c r="AF1165" s="132"/>
      <c r="AG1165" s="132"/>
      <c r="AH1165" s="132"/>
      <c r="AI1165" s="132"/>
      <c r="AJ1165" s="132"/>
      <c r="AK1165" s="132"/>
      <c r="AL1165" s="132"/>
      <c r="AM1165" s="132"/>
      <c r="AN1165" s="132"/>
      <c r="AO1165" s="132"/>
      <c r="AP1165" s="132"/>
      <c r="AQ1165" s="132"/>
      <c r="AR1165" s="132"/>
      <c r="AS1165" s="132"/>
      <c r="AT1165" s="132"/>
      <c r="AU1165" s="132"/>
      <c r="AV1165" s="132"/>
      <c r="AW1165" s="132"/>
      <c r="AX1165" s="132"/>
      <c r="AY1165" s="132"/>
      <c r="AZ1165" s="132"/>
      <c r="BA1165" s="132"/>
      <c r="BB1165" s="132"/>
      <c r="BC1165" s="132"/>
      <c r="BD1165" s="132"/>
      <c r="BE1165" s="132"/>
      <c r="BF1165" s="132"/>
      <c r="BG1165" s="132"/>
      <c r="BH1165" s="132"/>
      <c r="BI1165" s="132"/>
      <c r="BJ1165" s="132"/>
      <c r="BK1165" s="132"/>
      <c r="BL1165" s="132"/>
      <c r="BM1165" s="132"/>
      <c r="BN1165" s="132"/>
      <c r="BO1165" s="132"/>
      <c r="BP1165" s="132"/>
      <c r="BQ1165" s="132"/>
      <c r="BR1165" s="132"/>
      <c r="BS1165" s="132"/>
      <c r="BT1165" s="132"/>
      <c r="BU1165" s="132"/>
      <c r="BV1165" s="132"/>
      <c r="BW1165" s="132"/>
      <c r="BX1165" s="132"/>
      <c r="BY1165" s="132"/>
      <c r="BZ1165" s="132"/>
      <c r="CA1165" s="132"/>
      <c r="CB1165" s="132"/>
      <c r="CC1165" s="132"/>
      <c r="CD1165" s="132"/>
      <c r="CE1165" s="132"/>
      <c r="CF1165" s="132"/>
      <c r="CG1165" s="132"/>
      <c r="CH1165" s="132"/>
      <c r="CI1165" s="132"/>
      <c r="CJ1165" s="132"/>
      <c r="CK1165" s="132"/>
      <c r="CL1165" s="132"/>
      <c r="CM1165" s="132"/>
      <c r="CN1165" s="132"/>
      <c r="CO1165" s="132"/>
      <c r="CP1165" s="132"/>
      <c r="CQ1165" s="132"/>
      <c r="CR1165" s="132"/>
      <c r="CS1165" s="132"/>
      <c r="CT1165" s="132"/>
      <c r="CU1165" s="132"/>
      <c r="CV1165" s="132"/>
      <c r="CW1165" s="132"/>
      <c r="CX1165" s="132"/>
      <c r="CY1165" s="132"/>
    </row>
    <row r="1166" spans="1:125">
      <c r="A1166" s="132"/>
      <c r="B1166" s="132"/>
      <c r="C1166" s="132"/>
      <c r="D1166" s="132"/>
      <c r="E1166" s="132"/>
      <c r="F1166" s="132"/>
      <c r="G1166" s="132"/>
      <c r="H1166" s="132"/>
      <c r="I1166" s="132"/>
      <c r="J1166" s="132"/>
      <c r="K1166" s="132"/>
      <c r="L1166" s="132"/>
      <c r="M1166" s="132"/>
      <c r="N1166" s="132"/>
      <c r="O1166" s="132"/>
      <c r="P1166" s="132"/>
      <c r="Q1166" s="132"/>
      <c r="R1166" s="132"/>
      <c r="S1166" s="132"/>
      <c r="T1166" s="132"/>
      <c r="U1166" s="132"/>
      <c r="V1166" s="132"/>
      <c r="W1166" s="132"/>
      <c r="X1166" s="132"/>
      <c r="Y1166" s="132"/>
      <c r="Z1166" s="132"/>
      <c r="AA1166" s="132"/>
      <c r="AB1166" s="132"/>
      <c r="AC1166" s="132"/>
      <c r="AD1166" s="132"/>
      <c r="AE1166" s="132"/>
      <c r="AF1166" s="132"/>
      <c r="AG1166" s="132"/>
      <c r="AH1166" s="132"/>
      <c r="AI1166" s="132"/>
      <c r="AJ1166" s="132"/>
      <c r="AK1166" s="132"/>
      <c r="AL1166" s="132"/>
      <c r="AM1166" s="132"/>
      <c r="AN1166" s="132"/>
      <c r="AO1166" s="132"/>
      <c r="AP1166" s="132"/>
      <c r="AQ1166" s="132"/>
      <c r="AR1166" s="132"/>
      <c r="AS1166" s="132"/>
      <c r="AT1166" s="132"/>
      <c r="AU1166" s="132"/>
      <c r="AV1166" s="132"/>
      <c r="AW1166" s="132"/>
      <c r="AX1166" s="132"/>
      <c r="AY1166" s="132"/>
      <c r="AZ1166" s="132"/>
      <c r="BA1166" s="132"/>
      <c r="BB1166" s="132"/>
      <c r="BC1166" s="132"/>
      <c r="BD1166" s="132"/>
      <c r="BE1166" s="132"/>
      <c r="BF1166" s="132"/>
      <c r="BG1166" s="132"/>
      <c r="BH1166" s="132"/>
      <c r="BI1166" s="132"/>
      <c r="BJ1166" s="132"/>
      <c r="BK1166" s="132"/>
      <c r="BL1166" s="132"/>
      <c r="BM1166" s="132"/>
      <c r="BN1166" s="132"/>
      <c r="BO1166" s="132"/>
      <c r="BP1166" s="132"/>
      <c r="BQ1166" s="132"/>
      <c r="BR1166" s="132"/>
      <c r="BS1166" s="132"/>
      <c r="BT1166" s="132"/>
      <c r="BU1166" s="132"/>
      <c r="BV1166" s="132"/>
      <c r="BW1166" s="132"/>
      <c r="BX1166" s="132"/>
      <c r="BY1166" s="132"/>
      <c r="BZ1166" s="132"/>
      <c r="CA1166" s="132"/>
      <c r="CB1166" s="132"/>
      <c r="CC1166" s="132"/>
      <c r="CD1166" s="132"/>
      <c r="CE1166" s="132"/>
      <c r="CF1166" s="132"/>
      <c r="CG1166" s="132"/>
      <c r="CH1166" s="132"/>
      <c r="CI1166" s="132"/>
      <c r="CJ1166" s="132"/>
      <c r="CK1166" s="132"/>
      <c r="CL1166" s="132"/>
      <c r="CM1166" s="132"/>
      <c r="CN1166" s="132"/>
      <c r="CO1166" s="132"/>
      <c r="CP1166" s="132"/>
      <c r="CQ1166" s="132"/>
      <c r="CR1166" s="132"/>
      <c r="CS1166" s="132"/>
      <c r="CT1166" s="132"/>
      <c r="CU1166" s="132"/>
      <c r="CV1166" s="132"/>
      <c r="CW1166" s="132"/>
      <c r="CX1166" s="132"/>
      <c r="CY1166" s="132"/>
    </row>
    <row r="1167" spans="1:125">
      <c r="A1167" s="132"/>
      <c r="B1167" s="132"/>
      <c r="C1167" s="132"/>
      <c r="D1167" s="132"/>
      <c r="E1167" s="132"/>
      <c r="F1167" s="132"/>
      <c r="G1167" s="132"/>
      <c r="H1167" s="132"/>
      <c r="I1167" s="132"/>
      <c r="J1167" s="132"/>
      <c r="K1167" s="132"/>
      <c r="L1167" s="132"/>
      <c r="M1167" s="132"/>
      <c r="N1167" s="132"/>
      <c r="O1167" s="132"/>
      <c r="P1167" s="132"/>
      <c r="Q1167" s="132"/>
      <c r="R1167" s="132"/>
      <c r="S1167" s="132"/>
      <c r="T1167" s="132"/>
      <c r="U1167" s="132"/>
      <c r="V1167" s="132"/>
      <c r="W1167" s="132"/>
      <c r="X1167" s="132"/>
      <c r="Y1167" s="132"/>
      <c r="Z1167" s="132"/>
      <c r="AA1167" s="132"/>
      <c r="AB1167" s="132"/>
      <c r="AC1167" s="132"/>
      <c r="AD1167" s="132"/>
      <c r="AE1167" s="132"/>
      <c r="AF1167" s="132"/>
      <c r="AG1167" s="132"/>
      <c r="AH1167" s="132"/>
      <c r="AI1167" s="132"/>
      <c r="AJ1167" s="132"/>
      <c r="AK1167" s="132"/>
      <c r="AL1167" s="132"/>
      <c r="AM1167" s="132"/>
      <c r="AN1167" s="132"/>
      <c r="AO1167" s="132"/>
      <c r="AP1167" s="132"/>
      <c r="AQ1167" s="132"/>
      <c r="AR1167" s="132"/>
      <c r="AS1167" s="132"/>
      <c r="AT1167" s="132"/>
      <c r="AU1167" s="132"/>
      <c r="AV1167" s="132"/>
      <c r="AW1167" s="132"/>
      <c r="AX1167" s="132"/>
      <c r="AY1167" s="132"/>
      <c r="AZ1167" s="132"/>
      <c r="BA1167" s="132"/>
      <c r="BB1167" s="132"/>
      <c r="BC1167" s="132"/>
      <c r="BD1167" s="132"/>
      <c r="BE1167" s="132"/>
      <c r="BF1167" s="132"/>
      <c r="BG1167" s="132"/>
      <c r="BH1167" s="132"/>
      <c r="BI1167" s="132"/>
      <c r="BJ1167" s="132"/>
      <c r="BK1167" s="132"/>
      <c r="BL1167" s="132"/>
      <c r="BM1167" s="132"/>
      <c r="BN1167" s="132"/>
      <c r="BO1167" s="132"/>
      <c r="BP1167" s="132"/>
      <c r="BQ1167" s="132"/>
      <c r="BR1167" s="132"/>
      <c r="BS1167" s="132"/>
      <c r="BT1167" s="132"/>
      <c r="BU1167" s="132"/>
      <c r="BV1167" s="132"/>
      <c r="BW1167" s="132"/>
      <c r="BX1167" s="132"/>
      <c r="BY1167" s="132"/>
      <c r="BZ1167" s="132"/>
      <c r="CA1167" s="132"/>
      <c r="CB1167" s="132"/>
      <c r="CC1167" s="132"/>
      <c r="CD1167" s="132"/>
      <c r="CE1167" s="132"/>
      <c r="CF1167" s="132"/>
      <c r="CG1167" s="132"/>
      <c r="CH1167" s="132"/>
      <c r="CI1167" s="132"/>
      <c r="CJ1167" s="132"/>
      <c r="CK1167" s="132"/>
      <c r="CL1167" s="132"/>
      <c r="CM1167" s="132"/>
      <c r="CN1167" s="132"/>
      <c r="CO1167" s="132"/>
      <c r="CP1167" s="132"/>
      <c r="CQ1167" s="132"/>
      <c r="CR1167" s="132"/>
      <c r="CS1167" s="132"/>
      <c r="CT1167" s="132"/>
      <c r="CU1167" s="132"/>
      <c r="CV1167" s="132"/>
      <c r="CW1167" s="132"/>
      <c r="CX1167" s="132"/>
      <c r="CY1167" s="132"/>
    </row>
    <row r="1168" spans="1:125">
      <c r="A1168" s="132"/>
      <c r="B1168" s="132"/>
      <c r="C1168" s="132"/>
      <c r="D1168" s="132"/>
      <c r="E1168" s="132"/>
      <c r="F1168" s="132"/>
      <c r="G1168" s="132"/>
      <c r="H1168" s="132"/>
      <c r="I1168" s="132"/>
      <c r="J1168" s="132"/>
      <c r="K1168" s="132"/>
      <c r="L1168" s="132"/>
      <c r="M1168" s="132"/>
      <c r="N1168" s="132"/>
      <c r="O1168" s="132"/>
      <c r="P1168" s="132"/>
      <c r="Q1168" s="132"/>
      <c r="R1168" s="132"/>
      <c r="S1168" s="132"/>
      <c r="T1168" s="132"/>
      <c r="U1168" s="132"/>
      <c r="V1168" s="132"/>
      <c r="W1168" s="132"/>
      <c r="X1168" s="132"/>
      <c r="Y1168" s="132"/>
      <c r="Z1168" s="132"/>
      <c r="AA1168" s="132"/>
      <c r="AB1168" s="132"/>
      <c r="AC1168" s="132"/>
      <c r="AD1168" s="132"/>
      <c r="AE1168" s="132"/>
      <c r="AF1168" s="132"/>
      <c r="AG1168" s="132"/>
      <c r="AH1168" s="132"/>
      <c r="AI1168" s="132"/>
      <c r="AJ1168" s="132"/>
      <c r="AK1168" s="132"/>
      <c r="AL1168" s="132"/>
      <c r="AM1168" s="132"/>
      <c r="AN1168" s="132"/>
      <c r="AO1168" s="132"/>
      <c r="AP1168" s="132"/>
      <c r="AQ1168" s="132"/>
      <c r="AR1168" s="132"/>
      <c r="AS1168" s="132"/>
      <c r="AT1168" s="132"/>
      <c r="AU1168" s="132"/>
      <c r="AV1168" s="132"/>
      <c r="AW1168" s="132"/>
      <c r="AX1168" s="132"/>
      <c r="AY1168" s="132"/>
      <c r="AZ1168" s="132"/>
      <c r="BA1168" s="132"/>
      <c r="BB1168" s="132"/>
      <c r="BC1168" s="132"/>
      <c r="BD1168" s="132"/>
      <c r="BE1168" s="132"/>
      <c r="BF1168" s="132"/>
      <c r="BG1168" s="132"/>
      <c r="BH1168" s="132"/>
      <c r="BI1168" s="132"/>
      <c r="BJ1168" s="132"/>
      <c r="BK1168" s="132"/>
      <c r="BL1168" s="132"/>
      <c r="BM1168" s="132"/>
      <c r="BN1168" s="132"/>
      <c r="BO1168" s="132"/>
      <c r="BP1168" s="132"/>
      <c r="BQ1168" s="132"/>
      <c r="BR1168" s="132"/>
      <c r="BS1168" s="132"/>
      <c r="BT1168" s="132"/>
      <c r="BU1168" s="132"/>
      <c r="BV1168" s="132"/>
      <c r="BW1168" s="132"/>
      <c r="BX1168" s="132"/>
      <c r="BY1168" s="132"/>
      <c r="BZ1168" s="132"/>
      <c r="CA1168" s="132"/>
      <c r="CB1168" s="132"/>
      <c r="CC1168" s="132"/>
      <c r="CD1168" s="132"/>
      <c r="CE1168" s="132"/>
      <c r="CF1168" s="132"/>
      <c r="CG1168" s="132"/>
      <c r="CH1168" s="132"/>
      <c r="CI1168" s="132"/>
      <c r="CJ1168" s="132"/>
      <c r="CK1168" s="132"/>
      <c r="CL1168" s="132"/>
      <c r="CM1168" s="132"/>
      <c r="CN1168" s="132"/>
      <c r="CO1168" s="132"/>
      <c r="CP1168" s="132"/>
      <c r="CQ1168" s="132"/>
      <c r="CR1168" s="132"/>
      <c r="CS1168" s="132"/>
      <c r="CT1168" s="132"/>
      <c r="CU1168" s="132"/>
      <c r="CV1168" s="132"/>
      <c r="CW1168" s="132"/>
      <c r="CX1168" s="132"/>
      <c r="CY1168" s="132"/>
    </row>
    <row r="1169" spans="1:103">
      <c r="A1169" s="132"/>
      <c r="B1169" s="132"/>
      <c r="C1169" s="132"/>
      <c r="D1169" s="132"/>
      <c r="E1169" s="132"/>
      <c r="F1169" s="132"/>
      <c r="G1169" s="132"/>
      <c r="H1169" s="132"/>
      <c r="I1169" s="132"/>
      <c r="J1169" s="132"/>
      <c r="K1169" s="132"/>
      <c r="L1169" s="132"/>
      <c r="M1169" s="132"/>
      <c r="N1169" s="132"/>
      <c r="O1169" s="132"/>
      <c r="P1169" s="132"/>
      <c r="Q1169" s="132"/>
      <c r="R1169" s="132"/>
      <c r="S1169" s="132"/>
      <c r="T1169" s="132"/>
      <c r="U1169" s="132"/>
      <c r="V1169" s="132"/>
      <c r="W1169" s="132"/>
      <c r="X1169" s="132"/>
      <c r="Y1169" s="132"/>
      <c r="Z1169" s="132"/>
      <c r="AA1169" s="132"/>
      <c r="AB1169" s="132"/>
      <c r="AC1169" s="132"/>
      <c r="AD1169" s="132"/>
      <c r="AE1169" s="132"/>
      <c r="AF1169" s="132"/>
      <c r="AG1169" s="132"/>
      <c r="AH1169" s="132"/>
      <c r="AI1169" s="132"/>
      <c r="AJ1169" s="132"/>
      <c r="AK1169" s="132"/>
      <c r="AL1169" s="132"/>
      <c r="AM1169" s="132"/>
      <c r="AN1169" s="132"/>
      <c r="AO1169" s="132"/>
      <c r="AP1169" s="132"/>
      <c r="AQ1169" s="132"/>
      <c r="AR1169" s="132"/>
      <c r="AS1169" s="132"/>
      <c r="AT1169" s="132"/>
      <c r="AU1169" s="132"/>
      <c r="AV1169" s="132"/>
      <c r="AW1169" s="132"/>
      <c r="AX1169" s="132"/>
      <c r="AY1169" s="132"/>
      <c r="AZ1169" s="132"/>
      <c r="BA1169" s="132"/>
      <c r="BB1169" s="132"/>
      <c r="BC1169" s="132"/>
      <c r="BD1169" s="132"/>
      <c r="BE1169" s="132"/>
      <c r="BF1169" s="132"/>
      <c r="BG1169" s="132"/>
      <c r="BH1169" s="132"/>
      <c r="BI1169" s="132"/>
      <c r="BJ1169" s="132"/>
      <c r="BK1169" s="132"/>
      <c r="BL1169" s="132"/>
      <c r="BM1169" s="132"/>
      <c r="BN1169" s="132"/>
      <c r="BO1169" s="132"/>
      <c r="BP1169" s="132"/>
      <c r="BQ1169" s="132"/>
      <c r="BR1169" s="132"/>
      <c r="BS1169" s="132"/>
      <c r="BT1169" s="132"/>
      <c r="BU1169" s="132"/>
      <c r="BV1169" s="132"/>
      <c r="BW1169" s="132"/>
      <c r="BX1169" s="132"/>
      <c r="BY1169" s="132"/>
      <c r="BZ1169" s="132"/>
      <c r="CA1169" s="132"/>
      <c r="CB1169" s="132"/>
      <c r="CC1169" s="132"/>
      <c r="CD1169" s="132"/>
      <c r="CE1169" s="132"/>
      <c r="CF1169" s="132"/>
      <c r="CG1169" s="132"/>
      <c r="CH1169" s="132"/>
      <c r="CI1169" s="132"/>
      <c r="CJ1169" s="132"/>
      <c r="CK1169" s="132"/>
      <c r="CL1169" s="132"/>
      <c r="CM1169" s="132"/>
      <c r="CN1169" s="132"/>
      <c r="CO1169" s="132"/>
      <c r="CP1169" s="132"/>
      <c r="CQ1169" s="132"/>
      <c r="CR1169" s="132"/>
      <c r="CS1169" s="132"/>
      <c r="CT1169" s="132"/>
      <c r="CU1169" s="132"/>
      <c r="CV1169" s="132"/>
      <c r="CW1169" s="132"/>
      <c r="CX1169" s="132"/>
      <c r="CY1169" s="132"/>
    </row>
    <row r="1170" spans="1:103">
      <c r="A1170" s="132"/>
      <c r="B1170" s="132"/>
      <c r="C1170" s="132"/>
      <c r="D1170" s="132"/>
      <c r="E1170" s="132"/>
      <c r="F1170" s="132"/>
      <c r="G1170" s="132"/>
      <c r="H1170" s="132"/>
      <c r="I1170" s="132"/>
      <c r="J1170" s="132"/>
      <c r="K1170" s="132"/>
      <c r="L1170" s="132"/>
      <c r="M1170" s="132"/>
      <c r="N1170" s="132"/>
      <c r="O1170" s="132"/>
      <c r="P1170" s="132"/>
      <c r="Q1170" s="132"/>
      <c r="R1170" s="132"/>
      <c r="S1170" s="132"/>
      <c r="T1170" s="132"/>
      <c r="U1170" s="132"/>
      <c r="V1170" s="132"/>
      <c r="W1170" s="132"/>
      <c r="X1170" s="132"/>
      <c r="Y1170" s="132"/>
      <c r="Z1170" s="132"/>
      <c r="AA1170" s="132"/>
      <c r="AB1170" s="132"/>
      <c r="AC1170" s="132"/>
      <c r="AD1170" s="132"/>
      <c r="AE1170" s="132"/>
      <c r="AF1170" s="132"/>
      <c r="AG1170" s="132"/>
      <c r="AH1170" s="132"/>
      <c r="AI1170" s="132"/>
      <c r="AJ1170" s="132"/>
      <c r="AK1170" s="132"/>
      <c r="AL1170" s="132"/>
      <c r="AM1170" s="132"/>
      <c r="AN1170" s="132"/>
      <c r="AO1170" s="132"/>
      <c r="AP1170" s="132"/>
      <c r="AQ1170" s="132"/>
      <c r="AR1170" s="132"/>
      <c r="AS1170" s="132"/>
      <c r="AT1170" s="132"/>
      <c r="AU1170" s="132"/>
      <c r="AV1170" s="132"/>
      <c r="AW1170" s="132"/>
      <c r="AX1170" s="132"/>
      <c r="AY1170" s="132"/>
      <c r="AZ1170" s="132"/>
      <c r="BA1170" s="132"/>
      <c r="BB1170" s="132"/>
      <c r="BC1170" s="132"/>
      <c r="BD1170" s="132"/>
      <c r="BE1170" s="132"/>
      <c r="BF1170" s="132"/>
      <c r="BG1170" s="132"/>
      <c r="BH1170" s="132"/>
      <c r="BI1170" s="132"/>
      <c r="BJ1170" s="132"/>
      <c r="BK1170" s="132"/>
      <c r="BL1170" s="132"/>
      <c r="BM1170" s="132"/>
      <c r="BN1170" s="132"/>
      <c r="BO1170" s="132"/>
      <c r="BP1170" s="132"/>
      <c r="BQ1170" s="132"/>
      <c r="BR1170" s="132"/>
      <c r="BS1170" s="132"/>
      <c r="BT1170" s="132"/>
      <c r="BU1170" s="132"/>
      <c r="BV1170" s="132"/>
      <c r="BW1170" s="132"/>
      <c r="BX1170" s="132"/>
      <c r="BY1170" s="132"/>
      <c r="BZ1170" s="132"/>
      <c r="CA1170" s="132"/>
      <c r="CB1170" s="132"/>
      <c r="CC1170" s="132"/>
      <c r="CD1170" s="132"/>
      <c r="CE1170" s="132"/>
      <c r="CF1170" s="132"/>
      <c r="CG1170" s="132"/>
      <c r="CH1170" s="132"/>
      <c r="CI1170" s="132"/>
      <c r="CJ1170" s="132"/>
      <c r="CK1170" s="132"/>
      <c r="CL1170" s="132"/>
      <c r="CM1170" s="132"/>
      <c r="CN1170" s="132"/>
      <c r="CO1170" s="132"/>
      <c r="CP1170" s="132"/>
      <c r="CQ1170" s="132"/>
      <c r="CR1170" s="132"/>
      <c r="CS1170" s="132"/>
      <c r="CT1170" s="132"/>
      <c r="CU1170" s="132"/>
      <c r="CV1170" s="132"/>
      <c r="CW1170" s="132"/>
      <c r="CX1170" s="132"/>
      <c r="CY1170" s="132"/>
    </row>
    <row r="1171" spans="1:103">
      <c r="A1171" s="132"/>
      <c r="B1171" s="132"/>
      <c r="C1171" s="132"/>
      <c r="D1171" s="132"/>
      <c r="E1171" s="132"/>
      <c r="F1171" s="132"/>
      <c r="G1171" s="132"/>
      <c r="H1171" s="132"/>
      <c r="I1171" s="132"/>
      <c r="J1171" s="132"/>
      <c r="K1171" s="132"/>
      <c r="L1171" s="132"/>
      <c r="M1171" s="132"/>
      <c r="N1171" s="132"/>
      <c r="O1171" s="132"/>
      <c r="P1171" s="132"/>
      <c r="Q1171" s="132"/>
      <c r="R1171" s="132"/>
      <c r="S1171" s="132"/>
      <c r="T1171" s="132"/>
      <c r="U1171" s="132"/>
      <c r="V1171" s="132"/>
      <c r="W1171" s="132"/>
      <c r="X1171" s="132"/>
      <c r="Y1171" s="132"/>
      <c r="Z1171" s="132"/>
      <c r="AA1171" s="132"/>
      <c r="AB1171" s="132"/>
      <c r="AC1171" s="132"/>
      <c r="AD1171" s="132"/>
      <c r="AE1171" s="132"/>
      <c r="AF1171" s="132"/>
      <c r="AG1171" s="132"/>
      <c r="AH1171" s="132"/>
      <c r="AI1171" s="132"/>
      <c r="AJ1171" s="132"/>
      <c r="AK1171" s="132"/>
      <c r="AL1171" s="132"/>
      <c r="AM1171" s="132"/>
      <c r="AN1171" s="132"/>
      <c r="AO1171" s="132"/>
      <c r="AP1171" s="132"/>
      <c r="AQ1171" s="132"/>
      <c r="AR1171" s="132"/>
      <c r="AS1171" s="132"/>
      <c r="AT1171" s="132"/>
      <c r="AU1171" s="132"/>
      <c r="AV1171" s="132"/>
      <c r="AW1171" s="132"/>
      <c r="AX1171" s="132"/>
      <c r="AY1171" s="132"/>
      <c r="AZ1171" s="132"/>
      <c r="BA1171" s="132"/>
      <c r="BB1171" s="132"/>
      <c r="BC1171" s="132"/>
      <c r="BD1171" s="132"/>
      <c r="BE1171" s="132"/>
      <c r="BF1171" s="132"/>
      <c r="BG1171" s="132"/>
      <c r="BH1171" s="132"/>
      <c r="BI1171" s="132"/>
      <c r="BJ1171" s="132"/>
      <c r="BK1171" s="132"/>
      <c r="BL1171" s="132"/>
      <c r="BM1171" s="132"/>
      <c r="BN1171" s="132"/>
      <c r="BO1171" s="132"/>
      <c r="BP1171" s="132"/>
      <c r="BQ1171" s="132"/>
      <c r="BR1171" s="132"/>
      <c r="BS1171" s="132"/>
      <c r="BT1171" s="132"/>
      <c r="BU1171" s="132"/>
      <c r="BV1171" s="132"/>
      <c r="BW1171" s="132"/>
      <c r="BX1171" s="132"/>
      <c r="BY1171" s="132"/>
      <c r="BZ1171" s="132"/>
      <c r="CA1171" s="132"/>
      <c r="CB1171" s="132"/>
      <c r="CC1171" s="132"/>
      <c r="CD1171" s="132"/>
      <c r="CE1171" s="132"/>
      <c r="CF1171" s="132"/>
      <c r="CG1171" s="132"/>
      <c r="CH1171" s="132"/>
      <c r="CI1171" s="132"/>
      <c r="CJ1171" s="132"/>
      <c r="CK1171" s="132"/>
      <c r="CL1171" s="132"/>
      <c r="CM1171" s="132"/>
      <c r="CN1171" s="132"/>
      <c r="CO1171" s="132"/>
      <c r="CP1171" s="132"/>
      <c r="CQ1171" s="132"/>
      <c r="CR1171" s="132"/>
      <c r="CS1171" s="132"/>
      <c r="CT1171" s="132"/>
      <c r="CU1171" s="132"/>
      <c r="CV1171" s="132"/>
      <c r="CW1171" s="132"/>
      <c r="CX1171" s="132"/>
      <c r="CY1171" s="132"/>
    </row>
    <row r="1172" spans="1:103">
      <c r="A1172" s="132"/>
      <c r="B1172" s="132"/>
      <c r="C1172" s="132"/>
      <c r="D1172" s="132"/>
      <c r="E1172" s="132"/>
      <c r="F1172" s="132"/>
      <c r="G1172" s="132"/>
      <c r="H1172" s="132"/>
      <c r="I1172" s="132"/>
      <c r="J1172" s="132"/>
      <c r="K1172" s="132"/>
      <c r="L1172" s="132"/>
      <c r="M1172" s="132"/>
      <c r="N1172" s="132"/>
      <c r="O1172" s="132"/>
      <c r="P1172" s="132"/>
      <c r="Q1172" s="132"/>
      <c r="R1172" s="132"/>
      <c r="S1172" s="132"/>
      <c r="T1172" s="132"/>
      <c r="U1172" s="132"/>
      <c r="V1172" s="132"/>
      <c r="W1172" s="132"/>
      <c r="X1172" s="132"/>
      <c r="Y1172" s="132"/>
      <c r="Z1172" s="132"/>
      <c r="AA1172" s="132"/>
      <c r="AB1172" s="132"/>
      <c r="AC1172" s="132"/>
      <c r="AD1172" s="132"/>
      <c r="AE1172" s="132"/>
      <c r="AF1172" s="132"/>
      <c r="AG1172" s="132"/>
      <c r="AH1172" s="132"/>
      <c r="AI1172" s="132"/>
      <c r="AJ1172" s="132"/>
      <c r="AK1172" s="132"/>
      <c r="AL1172" s="132"/>
      <c r="AM1172" s="132"/>
      <c r="AN1172" s="132"/>
      <c r="AO1172" s="132"/>
      <c r="AP1172" s="132"/>
      <c r="AQ1172" s="132"/>
      <c r="AR1172" s="132"/>
      <c r="AS1172" s="132"/>
      <c r="AT1172" s="132"/>
      <c r="AU1172" s="132"/>
      <c r="AV1172" s="132"/>
      <c r="AW1172" s="132"/>
      <c r="AX1172" s="132"/>
      <c r="AY1172" s="132"/>
      <c r="AZ1172" s="132"/>
      <c r="BA1172" s="132"/>
      <c r="BB1172" s="132"/>
      <c r="BC1172" s="132"/>
      <c r="BD1172" s="132"/>
      <c r="BE1172" s="132"/>
      <c r="BF1172" s="132"/>
      <c r="BG1172" s="132"/>
      <c r="BH1172" s="132"/>
      <c r="BI1172" s="132"/>
      <c r="BJ1172" s="132"/>
      <c r="BK1172" s="132"/>
      <c r="BL1172" s="132"/>
      <c r="BM1172" s="132"/>
      <c r="BN1172" s="132"/>
      <c r="BO1172" s="132"/>
      <c r="BP1172" s="132"/>
      <c r="BQ1172" s="132"/>
      <c r="BR1172" s="132"/>
      <c r="BS1172" s="132"/>
      <c r="BT1172" s="132"/>
      <c r="BU1172" s="132"/>
      <c r="BV1172" s="132"/>
      <c r="BW1172" s="132"/>
      <c r="BX1172" s="132"/>
      <c r="BY1172" s="132"/>
      <c r="BZ1172" s="132"/>
      <c r="CA1172" s="132"/>
      <c r="CB1172" s="132"/>
      <c r="CC1172" s="132"/>
      <c r="CD1172" s="132"/>
      <c r="CE1172" s="132"/>
      <c r="CF1172" s="132"/>
      <c r="CG1172" s="132"/>
      <c r="CH1172" s="132"/>
      <c r="CI1172" s="132"/>
      <c r="CJ1172" s="132"/>
      <c r="CK1172" s="132"/>
      <c r="CL1172" s="132"/>
      <c r="CM1172" s="132"/>
      <c r="CN1172" s="132"/>
      <c r="CO1172" s="132"/>
      <c r="CP1172" s="132"/>
      <c r="CQ1172" s="132"/>
      <c r="CR1172" s="132"/>
      <c r="CS1172" s="132"/>
      <c r="CT1172" s="132"/>
      <c r="CU1172" s="132"/>
      <c r="CV1172" s="132"/>
      <c r="CW1172" s="132"/>
      <c r="CX1172" s="132"/>
      <c r="CY1172" s="132"/>
    </row>
    <row r="1173" spans="1:103">
      <c r="A1173" s="132"/>
      <c r="B1173" s="132"/>
      <c r="C1173" s="132"/>
      <c r="D1173" s="132"/>
      <c r="E1173" s="132"/>
      <c r="F1173" s="132"/>
      <c r="G1173" s="132"/>
      <c r="H1173" s="132"/>
      <c r="I1173" s="132"/>
      <c r="J1173" s="132"/>
      <c r="K1173" s="132"/>
      <c r="L1173" s="132"/>
      <c r="M1173" s="132"/>
      <c r="N1173" s="132"/>
      <c r="O1173" s="132"/>
      <c r="P1173" s="132"/>
      <c r="Q1173" s="132"/>
      <c r="R1173" s="132"/>
      <c r="S1173" s="132"/>
      <c r="T1173" s="132"/>
      <c r="U1173" s="132"/>
      <c r="V1173" s="132"/>
      <c r="W1173" s="132"/>
      <c r="X1173" s="132"/>
      <c r="Y1173" s="132"/>
      <c r="Z1173" s="132"/>
      <c r="AA1173" s="132"/>
      <c r="AB1173" s="132"/>
      <c r="AC1173" s="132"/>
      <c r="AD1173" s="132"/>
      <c r="AE1173" s="132"/>
      <c r="AF1173" s="132"/>
      <c r="AG1173" s="132"/>
      <c r="AH1173" s="132"/>
      <c r="AI1173" s="132"/>
      <c r="AJ1173" s="132"/>
      <c r="AK1173" s="132"/>
      <c r="AL1173" s="132"/>
      <c r="AM1173" s="132"/>
      <c r="AN1173" s="132"/>
      <c r="AO1173" s="132"/>
      <c r="AP1173" s="132"/>
      <c r="AQ1173" s="132"/>
      <c r="AR1173" s="132"/>
      <c r="AS1173" s="132"/>
      <c r="AT1173" s="132"/>
      <c r="AU1173" s="132"/>
      <c r="AV1173" s="132"/>
      <c r="AW1173" s="132"/>
      <c r="AX1173" s="132"/>
      <c r="AY1173" s="132"/>
      <c r="AZ1173" s="132"/>
      <c r="BA1173" s="132"/>
      <c r="BB1173" s="132"/>
      <c r="BC1173" s="132"/>
      <c r="BD1173" s="132"/>
      <c r="BE1173" s="132"/>
      <c r="BF1173" s="132"/>
      <c r="BG1173" s="132"/>
      <c r="BH1173" s="132"/>
      <c r="BI1173" s="132"/>
      <c r="BJ1173" s="132"/>
      <c r="BK1173" s="132"/>
      <c r="BL1173" s="132"/>
      <c r="BM1173" s="132"/>
      <c r="BN1173" s="132"/>
      <c r="BO1173" s="132"/>
      <c r="BP1173" s="132"/>
      <c r="BQ1173" s="132"/>
      <c r="BR1173" s="132"/>
      <c r="BS1173" s="132"/>
      <c r="BT1173" s="132"/>
      <c r="BU1173" s="132"/>
      <c r="BV1173" s="132"/>
      <c r="BW1173" s="132"/>
      <c r="BX1173" s="132"/>
      <c r="BY1173" s="132"/>
      <c r="BZ1173" s="132"/>
      <c r="CA1173" s="132"/>
      <c r="CB1173" s="132"/>
      <c r="CC1173" s="132"/>
      <c r="CD1173" s="132"/>
      <c r="CE1173" s="132"/>
      <c r="CF1173" s="132"/>
      <c r="CG1173" s="132"/>
      <c r="CH1173" s="132"/>
      <c r="CI1173" s="132"/>
      <c r="CJ1173" s="132"/>
      <c r="CK1173" s="132"/>
      <c r="CL1173" s="132"/>
      <c r="CM1173" s="132"/>
      <c r="CN1173" s="132"/>
      <c r="CO1173" s="132"/>
      <c r="CP1173" s="132"/>
      <c r="CQ1173" s="132"/>
      <c r="CR1173" s="132"/>
      <c r="CS1173" s="132"/>
      <c r="CT1173" s="132"/>
      <c r="CU1173" s="132"/>
      <c r="CV1173" s="132"/>
      <c r="CW1173" s="132"/>
      <c r="CX1173" s="132"/>
      <c r="CY1173" s="132"/>
    </row>
    <row r="1174" spans="1:103">
      <c r="A1174" s="132"/>
      <c r="B1174" s="132"/>
      <c r="C1174" s="132"/>
      <c r="D1174" s="132"/>
      <c r="E1174" s="132"/>
      <c r="F1174" s="132"/>
      <c r="G1174" s="132"/>
      <c r="H1174" s="132"/>
      <c r="I1174" s="132"/>
      <c r="J1174" s="132"/>
      <c r="K1174" s="132"/>
      <c r="L1174" s="132"/>
      <c r="M1174" s="132"/>
      <c r="N1174" s="132"/>
      <c r="O1174" s="132"/>
      <c r="P1174" s="132"/>
      <c r="Q1174" s="132"/>
      <c r="R1174" s="132"/>
      <c r="S1174" s="132"/>
      <c r="T1174" s="132"/>
      <c r="U1174" s="132"/>
      <c r="V1174" s="132"/>
      <c r="W1174" s="132"/>
      <c r="X1174" s="132"/>
      <c r="Y1174" s="132"/>
      <c r="Z1174" s="132"/>
      <c r="AA1174" s="132"/>
      <c r="AB1174" s="132"/>
      <c r="AC1174" s="132"/>
      <c r="AD1174" s="132"/>
      <c r="AE1174" s="132"/>
      <c r="AF1174" s="132"/>
      <c r="AG1174" s="132"/>
      <c r="AH1174" s="132"/>
      <c r="AI1174" s="132"/>
      <c r="AJ1174" s="132"/>
      <c r="AK1174" s="132"/>
      <c r="AL1174" s="132"/>
      <c r="AM1174" s="132"/>
      <c r="AN1174" s="132"/>
      <c r="AO1174" s="132"/>
      <c r="AP1174" s="132"/>
      <c r="AQ1174" s="132"/>
      <c r="AR1174" s="132"/>
      <c r="AS1174" s="132"/>
      <c r="AT1174" s="132"/>
      <c r="AU1174" s="132"/>
      <c r="AV1174" s="132"/>
      <c r="AW1174" s="132"/>
      <c r="AX1174" s="132"/>
      <c r="AY1174" s="132"/>
      <c r="AZ1174" s="132"/>
      <c r="BA1174" s="132"/>
      <c r="BB1174" s="132"/>
      <c r="BC1174" s="132"/>
      <c r="BD1174" s="132"/>
      <c r="BE1174" s="132"/>
      <c r="BF1174" s="132"/>
      <c r="BG1174" s="132"/>
      <c r="BH1174" s="132"/>
      <c r="BI1174" s="132"/>
      <c r="BJ1174" s="132"/>
      <c r="BK1174" s="132"/>
      <c r="BL1174" s="132"/>
      <c r="BM1174" s="132"/>
      <c r="BN1174" s="132"/>
      <c r="BO1174" s="132"/>
      <c r="BP1174" s="132"/>
      <c r="BQ1174" s="132"/>
      <c r="BR1174" s="132"/>
      <c r="BS1174" s="132"/>
      <c r="BT1174" s="132"/>
      <c r="BU1174" s="132"/>
      <c r="BV1174" s="132"/>
      <c r="BW1174" s="132"/>
      <c r="BX1174" s="132"/>
      <c r="BY1174" s="132"/>
      <c r="BZ1174" s="132"/>
      <c r="CA1174" s="132"/>
      <c r="CB1174" s="132"/>
      <c r="CC1174" s="132"/>
      <c r="CD1174" s="132"/>
      <c r="CE1174" s="132"/>
      <c r="CF1174" s="132"/>
      <c r="CG1174" s="132"/>
      <c r="CH1174" s="132"/>
      <c r="CI1174" s="132"/>
      <c r="CJ1174" s="132"/>
      <c r="CK1174" s="132"/>
      <c r="CL1174" s="132"/>
      <c r="CM1174" s="132"/>
      <c r="CN1174" s="132"/>
      <c r="CO1174" s="132"/>
      <c r="CP1174" s="132"/>
      <c r="CQ1174" s="132"/>
      <c r="CR1174" s="132"/>
      <c r="CS1174" s="132"/>
      <c r="CT1174" s="132"/>
      <c r="CU1174" s="132"/>
      <c r="CV1174" s="132"/>
      <c r="CW1174" s="132"/>
      <c r="CX1174" s="132"/>
      <c r="CY1174" s="132"/>
    </row>
    <row r="1175" spans="1:103">
      <c r="A1175" s="132"/>
      <c r="B1175" s="132"/>
      <c r="C1175" s="132"/>
      <c r="D1175" s="132"/>
      <c r="E1175" s="132"/>
      <c r="F1175" s="132"/>
      <c r="G1175" s="132"/>
      <c r="H1175" s="132"/>
      <c r="I1175" s="132"/>
      <c r="J1175" s="132"/>
      <c r="K1175" s="132"/>
      <c r="L1175" s="132"/>
      <c r="M1175" s="132"/>
      <c r="N1175" s="132"/>
      <c r="O1175" s="132"/>
      <c r="P1175" s="132"/>
      <c r="Q1175" s="132"/>
      <c r="R1175" s="132"/>
      <c r="S1175" s="132"/>
      <c r="T1175" s="132"/>
      <c r="U1175" s="132"/>
      <c r="V1175" s="132"/>
      <c r="W1175" s="132"/>
      <c r="X1175" s="132"/>
      <c r="Y1175" s="132"/>
      <c r="Z1175" s="132"/>
      <c r="AA1175" s="132"/>
      <c r="AB1175" s="132"/>
      <c r="AC1175" s="132"/>
      <c r="AD1175" s="132"/>
      <c r="AE1175" s="132"/>
      <c r="AF1175" s="132"/>
      <c r="AG1175" s="132"/>
      <c r="AH1175" s="132"/>
      <c r="AI1175" s="132"/>
      <c r="AJ1175" s="132"/>
      <c r="AK1175" s="132"/>
      <c r="AL1175" s="132"/>
      <c r="AM1175" s="132"/>
      <c r="AN1175" s="132"/>
      <c r="AO1175" s="132"/>
      <c r="AP1175" s="132"/>
      <c r="AQ1175" s="132"/>
      <c r="AR1175" s="132"/>
      <c r="AS1175" s="132"/>
      <c r="AT1175" s="132"/>
      <c r="AU1175" s="132"/>
      <c r="AV1175" s="132"/>
      <c r="AW1175" s="132"/>
      <c r="AX1175" s="132"/>
      <c r="AY1175" s="132"/>
      <c r="AZ1175" s="132"/>
      <c r="BA1175" s="132"/>
      <c r="BB1175" s="132"/>
      <c r="BC1175" s="132"/>
      <c r="BD1175" s="132"/>
      <c r="BE1175" s="132"/>
      <c r="BF1175" s="132"/>
      <c r="BG1175" s="132"/>
      <c r="BH1175" s="132"/>
      <c r="BI1175" s="132"/>
      <c r="BJ1175" s="132"/>
      <c r="BK1175" s="132"/>
      <c r="BL1175" s="132"/>
      <c r="BM1175" s="132"/>
      <c r="BN1175" s="132"/>
      <c r="BO1175" s="132"/>
      <c r="BP1175" s="132"/>
      <c r="BQ1175" s="132"/>
      <c r="BR1175" s="132"/>
      <c r="BS1175" s="132"/>
      <c r="BT1175" s="132"/>
      <c r="BU1175" s="132"/>
      <c r="BV1175" s="132"/>
      <c r="BW1175" s="132"/>
      <c r="BX1175" s="132"/>
      <c r="BY1175" s="132"/>
      <c r="BZ1175" s="132"/>
      <c r="CA1175" s="132"/>
      <c r="CB1175" s="132"/>
      <c r="CC1175" s="132"/>
      <c r="CD1175" s="132"/>
      <c r="CE1175" s="132"/>
      <c r="CF1175" s="132"/>
      <c r="CG1175" s="132"/>
      <c r="CH1175" s="132"/>
      <c r="CI1175" s="132"/>
      <c r="CJ1175" s="132"/>
      <c r="CK1175" s="132"/>
      <c r="CL1175" s="132"/>
      <c r="CM1175" s="132"/>
      <c r="CN1175" s="132"/>
      <c r="CO1175" s="132"/>
      <c r="CP1175" s="132"/>
      <c r="CQ1175" s="132"/>
      <c r="CR1175" s="132"/>
      <c r="CS1175" s="132"/>
      <c r="CT1175" s="132"/>
      <c r="CU1175" s="132"/>
      <c r="CV1175" s="132"/>
      <c r="CW1175" s="132"/>
      <c r="CX1175" s="132"/>
      <c r="CY1175" s="132"/>
    </row>
    <row r="1176" spans="1:103">
      <c r="A1176" s="132"/>
      <c r="B1176" s="132"/>
      <c r="C1176" s="132"/>
      <c r="D1176" s="132"/>
      <c r="E1176" s="132"/>
      <c r="F1176" s="132"/>
      <c r="G1176" s="132"/>
      <c r="H1176" s="132"/>
      <c r="I1176" s="132"/>
      <c r="J1176" s="132"/>
      <c r="K1176" s="132"/>
      <c r="L1176" s="132"/>
      <c r="M1176" s="132"/>
      <c r="N1176" s="132"/>
      <c r="O1176" s="132"/>
      <c r="P1176" s="132"/>
      <c r="Q1176" s="132"/>
      <c r="R1176" s="132"/>
      <c r="S1176" s="132"/>
      <c r="T1176" s="132"/>
      <c r="U1176" s="132"/>
      <c r="V1176" s="132"/>
      <c r="W1176" s="132"/>
      <c r="X1176" s="132"/>
      <c r="Y1176" s="132"/>
      <c r="Z1176" s="132"/>
      <c r="AA1176" s="132"/>
      <c r="AB1176" s="132"/>
      <c r="AC1176" s="132"/>
      <c r="AD1176" s="132"/>
      <c r="AE1176" s="132"/>
      <c r="AF1176" s="132"/>
      <c r="AG1176" s="132"/>
      <c r="AH1176" s="132"/>
      <c r="AI1176" s="132"/>
      <c r="AJ1176" s="132"/>
      <c r="AK1176" s="132"/>
      <c r="AL1176" s="132"/>
      <c r="AM1176" s="132"/>
      <c r="AN1176" s="132"/>
      <c r="AO1176" s="132"/>
      <c r="AP1176" s="132"/>
      <c r="AQ1176" s="132"/>
      <c r="AR1176" s="132"/>
      <c r="AS1176" s="132"/>
      <c r="AT1176" s="132"/>
      <c r="AU1176" s="132"/>
      <c r="AV1176" s="132"/>
      <c r="AW1176" s="132"/>
      <c r="AX1176" s="132"/>
      <c r="AY1176" s="132"/>
      <c r="AZ1176" s="132"/>
      <c r="BA1176" s="132"/>
      <c r="BB1176" s="132"/>
      <c r="BC1176" s="132"/>
      <c r="BD1176" s="132"/>
      <c r="BE1176" s="132"/>
      <c r="BF1176" s="132"/>
      <c r="BG1176" s="132"/>
      <c r="BH1176" s="132"/>
      <c r="BI1176" s="132"/>
      <c r="BJ1176" s="132"/>
      <c r="BK1176" s="132"/>
      <c r="BL1176" s="132"/>
      <c r="BM1176" s="132"/>
      <c r="BN1176" s="132"/>
      <c r="BO1176" s="132"/>
      <c r="BP1176" s="132"/>
      <c r="BQ1176" s="132"/>
      <c r="BR1176" s="132"/>
      <c r="BS1176" s="132"/>
      <c r="BT1176" s="132"/>
      <c r="BU1176" s="132"/>
      <c r="BV1176" s="132"/>
      <c r="BW1176" s="132"/>
      <c r="BX1176" s="132"/>
      <c r="BY1176" s="132"/>
      <c r="BZ1176" s="132"/>
      <c r="CA1176" s="132"/>
      <c r="CB1176" s="132"/>
      <c r="CC1176" s="132"/>
      <c r="CD1176" s="132"/>
      <c r="CE1176" s="132"/>
      <c r="CF1176" s="132"/>
      <c r="CG1176" s="132"/>
      <c r="CH1176" s="132"/>
      <c r="CI1176" s="132"/>
      <c r="CJ1176" s="132"/>
      <c r="CK1176" s="132"/>
      <c r="CL1176" s="132"/>
      <c r="CM1176" s="132"/>
      <c r="CN1176" s="132"/>
      <c r="CO1176" s="132"/>
      <c r="CP1176" s="132"/>
      <c r="CQ1176" s="132"/>
      <c r="CR1176" s="132"/>
      <c r="CS1176" s="132"/>
      <c r="CT1176" s="132"/>
      <c r="CU1176" s="132"/>
      <c r="CV1176" s="132"/>
      <c r="CW1176" s="132"/>
      <c r="CX1176" s="132"/>
      <c r="CY1176" s="132"/>
    </row>
    <row r="1177" spans="1:103">
      <c r="A1177" s="132"/>
      <c r="B1177" s="132"/>
      <c r="C1177" s="132"/>
      <c r="D1177" s="132"/>
      <c r="E1177" s="132"/>
      <c r="F1177" s="132"/>
      <c r="G1177" s="132"/>
      <c r="H1177" s="132"/>
      <c r="I1177" s="132"/>
      <c r="J1177" s="132"/>
      <c r="K1177" s="132"/>
      <c r="L1177" s="132"/>
      <c r="M1177" s="132"/>
      <c r="N1177" s="132"/>
      <c r="O1177" s="132"/>
      <c r="P1177" s="132"/>
      <c r="Q1177" s="132"/>
      <c r="R1177" s="132"/>
      <c r="S1177" s="132"/>
      <c r="T1177" s="132"/>
      <c r="U1177" s="132"/>
      <c r="V1177" s="132"/>
      <c r="W1177" s="132"/>
      <c r="X1177" s="132"/>
      <c r="Y1177" s="132"/>
      <c r="Z1177" s="132"/>
      <c r="AA1177" s="132"/>
      <c r="AB1177" s="132"/>
      <c r="AC1177" s="132"/>
      <c r="AD1177" s="132"/>
      <c r="AE1177" s="132"/>
      <c r="AF1177" s="132"/>
      <c r="AG1177" s="132"/>
      <c r="AH1177" s="132"/>
      <c r="AI1177" s="132"/>
      <c r="AJ1177" s="132"/>
      <c r="AK1177" s="132"/>
      <c r="AL1177" s="132"/>
      <c r="AM1177" s="132"/>
      <c r="AN1177" s="132"/>
      <c r="AO1177" s="132"/>
      <c r="AP1177" s="132"/>
      <c r="AQ1177" s="132"/>
      <c r="AR1177" s="132"/>
      <c r="AS1177" s="132"/>
      <c r="AT1177" s="132"/>
      <c r="AU1177" s="132"/>
      <c r="AV1177" s="132"/>
      <c r="AW1177" s="132"/>
      <c r="AX1177" s="132"/>
      <c r="AY1177" s="132"/>
      <c r="AZ1177" s="132"/>
      <c r="BA1177" s="132"/>
      <c r="BB1177" s="132"/>
      <c r="BC1177" s="132"/>
      <c r="BD1177" s="132"/>
      <c r="BE1177" s="132"/>
      <c r="BF1177" s="132"/>
      <c r="BG1177" s="132"/>
      <c r="BH1177" s="132"/>
      <c r="BI1177" s="132"/>
      <c r="BJ1177" s="132"/>
      <c r="BK1177" s="132"/>
      <c r="BL1177" s="132"/>
      <c r="BM1177" s="132"/>
      <c r="BN1177" s="132"/>
      <c r="BO1177" s="132"/>
      <c r="BP1177" s="132"/>
      <c r="BQ1177" s="132"/>
      <c r="BR1177" s="132"/>
      <c r="BS1177" s="132"/>
      <c r="BT1177" s="132"/>
      <c r="BU1177" s="132"/>
      <c r="BV1177" s="132"/>
      <c r="BW1177" s="132"/>
      <c r="BX1177" s="132"/>
      <c r="BY1177" s="132"/>
      <c r="BZ1177" s="132"/>
      <c r="CA1177" s="132"/>
      <c r="CB1177" s="132"/>
      <c r="CC1177" s="132"/>
      <c r="CD1177" s="132"/>
      <c r="CE1177" s="132"/>
      <c r="CF1177" s="132"/>
      <c r="CG1177" s="132"/>
      <c r="CH1177" s="132"/>
      <c r="CI1177" s="132"/>
      <c r="CJ1177" s="132"/>
      <c r="CK1177" s="132"/>
      <c r="CL1177" s="132"/>
      <c r="CM1177" s="132"/>
      <c r="CN1177" s="132"/>
      <c r="CO1177" s="132"/>
      <c r="CP1177" s="132"/>
      <c r="CQ1177" s="132"/>
      <c r="CR1177" s="132"/>
      <c r="CS1177" s="132"/>
      <c r="CT1177" s="132"/>
      <c r="CU1177" s="132"/>
      <c r="CV1177" s="132"/>
      <c r="CW1177" s="132"/>
      <c r="CX1177" s="132"/>
      <c r="CY1177" s="132"/>
    </row>
    <row r="1178" spans="1:103">
      <c r="A1178" s="132"/>
      <c r="B1178" s="132"/>
      <c r="C1178" s="132"/>
      <c r="D1178" s="132"/>
      <c r="E1178" s="132"/>
      <c r="F1178" s="132"/>
      <c r="G1178" s="132"/>
      <c r="H1178" s="132"/>
      <c r="I1178" s="132"/>
      <c r="J1178" s="132"/>
      <c r="K1178" s="132"/>
      <c r="L1178" s="132"/>
      <c r="M1178" s="132"/>
      <c r="N1178" s="132"/>
      <c r="O1178" s="132"/>
      <c r="P1178" s="132"/>
      <c r="Q1178" s="132"/>
      <c r="R1178" s="132"/>
      <c r="S1178" s="132"/>
      <c r="T1178" s="132"/>
      <c r="U1178" s="132"/>
      <c r="V1178" s="132"/>
      <c r="W1178" s="132"/>
      <c r="X1178" s="132"/>
      <c r="Y1178" s="132"/>
      <c r="Z1178" s="132"/>
      <c r="AA1178" s="132"/>
      <c r="AB1178" s="132"/>
      <c r="AC1178" s="132"/>
      <c r="AD1178" s="132"/>
      <c r="AE1178" s="132"/>
      <c r="AF1178" s="132"/>
      <c r="AG1178" s="132"/>
      <c r="AH1178" s="132"/>
      <c r="AI1178" s="132"/>
      <c r="AJ1178" s="132"/>
      <c r="AK1178" s="132"/>
      <c r="AL1178" s="132"/>
      <c r="AM1178" s="132"/>
      <c r="AN1178" s="132"/>
      <c r="AO1178" s="132"/>
      <c r="AP1178" s="132"/>
      <c r="AQ1178" s="132"/>
      <c r="AR1178" s="132"/>
      <c r="AS1178" s="132"/>
      <c r="AT1178" s="132"/>
      <c r="AU1178" s="132"/>
      <c r="AV1178" s="132"/>
      <c r="AW1178" s="132"/>
      <c r="AX1178" s="132"/>
      <c r="AY1178" s="132"/>
      <c r="AZ1178" s="132"/>
      <c r="BA1178" s="132"/>
      <c r="BB1178" s="132"/>
      <c r="BC1178" s="132"/>
      <c r="BD1178" s="132"/>
      <c r="BE1178" s="132"/>
      <c r="BF1178" s="132"/>
      <c r="BG1178" s="132"/>
      <c r="BH1178" s="132"/>
      <c r="BI1178" s="132"/>
      <c r="BJ1178" s="132"/>
      <c r="BK1178" s="132"/>
      <c r="BL1178" s="132"/>
      <c r="BM1178" s="132"/>
      <c r="BN1178" s="132"/>
      <c r="BO1178" s="132"/>
      <c r="BP1178" s="132"/>
      <c r="BQ1178" s="132"/>
      <c r="BR1178" s="132"/>
      <c r="BS1178" s="132"/>
      <c r="BT1178" s="132"/>
      <c r="BU1178" s="132"/>
      <c r="BV1178" s="132"/>
      <c r="BW1178" s="132"/>
      <c r="BX1178" s="132"/>
      <c r="BY1178" s="132"/>
      <c r="BZ1178" s="132"/>
      <c r="CA1178" s="132"/>
      <c r="CB1178" s="132"/>
      <c r="CC1178" s="132"/>
      <c r="CD1178" s="132"/>
      <c r="CE1178" s="132"/>
      <c r="CF1178" s="132"/>
      <c r="CG1178" s="132"/>
      <c r="CH1178" s="132"/>
      <c r="CI1178" s="132"/>
      <c r="CJ1178" s="132"/>
      <c r="CK1178" s="132"/>
      <c r="CL1178" s="132"/>
      <c r="CM1178" s="132"/>
      <c r="CN1178" s="132"/>
      <c r="CO1178" s="132"/>
      <c r="CP1178" s="132"/>
      <c r="CQ1178" s="132"/>
      <c r="CR1178" s="132"/>
      <c r="CS1178" s="132"/>
      <c r="CT1178" s="132"/>
      <c r="CU1178" s="132"/>
      <c r="CV1178" s="132"/>
      <c r="CW1178" s="132"/>
      <c r="CX1178" s="132"/>
      <c r="CY1178" s="132"/>
    </row>
    <row r="1179" spans="1:103">
      <c r="A1179" s="132"/>
      <c r="B1179" s="132"/>
      <c r="C1179" s="132"/>
      <c r="D1179" s="132"/>
      <c r="E1179" s="132"/>
      <c r="F1179" s="132"/>
      <c r="G1179" s="132"/>
      <c r="H1179" s="132"/>
      <c r="I1179" s="132"/>
      <c r="J1179" s="132"/>
      <c r="K1179" s="132"/>
      <c r="L1179" s="132"/>
      <c r="M1179" s="132"/>
      <c r="N1179" s="132"/>
      <c r="O1179" s="132"/>
      <c r="P1179" s="132"/>
      <c r="Q1179" s="132"/>
      <c r="R1179" s="132"/>
      <c r="S1179" s="132"/>
      <c r="T1179" s="132"/>
      <c r="U1179" s="132"/>
      <c r="V1179" s="132"/>
      <c r="W1179" s="132"/>
      <c r="X1179" s="132"/>
      <c r="Y1179" s="132"/>
      <c r="Z1179" s="132"/>
      <c r="AA1179" s="132"/>
      <c r="AB1179" s="132"/>
      <c r="AC1179" s="132"/>
      <c r="AD1179" s="132"/>
      <c r="AE1179" s="132"/>
      <c r="AF1179" s="132"/>
      <c r="AG1179" s="132"/>
      <c r="AH1179" s="132"/>
      <c r="AI1179" s="132"/>
      <c r="AJ1179" s="132"/>
      <c r="AK1179" s="132"/>
      <c r="AL1179" s="132"/>
      <c r="AM1179" s="132"/>
      <c r="AN1179" s="132"/>
      <c r="AO1179" s="132"/>
      <c r="AP1179" s="132"/>
      <c r="AQ1179" s="132"/>
      <c r="AR1179" s="132"/>
      <c r="AS1179" s="132"/>
      <c r="AT1179" s="132"/>
      <c r="AU1179" s="132"/>
      <c r="AV1179" s="132"/>
      <c r="AW1179" s="132"/>
      <c r="AX1179" s="132"/>
      <c r="AY1179" s="132"/>
      <c r="AZ1179" s="132"/>
      <c r="BA1179" s="132"/>
      <c r="BB1179" s="132"/>
      <c r="BC1179" s="132"/>
      <c r="BD1179" s="132"/>
      <c r="BE1179" s="132"/>
      <c r="BF1179" s="132"/>
      <c r="BG1179" s="132"/>
      <c r="BH1179" s="132"/>
      <c r="BI1179" s="132"/>
      <c r="BJ1179" s="132"/>
      <c r="BK1179" s="132"/>
      <c r="BL1179" s="132"/>
      <c r="BM1179" s="132"/>
      <c r="BN1179" s="132"/>
      <c r="BO1179" s="132"/>
      <c r="BP1179" s="132"/>
      <c r="BQ1179" s="132"/>
      <c r="BR1179" s="132"/>
      <c r="BS1179" s="132"/>
      <c r="BT1179" s="132"/>
      <c r="BU1179" s="132"/>
      <c r="BV1179" s="132"/>
      <c r="BW1179" s="132"/>
      <c r="BX1179" s="132"/>
      <c r="BY1179" s="132"/>
      <c r="BZ1179" s="132"/>
      <c r="CA1179" s="132"/>
      <c r="CB1179" s="132"/>
      <c r="CC1179" s="132"/>
      <c r="CD1179" s="132"/>
      <c r="CE1179" s="132"/>
      <c r="CF1179" s="132"/>
      <c r="CG1179" s="132"/>
      <c r="CH1179" s="132"/>
      <c r="CI1179" s="132"/>
      <c r="CJ1179" s="132"/>
      <c r="CK1179" s="132"/>
      <c r="CL1179" s="132"/>
      <c r="CM1179" s="132"/>
      <c r="CN1179" s="132"/>
      <c r="CO1179" s="132"/>
      <c r="CP1179" s="132"/>
      <c r="CQ1179" s="132"/>
      <c r="CR1179" s="132"/>
      <c r="CS1179" s="132"/>
      <c r="CT1179" s="132"/>
      <c r="CU1179" s="132"/>
      <c r="CV1179" s="132"/>
      <c r="CW1179" s="132"/>
      <c r="CX1179" s="132"/>
      <c r="CY1179" s="132"/>
    </row>
    <row r="1180" spans="1:103">
      <c r="A1180" s="132"/>
      <c r="B1180" s="132"/>
      <c r="C1180" s="132"/>
      <c r="D1180" s="132"/>
      <c r="E1180" s="132"/>
      <c r="F1180" s="132"/>
      <c r="G1180" s="132"/>
      <c r="H1180" s="132"/>
      <c r="I1180" s="132"/>
      <c r="J1180" s="132"/>
      <c r="K1180" s="132"/>
      <c r="L1180" s="132"/>
      <c r="M1180" s="132"/>
      <c r="N1180" s="132"/>
      <c r="O1180" s="132"/>
      <c r="P1180" s="132"/>
      <c r="Q1180" s="132"/>
      <c r="R1180" s="132"/>
      <c r="S1180" s="132"/>
      <c r="T1180" s="132"/>
      <c r="U1180" s="132"/>
      <c r="V1180" s="132"/>
      <c r="W1180" s="132"/>
      <c r="X1180" s="132"/>
      <c r="Y1180" s="132"/>
      <c r="Z1180" s="132"/>
      <c r="AA1180" s="132"/>
      <c r="AB1180" s="132"/>
      <c r="AC1180" s="132"/>
      <c r="AD1180" s="132"/>
      <c r="AE1180" s="132"/>
      <c r="AF1180" s="132"/>
      <c r="AG1180" s="132"/>
      <c r="AH1180" s="132"/>
      <c r="AI1180" s="132"/>
      <c r="AJ1180" s="132"/>
      <c r="AK1180" s="132"/>
      <c r="AL1180" s="132"/>
      <c r="AM1180" s="132"/>
      <c r="AN1180" s="132"/>
      <c r="AO1180" s="132"/>
      <c r="AP1180" s="132"/>
      <c r="AQ1180" s="132"/>
      <c r="AR1180" s="132"/>
      <c r="AS1180" s="132"/>
      <c r="AT1180" s="132"/>
      <c r="AU1180" s="132"/>
      <c r="AV1180" s="132"/>
      <c r="AW1180" s="132"/>
      <c r="AX1180" s="132"/>
      <c r="AY1180" s="132"/>
      <c r="AZ1180" s="132"/>
      <c r="BA1180" s="132"/>
      <c r="BB1180" s="132"/>
      <c r="BC1180" s="132"/>
      <c r="BD1180" s="132"/>
      <c r="BE1180" s="132"/>
      <c r="BF1180" s="132"/>
      <c r="BG1180" s="132"/>
      <c r="BH1180" s="132"/>
      <c r="BI1180" s="132"/>
      <c r="BJ1180" s="132"/>
      <c r="BK1180" s="132"/>
      <c r="BL1180" s="132"/>
      <c r="BM1180" s="132"/>
      <c r="BN1180" s="132"/>
      <c r="BO1180" s="132"/>
      <c r="BP1180" s="132"/>
      <c r="BQ1180" s="132"/>
      <c r="BR1180" s="132"/>
      <c r="BS1180" s="132"/>
      <c r="BT1180" s="132"/>
      <c r="BU1180" s="132"/>
      <c r="BV1180" s="132"/>
      <c r="BW1180" s="132"/>
      <c r="BX1180" s="132"/>
      <c r="BY1180" s="132"/>
      <c r="BZ1180" s="132"/>
      <c r="CA1180" s="132"/>
      <c r="CB1180" s="132"/>
      <c r="CC1180" s="132"/>
      <c r="CD1180" s="132"/>
      <c r="CE1180" s="132"/>
      <c r="CF1180" s="132"/>
      <c r="CG1180" s="132"/>
      <c r="CH1180" s="132"/>
      <c r="CI1180" s="132"/>
      <c r="CJ1180" s="132"/>
      <c r="CK1180" s="132"/>
      <c r="CL1180" s="132"/>
      <c r="CM1180" s="132"/>
      <c r="CN1180" s="132"/>
      <c r="CO1180" s="132"/>
      <c r="CP1180" s="132"/>
      <c r="CQ1180" s="132"/>
      <c r="CR1180" s="132"/>
      <c r="CS1180" s="132"/>
      <c r="CT1180" s="132"/>
      <c r="CU1180" s="132"/>
      <c r="CV1180" s="132"/>
      <c r="CW1180" s="132"/>
      <c r="CX1180" s="132"/>
      <c r="CY1180" s="132"/>
    </row>
    <row r="1181" spans="1:103">
      <c r="A1181" s="132"/>
      <c r="B1181" s="132"/>
      <c r="C1181" s="132"/>
      <c r="D1181" s="132"/>
      <c r="E1181" s="132"/>
      <c r="F1181" s="132"/>
      <c r="G1181" s="132"/>
      <c r="H1181" s="132"/>
      <c r="I1181" s="132"/>
      <c r="J1181" s="132"/>
      <c r="K1181" s="132"/>
      <c r="L1181" s="132"/>
      <c r="M1181" s="132"/>
      <c r="N1181" s="132"/>
      <c r="O1181" s="132"/>
      <c r="P1181" s="132"/>
      <c r="Q1181" s="132"/>
      <c r="R1181" s="132"/>
      <c r="S1181" s="132"/>
      <c r="T1181" s="132"/>
      <c r="U1181" s="132"/>
      <c r="V1181" s="132"/>
      <c r="W1181" s="132"/>
      <c r="X1181" s="132"/>
      <c r="Y1181" s="132"/>
      <c r="Z1181" s="132"/>
      <c r="AA1181" s="132"/>
      <c r="AB1181" s="132"/>
      <c r="AC1181" s="132"/>
      <c r="AD1181" s="132"/>
      <c r="AE1181" s="132"/>
      <c r="AF1181" s="132"/>
      <c r="AG1181" s="132"/>
      <c r="AH1181" s="132"/>
      <c r="AI1181" s="132"/>
      <c r="AJ1181" s="132"/>
      <c r="AK1181" s="132"/>
      <c r="AL1181" s="132"/>
      <c r="AM1181" s="132"/>
      <c r="AN1181" s="132"/>
      <c r="AO1181" s="132"/>
      <c r="AP1181" s="132"/>
      <c r="AQ1181" s="132"/>
      <c r="AR1181" s="132"/>
      <c r="AS1181" s="132"/>
      <c r="AT1181" s="132"/>
      <c r="AU1181" s="132"/>
      <c r="AV1181" s="132"/>
      <c r="AW1181" s="132"/>
      <c r="AX1181" s="132"/>
      <c r="AY1181" s="132"/>
      <c r="AZ1181" s="132"/>
      <c r="BA1181" s="132"/>
      <c r="BB1181" s="132"/>
      <c r="BC1181" s="132"/>
      <c r="BD1181" s="132"/>
      <c r="BE1181" s="132"/>
      <c r="BF1181" s="132"/>
      <c r="BG1181" s="132"/>
      <c r="BH1181" s="132"/>
      <c r="BI1181" s="132"/>
      <c r="BJ1181" s="132"/>
      <c r="BK1181" s="132"/>
      <c r="BL1181" s="132"/>
      <c r="BM1181" s="132"/>
      <c r="BN1181" s="132"/>
      <c r="BO1181" s="132"/>
      <c r="BP1181" s="132"/>
      <c r="BQ1181" s="132"/>
      <c r="BR1181" s="132"/>
      <c r="BS1181" s="132"/>
      <c r="BT1181" s="132"/>
      <c r="BU1181" s="132"/>
      <c r="BV1181" s="132"/>
      <c r="BW1181" s="132"/>
      <c r="BX1181" s="132"/>
      <c r="BY1181" s="132"/>
      <c r="BZ1181" s="132"/>
      <c r="CA1181" s="132"/>
      <c r="CB1181" s="132"/>
      <c r="CC1181" s="132"/>
      <c r="CD1181" s="132"/>
      <c r="CE1181" s="132"/>
      <c r="CF1181" s="132"/>
      <c r="CG1181" s="132"/>
      <c r="CH1181" s="132"/>
      <c r="CI1181" s="132"/>
      <c r="CJ1181" s="132"/>
      <c r="CK1181" s="132"/>
      <c r="CL1181" s="132"/>
      <c r="CM1181" s="132"/>
      <c r="CN1181" s="132"/>
      <c r="CO1181" s="132"/>
      <c r="CP1181" s="132"/>
      <c r="CQ1181" s="132"/>
      <c r="CR1181" s="132"/>
      <c r="CS1181" s="132"/>
      <c r="CT1181" s="132"/>
      <c r="CU1181" s="132"/>
      <c r="CV1181" s="132"/>
      <c r="CW1181" s="132"/>
      <c r="CX1181" s="132"/>
      <c r="CY1181" s="132"/>
    </row>
    <row r="1182" spans="1:103">
      <c r="A1182" s="132"/>
      <c r="B1182" s="132"/>
      <c r="C1182" s="132"/>
      <c r="D1182" s="132"/>
      <c r="E1182" s="132"/>
      <c r="F1182" s="132"/>
      <c r="G1182" s="132"/>
      <c r="H1182" s="132"/>
      <c r="I1182" s="132"/>
      <c r="J1182" s="132"/>
      <c r="K1182" s="132"/>
      <c r="L1182" s="132"/>
      <c r="M1182" s="132"/>
      <c r="N1182" s="132"/>
      <c r="O1182" s="132"/>
      <c r="P1182" s="132"/>
      <c r="Q1182" s="132"/>
      <c r="R1182" s="132"/>
      <c r="S1182" s="132"/>
      <c r="T1182" s="132"/>
      <c r="U1182" s="132"/>
      <c r="V1182" s="132"/>
      <c r="W1182" s="132"/>
      <c r="X1182" s="132"/>
      <c r="Y1182" s="132"/>
      <c r="Z1182" s="132"/>
      <c r="AA1182" s="132"/>
      <c r="AB1182" s="132"/>
      <c r="AC1182" s="132"/>
      <c r="AD1182" s="132"/>
      <c r="AE1182" s="132"/>
      <c r="AF1182" s="132"/>
      <c r="AG1182" s="132"/>
      <c r="AH1182" s="132"/>
      <c r="AI1182" s="132"/>
      <c r="AJ1182" s="132"/>
      <c r="AK1182" s="132"/>
      <c r="AL1182" s="132"/>
      <c r="AM1182" s="132"/>
      <c r="AN1182" s="132"/>
      <c r="AO1182" s="132"/>
      <c r="AP1182" s="132"/>
      <c r="AQ1182" s="132"/>
      <c r="AR1182" s="132"/>
      <c r="AS1182" s="132"/>
      <c r="AT1182" s="132"/>
      <c r="AU1182" s="132"/>
      <c r="AV1182" s="132"/>
      <c r="AW1182" s="132"/>
      <c r="AX1182" s="132"/>
      <c r="AY1182" s="132"/>
      <c r="AZ1182" s="132"/>
      <c r="BA1182" s="132"/>
      <c r="BB1182" s="132"/>
      <c r="BC1182" s="132"/>
      <c r="BD1182" s="132"/>
      <c r="BE1182" s="132"/>
      <c r="BF1182" s="132"/>
      <c r="BG1182" s="132"/>
      <c r="BH1182" s="132"/>
      <c r="BI1182" s="132"/>
      <c r="BJ1182" s="132"/>
      <c r="BK1182" s="132"/>
      <c r="BL1182" s="132"/>
      <c r="BM1182" s="132"/>
      <c r="BN1182" s="132"/>
      <c r="BO1182" s="132"/>
      <c r="BP1182" s="132"/>
      <c r="BQ1182" s="132"/>
      <c r="BR1182" s="132"/>
      <c r="BS1182" s="132"/>
      <c r="BT1182" s="132"/>
      <c r="BU1182" s="132"/>
      <c r="BV1182" s="132"/>
      <c r="BW1182" s="132"/>
      <c r="BX1182" s="132"/>
      <c r="BY1182" s="132"/>
      <c r="BZ1182" s="132"/>
      <c r="CA1182" s="132"/>
      <c r="CB1182" s="132"/>
      <c r="CC1182" s="132"/>
      <c r="CD1182" s="132"/>
      <c r="CE1182" s="132"/>
      <c r="CF1182" s="132"/>
      <c r="CG1182" s="132"/>
      <c r="CH1182" s="132"/>
      <c r="CI1182" s="132"/>
      <c r="CJ1182" s="132"/>
      <c r="CK1182" s="132"/>
      <c r="CL1182" s="132"/>
      <c r="CM1182" s="132"/>
      <c r="CN1182" s="132"/>
      <c r="CO1182" s="132"/>
      <c r="CP1182" s="132"/>
      <c r="CQ1182" s="132"/>
      <c r="CR1182" s="132"/>
      <c r="CS1182" s="132"/>
      <c r="CT1182" s="132"/>
      <c r="CU1182" s="132"/>
      <c r="CV1182" s="132"/>
      <c r="CW1182" s="132"/>
      <c r="CX1182" s="132"/>
      <c r="CY1182" s="132"/>
    </row>
    <row r="1183" spans="1:103">
      <c r="A1183" s="132"/>
      <c r="B1183" s="132"/>
      <c r="C1183" s="132"/>
      <c r="D1183" s="132"/>
      <c r="E1183" s="132"/>
      <c r="F1183" s="132"/>
      <c r="G1183" s="132"/>
      <c r="H1183" s="132"/>
      <c r="I1183" s="132"/>
      <c r="J1183" s="132"/>
      <c r="K1183" s="132"/>
      <c r="L1183" s="132"/>
      <c r="M1183" s="132"/>
      <c r="N1183" s="132"/>
      <c r="O1183" s="132"/>
      <c r="P1183" s="132"/>
      <c r="Q1183" s="132"/>
      <c r="R1183" s="132"/>
      <c r="S1183" s="132"/>
      <c r="T1183" s="132"/>
      <c r="U1183" s="132"/>
      <c r="V1183" s="132"/>
      <c r="W1183" s="132"/>
      <c r="X1183" s="132"/>
      <c r="Y1183" s="132"/>
      <c r="Z1183" s="132"/>
      <c r="AA1183" s="132"/>
      <c r="AB1183" s="132"/>
      <c r="AC1183" s="132"/>
      <c r="AD1183" s="132"/>
      <c r="AE1183" s="132"/>
      <c r="AF1183" s="132"/>
      <c r="AG1183" s="132"/>
      <c r="AH1183" s="132"/>
      <c r="AI1183" s="132"/>
      <c r="AJ1183" s="132"/>
      <c r="AK1183" s="132"/>
      <c r="AL1183" s="132"/>
      <c r="AM1183" s="132"/>
      <c r="AN1183" s="132"/>
      <c r="AO1183" s="132"/>
      <c r="AP1183" s="132"/>
      <c r="AQ1183" s="132"/>
      <c r="AR1183" s="132"/>
      <c r="AS1183" s="132"/>
      <c r="AT1183" s="132"/>
      <c r="AU1183" s="132"/>
      <c r="AV1183" s="132"/>
      <c r="AW1183" s="132"/>
      <c r="AX1183" s="132"/>
      <c r="AY1183" s="132"/>
      <c r="AZ1183" s="132"/>
      <c r="BA1183" s="132"/>
      <c r="BB1183" s="132"/>
      <c r="BC1183" s="132"/>
      <c r="BD1183" s="132"/>
      <c r="BE1183" s="132"/>
      <c r="BF1183" s="132"/>
      <c r="BG1183" s="132"/>
      <c r="BH1183" s="132"/>
      <c r="BI1183" s="132"/>
      <c r="BJ1183" s="132"/>
      <c r="BK1183" s="132"/>
      <c r="BL1183" s="132"/>
      <c r="BM1183" s="132"/>
      <c r="BN1183" s="132"/>
      <c r="BO1183" s="132"/>
      <c r="BP1183" s="132"/>
      <c r="BQ1183" s="132"/>
      <c r="BR1183" s="132"/>
      <c r="BS1183" s="132"/>
      <c r="BT1183" s="132"/>
      <c r="BU1183" s="132"/>
      <c r="BV1183" s="132"/>
      <c r="BW1183" s="132"/>
      <c r="BX1183" s="132"/>
      <c r="BY1183" s="132"/>
      <c r="BZ1183" s="132"/>
      <c r="CA1183" s="132"/>
      <c r="CB1183" s="132"/>
      <c r="CC1183" s="132"/>
      <c r="CD1183" s="132"/>
      <c r="CE1183" s="132"/>
      <c r="CF1183" s="132"/>
      <c r="CG1183" s="132"/>
      <c r="CH1183" s="132"/>
      <c r="CI1183" s="132"/>
      <c r="CJ1183" s="132"/>
      <c r="CK1183" s="132"/>
      <c r="CL1183" s="132"/>
      <c r="CM1183" s="132"/>
      <c r="CN1183" s="132"/>
      <c r="CO1183" s="132"/>
      <c r="CP1183" s="132"/>
      <c r="CQ1183" s="132"/>
      <c r="CR1183" s="132"/>
      <c r="CS1183" s="132"/>
      <c r="CT1183" s="132"/>
      <c r="CU1183" s="132"/>
      <c r="CV1183" s="132"/>
      <c r="CW1183" s="132"/>
      <c r="CX1183" s="132"/>
      <c r="CY1183" s="132"/>
    </row>
    <row r="1184" spans="1:103">
      <c r="A1184" s="132"/>
      <c r="B1184" s="132"/>
      <c r="C1184" s="132"/>
      <c r="D1184" s="132"/>
      <c r="E1184" s="132"/>
      <c r="F1184" s="132"/>
      <c r="G1184" s="132"/>
      <c r="H1184" s="132"/>
      <c r="I1184" s="132"/>
      <c r="J1184" s="132"/>
      <c r="K1184" s="132"/>
      <c r="L1184" s="132"/>
      <c r="M1184" s="132"/>
      <c r="N1184" s="132"/>
      <c r="O1184" s="132"/>
      <c r="P1184" s="132"/>
      <c r="Q1184" s="132"/>
      <c r="R1184" s="132"/>
      <c r="S1184" s="132"/>
      <c r="T1184" s="132"/>
      <c r="U1184" s="132"/>
      <c r="V1184" s="132"/>
      <c r="W1184" s="132"/>
      <c r="X1184" s="132"/>
      <c r="Y1184" s="132"/>
      <c r="Z1184" s="132"/>
      <c r="AA1184" s="132"/>
      <c r="AB1184" s="132"/>
      <c r="AC1184" s="132"/>
      <c r="AD1184" s="132"/>
      <c r="AE1184" s="132"/>
      <c r="AF1184" s="132"/>
      <c r="AG1184" s="132"/>
      <c r="AH1184" s="132"/>
      <c r="AI1184" s="132"/>
      <c r="AJ1184" s="132"/>
      <c r="AK1184" s="132"/>
      <c r="AL1184" s="132"/>
      <c r="AM1184" s="132"/>
      <c r="AN1184" s="132"/>
      <c r="AO1184" s="132"/>
      <c r="AP1184" s="132"/>
      <c r="AQ1184" s="132"/>
      <c r="AR1184" s="132"/>
      <c r="AS1184" s="132"/>
      <c r="AT1184" s="132"/>
      <c r="AU1184" s="132"/>
      <c r="AV1184" s="132"/>
      <c r="AW1184" s="132"/>
      <c r="AX1184" s="132"/>
      <c r="AY1184" s="132"/>
      <c r="AZ1184" s="132"/>
      <c r="BA1184" s="132"/>
      <c r="BB1184" s="132"/>
      <c r="BC1184" s="132"/>
      <c r="BD1184" s="132"/>
      <c r="BE1184" s="132"/>
      <c r="BF1184" s="132"/>
      <c r="BG1184" s="132"/>
      <c r="BH1184" s="132"/>
      <c r="BI1184" s="132"/>
      <c r="BJ1184" s="132"/>
      <c r="BK1184" s="132"/>
      <c r="BL1184" s="132"/>
      <c r="BM1184" s="132"/>
      <c r="BN1184" s="132"/>
      <c r="BO1184" s="132"/>
      <c r="BP1184" s="132"/>
      <c r="BQ1184" s="132"/>
      <c r="BR1184" s="132"/>
      <c r="BS1184" s="132"/>
      <c r="BT1184" s="132"/>
      <c r="BU1184" s="132"/>
      <c r="BV1184" s="132"/>
      <c r="BW1184" s="132"/>
      <c r="BX1184" s="132"/>
      <c r="BY1184" s="132"/>
      <c r="BZ1184" s="132"/>
      <c r="CA1184" s="132"/>
      <c r="CB1184" s="132"/>
      <c r="CC1184" s="132"/>
      <c r="CD1184" s="132"/>
      <c r="CE1184" s="132"/>
      <c r="CF1184" s="132"/>
      <c r="CG1184" s="132"/>
      <c r="CH1184" s="132"/>
      <c r="CI1184" s="132"/>
      <c r="CJ1184" s="132"/>
      <c r="CK1184" s="132"/>
      <c r="CL1184" s="132"/>
      <c r="CM1184" s="132"/>
      <c r="CN1184" s="132"/>
      <c r="CO1184" s="132"/>
      <c r="CP1184" s="132"/>
      <c r="CQ1184" s="132"/>
      <c r="CR1184" s="132"/>
      <c r="CS1184" s="132"/>
      <c r="CT1184" s="132"/>
      <c r="CU1184" s="132"/>
      <c r="CV1184" s="132"/>
      <c r="CW1184" s="132"/>
      <c r="CX1184" s="132"/>
      <c r="CY1184" s="132"/>
    </row>
    <row r="1185" spans="1:103">
      <c r="A1185" s="132"/>
      <c r="B1185" s="132"/>
      <c r="C1185" s="132"/>
      <c r="D1185" s="132"/>
      <c r="E1185" s="132"/>
      <c r="F1185" s="132"/>
      <c r="G1185" s="132"/>
      <c r="H1185" s="132"/>
      <c r="I1185" s="132"/>
      <c r="J1185" s="132"/>
      <c r="K1185" s="132"/>
      <c r="L1185" s="132"/>
      <c r="M1185" s="132"/>
      <c r="N1185" s="132"/>
      <c r="O1185" s="132"/>
      <c r="P1185" s="132"/>
      <c r="Q1185" s="132"/>
      <c r="R1185" s="132"/>
      <c r="S1185" s="132"/>
      <c r="T1185" s="132"/>
      <c r="U1185" s="132"/>
      <c r="V1185" s="132"/>
      <c r="W1185" s="132"/>
      <c r="X1185" s="132"/>
      <c r="Y1185" s="132"/>
      <c r="Z1185" s="132"/>
      <c r="AA1185" s="132"/>
      <c r="AB1185" s="132"/>
      <c r="AC1185" s="132"/>
      <c r="AD1185" s="132"/>
      <c r="AE1185" s="132"/>
      <c r="AF1185" s="132"/>
      <c r="AG1185" s="132"/>
      <c r="AH1185" s="132"/>
      <c r="AI1185" s="132"/>
      <c r="AJ1185" s="132"/>
      <c r="AK1185" s="132"/>
      <c r="AL1185" s="132"/>
      <c r="AM1185" s="132"/>
      <c r="AN1185" s="132"/>
      <c r="AO1185" s="132"/>
      <c r="AP1185" s="132"/>
      <c r="AQ1185" s="132"/>
      <c r="AR1185" s="132"/>
      <c r="AS1185" s="132"/>
      <c r="AT1185" s="132"/>
      <c r="AU1185" s="132"/>
      <c r="AV1185" s="132"/>
      <c r="AW1185" s="132"/>
      <c r="AX1185" s="132"/>
      <c r="AY1185" s="132"/>
      <c r="AZ1185" s="132"/>
      <c r="BA1185" s="132"/>
      <c r="BB1185" s="132"/>
      <c r="BC1185" s="132"/>
      <c r="BD1185" s="132"/>
      <c r="BE1185" s="132"/>
      <c r="BF1185" s="132"/>
      <c r="BG1185" s="132"/>
      <c r="BH1185" s="132"/>
      <c r="BI1185" s="132"/>
      <c r="BJ1185" s="132"/>
      <c r="BK1185" s="132"/>
      <c r="BL1185" s="132"/>
      <c r="BM1185" s="132"/>
      <c r="BN1185" s="132"/>
      <c r="BO1185" s="132"/>
      <c r="BP1185" s="132"/>
      <c r="BQ1185" s="132"/>
      <c r="BR1185" s="132"/>
      <c r="BS1185" s="132"/>
      <c r="BT1185" s="132"/>
      <c r="BU1185" s="132"/>
      <c r="BV1185" s="132"/>
      <c r="BW1185" s="132"/>
      <c r="BX1185" s="132"/>
      <c r="BY1185" s="132"/>
      <c r="BZ1185" s="132"/>
      <c r="CA1185" s="132"/>
      <c r="CB1185" s="132"/>
      <c r="CC1185" s="132"/>
      <c r="CD1185" s="132"/>
      <c r="CE1185" s="132"/>
      <c r="CF1185" s="132"/>
      <c r="CG1185" s="132"/>
      <c r="CH1185" s="132"/>
      <c r="CI1185" s="132"/>
      <c r="CJ1185" s="132"/>
      <c r="CK1185" s="132"/>
      <c r="CL1185" s="132"/>
      <c r="CM1185" s="132"/>
      <c r="CN1185" s="132"/>
      <c r="CO1185" s="132"/>
      <c r="CP1185" s="132"/>
      <c r="CQ1185" s="132"/>
      <c r="CR1185" s="132"/>
      <c r="CS1185" s="132"/>
      <c r="CT1185" s="132"/>
      <c r="CU1185" s="132"/>
      <c r="CV1185" s="132"/>
      <c r="CW1185" s="132"/>
      <c r="CX1185" s="132"/>
      <c r="CY1185" s="132"/>
    </row>
    <row r="1186" spans="1:103">
      <c r="A1186" s="132"/>
      <c r="B1186" s="132"/>
      <c r="C1186" s="132"/>
      <c r="D1186" s="132"/>
      <c r="E1186" s="132"/>
      <c r="F1186" s="132"/>
      <c r="G1186" s="132"/>
      <c r="H1186" s="132"/>
      <c r="I1186" s="132"/>
      <c r="J1186" s="132"/>
      <c r="K1186" s="132"/>
      <c r="L1186" s="132"/>
      <c r="M1186" s="132"/>
      <c r="N1186" s="132"/>
      <c r="O1186" s="132"/>
      <c r="P1186" s="132"/>
      <c r="Q1186" s="132"/>
      <c r="R1186" s="132"/>
      <c r="S1186" s="132"/>
      <c r="T1186" s="132"/>
      <c r="U1186" s="132"/>
      <c r="V1186" s="132"/>
      <c r="W1186" s="132"/>
      <c r="X1186" s="132"/>
      <c r="Y1186" s="132"/>
      <c r="Z1186" s="132"/>
      <c r="AA1186" s="132"/>
      <c r="AB1186" s="132"/>
      <c r="AC1186" s="132"/>
      <c r="AD1186" s="132"/>
      <c r="AE1186" s="132"/>
      <c r="AF1186" s="132"/>
      <c r="AG1186" s="132"/>
      <c r="AH1186" s="132"/>
      <c r="AI1186" s="132"/>
      <c r="AJ1186" s="132"/>
      <c r="AK1186" s="132"/>
      <c r="AL1186" s="132"/>
      <c r="AM1186" s="132"/>
      <c r="AN1186" s="132"/>
      <c r="AO1186" s="132"/>
      <c r="AP1186" s="132"/>
      <c r="AQ1186" s="132"/>
      <c r="AR1186" s="132"/>
      <c r="AS1186" s="132"/>
      <c r="AT1186" s="132"/>
      <c r="AU1186" s="132"/>
      <c r="AV1186" s="132"/>
      <c r="AW1186" s="132"/>
      <c r="AX1186" s="132"/>
      <c r="AY1186" s="132"/>
      <c r="AZ1186" s="132"/>
      <c r="BA1186" s="132"/>
      <c r="BB1186" s="132"/>
      <c r="BC1186" s="132"/>
      <c r="BD1186" s="132"/>
      <c r="BE1186" s="132"/>
      <c r="BF1186" s="132"/>
      <c r="BG1186" s="132"/>
      <c r="BH1186" s="132"/>
      <c r="BI1186" s="132"/>
      <c r="BJ1186" s="132"/>
      <c r="BK1186" s="132"/>
      <c r="BL1186" s="132"/>
      <c r="BM1186" s="132"/>
      <c r="BN1186" s="132"/>
      <c r="BO1186" s="132"/>
      <c r="BP1186" s="132"/>
      <c r="BQ1186" s="132"/>
      <c r="BR1186" s="132"/>
      <c r="BS1186" s="132"/>
      <c r="BT1186" s="132"/>
      <c r="BU1186" s="132"/>
      <c r="BV1186" s="132"/>
      <c r="BW1186" s="132"/>
      <c r="BX1186" s="132"/>
      <c r="BY1186" s="132"/>
      <c r="BZ1186" s="132"/>
      <c r="CA1186" s="132"/>
      <c r="CB1186" s="132"/>
      <c r="CC1186" s="132"/>
      <c r="CD1186" s="132"/>
      <c r="CE1186" s="132"/>
      <c r="CF1186" s="132"/>
      <c r="CG1186" s="132"/>
      <c r="CH1186" s="132"/>
      <c r="CI1186" s="132"/>
      <c r="CJ1186" s="132"/>
      <c r="CK1186" s="132"/>
      <c r="CL1186" s="132"/>
      <c r="CM1186" s="132"/>
      <c r="CN1186" s="132"/>
      <c r="CO1186" s="132"/>
      <c r="CP1186" s="132"/>
      <c r="CQ1186" s="132"/>
      <c r="CR1186" s="132"/>
      <c r="CS1186" s="132"/>
      <c r="CT1186" s="132"/>
      <c r="CU1186" s="132"/>
      <c r="CV1186" s="132"/>
      <c r="CW1186" s="132"/>
      <c r="CX1186" s="132"/>
      <c r="CY1186" s="132"/>
    </row>
    <row r="1187" spans="1:103">
      <c r="A1187" s="132"/>
      <c r="B1187" s="132"/>
      <c r="C1187" s="132"/>
      <c r="D1187" s="132"/>
      <c r="E1187" s="132"/>
      <c r="F1187" s="132"/>
      <c r="G1187" s="132"/>
      <c r="H1187" s="132"/>
      <c r="I1187" s="132"/>
      <c r="J1187" s="132"/>
      <c r="K1187" s="132"/>
      <c r="L1187" s="132"/>
      <c r="M1187" s="132"/>
      <c r="N1187" s="132"/>
      <c r="O1187" s="132"/>
      <c r="P1187" s="132"/>
      <c r="Q1187" s="132"/>
      <c r="R1187" s="132"/>
      <c r="S1187" s="132"/>
      <c r="T1187" s="132"/>
      <c r="U1187" s="132"/>
      <c r="V1187" s="132"/>
      <c r="W1187" s="132"/>
      <c r="X1187" s="132"/>
      <c r="Y1187" s="132"/>
      <c r="Z1187" s="132"/>
      <c r="AA1187" s="132"/>
      <c r="AB1187" s="132"/>
      <c r="AC1187" s="132"/>
      <c r="AD1187" s="132"/>
      <c r="AE1187" s="132"/>
      <c r="AF1187" s="132"/>
      <c r="AG1187" s="132"/>
      <c r="AH1187" s="132"/>
      <c r="AI1187" s="132"/>
      <c r="AJ1187" s="132"/>
      <c r="AK1187" s="132"/>
      <c r="AL1187" s="132"/>
      <c r="AM1187" s="132"/>
      <c r="AN1187" s="132"/>
      <c r="AO1187" s="132"/>
      <c r="AP1187" s="132"/>
      <c r="AQ1187" s="132"/>
      <c r="AR1187" s="132"/>
      <c r="AS1187" s="132"/>
      <c r="AT1187" s="132"/>
      <c r="AU1187" s="132"/>
      <c r="AV1187" s="132"/>
      <c r="AW1187" s="132"/>
      <c r="AX1187" s="132"/>
      <c r="AY1187" s="132"/>
      <c r="AZ1187" s="132"/>
      <c r="BA1187" s="132"/>
      <c r="BB1187" s="132"/>
      <c r="BC1187" s="132"/>
      <c r="BD1187" s="132"/>
      <c r="BE1187" s="132"/>
      <c r="BF1187" s="132"/>
      <c r="BG1187" s="132"/>
      <c r="BH1187" s="132"/>
      <c r="BI1187" s="132"/>
      <c r="BJ1187" s="132"/>
      <c r="BK1187" s="132"/>
      <c r="BL1187" s="132"/>
      <c r="BM1187" s="132"/>
      <c r="BN1187" s="132"/>
      <c r="BO1187" s="132"/>
      <c r="BP1187" s="132"/>
      <c r="BQ1187" s="132"/>
      <c r="BR1187" s="132"/>
      <c r="BS1187" s="132"/>
      <c r="BT1187" s="132"/>
      <c r="BU1187" s="132"/>
      <c r="BV1187" s="132"/>
      <c r="BW1187" s="132"/>
      <c r="BX1187" s="132"/>
      <c r="BY1187" s="132"/>
      <c r="BZ1187" s="132"/>
      <c r="CA1187" s="132"/>
      <c r="CB1187" s="132"/>
      <c r="CC1187" s="132"/>
      <c r="CD1187" s="132"/>
      <c r="CE1187" s="132"/>
      <c r="CF1187" s="132"/>
      <c r="CG1187" s="132"/>
      <c r="CH1187" s="132"/>
      <c r="CI1187" s="132"/>
      <c r="CJ1187" s="132"/>
      <c r="CK1187" s="132"/>
      <c r="CL1187" s="132"/>
      <c r="CM1187" s="132"/>
      <c r="CN1187" s="132"/>
      <c r="CO1187" s="132"/>
      <c r="CP1187" s="132"/>
      <c r="CQ1187" s="132"/>
      <c r="CR1187" s="132"/>
      <c r="CS1187" s="132"/>
      <c r="CT1187" s="132"/>
      <c r="CU1187" s="132"/>
      <c r="CV1187" s="132"/>
      <c r="CW1187" s="132"/>
      <c r="CX1187" s="132"/>
      <c r="CY1187" s="132"/>
    </row>
    <row r="1188" spans="1:103">
      <c r="A1188" s="132"/>
      <c r="B1188" s="132"/>
      <c r="C1188" s="132"/>
      <c r="D1188" s="132"/>
      <c r="E1188" s="132"/>
      <c r="F1188" s="132"/>
      <c r="G1188" s="132"/>
      <c r="H1188" s="132"/>
      <c r="I1188" s="132"/>
      <c r="J1188" s="132"/>
      <c r="K1188" s="132"/>
      <c r="L1188" s="132"/>
      <c r="M1188" s="132"/>
      <c r="N1188" s="132"/>
      <c r="O1188" s="132"/>
      <c r="P1188" s="132"/>
      <c r="Q1188" s="132"/>
      <c r="R1188" s="132"/>
      <c r="S1188" s="132"/>
      <c r="T1188" s="132"/>
      <c r="U1188" s="132"/>
      <c r="V1188" s="132"/>
      <c r="W1188" s="132"/>
      <c r="X1188" s="132"/>
      <c r="Y1188" s="132"/>
      <c r="Z1188" s="132"/>
      <c r="AA1188" s="132"/>
      <c r="AB1188" s="132"/>
      <c r="AC1188" s="132"/>
      <c r="AD1188" s="132"/>
      <c r="AE1188" s="132"/>
      <c r="AF1188" s="132"/>
      <c r="AG1188" s="132"/>
      <c r="AH1188" s="132"/>
      <c r="AI1188" s="132"/>
      <c r="AJ1188" s="132"/>
      <c r="AK1188" s="132"/>
      <c r="AL1188" s="132"/>
      <c r="AM1188" s="132"/>
      <c r="AN1188" s="132"/>
      <c r="AO1188" s="132"/>
      <c r="AP1188" s="132"/>
      <c r="AQ1188" s="132"/>
      <c r="AR1188" s="132"/>
      <c r="AS1188" s="132"/>
      <c r="AT1188" s="132"/>
      <c r="AU1188" s="132"/>
      <c r="AV1188" s="132"/>
      <c r="AW1188" s="132"/>
      <c r="AX1188" s="132"/>
      <c r="AY1188" s="132"/>
      <c r="AZ1188" s="132"/>
      <c r="BA1188" s="132"/>
      <c r="BB1188" s="132"/>
      <c r="BC1188" s="132"/>
      <c r="BD1188" s="132"/>
      <c r="BE1188" s="132"/>
      <c r="BF1188" s="132"/>
      <c r="BG1188" s="132"/>
      <c r="BH1188" s="132"/>
      <c r="BI1188" s="132"/>
      <c r="BJ1188" s="132"/>
      <c r="BK1188" s="132"/>
      <c r="BL1188" s="132"/>
      <c r="BM1188" s="132"/>
      <c r="BN1188" s="132"/>
      <c r="BO1188" s="132"/>
      <c r="BP1188" s="132"/>
      <c r="BQ1188" s="132"/>
      <c r="BR1188" s="132"/>
      <c r="BS1188" s="132"/>
      <c r="BT1188" s="132"/>
      <c r="BU1188" s="132"/>
      <c r="BV1188" s="132"/>
      <c r="BW1188" s="132"/>
      <c r="BX1188" s="132"/>
      <c r="BY1188" s="132"/>
      <c r="BZ1188" s="132"/>
      <c r="CA1188" s="132"/>
      <c r="CB1188" s="132"/>
      <c r="CC1188" s="132"/>
      <c r="CD1188" s="132"/>
      <c r="CE1188" s="132"/>
      <c r="CF1188" s="132"/>
      <c r="CG1188" s="132"/>
      <c r="CH1188" s="132"/>
      <c r="CI1188" s="132"/>
      <c r="CJ1188" s="132"/>
      <c r="CK1188" s="132"/>
      <c r="CL1188" s="132"/>
      <c r="CM1188" s="132"/>
      <c r="CN1188" s="132"/>
      <c r="CO1188" s="132"/>
      <c r="CP1188" s="132"/>
      <c r="CQ1188" s="132"/>
      <c r="CR1188" s="132"/>
      <c r="CS1188" s="132"/>
      <c r="CT1188" s="132"/>
      <c r="CU1188" s="132"/>
      <c r="CV1188" s="132"/>
      <c r="CW1188" s="132"/>
      <c r="CX1188" s="132"/>
      <c r="CY1188" s="132"/>
    </row>
    <row r="1189" spans="1:103">
      <c r="A1189" s="132"/>
      <c r="B1189" s="132"/>
      <c r="C1189" s="132"/>
      <c r="D1189" s="132"/>
      <c r="E1189" s="132"/>
      <c r="F1189" s="132"/>
      <c r="G1189" s="132"/>
      <c r="H1189" s="132"/>
      <c r="I1189" s="132"/>
      <c r="J1189" s="132"/>
      <c r="K1189" s="132"/>
      <c r="L1189" s="132"/>
      <c r="M1189" s="132"/>
      <c r="N1189" s="132"/>
      <c r="O1189" s="132"/>
      <c r="P1189" s="132"/>
      <c r="Q1189" s="132"/>
      <c r="R1189" s="132"/>
      <c r="S1189" s="132"/>
      <c r="T1189" s="132"/>
      <c r="U1189" s="132"/>
      <c r="V1189" s="132"/>
      <c r="W1189" s="132"/>
      <c r="X1189" s="132"/>
      <c r="Y1189" s="132"/>
      <c r="Z1189" s="132"/>
      <c r="AA1189" s="132"/>
      <c r="AB1189" s="132"/>
      <c r="AC1189" s="132"/>
      <c r="AD1189" s="132"/>
      <c r="AE1189" s="132"/>
      <c r="AF1189" s="132"/>
      <c r="AG1189" s="132"/>
      <c r="AH1189" s="132"/>
      <c r="AI1189" s="132"/>
      <c r="AJ1189" s="132"/>
      <c r="AK1189" s="132"/>
      <c r="AL1189" s="132"/>
      <c r="AM1189" s="132"/>
      <c r="AN1189" s="132"/>
      <c r="AO1189" s="132"/>
      <c r="AP1189" s="132"/>
      <c r="AQ1189" s="132"/>
      <c r="AR1189" s="132"/>
      <c r="AS1189" s="132"/>
      <c r="AT1189" s="132"/>
      <c r="AU1189" s="132"/>
      <c r="AV1189" s="132"/>
      <c r="AW1189" s="132"/>
      <c r="AX1189" s="132"/>
      <c r="AY1189" s="132"/>
      <c r="AZ1189" s="132"/>
      <c r="BA1189" s="132"/>
      <c r="BB1189" s="132"/>
      <c r="BC1189" s="132"/>
      <c r="BD1189" s="132"/>
      <c r="BE1189" s="132"/>
      <c r="BF1189" s="132"/>
      <c r="BG1189" s="132"/>
      <c r="BH1189" s="132"/>
      <c r="BI1189" s="132"/>
      <c r="BJ1189" s="132"/>
      <c r="BK1189" s="132"/>
      <c r="BL1189" s="132"/>
      <c r="BM1189" s="132"/>
      <c r="BN1189" s="132"/>
      <c r="BO1189" s="132"/>
      <c r="BP1189" s="132"/>
      <c r="BQ1189" s="132"/>
      <c r="BR1189" s="132"/>
      <c r="BS1189" s="132"/>
      <c r="BT1189" s="132"/>
      <c r="BU1189" s="132"/>
      <c r="BV1189" s="132"/>
      <c r="BW1189" s="132"/>
      <c r="BX1189" s="132"/>
      <c r="BY1189" s="132"/>
      <c r="BZ1189" s="132"/>
      <c r="CA1189" s="132"/>
      <c r="CB1189" s="132"/>
      <c r="CC1189" s="132"/>
      <c r="CD1189" s="132"/>
      <c r="CE1189" s="132"/>
      <c r="CF1189" s="132"/>
      <c r="CG1189" s="132"/>
      <c r="CH1189" s="132"/>
      <c r="CI1189" s="132"/>
      <c r="CJ1189" s="132"/>
      <c r="CK1189" s="132"/>
      <c r="CL1189" s="132"/>
      <c r="CM1189" s="132"/>
      <c r="CN1189" s="132"/>
      <c r="CO1189" s="132"/>
      <c r="CP1189" s="132"/>
      <c r="CQ1189" s="132"/>
      <c r="CR1189" s="132"/>
      <c r="CS1189" s="132"/>
      <c r="CT1189" s="132"/>
      <c r="CU1189" s="132"/>
      <c r="CV1189" s="132"/>
      <c r="CW1189" s="132"/>
      <c r="CX1189" s="132"/>
      <c r="CY1189" s="132"/>
    </row>
    <row r="1190" spans="1:103">
      <c r="A1190" s="132"/>
      <c r="B1190" s="132"/>
      <c r="C1190" s="132"/>
      <c r="D1190" s="132"/>
      <c r="E1190" s="132"/>
      <c r="F1190" s="132"/>
      <c r="G1190" s="132"/>
      <c r="H1190" s="132"/>
      <c r="I1190" s="132"/>
      <c r="J1190" s="132"/>
      <c r="K1190" s="132"/>
      <c r="L1190" s="132"/>
      <c r="M1190" s="132"/>
      <c r="N1190" s="132"/>
      <c r="O1190" s="132"/>
      <c r="P1190" s="132"/>
      <c r="Q1190" s="132"/>
      <c r="R1190" s="132"/>
      <c r="S1190" s="132"/>
      <c r="T1190" s="132"/>
      <c r="U1190" s="132"/>
      <c r="V1190" s="132"/>
      <c r="W1190" s="132"/>
      <c r="X1190" s="132"/>
      <c r="Y1190" s="132"/>
      <c r="Z1190" s="132"/>
      <c r="AA1190" s="132"/>
      <c r="AB1190" s="132"/>
      <c r="AC1190" s="132"/>
      <c r="AD1190" s="132"/>
      <c r="AE1190" s="132"/>
      <c r="AF1190" s="132"/>
      <c r="AG1190" s="132"/>
      <c r="AH1190" s="132"/>
      <c r="AI1190" s="132"/>
      <c r="AJ1190" s="132"/>
      <c r="AK1190" s="132"/>
      <c r="AL1190" s="132"/>
      <c r="AM1190" s="132"/>
      <c r="AN1190" s="132"/>
      <c r="AO1190" s="132"/>
      <c r="AP1190" s="132"/>
      <c r="AQ1190" s="132"/>
      <c r="AR1190" s="132"/>
      <c r="AS1190" s="132"/>
      <c r="AT1190" s="132"/>
      <c r="AU1190" s="132"/>
      <c r="AV1190" s="132"/>
      <c r="AW1190" s="132"/>
      <c r="AX1190" s="132"/>
      <c r="AY1190" s="132"/>
      <c r="AZ1190" s="132"/>
      <c r="BA1190" s="132"/>
      <c r="BB1190" s="132"/>
      <c r="BC1190" s="132"/>
      <c r="BD1190" s="132"/>
      <c r="BE1190" s="132"/>
      <c r="BF1190" s="132"/>
      <c r="BG1190" s="132"/>
      <c r="BH1190" s="132"/>
      <c r="BI1190" s="132"/>
      <c r="BJ1190" s="132"/>
      <c r="BK1190" s="132"/>
      <c r="BL1190" s="132"/>
      <c r="BM1190" s="132"/>
      <c r="BN1190" s="132"/>
      <c r="BO1190" s="132"/>
      <c r="BP1190" s="132"/>
      <c r="BQ1190" s="132"/>
      <c r="BR1190" s="132"/>
      <c r="BS1190" s="132"/>
      <c r="BT1190" s="132"/>
      <c r="BU1190" s="132"/>
      <c r="BV1190" s="132"/>
      <c r="BW1190" s="132"/>
      <c r="BX1190" s="132"/>
      <c r="BY1190" s="132"/>
      <c r="BZ1190" s="132"/>
      <c r="CA1190" s="132"/>
      <c r="CB1190" s="132"/>
      <c r="CC1190" s="132"/>
      <c r="CD1190" s="132"/>
      <c r="CE1190" s="132"/>
      <c r="CF1190" s="132"/>
      <c r="CG1190" s="132"/>
      <c r="CH1190" s="132"/>
      <c r="CI1190" s="132"/>
      <c r="CJ1190" s="132"/>
      <c r="CK1190" s="132"/>
      <c r="CL1190" s="132"/>
      <c r="CM1190" s="132"/>
      <c r="CN1190" s="132"/>
      <c r="CO1190" s="132"/>
      <c r="CP1190" s="132"/>
      <c r="CQ1190" s="132"/>
      <c r="CR1190" s="132"/>
      <c r="CS1190" s="132"/>
      <c r="CT1190" s="132"/>
      <c r="CU1190" s="132"/>
      <c r="CV1190" s="132"/>
      <c r="CW1190" s="132"/>
      <c r="CX1190" s="132"/>
      <c r="CY1190" s="132"/>
    </row>
    <row r="1191" spans="1:103">
      <c r="A1191" s="132"/>
      <c r="B1191" s="132"/>
      <c r="C1191" s="132"/>
      <c r="D1191" s="132"/>
      <c r="E1191" s="132"/>
      <c r="F1191" s="132"/>
      <c r="G1191" s="132"/>
      <c r="H1191" s="132"/>
      <c r="I1191" s="132"/>
      <c r="J1191" s="132"/>
      <c r="K1191" s="132"/>
      <c r="L1191" s="132"/>
      <c r="M1191" s="132"/>
      <c r="N1191" s="132"/>
      <c r="O1191" s="132"/>
      <c r="P1191" s="132"/>
      <c r="Q1191" s="132"/>
      <c r="R1191" s="132"/>
      <c r="S1191" s="132"/>
      <c r="T1191" s="132"/>
      <c r="U1191" s="132"/>
      <c r="V1191" s="132"/>
      <c r="W1191" s="132"/>
      <c r="X1191" s="132"/>
      <c r="Y1191" s="132"/>
      <c r="Z1191" s="132"/>
      <c r="AA1191" s="132"/>
      <c r="AB1191" s="132"/>
      <c r="AC1191" s="132"/>
      <c r="AD1191" s="132"/>
      <c r="AE1191" s="132"/>
      <c r="AF1191" s="132"/>
      <c r="AG1191" s="132"/>
      <c r="AH1191" s="132"/>
      <c r="AI1191" s="132"/>
      <c r="AJ1191" s="132"/>
      <c r="AK1191" s="132"/>
      <c r="AL1191" s="132"/>
      <c r="AM1191" s="132"/>
      <c r="AN1191" s="132"/>
      <c r="AO1191" s="132"/>
      <c r="AP1191" s="132"/>
      <c r="AQ1191" s="132"/>
      <c r="AR1191" s="132"/>
      <c r="AS1191" s="132"/>
      <c r="AT1191" s="132"/>
      <c r="AU1191" s="132"/>
      <c r="AV1191" s="132"/>
      <c r="AW1191" s="132"/>
      <c r="AX1191" s="132"/>
      <c r="AY1191" s="132"/>
      <c r="AZ1191" s="132"/>
      <c r="BA1191" s="132"/>
      <c r="BB1191" s="132"/>
      <c r="BC1191" s="132"/>
      <c r="BD1191" s="132"/>
      <c r="BE1191" s="132"/>
      <c r="BF1191" s="132"/>
      <c r="BG1191" s="132"/>
      <c r="BH1191" s="132"/>
      <c r="BI1191" s="132"/>
      <c r="BJ1191" s="132"/>
      <c r="BK1191" s="132"/>
      <c r="BL1191" s="132"/>
      <c r="BM1191" s="132"/>
      <c r="BN1191" s="132"/>
      <c r="BO1191" s="132"/>
      <c r="BP1191" s="132"/>
      <c r="BQ1191" s="132"/>
      <c r="BR1191" s="132"/>
      <c r="BS1191" s="132"/>
      <c r="BT1191" s="132"/>
      <c r="BU1191" s="132"/>
      <c r="BV1191" s="132"/>
      <c r="BW1191" s="132"/>
      <c r="BX1191" s="132"/>
      <c r="BY1191" s="132"/>
      <c r="BZ1191" s="132"/>
      <c r="CA1191" s="132"/>
      <c r="CB1191" s="132"/>
      <c r="CC1191" s="132"/>
      <c r="CD1191" s="132"/>
      <c r="CE1191" s="132"/>
      <c r="CF1191" s="132"/>
      <c r="CG1191" s="132"/>
      <c r="CH1191" s="132"/>
      <c r="CI1191" s="132"/>
      <c r="CJ1191" s="132"/>
      <c r="CK1191" s="132"/>
      <c r="CL1191" s="132"/>
      <c r="CM1191" s="132"/>
      <c r="CN1191" s="132"/>
      <c r="CO1191" s="132"/>
      <c r="CP1191" s="132"/>
      <c r="CQ1191" s="132"/>
      <c r="CR1191" s="132"/>
      <c r="CS1191" s="132"/>
      <c r="CT1191" s="132"/>
      <c r="CU1191" s="132"/>
      <c r="CV1191" s="132"/>
      <c r="CW1191" s="132"/>
      <c r="CX1191" s="132"/>
      <c r="CY1191" s="132"/>
    </row>
    <row r="1192" spans="1:103">
      <c r="A1192" s="132"/>
      <c r="B1192" s="132"/>
      <c r="C1192" s="132"/>
      <c r="D1192" s="132"/>
      <c r="E1192" s="132"/>
      <c r="F1192" s="132"/>
      <c r="G1192" s="132"/>
      <c r="H1192" s="132"/>
      <c r="I1192" s="132"/>
      <c r="J1192" s="132"/>
      <c r="K1192" s="132"/>
      <c r="L1192" s="132"/>
      <c r="M1192" s="132"/>
      <c r="N1192" s="132"/>
      <c r="O1192" s="132"/>
      <c r="P1192" s="132"/>
      <c r="Q1192" s="132"/>
      <c r="R1192" s="132"/>
      <c r="S1192" s="132"/>
      <c r="T1192" s="132"/>
      <c r="U1192" s="132"/>
      <c r="V1192" s="132"/>
      <c r="W1192" s="132"/>
      <c r="X1192" s="132"/>
      <c r="Y1192" s="132"/>
      <c r="Z1192" s="132"/>
      <c r="AA1192" s="132"/>
      <c r="AB1192" s="132"/>
      <c r="AC1192" s="132"/>
      <c r="AD1192" s="132"/>
      <c r="AE1192" s="132"/>
      <c r="AF1192" s="132"/>
      <c r="AG1192" s="132"/>
      <c r="AH1192" s="132"/>
      <c r="AI1192" s="132"/>
      <c r="AJ1192" s="132"/>
      <c r="AK1192" s="132"/>
      <c r="AL1192" s="132"/>
      <c r="AM1192" s="132"/>
      <c r="AN1192" s="132"/>
      <c r="AO1192" s="132"/>
      <c r="AP1192" s="132"/>
      <c r="AQ1192" s="132"/>
      <c r="AR1192" s="132"/>
      <c r="AS1192" s="132"/>
      <c r="AT1192" s="132"/>
      <c r="AU1192" s="132"/>
      <c r="AV1192" s="132"/>
      <c r="AW1192" s="132"/>
      <c r="AX1192" s="132"/>
      <c r="AY1192" s="132"/>
      <c r="AZ1192" s="132"/>
      <c r="BA1192" s="132"/>
      <c r="BB1192" s="132"/>
      <c r="BC1192" s="132"/>
      <c r="BD1192" s="132"/>
      <c r="BE1192" s="132"/>
      <c r="BF1192" s="132"/>
      <c r="BG1192" s="132"/>
      <c r="BH1192" s="132"/>
      <c r="BI1192" s="132"/>
      <c r="BJ1192" s="132"/>
      <c r="BK1192" s="132"/>
      <c r="BL1192" s="132"/>
      <c r="BM1192" s="132"/>
      <c r="BN1192" s="132"/>
      <c r="BO1192" s="132"/>
      <c r="BP1192" s="132"/>
      <c r="BQ1192" s="132"/>
      <c r="BR1192" s="132"/>
      <c r="BS1192" s="132"/>
      <c r="BT1192" s="132"/>
      <c r="BU1192" s="132"/>
      <c r="BV1192" s="132"/>
      <c r="BW1192" s="132"/>
      <c r="BX1192" s="132"/>
      <c r="BY1192" s="132"/>
      <c r="BZ1192" s="132"/>
      <c r="CA1192" s="132"/>
      <c r="CB1192" s="132"/>
      <c r="CC1192" s="132"/>
      <c r="CD1192" s="132"/>
      <c r="CE1192" s="132"/>
      <c r="CF1192" s="132"/>
      <c r="CG1192" s="132"/>
      <c r="CH1192" s="132"/>
      <c r="CI1192" s="132"/>
      <c r="CJ1192" s="132"/>
      <c r="CK1192" s="132"/>
      <c r="CL1192" s="132"/>
      <c r="CM1192" s="132"/>
      <c r="CN1192" s="132"/>
      <c r="CO1192" s="132"/>
      <c r="CP1192" s="132"/>
      <c r="CQ1192" s="132"/>
      <c r="CR1192" s="132"/>
      <c r="CS1192" s="132"/>
      <c r="CT1192" s="132"/>
      <c r="CU1192" s="132"/>
      <c r="CV1192" s="132"/>
      <c r="CW1192" s="132"/>
      <c r="CX1192" s="132"/>
      <c r="CY1192" s="132"/>
    </row>
    <row r="1193" spans="1:103">
      <c r="A1193" s="132"/>
      <c r="B1193" s="132"/>
      <c r="C1193" s="132"/>
      <c r="D1193" s="132"/>
      <c r="E1193" s="132"/>
      <c r="F1193" s="132"/>
      <c r="G1193" s="132"/>
      <c r="H1193" s="132"/>
      <c r="I1193" s="132"/>
      <c r="J1193" s="132"/>
      <c r="K1193" s="132"/>
      <c r="L1193" s="132"/>
      <c r="M1193" s="132"/>
      <c r="N1193" s="132"/>
      <c r="O1193" s="132"/>
      <c r="P1193" s="132"/>
      <c r="Q1193" s="132"/>
      <c r="R1193" s="132"/>
      <c r="S1193" s="132"/>
      <c r="T1193" s="132"/>
      <c r="U1193" s="132"/>
      <c r="V1193" s="132"/>
      <c r="W1193" s="132"/>
      <c r="X1193" s="132"/>
      <c r="Y1193" s="132"/>
      <c r="Z1193" s="132"/>
      <c r="AA1193" s="132"/>
      <c r="AB1193" s="132"/>
      <c r="AC1193" s="132"/>
      <c r="AD1193" s="132"/>
      <c r="AE1193" s="132"/>
      <c r="AF1193" s="132"/>
      <c r="AG1193" s="132"/>
      <c r="AH1193" s="132"/>
      <c r="AI1193" s="132"/>
      <c r="AJ1193" s="132"/>
      <c r="AK1193" s="132"/>
      <c r="AL1193" s="132"/>
      <c r="AM1193" s="132"/>
      <c r="AN1193" s="132"/>
      <c r="AO1193" s="132"/>
      <c r="AP1193" s="132"/>
      <c r="AQ1193" s="132"/>
      <c r="AR1193" s="132"/>
      <c r="AS1193" s="132"/>
      <c r="AT1193" s="132"/>
      <c r="AU1193" s="132"/>
      <c r="AV1193" s="132"/>
      <c r="AW1193" s="132"/>
      <c r="AX1193" s="132"/>
      <c r="AY1193" s="132"/>
      <c r="AZ1193" s="132"/>
      <c r="BA1193" s="132"/>
      <c r="BB1193" s="132"/>
      <c r="BC1193" s="132"/>
      <c r="BD1193" s="132"/>
      <c r="BE1193" s="132"/>
      <c r="BF1193" s="132"/>
      <c r="BG1193" s="132"/>
      <c r="BH1193" s="132"/>
      <c r="BI1193" s="132"/>
      <c r="BJ1193" s="132"/>
      <c r="BK1193" s="132"/>
      <c r="BL1193" s="132"/>
      <c r="BM1193" s="132"/>
      <c r="BN1193" s="132"/>
      <c r="BO1193" s="132"/>
      <c r="BP1193" s="132"/>
      <c r="BQ1193" s="132"/>
      <c r="BR1193" s="132"/>
      <c r="BS1193" s="132"/>
      <c r="BT1193" s="132"/>
      <c r="BU1193" s="132"/>
      <c r="BV1193" s="132"/>
      <c r="BW1193" s="132"/>
      <c r="BX1193" s="132"/>
      <c r="BY1193" s="132"/>
      <c r="BZ1193" s="132"/>
      <c r="CA1193" s="132"/>
      <c r="CB1193" s="132"/>
      <c r="CC1193" s="132"/>
      <c r="CD1193" s="132"/>
      <c r="CE1193" s="132"/>
      <c r="CF1193" s="132"/>
      <c r="CG1193" s="132"/>
      <c r="CH1193" s="132"/>
      <c r="CI1193" s="132"/>
      <c r="CJ1193" s="132"/>
      <c r="CK1193" s="132"/>
      <c r="CL1193" s="132"/>
      <c r="CM1193" s="132"/>
      <c r="CN1193" s="132"/>
      <c r="CO1193" s="132"/>
      <c r="CP1193" s="132"/>
      <c r="CQ1193" s="132"/>
      <c r="CR1193" s="132"/>
      <c r="CS1193" s="132"/>
      <c r="CT1193" s="132"/>
      <c r="CU1193" s="132"/>
      <c r="CV1193" s="132"/>
      <c r="CW1193" s="132"/>
      <c r="CX1193" s="132"/>
      <c r="CY1193" s="132"/>
    </row>
    <row r="1194" spans="1:103">
      <c r="A1194" s="132"/>
      <c r="B1194" s="132"/>
      <c r="C1194" s="132"/>
      <c r="D1194" s="132"/>
      <c r="E1194" s="132"/>
      <c r="F1194" s="132"/>
      <c r="G1194" s="132"/>
      <c r="H1194" s="132"/>
      <c r="I1194" s="132"/>
      <c r="J1194" s="132"/>
      <c r="K1194" s="132"/>
      <c r="L1194" s="132"/>
      <c r="M1194" s="132"/>
      <c r="N1194" s="132"/>
      <c r="O1194" s="132"/>
      <c r="P1194" s="132"/>
      <c r="Q1194" s="132"/>
      <c r="R1194" s="132"/>
      <c r="S1194" s="132"/>
      <c r="T1194" s="132"/>
      <c r="U1194" s="132"/>
      <c r="V1194" s="132"/>
      <c r="W1194" s="132"/>
      <c r="X1194" s="132"/>
      <c r="Y1194" s="132"/>
      <c r="Z1194" s="132"/>
      <c r="AA1194" s="132"/>
      <c r="AB1194" s="132"/>
      <c r="AC1194" s="132"/>
      <c r="AD1194" s="132"/>
      <c r="AE1194" s="132"/>
      <c r="AF1194" s="132"/>
      <c r="AG1194" s="132"/>
      <c r="AH1194" s="132"/>
      <c r="AI1194" s="132"/>
      <c r="AJ1194" s="132"/>
      <c r="AK1194" s="132"/>
      <c r="AL1194" s="132"/>
      <c r="AM1194" s="132"/>
      <c r="AN1194" s="132"/>
      <c r="AO1194" s="132"/>
      <c r="AP1194" s="132"/>
      <c r="AQ1194" s="132"/>
      <c r="AR1194" s="132"/>
      <c r="AS1194" s="132"/>
      <c r="AT1194" s="132"/>
      <c r="AU1194" s="132"/>
      <c r="AV1194" s="132"/>
      <c r="AW1194" s="132"/>
      <c r="AX1194" s="132"/>
      <c r="AY1194" s="132"/>
      <c r="AZ1194" s="132"/>
      <c r="BA1194" s="132"/>
      <c r="BB1194" s="132"/>
      <c r="BC1194" s="132"/>
      <c r="BD1194" s="132"/>
      <c r="BE1194" s="132"/>
      <c r="BF1194" s="132"/>
      <c r="BG1194" s="132"/>
      <c r="BH1194" s="132"/>
      <c r="BI1194" s="132"/>
      <c r="BJ1194" s="132"/>
      <c r="BK1194" s="132"/>
      <c r="BL1194" s="132"/>
      <c r="BM1194" s="132"/>
      <c r="BN1194" s="132"/>
      <c r="BO1194" s="132"/>
      <c r="BP1194" s="132"/>
      <c r="BQ1194" s="132"/>
      <c r="BR1194" s="132"/>
      <c r="BS1194" s="132"/>
      <c r="BT1194" s="132"/>
      <c r="BU1194" s="132"/>
      <c r="BV1194" s="132"/>
      <c r="BW1194" s="132"/>
      <c r="BX1194" s="132"/>
      <c r="BY1194" s="132"/>
      <c r="BZ1194" s="132"/>
      <c r="CA1194" s="132"/>
      <c r="CB1194" s="132"/>
      <c r="CC1194" s="132"/>
      <c r="CD1194" s="132"/>
      <c r="CE1194" s="132"/>
      <c r="CF1194" s="132"/>
      <c r="CG1194" s="132"/>
      <c r="CH1194" s="132"/>
      <c r="CI1194" s="132"/>
      <c r="CJ1194" s="132"/>
      <c r="CK1194" s="132"/>
      <c r="CL1194" s="132"/>
      <c r="CM1194" s="132"/>
      <c r="CN1194" s="132"/>
      <c r="CO1194" s="132"/>
      <c r="CP1194" s="132"/>
      <c r="CQ1194" s="132"/>
      <c r="CR1194" s="132"/>
      <c r="CS1194" s="132"/>
      <c r="CT1194" s="132"/>
      <c r="CU1194" s="132"/>
      <c r="CV1194" s="132"/>
      <c r="CW1194" s="132"/>
      <c r="CX1194" s="132"/>
      <c r="CY1194" s="132"/>
    </row>
    <row r="1195" spans="1:103">
      <c r="A1195" s="132"/>
      <c r="B1195" s="132"/>
      <c r="C1195" s="132"/>
      <c r="D1195" s="132"/>
      <c r="E1195" s="132"/>
      <c r="F1195" s="132"/>
      <c r="G1195" s="132"/>
      <c r="H1195" s="132"/>
      <c r="I1195" s="132"/>
      <c r="J1195" s="132"/>
      <c r="K1195" s="132"/>
      <c r="L1195" s="132"/>
      <c r="M1195" s="132"/>
      <c r="N1195" s="132"/>
      <c r="O1195" s="132"/>
      <c r="P1195" s="132"/>
      <c r="Q1195" s="132"/>
      <c r="R1195" s="132"/>
      <c r="S1195" s="132"/>
      <c r="T1195" s="132"/>
      <c r="U1195" s="132"/>
      <c r="V1195" s="132"/>
      <c r="W1195" s="132"/>
      <c r="X1195" s="132"/>
      <c r="Y1195" s="132"/>
      <c r="Z1195" s="132"/>
      <c r="AA1195" s="132"/>
      <c r="AB1195" s="132"/>
      <c r="AC1195" s="132"/>
      <c r="AD1195" s="132"/>
      <c r="AE1195" s="132"/>
      <c r="AF1195" s="132"/>
      <c r="AG1195" s="132"/>
      <c r="AH1195" s="132"/>
      <c r="AI1195" s="132"/>
      <c r="AJ1195" s="132"/>
      <c r="AK1195" s="132"/>
      <c r="AL1195" s="132"/>
      <c r="AM1195" s="132"/>
      <c r="AN1195" s="132"/>
      <c r="AO1195" s="132"/>
      <c r="AP1195" s="132"/>
      <c r="AQ1195" s="132"/>
      <c r="AR1195" s="132"/>
      <c r="AS1195" s="132"/>
      <c r="AT1195" s="132"/>
      <c r="AU1195" s="132"/>
      <c r="AV1195" s="132"/>
      <c r="AW1195" s="132"/>
      <c r="AX1195" s="132"/>
      <c r="AY1195" s="132"/>
      <c r="AZ1195" s="132"/>
      <c r="BA1195" s="132"/>
      <c r="BB1195" s="132"/>
      <c r="BC1195" s="132"/>
      <c r="BD1195" s="132"/>
      <c r="BE1195" s="132"/>
      <c r="BF1195" s="132"/>
      <c r="BG1195" s="132"/>
      <c r="BH1195" s="132"/>
      <c r="BI1195" s="132"/>
      <c r="BJ1195" s="132"/>
      <c r="BK1195" s="132"/>
      <c r="BL1195" s="132"/>
      <c r="BM1195" s="132"/>
      <c r="BN1195" s="132"/>
      <c r="BO1195" s="132"/>
      <c r="BP1195" s="132"/>
      <c r="BQ1195" s="132"/>
      <c r="BR1195" s="132"/>
      <c r="BS1195" s="132"/>
      <c r="BT1195" s="132"/>
      <c r="BU1195" s="132"/>
      <c r="BV1195" s="132"/>
      <c r="BW1195" s="132"/>
      <c r="BX1195" s="132"/>
      <c r="BY1195" s="132"/>
      <c r="BZ1195" s="132"/>
      <c r="CA1195" s="132"/>
      <c r="CB1195" s="132"/>
      <c r="CC1195" s="132"/>
      <c r="CD1195" s="132"/>
      <c r="CE1195" s="132"/>
      <c r="CF1195" s="132"/>
      <c r="CG1195" s="132"/>
      <c r="CH1195" s="132"/>
      <c r="CI1195" s="132"/>
      <c r="CJ1195" s="132"/>
      <c r="CK1195" s="132"/>
      <c r="CL1195" s="132"/>
      <c r="CM1195" s="132"/>
      <c r="CN1195" s="132"/>
      <c r="CO1195" s="132"/>
      <c r="CP1195" s="132"/>
      <c r="CQ1195" s="132"/>
      <c r="CR1195" s="132"/>
      <c r="CS1195" s="132"/>
      <c r="CT1195" s="132"/>
      <c r="CU1195" s="132"/>
      <c r="CV1195" s="132"/>
      <c r="CW1195" s="132"/>
      <c r="CX1195" s="132"/>
      <c r="CY1195" s="132"/>
    </row>
    <row r="1196" spans="1:103">
      <c r="A1196" s="132"/>
      <c r="B1196" s="132"/>
      <c r="C1196" s="132"/>
      <c r="D1196" s="132"/>
      <c r="E1196" s="132"/>
      <c r="F1196" s="132"/>
      <c r="G1196" s="132"/>
      <c r="H1196" s="132"/>
      <c r="I1196" s="132"/>
      <c r="J1196" s="132"/>
      <c r="K1196" s="132"/>
      <c r="L1196" s="132"/>
      <c r="M1196" s="132"/>
      <c r="N1196" s="132"/>
      <c r="O1196" s="132"/>
      <c r="P1196" s="132"/>
      <c r="Q1196" s="132"/>
      <c r="R1196" s="132"/>
      <c r="S1196" s="132"/>
      <c r="T1196" s="132"/>
      <c r="U1196" s="132"/>
      <c r="V1196" s="132"/>
      <c r="W1196" s="132"/>
      <c r="X1196" s="132"/>
      <c r="Y1196" s="132"/>
      <c r="Z1196" s="132"/>
      <c r="AA1196" s="132"/>
      <c r="AB1196" s="132"/>
      <c r="AC1196" s="132"/>
      <c r="AD1196" s="132"/>
      <c r="AE1196" s="132"/>
      <c r="AF1196" s="132"/>
      <c r="AG1196" s="132"/>
      <c r="AH1196" s="132"/>
      <c r="AI1196" s="132"/>
      <c r="AJ1196" s="132"/>
      <c r="AK1196" s="132"/>
      <c r="AL1196" s="132"/>
      <c r="AM1196" s="132"/>
      <c r="AN1196" s="132"/>
      <c r="AO1196" s="132"/>
      <c r="AP1196" s="132"/>
      <c r="AQ1196" s="132"/>
      <c r="AR1196" s="132"/>
      <c r="AS1196" s="132"/>
      <c r="AT1196" s="132"/>
      <c r="AU1196" s="132"/>
      <c r="AV1196" s="132"/>
      <c r="AW1196" s="132"/>
      <c r="AX1196" s="132"/>
      <c r="AY1196" s="132"/>
      <c r="AZ1196" s="132"/>
      <c r="BA1196" s="132"/>
      <c r="BB1196" s="132"/>
      <c r="BC1196" s="132"/>
      <c r="BD1196" s="132"/>
      <c r="BE1196" s="132"/>
      <c r="BF1196" s="132"/>
      <c r="BG1196" s="132"/>
      <c r="BH1196" s="132"/>
      <c r="BI1196" s="132"/>
      <c r="BJ1196" s="132"/>
      <c r="BK1196" s="132"/>
      <c r="BL1196" s="132"/>
      <c r="BM1196" s="132"/>
      <c r="BN1196" s="132"/>
      <c r="BO1196" s="132"/>
      <c r="BP1196" s="132"/>
      <c r="BQ1196" s="132"/>
      <c r="BR1196" s="132"/>
      <c r="BS1196" s="132"/>
      <c r="BT1196" s="132"/>
      <c r="BU1196" s="132"/>
      <c r="BV1196" s="132"/>
      <c r="BW1196" s="132"/>
      <c r="BX1196" s="132"/>
      <c r="BY1196" s="132"/>
      <c r="BZ1196" s="132"/>
      <c r="CA1196" s="132"/>
      <c r="CB1196" s="132"/>
      <c r="CC1196" s="132"/>
      <c r="CD1196" s="132"/>
      <c r="CE1196" s="132"/>
      <c r="CF1196" s="132"/>
      <c r="CG1196" s="132"/>
      <c r="CH1196" s="132"/>
      <c r="CI1196" s="132"/>
      <c r="CJ1196" s="132"/>
      <c r="CK1196" s="132"/>
      <c r="CL1196" s="132"/>
      <c r="CM1196" s="132"/>
      <c r="CN1196" s="132"/>
      <c r="CO1196" s="132"/>
      <c r="CP1196" s="132"/>
      <c r="CQ1196" s="132"/>
      <c r="CR1196" s="132"/>
      <c r="CS1196" s="132"/>
      <c r="CT1196" s="132"/>
      <c r="CU1196" s="132"/>
      <c r="CV1196" s="132"/>
      <c r="CW1196" s="132"/>
      <c r="CX1196" s="132"/>
      <c r="CY1196" s="132"/>
    </row>
    <row r="1197" spans="1:103">
      <c r="A1197" s="132"/>
      <c r="B1197" s="132"/>
      <c r="C1197" s="132"/>
      <c r="D1197" s="132"/>
      <c r="E1197" s="132"/>
      <c r="F1197" s="132"/>
      <c r="G1197" s="132"/>
      <c r="H1197" s="132"/>
      <c r="I1197" s="132"/>
      <c r="J1197" s="132"/>
      <c r="K1197" s="132"/>
      <c r="L1197" s="132"/>
      <c r="M1197" s="132"/>
      <c r="N1197" s="132"/>
      <c r="O1197" s="132"/>
      <c r="P1197" s="132"/>
      <c r="Q1197" s="132"/>
      <c r="R1197" s="132"/>
      <c r="S1197" s="132"/>
      <c r="T1197" s="132"/>
      <c r="U1197" s="132"/>
      <c r="V1197" s="132"/>
      <c r="W1197" s="132"/>
      <c r="X1197" s="132"/>
      <c r="Y1197" s="132"/>
      <c r="Z1197" s="132"/>
      <c r="AA1197" s="132"/>
      <c r="AB1197" s="132"/>
      <c r="AC1197" s="132"/>
      <c r="AD1197" s="132"/>
      <c r="AE1197" s="132"/>
      <c r="AF1197" s="132"/>
      <c r="AG1197" s="132"/>
      <c r="AH1197" s="132"/>
      <c r="AI1197" s="132"/>
      <c r="AJ1197" s="132"/>
      <c r="AK1197" s="132"/>
      <c r="AL1197" s="132"/>
      <c r="AM1197" s="132"/>
      <c r="AN1197" s="132"/>
      <c r="AO1197" s="132"/>
      <c r="AP1197" s="132"/>
      <c r="AQ1197" s="132"/>
      <c r="AR1197" s="132"/>
      <c r="AS1197" s="132"/>
      <c r="AT1197" s="132"/>
      <c r="AU1197" s="132"/>
      <c r="AV1197" s="132"/>
      <c r="AW1197" s="132"/>
      <c r="AX1197" s="132"/>
      <c r="AY1197" s="132"/>
      <c r="AZ1197" s="132"/>
      <c r="BA1197" s="132"/>
      <c r="BB1197" s="132"/>
      <c r="BC1197" s="132"/>
      <c r="BD1197" s="132"/>
      <c r="BE1197" s="132"/>
      <c r="BF1197" s="132"/>
      <c r="BG1197" s="132"/>
      <c r="BH1197" s="132"/>
      <c r="BI1197" s="132"/>
      <c r="BJ1197" s="132"/>
      <c r="BK1197" s="132"/>
      <c r="BL1197" s="132"/>
      <c r="BM1197" s="132"/>
      <c r="BN1197" s="132"/>
      <c r="BO1197" s="132"/>
      <c r="BP1197" s="132"/>
      <c r="BQ1197" s="132"/>
      <c r="BR1197" s="132"/>
      <c r="BS1197" s="132"/>
      <c r="BT1197" s="132"/>
      <c r="BU1197" s="132"/>
      <c r="BV1197" s="132"/>
      <c r="BW1197" s="132"/>
      <c r="BX1197" s="132"/>
      <c r="BY1197" s="132"/>
      <c r="BZ1197" s="132"/>
      <c r="CA1197" s="132"/>
      <c r="CB1197" s="132"/>
      <c r="CC1197" s="132"/>
      <c r="CD1197" s="132"/>
      <c r="CE1197" s="132"/>
      <c r="CF1197" s="132"/>
      <c r="CG1197" s="132"/>
      <c r="CH1197" s="132"/>
      <c r="CI1197" s="132"/>
      <c r="CJ1197" s="132"/>
      <c r="CK1197" s="132"/>
      <c r="CL1197" s="132"/>
      <c r="CM1197" s="132"/>
      <c r="CN1197" s="132"/>
      <c r="CO1197" s="132"/>
      <c r="CP1197" s="132"/>
      <c r="CQ1197" s="132"/>
      <c r="CR1197" s="132"/>
      <c r="CS1197" s="132"/>
      <c r="CT1197" s="132"/>
      <c r="CU1197" s="132"/>
      <c r="CV1197" s="132"/>
      <c r="CW1197" s="132"/>
      <c r="CX1197" s="132"/>
      <c r="CY1197" s="132"/>
    </row>
    <row r="1198" spans="1:103">
      <c r="A1198" s="132"/>
      <c r="B1198" s="132"/>
      <c r="C1198" s="132"/>
      <c r="D1198" s="132"/>
      <c r="E1198" s="132"/>
      <c r="F1198" s="132"/>
      <c r="G1198" s="132"/>
      <c r="H1198" s="132"/>
      <c r="I1198" s="132"/>
      <c r="J1198" s="132"/>
      <c r="K1198" s="132"/>
      <c r="L1198" s="132"/>
      <c r="M1198" s="132"/>
      <c r="N1198" s="132"/>
      <c r="O1198" s="132"/>
      <c r="P1198" s="132"/>
      <c r="Q1198" s="132"/>
      <c r="R1198" s="132"/>
      <c r="S1198" s="132"/>
      <c r="T1198" s="132"/>
      <c r="U1198" s="132"/>
      <c r="V1198" s="132"/>
      <c r="W1198" s="132"/>
      <c r="X1198" s="132"/>
      <c r="Y1198" s="132"/>
      <c r="Z1198" s="132"/>
      <c r="AA1198" s="132"/>
      <c r="AB1198" s="132"/>
      <c r="AC1198" s="132"/>
      <c r="AD1198" s="132"/>
      <c r="AE1198" s="132"/>
      <c r="AF1198" s="132"/>
      <c r="AG1198" s="132"/>
      <c r="AH1198" s="132"/>
      <c r="AI1198" s="132"/>
      <c r="AJ1198" s="132"/>
      <c r="AK1198" s="132"/>
      <c r="AL1198" s="132"/>
      <c r="AM1198" s="132"/>
      <c r="AN1198" s="132"/>
      <c r="AO1198" s="132"/>
      <c r="AP1198" s="132"/>
      <c r="AQ1198" s="132"/>
      <c r="AR1198" s="132"/>
      <c r="AS1198" s="132"/>
      <c r="AT1198" s="132"/>
      <c r="AU1198" s="132"/>
      <c r="AV1198" s="132"/>
      <c r="AW1198" s="132"/>
      <c r="AX1198" s="132"/>
      <c r="AY1198" s="132"/>
      <c r="AZ1198" s="132"/>
      <c r="BA1198" s="132"/>
      <c r="BB1198" s="132"/>
      <c r="BC1198" s="132"/>
      <c r="BD1198" s="132"/>
      <c r="BE1198" s="132"/>
      <c r="BF1198" s="132"/>
      <c r="BG1198" s="132"/>
      <c r="BH1198" s="132"/>
      <c r="BI1198" s="132"/>
      <c r="BJ1198" s="132"/>
      <c r="BK1198" s="132"/>
      <c r="BL1198" s="132"/>
      <c r="BM1198" s="132"/>
      <c r="BN1198" s="132"/>
      <c r="BO1198" s="132"/>
      <c r="BP1198" s="132"/>
      <c r="BQ1198" s="132"/>
      <c r="BR1198" s="132"/>
      <c r="BS1198" s="132"/>
      <c r="BT1198" s="132"/>
      <c r="BU1198" s="132"/>
      <c r="BV1198" s="132"/>
      <c r="BW1198" s="132"/>
      <c r="BX1198" s="132"/>
      <c r="BY1198" s="132"/>
      <c r="BZ1198" s="132"/>
      <c r="CA1198" s="132"/>
      <c r="CB1198" s="132"/>
      <c r="CC1198" s="132"/>
      <c r="CD1198" s="132"/>
      <c r="CE1198" s="132"/>
      <c r="CF1198" s="132"/>
      <c r="CG1198" s="132"/>
      <c r="CH1198" s="132"/>
      <c r="CI1198" s="132"/>
      <c r="CJ1198" s="132"/>
      <c r="CK1198" s="132"/>
      <c r="CL1198" s="132"/>
      <c r="CM1198" s="132"/>
      <c r="CN1198" s="132"/>
      <c r="CO1198" s="132"/>
      <c r="CP1198" s="132"/>
      <c r="CQ1198" s="132"/>
      <c r="CR1198" s="132"/>
      <c r="CS1198" s="132"/>
      <c r="CT1198" s="132"/>
      <c r="CU1198" s="132"/>
      <c r="CV1198" s="132"/>
      <c r="CW1198" s="132"/>
      <c r="CX1198" s="132"/>
      <c r="CY1198" s="132"/>
    </row>
    <row r="1199" spans="1:103">
      <c r="A1199" s="132"/>
      <c r="B1199" s="132"/>
      <c r="C1199" s="132"/>
      <c r="D1199" s="132"/>
      <c r="E1199" s="132"/>
      <c r="F1199" s="132"/>
      <c r="G1199" s="132"/>
      <c r="H1199" s="132"/>
      <c r="I1199" s="132"/>
      <c r="J1199" s="132"/>
      <c r="K1199" s="132"/>
      <c r="L1199" s="132"/>
      <c r="M1199" s="132"/>
      <c r="N1199" s="132"/>
      <c r="O1199" s="132"/>
      <c r="P1199" s="132"/>
      <c r="Q1199" s="132"/>
      <c r="R1199" s="132"/>
      <c r="S1199" s="132"/>
      <c r="T1199" s="132"/>
      <c r="U1199" s="132"/>
      <c r="V1199" s="132"/>
      <c r="W1199" s="132"/>
      <c r="X1199" s="132"/>
      <c r="Y1199" s="132"/>
      <c r="Z1199" s="132"/>
      <c r="AA1199" s="132"/>
      <c r="AB1199" s="132"/>
      <c r="AC1199" s="132"/>
      <c r="AD1199" s="132"/>
      <c r="AE1199" s="132"/>
      <c r="AF1199" s="132"/>
      <c r="AG1199" s="132"/>
      <c r="AH1199" s="132"/>
      <c r="AI1199" s="132"/>
      <c r="AJ1199" s="132"/>
      <c r="AK1199" s="132"/>
      <c r="AL1199" s="132"/>
      <c r="AM1199" s="132"/>
      <c r="AN1199" s="132"/>
      <c r="AO1199" s="132"/>
      <c r="AP1199" s="132"/>
      <c r="AQ1199" s="132"/>
      <c r="AR1199" s="132"/>
      <c r="AS1199" s="132"/>
      <c r="AT1199" s="132"/>
      <c r="AU1199" s="132"/>
      <c r="AV1199" s="132"/>
      <c r="AW1199" s="132"/>
      <c r="AX1199" s="132"/>
      <c r="AY1199" s="132"/>
      <c r="AZ1199" s="132"/>
      <c r="BA1199" s="132"/>
      <c r="BB1199" s="132"/>
      <c r="BC1199" s="132"/>
      <c r="BD1199" s="132"/>
      <c r="BE1199" s="132"/>
      <c r="BF1199" s="132"/>
      <c r="BG1199" s="132"/>
      <c r="BH1199" s="132"/>
      <c r="BI1199" s="132"/>
      <c r="BJ1199" s="132"/>
      <c r="BK1199" s="132"/>
      <c r="BL1199" s="132"/>
      <c r="BM1199" s="132"/>
      <c r="BN1199" s="132"/>
      <c r="BO1199" s="132"/>
      <c r="BP1199" s="132"/>
      <c r="BQ1199" s="132"/>
      <c r="BR1199" s="132"/>
      <c r="BS1199" s="132"/>
      <c r="BT1199" s="132"/>
      <c r="BU1199" s="132"/>
      <c r="BV1199" s="132"/>
      <c r="BW1199" s="132"/>
      <c r="BX1199" s="132"/>
      <c r="BY1199" s="132"/>
      <c r="BZ1199" s="132"/>
      <c r="CA1199" s="132"/>
      <c r="CB1199" s="132"/>
      <c r="CC1199" s="132"/>
      <c r="CD1199" s="132"/>
      <c r="CE1199" s="132"/>
      <c r="CF1199" s="132"/>
      <c r="CG1199" s="132"/>
      <c r="CH1199" s="132"/>
      <c r="CI1199" s="132"/>
      <c r="CJ1199" s="132"/>
      <c r="CK1199" s="132"/>
      <c r="CL1199" s="132"/>
      <c r="CM1199" s="132"/>
      <c r="CN1199" s="132"/>
      <c r="CO1199" s="132"/>
      <c r="CP1199" s="132"/>
      <c r="CQ1199" s="132"/>
      <c r="CR1199" s="132"/>
      <c r="CS1199" s="132"/>
      <c r="CT1199" s="132"/>
      <c r="CU1199" s="132"/>
      <c r="CV1199" s="132"/>
      <c r="CW1199" s="132"/>
      <c r="CX1199" s="132"/>
      <c r="CY1199" s="132"/>
    </row>
    <row r="1200" spans="1:103">
      <c r="A1200" s="132"/>
      <c r="B1200" s="132"/>
      <c r="C1200" s="132"/>
      <c r="D1200" s="132"/>
      <c r="E1200" s="132"/>
      <c r="F1200" s="132"/>
      <c r="G1200" s="132"/>
      <c r="H1200" s="132"/>
      <c r="I1200" s="132"/>
      <c r="J1200" s="132"/>
      <c r="K1200" s="132"/>
      <c r="L1200" s="132"/>
      <c r="M1200" s="132"/>
      <c r="N1200" s="132"/>
      <c r="O1200" s="132"/>
      <c r="P1200" s="132"/>
      <c r="Q1200" s="132"/>
      <c r="R1200" s="132"/>
      <c r="S1200" s="132"/>
      <c r="T1200" s="132"/>
      <c r="U1200" s="132"/>
      <c r="V1200" s="132"/>
      <c r="W1200" s="132"/>
      <c r="X1200" s="132"/>
      <c r="Y1200" s="132"/>
      <c r="Z1200" s="132"/>
      <c r="AA1200" s="132"/>
      <c r="AB1200" s="132"/>
      <c r="AC1200" s="132"/>
      <c r="AD1200" s="132"/>
      <c r="AE1200" s="132"/>
      <c r="AF1200" s="132"/>
      <c r="AG1200" s="132"/>
      <c r="AH1200" s="132"/>
      <c r="AI1200" s="132"/>
      <c r="AJ1200" s="132"/>
      <c r="AK1200" s="132"/>
      <c r="AL1200" s="132"/>
      <c r="AM1200" s="132"/>
      <c r="AN1200" s="132"/>
      <c r="AO1200" s="132"/>
      <c r="AP1200" s="132"/>
      <c r="AQ1200" s="132"/>
      <c r="AR1200" s="132"/>
      <c r="AS1200" s="132"/>
      <c r="AT1200" s="132"/>
      <c r="AU1200" s="132"/>
      <c r="AV1200" s="132"/>
      <c r="AW1200" s="132"/>
      <c r="AX1200" s="132"/>
      <c r="AY1200" s="132"/>
      <c r="AZ1200" s="132"/>
      <c r="BA1200" s="132"/>
      <c r="BB1200" s="132"/>
      <c r="BC1200" s="132"/>
      <c r="BD1200" s="132"/>
      <c r="BE1200" s="132"/>
      <c r="BF1200" s="132"/>
      <c r="BG1200" s="132"/>
      <c r="BH1200" s="132"/>
      <c r="BI1200" s="132"/>
      <c r="BJ1200" s="132"/>
      <c r="BK1200" s="132"/>
      <c r="BL1200" s="132"/>
      <c r="BM1200" s="132"/>
      <c r="BN1200" s="132"/>
      <c r="BO1200" s="132"/>
      <c r="BP1200" s="132"/>
      <c r="BQ1200" s="132"/>
      <c r="BR1200" s="132"/>
      <c r="BS1200" s="132"/>
      <c r="BT1200" s="132"/>
      <c r="BU1200" s="132"/>
      <c r="BV1200" s="132"/>
      <c r="BW1200" s="132"/>
      <c r="BX1200" s="132"/>
      <c r="BY1200" s="132"/>
      <c r="BZ1200" s="132"/>
      <c r="CA1200" s="132"/>
      <c r="CB1200" s="132"/>
      <c r="CC1200" s="132"/>
      <c r="CD1200" s="132"/>
      <c r="CE1200" s="132"/>
      <c r="CF1200" s="132"/>
      <c r="CG1200" s="132"/>
      <c r="CH1200" s="132"/>
      <c r="CI1200" s="132"/>
      <c r="CJ1200" s="132"/>
      <c r="CK1200" s="132"/>
      <c r="CL1200" s="132"/>
      <c r="CM1200" s="132"/>
      <c r="CN1200" s="132"/>
      <c r="CO1200" s="132"/>
      <c r="CP1200" s="132"/>
      <c r="CQ1200" s="132"/>
      <c r="CR1200" s="132"/>
      <c r="CS1200" s="132"/>
      <c r="CT1200" s="132"/>
      <c r="CU1200" s="132"/>
      <c r="CV1200" s="132"/>
      <c r="CW1200" s="132"/>
      <c r="CX1200" s="132"/>
      <c r="CY1200" s="132"/>
    </row>
    <row r="1201" spans="1:103">
      <c r="A1201" s="132"/>
      <c r="B1201" s="132"/>
      <c r="C1201" s="132"/>
      <c r="D1201" s="132"/>
      <c r="E1201" s="132"/>
      <c r="F1201" s="132"/>
      <c r="G1201" s="132"/>
      <c r="H1201" s="132"/>
      <c r="I1201" s="132"/>
      <c r="J1201" s="132"/>
      <c r="K1201" s="132"/>
      <c r="L1201" s="132"/>
      <c r="M1201" s="132"/>
      <c r="N1201" s="132"/>
      <c r="O1201" s="132"/>
      <c r="P1201" s="132"/>
      <c r="Q1201" s="132"/>
      <c r="R1201" s="132"/>
      <c r="S1201" s="132"/>
      <c r="T1201" s="132"/>
      <c r="U1201" s="132"/>
      <c r="V1201" s="132"/>
      <c r="W1201" s="132"/>
      <c r="X1201" s="132"/>
      <c r="Y1201" s="132"/>
      <c r="Z1201" s="132"/>
      <c r="AA1201" s="132"/>
      <c r="AB1201" s="132"/>
      <c r="AC1201" s="132"/>
      <c r="AD1201" s="132"/>
      <c r="AE1201" s="132"/>
      <c r="AF1201" s="132"/>
      <c r="AG1201" s="132"/>
      <c r="AH1201" s="132"/>
      <c r="AI1201" s="132"/>
      <c r="AJ1201" s="132"/>
      <c r="AK1201" s="132"/>
      <c r="AL1201" s="132"/>
      <c r="AM1201" s="132"/>
      <c r="AN1201" s="132"/>
      <c r="AO1201" s="132"/>
      <c r="AP1201" s="132"/>
      <c r="AQ1201" s="132"/>
      <c r="AR1201" s="132"/>
      <c r="AS1201" s="132"/>
      <c r="AT1201" s="132"/>
      <c r="AU1201" s="132"/>
      <c r="AV1201" s="132"/>
      <c r="AW1201" s="132"/>
      <c r="AX1201" s="132"/>
      <c r="AY1201" s="132"/>
      <c r="AZ1201" s="132"/>
      <c r="BA1201" s="132"/>
      <c r="BB1201" s="132"/>
      <c r="BC1201" s="132"/>
      <c r="BD1201" s="132"/>
      <c r="BE1201" s="132"/>
      <c r="BF1201" s="132"/>
      <c r="BG1201" s="132"/>
      <c r="BH1201" s="132"/>
      <c r="BI1201" s="132"/>
      <c r="BJ1201" s="132"/>
      <c r="BK1201" s="132"/>
      <c r="BL1201" s="132"/>
      <c r="BM1201" s="132"/>
      <c r="BN1201" s="132"/>
      <c r="BO1201" s="132"/>
      <c r="BP1201" s="132"/>
      <c r="BQ1201" s="132"/>
      <c r="BR1201" s="132"/>
      <c r="BS1201" s="132"/>
      <c r="BT1201" s="132"/>
      <c r="BU1201" s="132"/>
      <c r="BV1201" s="132"/>
      <c r="BW1201" s="132"/>
      <c r="BX1201" s="132"/>
      <c r="BY1201" s="132"/>
      <c r="BZ1201" s="132"/>
      <c r="CA1201" s="132"/>
      <c r="CB1201" s="132"/>
      <c r="CC1201" s="132"/>
      <c r="CD1201" s="132"/>
      <c r="CE1201" s="132"/>
      <c r="CF1201" s="132"/>
      <c r="CG1201" s="132"/>
      <c r="CH1201" s="132"/>
      <c r="CI1201" s="132"/>
      <c r="CJ1201" s="132"/>
      <c r="CK1201" s="132"/>
      <c r="CL1201" s="132"/>
      <c r="CM1201" s="132"/>
      <c r="CN1201" s="132"/>
      <c r="CO1201" s="132"/>
      <c r="CP1201" s="132"/>
      <c r="CQ1201" s="132"/>
      <c r="CR1201" s="132"/>
      <c r="CS1201" s="132"/>
      <c r="CT1201" s="132"/>
      <c r="CU1201" s="132"/>
      <c r="CV1201" s="132"/>
      <c r="CW1201" s="132"/>
      <c r="CX1201" s="132"/>
      <c r="CY1201" s="132"/>
    </row>
    <row r="1202" spans="1:103">
      <c r="A1202" s="132"/>
      <c r="B1202" s="132"/>
      <c r="C1202" s="132"/>
      <c r="D1202" s="132"/>
      <c r="E1202" s="132"/>
      <c r="F1202" s="132"/>
      <c r="G1202" s="132"/>
      <c r="H1202" s="132"/>
      <c r="I1202" s="132"/>
      <c r="J1202" s="132"/>
      <c r="K1202" s="132"/>
      <c r="L1202" s="132"/>
      <c r="M1202" s="132"/>
      <c r="N1202" s="132"/>
      <c r="O1202" s="132"/>
      <c r="P1202" s="132"/>
      <c r="Q1202" s="132"/>
      <c r="R1202" s="132"/>
      <c r="S1202" s="132"/>
      <c r="T1202" s="132"/>
      <c r="U1202" s="132"/>
      <c r="V1202" s="132"/>
      <c r="W1202" s="132"/>
      <c r="X1202" s="132"/>
      <c r="Y1202" s="132"/>
      <c r="Z1202" s="132"/>
      <c r="AA1202" s="132"/>
      <c r="AB1202" s="132"/>
      <c r="AC1202" s="132"/>
      <c r="AD1202" s="132"/>
      <c r="AE1202" s="132"/>
      <c r="AF1202" s="132"/>
      <c r="AG1202" s="132"/>
      <c r="AH1202" s="132"/>
      <c r="AI1202" s="132"/>
      <c r="AJ1202" s="132"/>
      <c r="AK1202" s="132"/>
      <c r="AL1202" s="132"/>
      <c r="AM1202" s="132"/>
      <c r="AN1202" s="132"/>
      <c r="AO1202" s="132"/>
      <c r="AP1202" s="132"/>
      <c r="AQ1202" s="132"/>
      <c r="AR1202" s="132"/>
      <c r="AS1202" s="132"/>
      <c r="AT1202" s="132"/>
      <c r="AU1202" s="132"/>
      <c r="AV1202" s="132"/>
      <c r="AW1202" s="132"/>
      <c r="AX1202" s="132"/>
      <c r="AY1202" s="132"/>
      <c r="AZ1202" s="132"/>
      <c r="BA1202" s="132"/>
      <c r="BB1202" s="132"/>
      <c r="BC1202" s="132"/>
      <c r="BD1202" s="132"/>
      <c r="BE1202" s="132"/>
      <c r="BF1202" s="132"/>
      <c r="BG1202" s="132"/>
      <c r="BH1202" s="132"/>
      <c r="BI1202" s="132"/>
      <c r="BJ1202" s="132"/>
      <c r="BK1202" s="132"/>
      <c r="BL1202" s="132"/>
      <c r="BM1202" s="132"/>
      <c r="BN1202" s="132"/>
      <c r="BO1202" s="132"/>
      <c r="BP1202" s="132"/>
      <c r="BQ1202" s="132"/>
      <c r="BR1202" s="132"/>
      <c r="BS1202" s="132"/>
      <c r="BT1202" s="132"/>
      <c r="BU1202" s="132"/>
      <c r="BV1202" s="132"/>
      <c r="BW1202" s="132"/>
      <c r="BX1202" s="132"/>
      <c r="BY1202" s="132"/>
      <c r="BZ1202" s="132"/>
      <c r="CA1202" s="132"/>
      <c r="CB1202" s="132"/>
      <c r="CC1202" s="132"/>
      <c r="CD1202" s="132"/>
      <c r="CE1202" s="132"/>
      <c r="CF1202" s="132"/>
      <c r="CG1202" s="132"/>
      <c r="CH1202" s="132"/>
      <c r="CI1202" s="132"/>
      <c r="CJ1202" s="132"/>
      <c r="CK1202" s="132"/>
      <c r="CL1202" s="132"/>
      <c r="CM1202" s="132"/>
      <c r="CN1202" s="132"/>
      <c r="CO1202" s="132"/>
      <c r="CP1202" s="132"/>
      <c r="CQ1202" s="132"/>
      <c r="CR1202" s="132"/>
      <c r="CS1202" s="132"/>
      <c r="CT1202" s="132"/>
      <c r="CU1202" s="132"/>
      <c r="CV1202" s="132"/>
      <c r="CW1202" s="132"/>
      <c r="CX1202" s="132"/>
      <c r="CY1202" s="132"/>
    </row>
    <row r="1203" spans="1:103">
      <c r="A1203" s="132"/>
      <c r="B1203" s="132"/>
      <c r="C1203" s="132"/>
      <c r="D1203" s="132"/>
      <c r="E1203" s="132"/>
      <c r="F1203" s="132"/>
      <c r="G1203" s="132"/>
      <c r="H1203" s="132"/>
      <c r="I1203" s="132"/>
      <c r="J1203" s="132"/>
      <c r="K1203" s="132"/>
      <c r="L1203" s="132"/>
      <c r="M1203" s="132"/>
      <c r="N1203" s="132"/>
      <c r="O1203" s="132"/>
      <c r="P1203" s="132"/>
      <c r="Q1203" s="132"/>
      <c r="R1203" s="132"/>
      <c r="S1203" s="132"/>
      <c r="T1203" s="132"/>
      <c r="U1203" s="132"/>
      <c r="V1203" s="132"/>
      <c r="W1203" s="132"/>
      <c r="X1203" s="132"/>
      <c r="Y1203" s="132"/>
      <c r="Z1203" s="132"/>
      <c r="AA1203" s="132"/>
      <c r="AB1203" s="132"/>
      <c r="AC1203" s="132"/>
      <c r="AD1203" s="132"/>
      <c r="AE1203" s="132"/>
      <c r="AF1203" s="132"/>
      <c r="AG1203" s="132"/>
      <c r="AH1203" s="132"/>
      <c r="AI1203" s="132"/>
      <c r="AJ1203" s="132"/>
      <c r="AK1203" s="132"/>
      <c r="AL1203" s="132"/>
      <c r="AM1203" s="132"/>
      <c r="AN1203" s="132"/>
      <c r="AO1203" s="132"/>
      <c r="AP1203" s="132"/>
      <c r="AQ1203" s="132"/>
      <c r="AR1203" s="132"/>
      <c r="AS1203" s="132"/>
      <c r="AT1203" s="132"/>
      <c r="AU1203" s="132"/>
      <c r="AV1203" s="132"/>
      <c r="AW1203" s="132"/>
      <c r="AX1203" s="132"/>
      <c r="AY1203" s="132"/>
      <c r="AZ1203" s="132"/>
      <c r="BA1203" s="132"/>
      <c r="BB1203" s="132"/>
      <c r="BC1203" s="132"/>
      <c r="BD1203" s="132"/>
      <c r="BE1203" s="132"/>
      <c r="BF1203" s="132"/>
      <c r="BG1203" s="132"/>
      <c r="BH1203" s="132"/>
      <c r="BI1203" s="132"/>
      <c r="BJ1203" s="132"/>
      <c r="BK1203" s="132"/>
      <c r="BL1203" s="132"/>
      <c r="BM1203" s="132"/>
      <c r="BN1203" s="132"/>
      <c r="BO1203" s="132"/>
      <c r="BP1203" s="132"/>
      <c r="BQ1203" s="132"/>
      <c r="BR1203" s="132"/>
      <c r="BS1203" s="132"/>
      <c r="BT1203" s="132"/>
      <c r="BU1203" s="132"/>
      <c r="BV1203" s="132"/>
      <c r="BW1203" s="132"/>
      <c r="BX1203" s="132"/>
      <c r="BY1203" s="132"/>
      <c r="BZ1203" s="132"/>
      <c r="CA1203" s="132"/>
      <c r="CB1203" s="132"/>
      <c r="CC1203" s="132"/>
      <c r="CD1203" s="132"/>
      <c r="CE1203" s="132"/>
      <c r="CF1203" s="132"/>
      <c r="CG1203" s="132"/>
      <c r="CH1203" s="132"/>
      <c r="CI1203" s="132"/>
      <c r="CJ1203" s="132"/>
      <c r="CK1203" s="132"/>
      <c r="CL1203" s="132"/>
      <c r="CM1203" s="132"/>
      <c r="CN1203" s="132"/>
      <c r="CO1203" s="132"/>
      <c r="CP1203" s="132"/>
      <c r="CQ1203" s="132"/>
      <c r="CR1203" s="132"/>
      <c r="CS1203" s="132"/>
      <c r="CT1203" s="132"/>
      <c r="CU1203" s="132"/>
      <c r="CV1203" s="132"/>
      <c r="CW1203" s="132"/>
      <c r="CX1203" s="132"/>
      <c r="CY1203" s="132"/>
    </row>
    <row r="1204" spans="1:103">
      <c r="A1204" s="132"/>
      <c r="B1204" s="132"/>
      <c r="C1204" s="132"/>
      <c r="D1204" s="132"/>
      <c r="E1204" s="132"/>
      <c r="F1204" s="132"/>
      <c r="G1204" s="132"/>
      <c r="H1204" s="132"/>
      <c r="I1204" s="132"/>
      <c r="J1204" s="132"/>
      <c r="K1204" s="132"/>
      <c r="L1204" s="132"/>
      <c r="M1204" s="132"/>
      <c r="N1204" s="132"/>
      <c r="O1204" s="132"/>
      <c r="P1204" s="132"/>
      <c r="Q1204" s="132"/>
      <c r="R1204" s="132"/>
      <c r="S1204" s="132"/>
      <c r="T1204" s="132"/>
      <c r="U1204" s="132"/>
      <c r="V1204" s="132"/>
      <c r="W1204" s="132"/>
      <c r="X1204" s="132"/>
      <c r="Y1204" s="132"/>
      <c r="Z1204" s="132"/>
      <c r="AA1204" s="132"/>
      <c r="AB1204" s="132"/>
      <c r="AC1204" s="132"/>
      <c r="AD1204" s="132"/>
      <c r="AE1204" s="132"/>
      <c r="AF1204" s="132"/>
      <c r="AG1204" s="132"/>
      <c r="AH1204" s="132"/>
      <c r="AI1204" s="132"/>
      <c r="AJ1204" s="132"/>
      <c r="AK1204" s="132"/>
      <c r="AL1204" s="132"/>
      <c r="AM1204" s="132"/>
      <c r="AN1204" s="132"/>
      <c r="AO1204" s="132"/>
      <c r="AP1204" s="132"/>
      <c r="AQ1204" s="132"/>
      <c r="AR1204" s="132"/>
      <c r="AS1204" s="132"/>
      <c r="AT1204" s="132"/>
      <c r="AU1204" s="132"/>
      <c r="AV1204" s="132"/>
      <c r="AW1204" s="132"/>
      <c r="AX1204" s="132"/>
      <c r="AY1204" s="132"/>
      <c r="AZ1204" s="132"/>
      <c r="BA1204" s="132"/>
      <c r="BB1204" s="132"/>
      <c r="BC1204" s="132"/>
      <c r="BD1204" s="132"/>
      <c r="BE1204" s="132"/>
      <c r="BF1204" s="132"/>
      <c r="BG1204" s="132"/>
      <c r="BH1204" s="132"/>
      <c r="BI1204" s="132"/>
      <c r="BJ1204" s="132"/>
      <c r="BK1204" s="132"/>
      <c r="BL1204" s="132"/>
      <c r="BM1204" s="132"/>
      <c r="BN1204" s="132"/>
      <c r="BO1204" s="132"/>
      <c r="BP1204" s="132"/>
      <c r="BQ1204" s="132"/>
      <c r="BR1204" s="132"/>
      <c r="BS1204" s="132"/>
      <c r="BT1204" s="132"/>
      <c r="BU1204" s="132"/>
      <c r="BV1204" s="132"/>
      <c r="BW1204" s="132"/>
      <c r="BX1204" s="132"/>
      <c r="BY1204" s="132"/>
      <c r="BZ1204" s="132"/>
      <c r="CA1204" s="132"/>
      <c r="CB1204" s="132"/>
      <c r="CC1204" s="132"/>
      <c r="CD1204" s="132"/>
      <c r="CE1204" s="132"/>
      <c r="CF1204" s="132"/>
      <c r="CG1204" s="132"/>
      <c r="CH1204" s="132"/>
      <c r="CI1204" s="132"/>
      <c r="CJ1204" s="132"/>
      <c r="CK1204" s="132"/>
      <c r="CL1204" s="132"/>
      <c r="CM1204" s="132"/>
      <c r="CN1204" s="132"/>
      <c r="CO1204" s="132"/>
      <c r="CP1204" s="132"/>
      <c r="CQ1204" s="132"/>
      <c r="CR1204" s="132"/>
      <c r="CS1204" s="132"/>
      <c r="CT1204" s="132"/>
      <c r="CU1204" s="132"/>
      <c r="CV1204" s="132"/>
      <c r="CW1204" s="132"/>
      <c r="CX1204" s="132"/>
      <c r="CY1204" s="132"/>
    </row>
    <row r="1205" spans="1:103">
      <c r="A1205" s="132"/>
      <c r="B1205" s="132"/>
      <c r="C1205" s="132"/>
      <c r="D1205" s="132"/>
      <c r="E1205" s="132"/>
      <c r="F1205" s="132"/>
      <c r="G1205" s="132"/>
      <c r="H1205" s="132"/>
      <c r="I1205" s="132"/>
      <c r="J1205" s="132"/>
      <c r="K1205" s="132"/>
      <c r="L1205" s="132"/>
      <c r="M1205" s="132"/>
      <c r="N1205" s="132"/>
      <c r="O1205" s="132"/>
      <c r="P1205" s="132"/>
      <c r="Q1205" s="132"/>
      <c r="R1205" s="132"/>
      <c r="S1205" s="132"/>
      <c r="T1205" s="132"/>
      <c r="U1205" s="132"/>
      <c r="V1205" s="132"/>
      <c r="W1205" s="132"/>
      <c r="X1205" s="132"/>
      <c r="Y1205" s="132"/>
      <c r="Z1205" s="132"/>
      <c r="AA1205" s="132"/>
      <c r="AB1205" s="132"/>
      <c r="AC1205" s="132"/>
      <c r="AD1205" s="132"/>
      <c r="AE1205" s="132"/>
      <c r="AF1205" s="132"/>
      <c r="AG1205" s="132"/>
      <c r="AH1205" s="132"/>
      <c r="AI1205" s="132"/>
      <c r="AJ1205" s="132"/>
      <c r="AK1205" s="132"/>
      <c r="AL1205" s="132"/>
      <c r="AM1205" s="132"/>
      <c r="AN1205" s="132"/>
      <c r="AO1205" s="132"/>
      <c r="AP1205" s="132"/>
      <c r="AQ1205" s="132"/>
      <c r="AR1205" s="132"/>
      <c r="AS1205" s="132"/>
      <c r="AT1205" s="132"/>
      <c r="AU1205" s="132"/>
      <c r="AV1205" s="132"/>
      <c r="AW1205" s="132"/>
      <c r="AX1205" s="132"/>
      <c r="AY1205" s="132"/>
      <c r="AZ1205" s="132"/>
      <c r="BA1205" s="132"/>
      <c r="BB1205" s="132"/>
      <c r="BC1205" s="132"/>
      <c r="BD1205" s="132"/>
      <c r="BE1205" s="132"/>
      <c r="BF1205" s="132"/>
      <c r="BG1205" s="132"/>
      <c r="BH1205" s="132"/>
      <c r="BI1205" s="132"/>
      <c r="BJ1205" s="132"/>
      <c r="BK1205" s="132"/>
      <c r="BL1205" s="132"/>
      <c r="BM1205" s="132"/>
      <c r="BN1205" s="132"/>
      <c r="BO1205" s="132"/>
      <c r="BP1205" s="132"/>
      <c r="BQ1205" s="132"/>
      <c r="BR1205" s="132"/>
      <c r="BS1205" s="132"/>
      <c r="BT1205" s="132"/>
      <c r="BU1205" s="132"/>
      <c r="BV1205" s="132"/>
      <c r="BW1205" s="132"/>
      <c r="BX1205" s="132"/>
      <c r="BY1205" s="132"/>
      <c r="BZ1205" s="132"/>
      <c r="CA1205" s="132"/>
      <c r="CB1205" s="132"/>
      <c r="CC1205" s="132"/>
      <c r="CD1205" s="132"/>
      <c r="CE1205" s="132"/>
      <c r="CF1205" s="132"/>
      <c r="CG1205" s="132"/>
      <c r="CH1205" s="132"/>
      <c r="CI1205" s="132"/>
      <c r="CJ1205" s="132"/>
      <c r="CK1205" s="132"/>
      <c r="CL1205" s="132"/>
      <c r="CM1205" s="132"/>
      <c r="CN1205" s="132"/>
      <c r="CO1205" s="132"/>
      <c r="CP1205" s="132"/>
      <c r="CQ1205" s="132"/>
      <c r="CR1205" s="132"/>
      <c r="CS1205" s="132"/>
      <c r="CT1205" s="132"/>
      <c r="CU1205" s="132"/>
      <c r="CV1205" s="132"/>
      <c r="CW1205" s="132"/>
      <c r="CX1205" s="132"/>
      <c r="CY1205" s="132"/>
    </row>
    <row r="1206" spans="1:103">
      <c r="A1206" s="132"/>
      <c r="B1206" s="132"/>
      <c r="C1206" s="132"/>
      <c r="D1206" s="132"/>
      <c r="E1206" s="132"/>
      <c r="F1206" s="132"/>
      <c r="G1206" s="132"/>
      <c r="H1206" s="132"/>
      <c r="I1206" s="132"/>
      <c r="J1206" s="132"/>
      <c r="K1206" s="132"/>
      <c r="L1206" s="132"/>
      <c r="M1206" s="132"/>
      <c r="N1206" s="132"/>
      <c r="O1206" s="132"/>
      <c r="P1206" s="132"/>
      <c r="Q1206" s="132"/>
      <c r="R1206" s="132"/>
      <c r="S1206" s="132"/>
      <c r="T1206" s="132"/>
      <c r="U1206" s="132"/>
      <c r="V1206" s="132"/>
      <c r="W1206" s="132"/>
      <c r="X1206" s="132"/>
      <c r="Y1206" s="132"/>
      <c r="Z1206" s="132"/>
      <c r="AA1206" s="132"/>
      <c r="AB1206" s="132"/>
      <c r="AC1206" s="132"/>
      <c r="AD1206" s="132"/>
      <c r="AE1206" s="132"/>
      <c r="AF1206" s="132"/>
      <c r="AG1206" s="132"/>
      <c r="AH1206" s="132"/>
      <c r="AI1206" s="132"/>
      <c r="AJ1206" s="132"/>
      <c r="AK1206" s="132"/>
      <c r="AL1206" s="132"/>
      <c r="AM1206" s="132"/>
      <c r="AN1206" s="132"/>
      <c r="AO1206" s="132"/>
      <c r="AP1206" s="132"/>
      <c r="AQ1206" s="132"/>
      <c r="AR1206" s="132"/>
      <c r="AS1206" s="132"/>
      <c r="AT1206" s="132"/>
      <c r="AU1206" s="132"/>
      <c r="AV1206" s="132"/>
      <c r="AW1206" s="132"/>
      <c r="AX1206" s="132"/>
      <c r="AY1206" s="132"/>
      <c r="AZ1206" s="132"/>
      <c r="BA1206" s="132"/>
      <c r="BB1206" s="132"/>
      <c r="BC1206" s="132"/>
      <c r="BD1206" s="132"/>
      <c r="BE1206" s="132"/>
      <c r="BF1206" s="132"/>
      <c r="BG1206" s="132"/>
      <c r="BH1206" s="132"/>
      <c r="BI1206" s="132"/>
      <c r="BJ1206" s="132"/>
      <c r="BK1206" s="132"/>
      <c r="BL1206" s="132"/>
      <c r="BM1206" s="132"/>
      <c r="BN1206" s="132"/>
      <c r="BO1206" s="132"/>
      <c r="BP1206" s="132"/>
      <c r="BQ1206" s="132"/>
      <c r="BR1206" s="132"/>
      <c r="BS1206" s="132"/>
      <c r="BT1206" s="132"/>
      <c r="BU1206" s="132"/>
      <c r="BV1206" s="132"/>
      <c r="BW1206" s="132"/>
      <c r="BX1206" s="132"/>
      <c r="BY1206" s="132"/>
      <c r="BZ1206" s="132"/>
      <c r="CA1206" s="132"/>
      <c r="CB1206" s="132"/>
      <c r="CC1206" s="132"/>
      <c r="CD1206" s="132"/>
      <c r="CE1206" s="132"/>
      <c r="CF1206" s="132"/>
      <c r="CG1206" s="132"/>
      <c r="CH1206" s="132"/>
      <c r="CI1206" s="132"/>
      <c r="CJ1206" s="132"/>
      <c r="CK1206" s="132"/>
      <c r="CL1206" s="132"/>
      <c r="CM1206" s="132"/>
      <c r="CN1206" s="132"/>
      <c r="CO1206" s="132"/>
      <c r="CP1206" s="132"/>
      <c r="CQ1206" s="132"/>
      <c r="CR1206" s="132"/>
      <c r="CS1206" s="132"/>
      <c r="CT1206" s="132"/>
      <c r="CU1206" s="132"/>
      <c r="CV1206" s="132"/>
      <c r="CW1206" s="132"/>
      <c r="CX1206" s="132"/>
      <c r="CY1206" s="132"/>
    </row>
    <row r="1207" spans="1:103">
      <c r="A1207" s="132"/>
      <c r="B1207" s="132"/>
      <c r="C1207" s="132"/>
      <c r="D1207" s="132"/>
      <c r="E1207" s="132"/>
      <c r="F1207" s="132"/>
      <c r="G1207" s="132"/>
      <c r="H1207" s="132"/>
      <c r="I1207" s="132"/>
      <c r="J1207" s="132"/>
      <c r="K1207" s="132"/>
      <c r="L1207" s="132"/>
      <c r="M1207" s="132"/>
      <c r="N1207" s="132"/>
      <c r="O1207" s="132"/>
      <c r="P1207" s="132"/>
      <c r="Q1207" s="132"/>
      <c r="R1207" s="132"/>
      <c r="S1207" s="132"/>
      <c r="T1207" s="132"/>
      <c r="U1207" s="132"/>
      <c r="V1207" s="132"/>
      <c r="W1207" s="132"/>
      <c r="X1207" s="132"/>
      <c r="Y1207" s="132"/>
      <c r="Z1207" s="132"/>
      <c r="AA1207" s="132"/>
      <c r="AB1207" s="132"/>
      <c r="AC1207" s="132"/>
      <c r="AD1207" s="132"/>
      <c r="AE1207" s="132"/>
      <c r="AF1207" s="132"/>
      <c r="AG1207" s="132"/>
      <c r="AH1207" s="132"/>
      <c r="AI1207" s="132"/>
      <c r="AJ1207" s="132"/>
      <c r="AK1207" s="132"/>
      <c r="AL1207" s="132"/>
      <c r="AM1207" s="132"/>
      <c r="AN1207" s="132"/>
      <c r="AO1207" s="132"/>
      <c r="AP1207" s="132"/>
      <c r="AQ1207" s="132"/>
      <c r="AR1207" s="132"/>
      <c r="AS1207" s="132"/>
      <c r="AT1207" s="132"/>
      <c r="AU1207" s="132"/>
      <c r="AV1207" s="132"/>
      <c r="AW1207" s="132"/>
      <c r="AX1207" s="132"/>
      <c r="AY1207" s="132"/>
      <c r="AZ1207" s="132"/>
      <c r="BA1207" s="132"/>
      <c r="BB1207" s="132"/>
      <c r="BC1207" s="132"/>
      <c r="BD1207" s="132"/>
      <c r="BE1207" s="132"/>
      <c r="BF1207" s="132"/>
      <c r="BG1207" s="132"/>
      <c r="BH1207" s="132"/>
      <c r="BI1207" s="132"/>
      <c r="BJ1207" s="132"/>
      <c r="BK1207" s="132"/>
      <c r="BL1207" s="132"/>
      <c r="BM1207" s="132"/>
      <c r="BN1207" s="132"/>
      <c r="BO1207" s="132"/>
      <c r="BP1207" s="132"/>
      <c r="BQ1207" s="132"/>
      <c r="BR1207" s="132"/>
      <c r="BS1207" s="132"/>
      <c r="BT1207" s="132"/>
      <c r="BU1207" s="132"/>
      <c r="BV1207" s="132"/>
      <c r="BW1207" s="132"/>
      <c r="BX1207" s="132"/>
      <c r="BY1207" s="132"/>
      <c r="BZ1207" s="132"/>
      <c r="CA1207" s="132"/>
      <c r="CB1207" s="132"/>
      <c r="CC1207" s="132"/>
      <c r="CD1207" s="132"/>
      <c r="CE1207" s="132"/>
      <c r="CF1207" s="132"/>
      <c r="CG1207" s="132"/>
      <c r="CH1207" s="132"/>
      <c r="CI1207" s="132"/>
      <c r="CJ1207" s="132"/>
      <c r="CK1207" s="132"/>
      <c r="CL1207" s="132"/>
      <c r="CM1207" s="132"/>
      <c r="CN1207" s="132"/>
      <c r="CO1207" s="132"/>
      <c r="CP1207" s="132"/>
      <c r="CQ1207" s="132"/>
      <c r="CR1207" s="132"/>
      <c r="CS1207" s="132"/>
      <c r="CT1207" s="132"/>
      <c r="CU1207" s="132"/>
      <c r="CV1207" s="132"/>
      <c r="CW1207" s="132"/>
      <c r="CX1207" s="132"/>
      <c r="CY1207" s="132"/>
    </row>
    <row r="1208" spans="1:103">
      <c r="A1208" s="132"/>
      <c r="B1208" s="132"/>
      <c r="C1208" s="132"/>
      <c r="D1208" s="132"/>
      <c r="E1208" s="132"/>
      <c r="F1208" s="132"/>
      <c r="G1208" s="132"/>
      <c r="H1208" s="132"/>
      <c r="I1208" s="132"/>
      <c r="J1208" s="132"/>
      <c r="K1208" s="132"/>
      <c r="L1208" s="132"/>
      <c r="M1208" s="132"/>
      <c r="N1208" s="132"/>
      <c r="O1208" s="132"/>
      <c r="P1208" s="132"/>
      <c r="Q1208" s="132"/>
      <c r="R1208" s="132"/>
      <c r="S1208" s="132"/>
      <c r="T1208" s="132"/>
      <c r="U1208" s="132"/>
      <c r="V1208" s="132"/>
      <c r="W1208" s="132"/>
      <c r="X1208" s="132"/>
      <c r="Y1208" s="132"/>
      <c r="Z1208" s="132"/>
      <c r="AA1208" s="132"/>
      <c r="AB1208" s="132"/>
      <c r="AC1208" s="132"/>
      <c r="AD1208" s="132"/>
      <c r="AE1208" s="132"/>
      <c r="AF1208" s="132"/>
      <c r="AG1208" s="132"/>
      <c r="AH1208" s="132"/>
      <c r="AI1208" s="132"/>
      <c r="AJ1208" s="132"/>
      <c r="AK1208" s="132"/>
      <c r="AL1208" s="132"/>
      <c r="AM1208" s="132"/>
      <c r="AN1208" s="132"/>
      <c r="AO1208" s="132"/>
      <c r="AP1208" s="132"/>
      <c r="AQ1208" s="132"/>
      <c r="AR1208" s="132"/>
      <c r="AS1208" s="132"/>
      <c r="AT1208" s="132"/>
      <c r="AU1208" s="132"/>
      <c r="AV1208" s="132"/>
      <c r="AW1208" s="132"/>
      <c r="AX1208" s="132"/>
      <c r="AY1208" s="132"/>
      <c r="AZ1208" s="132"/>
      <c r="BA1208" s="132"/>
      <c r="BB1208" s="132"/>
      <c r="BC1208" s="132"/>
      <c r="BD1208" s="132"/>
      <c r="BE1208" s="132"/>
      <c r="BF1208" s="132"/>
      <c r="BG1208" s="132"/>
      <c r="BH1208" s="132"/>
      <c r="BI1208" s="132"/>
      <c r="BJ1208" s="132"/>
      <c r="BK1208" s="132"/>
      <c r="BL1208" s="132"/>
      <c r="BM1208" s="132"/>
      <c r="BN1208" s="132"/>
      <c r="BO1208" s="132"/>
      <c r="BP1208" s="132"/>
      <c r="BQ1208" s="132"/>
      <c r="BR1208" s="132"/>
      <c r="BS1208" s="132"/>
      <c r="BT1208" s="132"/>
      <c r="BU1208" s="132"/>
      <c r="BV1208" s="132"/>
      <c r="BW1208" s="132"/>
      <c r="BX1208" s="132"/>
      <c r="BY1208" s="132"/>
      <c r="BZ1208" s="132"/>
      <c r="CA1208" s="132"/>
      <c r="CB1208" s="132"/>
      <c r="CC1208" s="132"/>
      <c r="CD1208" s="132"/>
      <c r="CE1208" s="132"/>
      <c r="CF1208" s="132"/>
      <c r="CG1208" s="132"/>
      <c r="CH1208" s="132"/>
      <c r="CI1208" s="132"/>
      <c r="CJ1208" s="132"/>
      <c r="CK1208" s="132"/>
      <c r="CL1208" s="132"/>
      <c r="CM1208" s="132"/>
      <c r="CN1208" s="132"/>
      <c r="CO1208" s="132"/>
      <c r="CP1208" s="132"/>
      <c r="CQ1208" s="132"/>
      <c r="CR1208" s="132"/>
      <c r="CS1208" s="132"/>
      <c r="CT1208" s="132"/>
      <c r="CU1208" s="132"/>
      <c r="CV1208" s="132"/>
      <c r="CW1208" s="132"/>
      <c r="CX1208" s="132"/>
      <c r="CY1208" s="132"/>
    </row>
    <row r="1209" spans="1:103">
      <c r="A1209" s="132"/>
      <c r="B1209" s="132"/>
      <c r="C1209" s="132"/>
      <c r="D1209" s="132"/>
      <c r="E1209" s="132"/>
      <c r="F1209" s="132"/>
      <c r="G1209" s="132"/>
      <c r="H1209" s="132"/>
      <c r="I1209" s="132"/>
      <c r="J1209" s="132"/>
      <c r="K1209" s="132"/>
      <c r="L1209" s="132"/>
      <c r="M1209" s="132"/>
      <c r="N1209" s="132"/>
      <c r="O1209" s="132"/>
      <c r="P1209" s="132"/>
      <c r="Q1209" s="132"/>
      <c r="R1209" s="132"/>
      <c r="S1209" s="132"/>
      <c r="T1209" s="132"/>
      <c r="U1209" s="132"/>
      <c r="V1209" s="132"/>
      <c r="W1209" s="132"/>
      <c r="X1209" s="132"/>
      <c r="Y1209" s="132"/>
      <c r="Z1209" s="132"/>
      <c r="AA1209" s="132"/>
      <c r="AB1209" s="132"/>
      <c r="AC1209" s="132"/>
      <c r="AD1209" s="132"/>
      <c r="AE1209" s="132"/>
      <c r="AF1209" s="132"/>
      <c r="AG1209" s="132"/>
      <c r="AH1209" s="132"/>
      <c r="AI1209" s="132"/>
      <c r="AJ1209" s="132"/>
      <c r="AK1209" s="132"/>
      <c r="AL1209" s="132"/>
      <c r="AM1209" s="132"/>
      <c r="AN1209" s="132"/>
      <c r="AO1209" s="132"/>
      <c r="AP1209" s="132"/>
      <c r="AQ1209" s="132"/>
      <c r="AR1209" s="132"/>
      <c r="AS1209" s="132"/>
      <c r="AT1209" s="132"/>
      <c r="AU1209" s="132"/>
      <c r="AV1209" s="132"/>
      <c r="AW1209" s="132"/>
      <c r="AX1209" s="132"/>
      <c r="AY1209" s="132"/>
      <c r="AZ1209" s="132"/>
      <c r="BA1209" s="132"/>
      <c r="BB1209" s="132"/>
      <c r="BC1209" s="132"/>
      <c r="BD1209" s="132"/>
      <c r="BE1209" s="132"/>
      <c r="BF1209" s="132"/>
      <c r="BG1209" s="132"/>
      <c r="BH1209" s="132"/>
      <c r="BI1209" s="132"/>
      <c r="BJ1209" s="132"/>
      <c r="BK1209" s="132"/>
      <c r="BL1209" s="132"/>
      <c r="BM1209" s="132"/>
      <c r="BN1209" s="132"/>
      <c r="BO1209" s="132"/>
      <c r="BP1209" s="132"/>
      <c r="BQ1209" s="132"/>
      <c r="BR1209" s="132"/>
      <c r="BS1209" s="132"/>
      <c r="BT1209" s="132"/>
      <c r="BU1209" s="132"/>
      <c r="BV1209" s="132"/>
      <c r="BW1209" s="132"/>
      <c r="BX1209" s="132"/>
      <c r="BY1209" s="132"/>
      <c r="BZ1209" s="132"/>
      <c r="CA1209" s="132"/>
      <c r="CB1209" s="132"/>
      <c r="CC1209" s="132"/>
      <c r="CD1209" s="132"/>
      <c r="CE1209" s="132"/>
      <c r="CF1209" s="132"/>
      <c r="CG1209" s="132"/>
      <c r="CH1209" s="132"/>
      <c r="CI1209" s="132"/>
      <c r="CJ1209" s="132"/>
      <c r="CK1209" s="132"/>
      <c r="CL1209" s="132"/>
      <c r="CM1209" s="132"/>
      <c r="CN1209" s="132"/>
      <c r="CO1209" s="132"/>
      <c r="CP1209" s="132"/>
      <c r="CQ1209" s="132"/>
      <c r="CR1209" s="132"/>
      <c r="CS1209" s="132"/>
      <c r="CT1209" s="132"/>
      <c r="CU1209" s="132"/>
      <c r="CV1209" s="132"/>
      <c r="CW1209" s="132"/>
      <c r="CX1209" s="132"/>
      <c r="CY1209" s="132"/>
    </row>
    <row r="1210" spans="1:103">
      <c r="A1210" s="132"/>
      <c r="B1210" s="132"/>
      <c r="C1210" s="132"/>
      <c r="D1210" s="132"/>
      <c r="E1210" s="132"/>
      <c r="F1210" s="132"/>
      <c r="G1210" s="132"/>
      <c r="H1210" s="132"/>
      <c r="I1210" s="132"/>
      <c r="J1210" s="132"/>
      <c r="K1210" s="132"/>
      <c r="L1210" s="132"/>
      <c r="M1210" s="132"/>
      <c r="N1210" s="132"/>
      <c r="O1210" s="132"/>
      <c r="P1210" s="132"/>
      <c r="Q1210" s="132"/>
      <c r="R1210" s="132"/>
      <c r="S1210" s="132"/>
      <c r="T1210" s="132"/>
      <c r="U1210" s="132"/>
      <c r="V1210" s="132"/>
      <c r="W1210" s="132"/>
      <c r="X1210" s="132"/>
      <c r="Y1210" s="132"/>
      <c r="Z1210" s="132"/>
      <c r="AA1210" s="132"/>
      <c r="AB1210" s="132"/>
      <c r="AC1210" s="132"/>
      <c r="AD1210" s="132"/>
      <c r="AE1210" s="132"/>
      <c r="AF1210" s="132"/>
      <c r="AG1210" s="132"/>
      <c r="AH1210" s="132"/>
      <c r="AI1210" s="132"/>
      <c r="AJ1210" s="132"/>
      <c r="AK1210" s="132"/>
      <c r="AL1210" s="132"/>
      <c r="AM1210" s="132"/>
      <c r="AN1210" s="132"/>
      <c r="AO1210" s="132"/>
      <c r="AP1210" s="132"/>
      <c r="AQ1210" s="132"/>
      <c r="AR1210" s="132"/>
      <c r="AS1210" s="132"/>
      <c r="AT1210" s="132"/>
      <c r="AU1210" s="132"/>
      <c r="AV1210" s="132"/>
      <c r="AW1210" s="132"/>
      <c r="AX1210" s="132"/>
      <c r="AY1210" s="132"/>
      <c r="AZ1210" s="132"/>
      <c r="BA1210" s="132"/>
      <c r="BB1210" s="132"/>
      <c r="BC1210" s="132"/>
      <c r="BD1210" s="132"/>
      <c r="BE1210" s="132"/>
      <c r="BF1210" s="132"/>
      <c r="BG1210" s="132"/>
      <c r="BH1210" s="132"/>
      <c r="BI1210" s="132"/>
      <c r="BJ1210" s="132"/>
      <c r="BK1210" s="132"/>
      <c r="BL1210" s="132"/>
      <c r="BM1210" s="132"/>
      <c r="BN1210" s="132"/>
      <c r="BO1210" s="132"/>
      <c r="BP1210" s="132"/>
      <c r="BQ1210" s="132"/>
      <c r="BR1210" s="132"/>
      <c r="BS1210" s="132"/>
      <c r="BT1210" s="132"/>
      <c r="BU1210" s="132"/>
      <c r="BV1210" s="132"/>
      <c r="BW1210" s="132"/>
      <c r="BX1210" s="132"/>
      <c r="BY1210" s="132"/>
      <c r="BZ1210" s="132"/>
      <c r="CA1210" s="132"/>
      <c r="CB1210" s="132"/>
      <c r="CC1210" s="132"/>
      <c r="CD1210" s="132"/>
      <c r="CE1210" s="132"/>
      <c r="CF1210" s="132"/>
      <c r="CG1210" s="132"/>
      <c r="CH1210" s="132"/>
      <c r="CI1210" s="132"/>
      <c r="CJ1210" s="132"/>
      <c r="CK1210" s="132"/>
      <c r="CL1210" s="132"/>
      <c r="CM1210" s="132"/>
      <c r="CN1210" s="132"/>
      <c r="CO1210" s="132"/>
      <c r="CP1210" s="132"/>
      <c r="CQ1210" s="132"/>
      <c r="CR1210" s="132"/>
      <c r="CS1210" s="132"/>
      <c r="CT1210" s="132"/>
      <c r="CU1210" s="132"/>
      <c r="CV1210" s="132"/>
      <c r="CW1210" s="132"/>
      <c r="CX1210" s="132"/>
      <c r="CY1210" s="132"/>
    </row>
    <row r="1211" spans="1:103">
      <c r="A1211" s="132"/>
      <c r="B1211" s="132"/>
      <c r="C1211" s="132"/>
      <c r="D1211" s="132"/>
      <c r="E1211" s="132"/>
      <c r="F1211" s="132"/>
      <c r="G1211" s="132"/>
      <c r="H1211" s="132"/>
      <c r="I1211" s="132"/>
      <c r="J1211" s="132"/>
      <c r="K1211" s="132"/>
      <c r="L1211" s="132"/>
      <c r="M1211" s="132"/>
      <c r="N1211" s="132"/>
      <c r="O1211" s="132"/>
      <c r="P1211" s="132"/>
      <c r="Q1211" s="132"/>
      <c r="R1211" s="132"/>
      <c r="S1211" s="132"/>
      <c r="T1211" s="132"/>
      <c r="U1211" s="132"/>
      <c r="V1211" s="132"/>
      <c r="W1211" s="132"/>
      <c r="X1211" s="132"/>
      <c r="Y1211" s="132"/>
      <c r="Z1211" s="132"/>
      <c r="AA1211" s="132"/>
      <c r="AB1211" s="132"/>
      <c r="AC1211" s="132"/>
      <c r="AD1211" s="132"/>
      <c r="AE1211" s="132"/>
      <c r="AF1211" s="132"/>
      <c r="AG1211" s="132"/>
      <c r="AH1211" s="132"/>
      <c r="AI1211" s="132"/>
      <c r="AJ1211" s="132"/>
      <c r="AK1211" s="132"/>
      <c r="AL1211" s="132"/>
      <c r="AM1211" s="132"/>
      <c r="AN1211" s="132"/>
      <c r="AO1211" s="132"/>
      <c r="AP1211" s="132"/>
      <c r="AQ1211" s="132"/>
      <c r="AR1211" s="132"/>
      <c r="AS1211" s="132"/>
      <c r="AT1211" s="132"/>
      <c r="AU1211" s="132"/>
      <c r="AV1211" s="132"/>
      <c r="AW1211" s="132"/>
      <c r="AX1211" s="132"/>
      <c r="AY1211" s="132"/>
      <c r="AZ1211" s="132"/>
      <c r="BA1211" s="132"/>
      <c r="BB1211" s="132"/>
      <c r="BC1211" s="132"/>
      <c r="BD1211" s="132"/>
      <c r="BE1211" s="132"/>
      <c r="BF1211" s="132"/>
      <c r="BG1211" s="132"/>
      <c r="BH1211" s="132"/>
      <c r="BI1211" s="132"/>
      <c r="BJ1211" s="132"/>
      <c r="BK1211" s="132"/>
      <c r="BL1211" s="132"/>
      <c r="BM1211" s="132"/>
      <c r="BN1211" s="132"/>
      <c r="BO1211" s="132"/>
      <c r="BP1211" s="132"/>
      <c r="BQ1211" s="132"/>
      <c r="BR1211" s="132"/>
      <c r="BS1211" s="132"/>
      <c r="BT1211" s="132"/>
      <c r="BU1211" s="132"/>
      <c r="BV1211" s="132"/>
      <c r="BW1211" s="132"/>
      <c r="BX1211" s="132"/>
      <c r="BY1211" s="132"/>
      <c r="BZ1211" s="132"/>
      <c r="CA1211" s="132"/>
      <c r="CB1211" s="132"/>
      <c r="CC1211" s="132"/>
      <c r="CD1211" s="132"/>
      <c r="CE1211" s="132"/>
      <c r="CF1211" s="132"/>
      <c r="CG1211" s="132"/>
      <c r="CH1211" s="132"/>
      <c r="CI1211" s="132"/>
      <c r="CJ1211" s="132"/>
      <c r="CK1211" s="132"/>
      <c r="CL1211" s="132"/>
      <c r="CM1211" s="132"/>
      <c r="CN1211" s="132"/>
      <c r="CO1211" s="132"/>
      <c r="CP1211" s="132"/>
      <c r="CQ1211" s="132"/>
      <c r="CR1211" s="132"/>
      <c r="CS1211" s="132"/>
      <c r="CT1211" s="132"/>
      <c r="CU1211" s="132"/>
      <c r="CV1211" s="132"/>
      <c r="CW1211" s="132"/>
      <c r="CX1211" s="132"/>
      <c r="CY1211" s="132"/>
    </row>
    <row r="1212" spans="1:103">
      <c r="A1212" s="132"/>
      <c r="B1212" s="132"/>
      <c r="C1212" s="132"/>
      <c r="D1212" s="132"/>
      <c r="E1212" s="132"/>
      <c r="F1212" s="132"/>
      <c r="G1212" s="132"/>
      <c r="H1212" s="132"/>
      <c r="I1212" s="132"/>
      <c r="J1212" s="132"/>
      <c r="K1212" s="132"/>
      <c r="L1212" s="132"/>
      <c r="M1212" s="132"/>
      <c r="N1212" s="132"/>
      <c r="O1212" s="132"/>
      <c r="P1212" s="132"/>
      <c r="Q1212" s="132"/>
      <c r="R1212" s="132"/>
      <c r="S1212" s="132"/>
      <c r="T1212" s="132"/>
      <c r="U1212" s="132"/>
      <c r="V1212" s="132"/>
      <c r="W1212" s="132"/>
      <c r="X1212" s="132"/>
      <c r="Y1212" s="132"/>
      <c r="Z1212" s="132"/>
      <c r="AA1212" s="132"/>
      <c r="AB1212" s="132"/>
      <c r="AC1212" s="132"/>
      <c r="AD1212" s="132"/>
      <c r="AE1212" s="132"/>
      <c r="AF1212" s="132"/>
      <c r="AG1212" s="132"/>
      <c r="AH1212" s="132"/>
      <c r="AI1212" s="132"/>
      <c r="AJ1212" s="132"/>
      <c r="AK1212" s="132"/>
      <c r="AL1212" s="132"/>
      <c r="AM1212" s="132"/>
      <c r="AN1212" s="132"/>
      <c r="AO1212" s="132"/>
      <c r="AP1212" s="132"/>
      <c r="AQ1212" s="132"/>
      <c r="AR1212" s="132"/>
      <c r="AS1212" s="132"/>
      <c r="AT1212" s="132"/>
      <c r="AU1212" s="132"/>
      <c r="AV1212" s="132"/>
      <c r="AW1212" s="132"/>
      <c r="AX1212" s="132"/>
      <c r="AY1212" s="132"/>
      <c r="AZ1212" s="132"/>
      <c r="BA1212" s="132"/>
      <c r="BB1212" s="132"/>
      <c r="BC1212" s="132"/>
      <c r="BD1212" s="132"/>
      <c r="BE1212" s="132"/>
      <c r="BF1212" s="132"/>
      <c r="BG1212" s="132"/>
      <c r="BH1212" s="132"/>
      <c r="BI1212" s="132"/>
      <c r="BJ1212" s="132"/>
      <c r="BK1212" s="132"/>
      <c r="BL1212" s="132"/>
      <c r="BM1212" s="132"/>
      <c r="BN1212" s="132"/>
      <c r="BO1212" s="132"/>
      <c r="BP1212" s="132"/>
      <c r="BQ1212" s="132"/>
      <c r="BR1212" s="132"/>
      <c r="BS1212" s="132"/>
      <c r="BT1212" s="132"/>
      <c r="BU1212" s="132"/>
      <c r="BV1212" s="132"/>
      <c r="BW1212" s="132"/>
      <c r="BX1212" s="132"/>
      <c r="BY1212" s="132"/>
      <c r="BZ1212" s="132"/>
      <c r="CA1212" s="132"/>
      <c r="CB1212" s="132"/>
      <c r="CC1212" s="132"/>
      <c r="CD1212" s="132"/>
      <c r="CE1212" s="132"/>
      <c r="CF1212" s="132"/>
      <c r="CG1212" s="132"/>
      <c r="CH1212" s="132"/>
      <c r="CI1212" s="132"/>
      <c r="CJ1212" s="132"/>
      <c r="CK1212" s="132"/>
      <c r="CL1212" s="132"/>
      <c r="CM1212" s="132"/>
      <c r="CN1212" s="132"/>
      <c r="CO1212" s="132"/>
      <c r="CP1212" s="132"/>
      <c r="CQ1212" s="132"/>
      <c r="CR1212" s="132"/>
      <c r="CS1212" s="132"/>
      <c r="CT1212" s="132"/>
      <c r="CU1212" s="132"/>
      <c r="CV1212" s="132"/>
      <c r="CW1212" s="132"/>
      <c r="CX1212" s="132"/>
      <c r="CY1212" s="132"/>
    </row>
    <row r="1213" spans="1:103">
      <c r="A1213" s="132"/>
      <c r="B1213" s="132"/>
      <c r="C1213" s="132"/>
      <c r="D1213" s="132"/>
      <c r="E1213" s="132"/>
      <c r="F1213" s="132"/>
      <c r="G1213" s="132"/>
      <c r="H1213" s="132"/>
      <c r="I1213" s="132"/>
      <c r="J1213" s="132"/>
      <c r="K1213" s="132"/>
      <c r="L1213" s="132"/>
      <c r="M1213" s="132"/>
      <c r="N1213" s="132"/>
      <c r="O1213" s="132"/>
      <c r="P1213" s="132"/>
      <c r="Q1213" s="132"/>
      <c r="R1213" s="132"/>
      <c r="S1213" s="132"/>
      <c r="T1213" s="132"/>
      <c r="U1213" s="132"/>
      <c r="V1213" s="132"/>
      <c r="W1213" s="132"/>
      <c r="X1213" s="132"/>
      <c r="Y1213" s="132"/>
      <c r="Z1213" s="132"/>
      <c r="AA1213" s="132"/>
      <c r="AB1213" s="132"/>
      <c r="AC1213" s="132"/>
      <c r="AD1213" s="132"/>
      <c r="AE1213" s="132"/>
      <c r="AF1213" s="132"/>
      <c r="AG1213" s="132"/>
      <c r="AH1213" s="132"/>
      <c r="AI1213" s="132"/>
      <c r="AJ1213" s="132"/>
      <c r="AK1213" s="132"/>
      <c r="AL1213" s="132"/>
      <c r="AM1213" s="132"/>
      <c r="AN1213" s="132"/>
      <c r="AO1213" s="132"/>
      <c r="AP1213" s="132"/>
      <c r="AQ1213" s="132"/>
      <c r="AR1213" s="132"/>
      <c r="AS1213" s="132"/>
      <c r="AT1213" s="132"/>
      <c r="AU1213" s="132"/>
      <c r="AV1213" s="132"/>
      <c r="AW1213" s="132"/>
      <c r="AX1213" s="132"/>
      <c r="AY1213" s="132"/>
      <c r="AZ1213" s="132"/>
      <c r="BA1213" s="132"/>
      <c r="BB1213" s="132"/>
      <c r="BC1213" s="132"/>
      <c r="BD1213" s="132"/>
      <c r="BE1213" s="132"/>
      <c r="BF1213" s="132"/>
      <c r="BG1213" s="132"/>
      <c r="BH1213" s="132"/>
      <c r="BI1213" s="132"/>
      <c r="BJ1213" s="132"/>
      <c r="BK1213" s="132"/>
      <c r="BL1213" s="132"/>
      <c r="BM1213" s="132"/>
      <c r="BN1213" s="132"/>
      <c r="BO1213" s="132"/>
      <c r="BP1213" s="132"/>
      <c r="BQ1213" s="132"/>
      <c r="BR1213" s="132"/>
      <c r="BS1213" s="132"/>
      <c r="BT1213" s="132"/>
      <c r="BU1213" s="132"/>
      <c r="BV1213" s="132"/>
      <c r="BW1213" s="132"/>
      <c r="BX1213" s="132"/>
      <c r="BY1213" s="132"/>
      <c r="BZ1213" s="132"/>
      <c r="CA1213" s="132"/>
      <c r="CB1213" s="132"/>
      <c r="CC1213" s="132"/>
      <c r="CD1213" s="132"/>
      <c r="CE1213" s="132"/>
      <c r="CF1213" s="132"/>
      <c r="CG1213" s="132"/>
      <c r="CH1213" s="132"/>
      <c r="CI1213" s="132"/>
      <c r="CJ1213" s="132"/>
      <c r="CK1213" s="132"/>
      <c r="CL1213" s="132"/>
      <c r="CM1213" s="132"/>
      <c r="CN1213" s="132"/>
      <c r="CO1213" s="132"/>
      <c r="CP1213" s="132"/>
      <c r="CQ1213" s="132"/>
      <c r="CR1213" s="132"/>
      <c r="CS1213" s="132"/>
      <c r="CT1213" s="132"/>
      <c r="CU1213" s="132"/>
      <c r="CV1213" s="132"/>
      <c r="CW1213" s="132"/>
      <c r="CX1213" s="132"/>
      <c r="CY1213" s="132"/>
    </row>
    <row r="1214" spans="1:103">
      <c r="A1214" s="132"/>
      <c r="B1214" s="132"/>
      <c r="C1214" s="132"/>
      <c r="D1214" s="132"/>
      <c r="E1214" s="132"/>
      <c r="F1214" s="132"/>
      <c r="G1214" s="132"/>
      <c r="H1214" s="132"/>
      <c r="I1214" s="132"/>
      <c r="J1214" s="132"/>
      <c r="K1214" s="132"/>
      <c r="L1214" s="132"/>
      <c r="M1214" s="132"/>
      <c r="N1214" s="132"/>
      <c r="O1214" s="132"/>
      <c r="P1214" s="132"/>
      <c r="Q1214" s="132"/>
      <c r="R1214" s="132"/>
      <c r="S1214" s="132"/>
      <c r="T1214" s="132"/>
      <c r="U1214" s="132"/>
      <c r="V1214" s="132"/>
      <c r="W1214" s="132"/>
      <c r="X1214" s="132"/>
      <c r="Y1214" s="132"/>
      <c r="Z1214" s="132"/>
      <c r="AA1214" s="132"/>
      <c r="AB1214" s="132"/>
      <c r="AC1214" s="132"/>
      <c r="AD1214" s="132"/>
      <c r="AE1214" s="132"/>
      <c r="AF1214" s="132"/>
      <c r="AG1214" s="132"/>
      <c r="AH1214" s="132"/>
      <c r="AI1214" s="132"/>
      <c r="AJ1214" s="132"/>
      <c r="AK1214" s="132"/>
      <c r="AL1214" s="132"/>
      <c r="AM1214" s="132"/>
      <c r="AN1214" s="132"/>
      <c r="AO1214" s="132"/>
      <c r="AP1214" s="132"/>
      <c r="AQ1214" s="132"/>
      <c r="AR1214" s="132"/>
      <c r="AS1214" s="132"/>
      <c r="AT1214" s="132"/>
      <c r="AU1214" s="132"/>
      <c r="AV1214" s="132"/>
      <c r="AW1214" s="132"/>
      <c r="AX1214" s="132"/>
      <c r="AY1214" s="132"/>
      <c r="AZ1214" s="132"/>
      <c r="BA1214" s="132"/>
      <c r="BB1214" s="132"/>
      <c r="BC1214" s="132"/>
      <c r="BD1214" s="132"/>
      <c r="BE1214" s="132"/>
      <c r="BF1214" s="132"/>
      <c r="BG1214" s="132"/>
      <c r="BH1214" s="132"/>
      <c r="BI1214" s="132"/>
      <c r="BJ1214" s="132"/>
      <c r="BK1214" s="132"/>
      <c r="BL1214" s="132"/>
      <c r="BM1214" s="132"/>
      <c r="BN1214" s="132"/>
      <c r="BO1214" s="132"/>
      <c r="BP1214" s="132"/>
      <c r="BQ1214" s="132"/>
      <c r="BR1214" s="132"/>
      <c r="BS1214" s="132"/>
      <c r="BT1214" s="132"/>
      <c r="BU1214" s="132"/>
      <c r="BV1214" s="132"/>
      <c r="BW1214" s="132"/>
      <c r="BX1214" s="132"/>
      <c r="BY1214" s="132"/>
      <c r="BZ1214" s="132"/>
      <c r="CA1214" s="132"/>
      <c r="CB1214" s="132"/>
      <c r="CC1214" s="132"/>
      <c r="CD1214" s="132"/>
      <c r="CE1214" s="132"/>
      <c r="CF1214" s="132"/>
      <c r="CG1214" s="132"/>
      <c r="CH1214" s="132"/>
      <c r="CI1214" s="132"/>
      <c r="CJ1214" s="132"/>
      <c r="CK1214" s="132"/>
      <c r="CL1214" s="132"/>
      <c r="CM1214" s="132"/>
      <c r="CN1214" s="132"/>
      <c r="CO1214" s="132"/>
      <c r="CP1214" s="132"/>
      <c r="CQ1214" s="132"/>
      <c r="CR1214" s="132"/>
      <c r="CS1214" s="132"/>
      <c r="CT1214" s="132"/>
      <c r="CU1214" s="132"/>
      <c r="CV1214" s="132"/>
      <c r="CW1214" s="132"/>
      <c r="CX1214" s="132"/>
      <c r="CY1214" s="132"/>
    </row>
    <row r="1215" spans="1:103">
      <c r="A1215" s="132"/>
      <c r="B1215" s="132"/>
      <c r="C1215" s="132"/>
      <c r="D1215" s="132"/>
      <c r="E1215" s="132"/>
      <c r="F1215" s="132"/>
      <c r="G1215" s="132"/>
      <c r="H1215" s="132"/>
      <c r="I1215" s="132"/>
      <c r="J1215" s="132"/>
      <c r="K1215" s="132"/>
      <c r="L1215" s="132"/>
      <c r="M1215" s="132"/>
      <c r="N1215" s="132"/>
      <c r="O1215" s="132"/>
      <c r="P1215" s="132"/>
      <c r="Q1215" s="132"/>
      <c r="R1215" s="132"/>
      <c r="S1215" s="132"/>
      <c r="T1215" s="132"/>
      <c r="U1215" s="132"/>
      <c r="V1215" s="132"/>
      <c r="W1215" s="132"/>
      <c r="X1215" s="132"/>
      <c r="Y1215" s="132"/>
      <c r="Z1215" s="132"/>
      <c r="AA1215" s="132"/>
      <c r="AB1215" s="132"/>
      <c r="AC1215" s="132"/>
      <c r="AD1215" s="132"/>
      <c r="AE1215" s="132"/>
      <c r="AF1215" s="132"/>
      <c r="AG1215" s="132"/>
      <c r="AH1215" s="132"/>
      <c r="AI1215" s="132"/>
      <c r="AJ1215" s="132"/>
      <c r="AK1215" s="132"/>
      <c r="AL1215" s="132"/>
      <c r="AM1215" s="132"/>
      <c r="AN1215" s="132"/>
      <c r="AO1215" s="132"/>
      <c r="AP1215" s="132"/>
      <c r="AQ1215" s="132"/>
      <c r="AR1215" s="132"/>
      <c r="AS1215" s="132"/>
      <c r="AT1215" s="132"/>
      <c r="AU1215" s="132"/>
      <c r="AV1215" s="132"/>
      <c r="AW1215" s="132"/>
      <c r="AX1215" s="132"/>
      <c r="AY1215" s="132"/>
      <c r="AZ1215" s="132"/>
      <c r="BA1215" s="132"/>
      <c r="BB1215" s="132"/>
      <c r="BC1215" s="132"/>
      <c r="BD1215" s="132"/>
      <c r="BE1215" s="132"/>
      <c r="BF1215" s="132"/>
      <c r="BG1215" s="132"/>
      <c r="BH1215" s="132"/>
      <c r="BI1215" s="132"/>
      <c r="BJ1215" s="132"/>
      <c r="BK1215" s="132"/>
      <c r="BL1215" s="132"/>
      <c r="BM1215" s="132"/>
      <c r="BN1215" s="132"/>
      <c r="BO1215" s="132"/>
      <c r="BP1215" s="132"/>
      <c r="BQ1215" s="132"/>
      <c r="BR1215" s="132"/>
      <c r="BS1215" s="132"/>
      <c r="BT1215" s="132"/>
      <c r="BU1215" s="132"/>
      <c r="BV1215" s="132"/>
      <c r="BW1215" s="132"/>
      <c r="BX1215" s="132"/>
      <c r="BY1215" s="132"/>
      <c r="BZ1215" s="132"/>
      <c r="CA1215" s="132"/>
      <c r="CB1215" s="132"/>
      <c r="CC1215" s="132"/>
      <c r="CD1215" s="132"/>
      <c r="CE1215" s="132"/>
      <c r="CF1215" s="132"/>
      <c r="CG1215" s="132"/>
      <c r="CH1215" s="132"/>
      <c r="CI1215" s="132"/>
      <c r="CJ1215" s="132"/>
      <c r="CK1215" s="132"/>
      <c r="CL1215" s="132"/>
      <c r="CM1215" s="132"/>
      <c r="CN1215" s="132"/>
      <c r="CO1215" s="132"/>
      <c r="CP1215" s="132"/>
      <c r="CQ1215" s="132"/>
      <c r="CR1215" s="132"/>
      <c r="CS1215" s="132"/>
      <c r="CT1215" s="132"/>
      <c r="CU1215" s="132"/>
      <c r="CV1215" s="132"/>
      <c r="CW1215" s="132"/>
      <c r="CX1215" s="132"/>
      <c r="CY1215" s="132"/>
    </row>
    <row r="1216" spans="1:103">
      <c r="A1216" s="132"/>
      <c r="B1216" s="132"/>
      <c r="C1216" s="132"/>
      <c r="D1216" s="132"/>
      <c r="E1216" s="132"/>
      <c r="F1216" s="132"/>
      <c r="G1216" s="132"/>
      <c r="H1216" s="132"/>
      <c r="I1216" s="132"/>
      <c r="J1216" s="132"/>
      <c r="K1216" s="132"/>
      <c r="L1216" s="132"/>
      <c r="M1216" s="132"/>
      <c r="N1216" s="132"/>
      <c r="O1216" s="132"/>
      <c r="P1216" s="132"/>
      <c r="Q1216" s="132"/>
      <c r="R1216" s="132"/>
      <c r="S1216" s="132"/>
      <c r="T1216" s="132"/>
      <c r="U1216" s="132"/>
      <c r="V1216" s="132"/>
      <c r="W1216" s="132"/>
      <c r="X1216" s="132"/>
      <c r="Y1216" s="132"/>
      <c r="Z1216" s="132"/>
      <c r="AA1216" s="132"/>
      <c r="AB1216" s="132"/>
      <c r="AC1216" s="132"/>
      <c r="AD1216" s="132"/>
      <c r="AE1216" s="132"/>
      <c r="AF1216" s="132"/>
      <c r="AG1216" s="132"/>
      <c r="AH1216" s="132"/>
      <c r="AI1216" s="132"/>
      <c r="AJ1216" s="132"/>
      <c r="AK1216" s="132"/>
      <c r="AL1216" s="132"/>
      <c r="AM1216" s="132"/>
      <c r="AN1216" s="132"/>
      <c r="AO1216" s="132"/>
      <c r="AP1216" s="132"/>
      <c r="AQ1216" s="132"/>
      <c r="AR1216" s="132"/>
      <c r="AS1216" s="132"/>
      <c r="AT1216" s="132"/>
      <c r="AU1216" s="132"/>
      <c r="AV1216" s="132"/>
      <c r="AW1216" s="132"/>
      <c r="AX1216" s="132"/>
      <c r="AY1216" s="132"/>
      <c r="AZ1216" s="132"/>
      <c r="BA1216" s="132"/>
      <c r="BB1216" s="132"/>
      <c r="BC1216" s="132"/>
      <c r="BD1216" s="132"/>
      <c r="BE1216" s="132"/>
      <c r="BF1216" s="132"/>
      <c r="BG1216" s="132"/>
      <c r="BH1216" s="132"/>
      <c r="BI1216" s="132"/>
      <c r="BJ1216" s="132"/>
      <c r="BK1216" s="132"/>
      <c r="BL1216" s="132"/>
      <c r="BM1216" s="132"/>
      <c r="BN1216" s="132"/>
      <c r="BO1216" s="132"/>
      <c r="BP1216" s="132"/>
      <c r="BQ1216" s="132"/>
      <c r="BR1216" s="132"/>
      <c r="BS1216" s="132"/>
      <c r="BT1216" s="132"/>
      <c r="BU1216" s="132"/>
      <c r="BV1216" s="132"/>
      <c r="BW1216" s="132"/>
      <c r="BX1216" s="132"/>
      <c r="BY1216" s="132"/>
      <c r="BZ1216" s="132"/>
      <c r="CA1216" s="132"/>
      <c r="CB1216" s="132"/>
      <c r="CC1216" s="132"/>
      <c r="CD1216" s="132"/>
      <c r="CE1216" s="132"/>
      <c r="CF1216" s="132"/>
      <c r="CG1216" s="132"/>
      <c r="CH1216" s="132"/>
      <c r="CI1216" s="132"/>
      <c r="CJ1216" s="132"/>
      <c r="CK1216" s="132"/>
      <c r="CL1216" s="132"/>
      <c r="CM1216" s="132"/>
      <c r="CN1216" s="132"/>
      <c r="CO1216" s="132"/>
      <c r="CP1216" s="132"/>
      <c r="CQ1216" s="132"/>
      <c r="CR1216" s="132"/>
      <c r="CS1216" s="132"/>
      <c r="CT1216" s="132"/>
      <c r="CU1216" s="132"/>
      <c r="CV1216" s="132"/>
      <c r="CW1216" s="132"/>
      <c r="CX1216" s="132"/>
      <c r="CY1216" s="132"/>
    </row>
    <row r="1217" spans="1:103">
      <c r="A1217" s="132"/>
      <c r="B1217" s="132"/>
      <c r="C1217" s="132"/>
      <c r="D1217" s="132"/>
      <c r="E1217" s="132"/>
      <c r="F1217" s="132"/>
      <c r="G1217" s="132"/>
      <c r="H1217" s="132"/>
      <c r="I1217" s="132"/>
      <c r="J1217" s="132"/>
      <c r="K1217" s="132"/>
      <c r="L1217" s="132"/>
      <c r="M1217" s="132"/>
      <c r="N1217" s="132"/>
      <c r="O1217" s="132"/>
      <c r="P1217" s="132"/>
      <c r="Q1217" s="132"/>
      <c r="R1217" s="132"/>
      <c r="S1217" s="132"/>
      <c r="T1217" s="132"/>
      <c r="U1217" s="132"/>
      <c r="V1217" s="132"/>
      <c r="W1217" s="132"/>
      <c r="X1217" s="132"/>
      <c r="Y1217" s="132"/>
      <c r="Z1217" s="132"/>
      <c r="AA1217" s="132"/>
      <c r="AB1217" s="132"/>
      <c r="AC1217" s="132"/>
      <c r="AD1217" s="132"/>
      <c r="AE1217" s="132"/>
      <c r="AF1217" s="132"/>
      <c r="AG1217" s="132"/>
      <c r="AH1217" s="132"/>
      <c r="AI1217" s="132"/>
      <c r="AJ1217" s="132"/>
      <c r="AK1217" s="132"/>
      <c r="AL1217" s="132"/>
      <c r="AM1217" s="132"/>
      <c r="AN1217" s="132"/>
      <c r="AO1217" s="132"/>
      <c r="AP1217" s="132"/>
      <c r="AQ1217" s="132"/>
      <c r="AR1217" s="132"/>
      <c r="AS1217" s="132"/>
      <c r="AT1217" s="132"/>
      <c r="AU1217" s="132"/>
      <c r="AV1217" s="132"/>
      <c r="AW1217" s="132"/>
      <c r="AX1217" s="132"/>
      <c r="AY1217" s="132"/>
      <c r="AZ1217" s="132"/>
      <c r="BA1217" s="132"/>
      <c r="BB1217" s="132"/>
      <c r="BC1217" s="132"/>
      <c r="BD1217" s="132"/>
      <c r="BE1217" s="132"/>
      <c r="BF1217" s="132"/>
      <c r="BG1217" s="132"/>
      <c r="BH1217" s="132"/>
      <c r="BI1217" s="132"/>
      <c r="BJ1217" s="132"/>
      <c r="BK1217" s="132"/>
      <c r="BL1217" s="132"/>
      <c r="BM1217" s="132"/>
      <c r="BN1217" s="132"/>
      <c r="BO1217" s="132"/>
      <c r="BP1217" s="132"/>
      <c r="BQ1217" s="132"/>
      <c r="BR1217" s="132"/>
      <c r="BS1217" s="132"/>
      <c r="BT1217" s="132"/>
      <c r="BU1217" s="132"/>
      <c r="BV1217" s="132"/>
      <c r="BW1217" s="132"/>
      <c r="BX1217" s="132"/>
      <c r="BY1217" s="132"/>
      <c r="BZ1217" s="132"/>
      <c r="CA1217" s="132"/>
      <c r="CB1217" s="132"/>
      <c r="CC1217" s="132"/>
      <c r="CD1217" s="132"/>
      <c r="CE1217" s="132"/>
      <c r="CF1217" s="132"/>
      <c r="CG1217" s="132"/>
      <c r="CH1217" s="132"/>
      <c r="CI1217" s="132"/>
      <c r="CJ1217" s="132"/>
      <c r="CK1217" s="132"/>
      <c r="CL1217" s="132"/>
      <c r="CM1217" s="132"/>
      <c r="CN1217" s="132"/>
      <c r="CO1217" s="132"/>
      <c r="CP1217" s="132"/>
      <c r="CQ1217" s="132"/>
      <c r="CR1217" s="132"/>
      <c r="CS1217" s="132"/>
      <c r="CT1217" s="132"/>
      <c r="CU1217" s="132"/>
      <c r="CV1217" s="132"/>
      <c r="CW1217" s="132"/>
      <c r="CX1217" s="132"/>
      <c r="CY1217" s="132"/>
    </row>
    <row r="1218" spans="1:103">
      <c r="A1218" s="132"/>
      <c r="B1218" s="132"/>
      <c r="C1218" s="132"/>
      <c r="D1218" s="132"/>
      <c r="E1218" s="132"/>
      <c r="F1218" s="132"/>
      <c r="G1218" s="132"/>
      <c r="H1218" s="132"/>
      <c r="I1218" s="132"/>
      <c r="J1218" s="132"/>
      <c r="K1218" s="132"/>
      <c r="L1218" s="132"/>
      <c r="M1218" s="132"/>
      <c r="N1218" s="132"/>
      <c r="O1218" s="132"/>
      <c r="P1218" s="132"/>
      <c r="Q1218" s="132"/>
      <c r="R1218" s="132"/>
      <c r="S1218" s="132"/>
      <c r="T1218" s="132"/>
      <c r="U1218" s="132"/>
      <c r="V1218" s="132"/>
      <c r="W1218" s="132"/>
      <c r="X1218" s="132"/>
      <c r="Y1218" s="132"/>
      <c r="Z1218" s="132"/>
      <c r="AA1218" s="132"/>
      <c r="AB1218" s="132"/>
      <c r="AC1218" s="132"/>
      <c r="AD1218" s="132"/>
      <c r="AE1218" s="132"/>
      <c r="AF1218" s="132"/>
      <c r="AG1218" s="132"/>
      <c r="AH1218" s="132"/>
      <c r="AI1218" s="132"/>
      <c r="AJ1218" s="132"/>
      <c r="AK1218" s="132"/>
      <c r="AL1218" s="132"/>
      <c r="AM1218" s="132"/>
      <c r="AN1218" s="132"/>
      <c r="AO1218" s="132"/>
      <c r="AP1218" s="132"/>
      <c r="AQ1218" s="132"/>
      <c r="AR1218" s="132"/>
      <c r="AS1218" s="132"/>
      <c r="AT1218" s="132"/>
      <c r="AU1218" s="132"/>
      <c r="AV1218" s="132"/>
      <c r="AW1218" s="132"/>
      <c r="AX1218" s="132"/>
      <c r="AY1218" s="132"/>
      <c r="AZ1218" s="132"/>
      <c r="BA1218" s="132"/>
      <c r="BB1218" s="132"/>
      <c r="BC1218" s="132"/>
      <c r="BD1218" s="132"/>
      <c r="BE1218" s="132"/>
      <c r="BF1218" s="132"/>
      <c r="BG1218" s="132"/>
      <c r="BH1218" s="132"/>
      <c r="BI1218" s="132"/>
      <c r="BJ1218" s="132"/>
      <c r="BK1218" s="132"/>
      <c r="BL1218" s="132"/>
      <c r="BM1218" s="132"/>
      <c r="BN1218" s="132"/>
      <c r="BO1218" s="132"/>
      <c r="BP1218" s="132"/>
      <c r="BQ1218" s="132"/>
      <c r="BR1218" s="132"/>
      <c r="BS1218" s="132"/>
      <c r="BT1218" s="132"/>
      <c r="BU1218" s="132"/>
      <c r="BV1218" s="132"/>
      <c r="BW1218" s="132"/>
      <c r="BX1218" s="132"/>
      <c r="BY1218" s="132"/>
      <c r="BZ1218" s="132"/>
      <c r="CA1218" s="132"/>
      <c r="CB1218" s="132"/>
      <c r="CC1218" s="132"/>
      <c r="CD1218" s="132"/>
      <c r="CE1218" s="132"/>
      <c r="CF1218" s="132"/>
      <c r="CG1218" s="132"/>
      <c r="CH1218" s="132"/>
      <c r="CI1218" s="132"/>
      <c r="CJ1218" s="132"/>
      <c r="CK1218" s="132"/>
      <c r="CL1218" s="132"/>
      <c r="CM1218" s="132"/>
      <c r="CN1218" s="132"/>
      <c r="CO1218" s="132"/>
      <c r="CP1218" s="132"/>
      <c r="CQ1218" s="132"/>
      <c r="CR1218" s="132"/>
      <c r="CS1218" s="132"/>
      <c r="CT1218" s="132"/>
      <c r="CU1218" s="132"/>
      <c r="CV1218" s="132"/>
      <c r="CW1218" s="132"/>
      <c r="CX1218" s="132"/>
      <c r="CY1218" s="132"/>
    </row>
    <row r="1219" spans="1:103">
      <c r="A1219" s="132"/>
      <c r="B1219" s="132"/>
      <c r="C1219" s="132"/>
      <c r="D1219" s="132"/>
      <c r="E1219" s="132"/>
      <c r="F1219" s="132"/>
      <c r="G1219" s="132"/>
      <c r="H1219" s="132"/>
      <c r="I1219" s="132"/>
      <c r="J1219" s="132"/>
      <c r="K1219" s="132"/>
      <c r="L1219" s="132"/>
      <c r="M1219" s="132"/>
      <c r="N1219" s="132"/>
      <c r="O1219" s="132"/>
      <c r="P1219" s="132"/>
      <c r="Q1219" s="132"/>
      <c r="R1219" s="132"/>
      <c r="S1219" s="132"/>
      <c r="T1219" s="132"/>
      <c r="U1219" s="132"/>
      <c r="V1219" s="132"/>
      <c r="W1219" s="132"/>
      <c r="X1219" s="132"/>
      <c r="Y1219" s="132"/>
      <c r="Z1219" s="132"/>
      <c r="AA1219" s="132"/>
      <c r="AB1219" s="132"/>
      <c r="AC1219" s="132"/>
      <c r="AD1219" s="132"/>
      <c r="AE1219" s="132"/>
      <c r="AF1219" s="132"/>
      <c r="AG1219" s="132"/>
      <c r="AH1219" s="132"/>
      <c r="AI1219" s="132"/>
      <c r="AJ1219" s="132"/>
      <c r="AK1219" s="132"/>
      <c r="AL1219" s="132"/>
      <c r="AM1219" s="132"/>
      <c r="AN1219" s="132"/>
      <c r="AO1219" s="132"/>
      <c r="AP1219" s="132"/>
      <c r="AQ1219" s="132"/>
      <c r="AR1219" s="132"/>
      <c r="AS1219" s="132"/>
      <c r="AT1219" s="132"/>
      <c r="AU1219" s="132"/>
      <c r="AV1219" s="132"/>
      <c r="AW1219" s="132"/>
      <c r="AX1219" s="132"/>
      <c r="AY1219" s="132"/>
      <c r="AZ1219" s="132"/>
      <c r="BA1219" s="132"/>
      <c r="BB1219" s="132"/>
      <c r="BC1219" s="132"/>
      <c r="BD1219" s="132"/>
      <c r="BE1219" s="132"/>
      <c r="BF1219" s="132"/>
      <c r="BG1219" s="132"/>
      <c r="BH1219" s="132"/>
      <c r="BI1219" s="132"/>
      <c r="BJ1219" s="132"/>
      <c r="BK1219" s="132"/>
      <c r="BL1219" s="132"/>
      <c r="BM1219" s="132"/>
      <c r="BN1219" s="132"/>
      <c r="BO1219" s="132"/>
      <c r="BP1219" s="132"/>
      <c r="BQ1219" s="132"/>
      <c r="BR1219" s="132"/>
      <c r="BS1219" s="132"/>
      <c r="BT1219" s="132"/>
      <c r="BU1219" s="132"/>
      <c r="BV1219" s="132"/>
      <c r="BW1219" s="132"/>
      <c r="BX1219" s="132"/>
      <c r="BY1219" s="132"/>
      <c r="BZ1219" s="132"/>
      <c r="CA1219" s="132"/>
      <c r="CB1219" s="132"/>
      <c r="CC1219" s="132"/>
      <c r="CD1219" s="132"/>
      <c r="CE1219" s="132"/>
      <c r="CF1219" s="132"/>
      <c r="CG1219" s="132"/>
      <c r="CH1219" s="132"/>
      <c r="CI1219" s="132"/>
      <c r="CJ1219" s="132"/>
      <c r="CK1219" s="132"/>
      <c r="CL1219" s="132"/>
      <c r="CM1219" s="132"/>
      <c r="CN1219" s="132"/>
      <c r="CO1219" s="132"/>
      <c r="CP1219" s="132"/>
      <c r="CQ1219" s="132"/>
      <c r="CR1219" s="132"/>
      <c r="CS1219" s="132"/>
      <c r="CT1219" s="132"/>
      <c r="CU1219" s="132"/>
      <c r="CV1219" s="132"/>
      <c r="CW1219" s="132"/>
      <c r="CX1219" s="132"/>
      <c r="CY1219" s="132"/>
    </row>
    <row r="1220" spans="1:103">
      <c r="A1220" s="132"/>
      <c r="B1220" s="132"/>
      <c r="C1220" s="132"/>
      <c r="D1220" s="132"/>
      <c r="E1220" s="132"/>
      <c r="F1220" s="132"/>
      <c r="G1220" s="132"/>
      <c r="H1220" s="132"/>
      <c r="I1220" s="132"/>
      <c r="J1220" s="132"/>
      <c r="K1220" s="132"/>
      <c r="L1220" s="132"/>
      <c r="M1220" s="132"/>
      <c r="N1220" s="132"/>
      <c r="O1220" s="132"/>
      <c r="P1220" s="132"/>
      <c r="Q1220" s="132"/>
      <c r="R1220" s="132"/>
      <c r="S1220" s="132"/>
      <c r="T1220" s="132"/>
      <c r="U1220" s="132"/>
      <c r="V1220" s="132"/>
      <c r="W1220" s="132"/>
      <c r="X1220" s="132"/>
      <c r="Y1220" s="132"/>
      <c r="Z1220" s="132"/>
      <c r="AA1220" s="132"/>
      <c r="AB1220" s="132"/>
      <c r="AC1220" s="132"/>
      <c r="AD1220" s="132"/>
      <c r="AE1220" s="132"/>
      <c r="AF1220" s="132"/>
      <c r="AG1220" s="132"/>
      <c r="AH1220" s="132"/>
      <c r="AI1220" s="132"/>
      <c r="AJ1220" s="132"/>
      <c r="AK1220" s="132"/>
      <c r="AL1220" s="132"/>
      <c r="AM1220" s="132"/>
      <c r="AN1220" s="132"/>
      <c r="AO1220" s="132"/>
      <c r="AP1220" s="132"/>
      <c r="AQ1220" s="132"/>
      <c r="AR1220" s="132"/>
      <c r="AS1220" s="132"/>
      <c r="AT1220" s="132"/>
      <c r="AU1220" s="132"/>
      <c r="AV1220" s="132"/>
      <c r="AW1220" s="132"/>
      <c r="AX1220" s="132"/>
      <c r="AY1220" s="132"/>
      <c r="AZ1220" s="132"/>
      <c r="BA1220" s="132"/>
      <c r="BB1220" s="132"/>
      <c r="BC1220" s="132"/>
      <c r="BD1220" s="132"/>
      <c r="BE1220" s="132"/>
      <c r="BF1220" s="132"/>
      <c r="BG1220" s="132"/>
      <c r="BH1220" s="132"/>
      <c r="BI1220" s="132"/>
      <c r="BJ1220" s="132"/>
      <c r="BK1220" s="132"/>
      <c r="BL1220" s="132"/>
      <c r="BM1220" s="132"/>
      <c r="BN1220" s="132"/>
      <c r="BO1220" s="132"/>
      <c r="BP1220" s="132"/>
      <c r="BQ1220" s="132"/>
      <c r="BR1220" s="132"/>
      <c r="BS1220" s="132"/>
      <c r="BT1220" s="132"/>
      <c r="BU1220" s="132"/>
      <c r="BV1220" s="132"/>
      <c r="BW1220" s="132"/>
      <c r="BX1220" s="132"/>
      <c r="BY1220" s="132"/>
      <c r="BZ1220" s="132"/>
      <c r="CA1220" s="132"/>
      <c r="CB1220" s="132"/>
      <c r="CC1220" s="132"/>
      <c r="CD1220" s="132"/>
      <c r="CE1220" s="132"/>
      <c r="CF1220" s="132"/>
      <c r="CG1220" s="132"/>
      <c r="CH1220" s="132"/>
      <c r="CI1220" s="132"/>
      <c r="CJ1220" s="132"/>
      <c r="CK1220" s="132"/>
      <c r="CL1220" s="132"/>
      <c r="CM1220" s="132"/>
      <c r="CN1220" s="132"/>
      <c r="CO1220" s="132"/>
      <c r="CP1220" s="132"/>
      <c r="CQ1220" s="132"/>
      <c r="CR1220" s="132"/>
      <c r="CS1220" s="132"/>
      <c r="CT1220" s="132"/>
      <c r="CU1220" s="132"/>
      <c r="CV1220" s="132"/>
      <c r="CW1220" s="132"/>
      <c r="CX1220" s="132"/>
      <c r="CY1220" s="132"/>
    </row>
    <row r="1221" spans="1:103">
      <c r="A1221" s="132"/>
      <c r="B1221" s="132"/>
      <c r="C1221" s="132"/>
      <c r="D1221" s="132"/>
      <c r="E1221" s="132"/>
      <c r="F1221" s="132"/>
      <c r="G1221" s="132"/>
      <c r="H1221" s="132"/>
      <c r="I1221" s="132"/>
      <c r="J1221" s="132"/>
      <c r="K1221" s="132"/>
      <c r="L1221" s="132"/>
      <c r="M1221" s="132"/>
      <c r="N1221" s="132"/>
      <c r="O1221" s="132"/>
      <c r="P1221" s="132"/>
      <c r="Q1221" s="132"/>
      <c r="R1221" s="132"/>
      <c r="S1221" s="132"/>
      <c r="T1221" s="132"/>
      <c r="U1221" s="132"/>
      <c r="V1221" s="132"/>
      <c r="W1221" s="132"/>
      <c r="X1221" s="132"/>
      <c r="Y1221" s="132"/>
      <c r="Z1221" s="132"/>
      <c r="AA1221" s="132"/>
      <c r="AB1221" s="132"/>
      <c r="AC1221" s="132"/>
      <c r="AD1221" s="132"/>
      <c r="AE1221" s="132"/>
      <c r="AF1221" s="132"/>
      <c r="AG1221" s="132"/>
      <c r="AH1221" s="132"/>
      <c r="AI1221" s="132"/>
      <c r="AJ1221" s="132"/>
      <c r="AK1221" s="132"/>
      <c r="AL1221" s="132"/>
      <c r="AM1221" s="132"/>
      <c r="AN1221" s="132"/>
      <c r="AO1221" s="132"/>
      <c r="AP1221" s="132"/>
      <c r="AQ1221" s="132"/>
      <c r="AR1221" s="132"/>
      <c r="AS1221" s="132"/>
      <c r="AT1221" s="132"/>
      <c r="AU1221" s="132"/>
      <c r="AV1221" s="132"/>
      <c r="AW1221" s="132"/>
      <c r="AX1221" s="132"/>
      <c r="AY1221" s="132"/>
      <c r="AZ1221" s="132"/>
      <c r="BA1221" s="132"/>
      <c r="BB1221" s="132"/>
      <c r="BC1221" s="132"/>
      <c r="BD1221" s="132"/>
      <c r="BE1221" s="132"/>
      <c r="BF1221" s="132"/>
      <c r="BG1221" s="132"/>
      <c r="BH1221" s="132"/>
      <c r="BI1221" s="132"/>
      <c r="BJ1221" s="132"/>
      <c r="BK1221" s="132"/>
      <c r="BL1221" s="132"/>
      <c r="BM1221" s="132"/>
      <c r="BN1221" s="132"/>
      <c r="BO1221" s="132"/>
      <c r="BP1221" s="132"/>
      <c r="BQ1221" s="132"/>
      <c r="BR1221" s="132"/>
      <c r="BS1221" s="132"/>
      <c r="BT1221" s="132"/>
      <c r="BU1221" s="132"/>
      <c r="BV1221" s="132"/>
      <c r="BW1221" s="132"/>
      <c r="BX1221" s="132"/>
      <c r="BY1221" s="132"/>
      <c r="BZ1221" s="132"/>
      <c r="CA1221" s="132"/>
      <c r="CB1221" s="132"/>
      <c r="CC1221" s="132"/>
      <c r="CD1221" s="132"/>
      <c r="CE1221" s="132"/>
      <c r="CF1221" s="132"/>
      <c r="CG1221" s="132"/>
      <c r="CH1221" s="132"/>
      <c r="CI1221" s="132"/>
      <c r="CJ1221" s="132"/>
      <c r="CK1221" s="132"/>
      <c r="CL1221" s="132"/>
      <c r="CM1221" s="132"/>
      <c r="CN1221" s="132"/>
      <c r="CO1221" s="132"/>
      <c r="CP1221" s="132"/>
      <c r="CQ1221" s="132"/>
      <c r="CR1221" s="132"/>
      <c r="CS1221" s="132"/>
      <c r="CT1221" s="132"/>
      <c r="CU1221" s="132"/>
      <c r="CV1221" s="132"/>
      <c r="CW1221" s="132"/>
      <c r="CX1221" s="132"/>
      <c r="CY1221" s="132"/>
    </row>
    <row r="1222" spans="1:103">
      <c r="A1222" s="132"/>
      <c r="B1222" s="132"/>
      <c r="C1222" s="132"/>
      <c r="D1222" s="132"/>
      <c r="E1222" s="132"/>
      <c r="F1222" s="132"/>
      <c r="G1222" s="132"/>
      <c r="H1222" s="132"/>
      <c r="I1222" s="132"/>
      <c r="J1222" s="132"/>
      <c r="K1222" s="132"/>
      <c r="L1222" s="132"/>
      <c r="M1222" s="132"/>
      <c r="N1222" s="132"/>
      <c r="O1222" s="132"/>
      <c r="P1222" s="132"/>
      <c r="Q1222" s="132"/>
      <c r="R1222" s="132"/>
      <c r="S1222" s="132"/>
      <c r="T1222" s="132"/>
      <c r="U1222" s="132"/>
      <c r="V1222" s="132"/>
      <c r="W1222" s="132"/>
      <c r="X1222" s="132"/>
      <c r="Y1222" s="132"/>
      <c r="Z1222" s="132"/>
      <c r="AA1222" s="132"/>
      <c r="AB1222" s="132"/>
      <c r="AC1222" s="132"/>
      <c r="AD1222" s="132"/>
      <c r="AE1222" s="132"/>
      <c r="AF1222" s="132"/>
      <c r="AG1222" s="132"/>
      <c r="AH1222" s="132"/>
      <c r="AI1222" s="132"/>
      <c r="AJ1222" s="132"/>
      <c r="AK1222" s="132"/>
      <c r="AL1222" s="132"/>
      <c r="AM1222" s="132"/>
      <c r="AN1222" s="132"/>
      <c r="AO1222" s="132"/>
      <c r="AP1222" s="132"/>
      <c r="AQ1222" s="132"/>
      <c r="AR1222" s="132"/>
      <c r="AS1222" s="132"/>
      <c r="AT1222" s="132"/>
      <c r="AU1222" s="132"/>
      <c r="AV1222" s="132"/>
      <c r="AW1222" s="132"/>
      <c r="AX1222" s="132"/>
      <c r="AY1222" s="132"/>
      <c r="AZ1222" s="132"/>
      <c r="BA1222" s="132"/>
      <c r="BB1222" s="132"/>
      <c r="BC1222" s="132"/>
      <c r="BD1222" s="132"/>
      <c r="BE1222" s="132"/>
      <c r="BF1222" s="132"/>
      <c r="BG1222" s="132"/>
      <c r="BH1222" s="132"/>
      <c r="BI1222" s="132"/>
      <c r="BJ1222" s="132"/>
      <c r="BK1222" s="132"/>
      <c r="BL1222" s="132"/>
      <c r="BM1222" s="132"/>
      <c r="BN1222" s="132"/>
      <c r="BO1222" s="132"/>
      <c r="BP1222" s="132"/>
      <c r="BQ1222" s="132"/>
      <c r="BR1222" s="132"/>
      <c r="BS1222" s="132"/>
      <c r="BT1222" s="132"/>
      <c r="BU1222" s="132"/>
      <c r="BV1222" s="132"/>
      <c r="BW1222" s="132"/>
      <c r="BX1222" s="132"/>
      <c r="BY1222" s="132"/>
      <c r="BZ1222" s="132"/>
      <c r="CA1222" s="132"/>
      <c r="CB1222" s="132"/>
      <c r="CC1222" s="132"/>
      <c r="CD1222" s="132"/>
      <c r="CE1222" s="132"/>
      <c r="CF1222" s="132"/>
      <c r="CG1222" s="132"/>
      <c r="CH1222" s="132"/>
      <c r="CI1222" s="132"/>
      <c r="CJ1222" s="132"/>
      <c r="CK1222" s="132"/>
      <c r="CL1222" s="132"/>
      <c r="CM1222" s="132"/>
      <c r="CN1222" s="132"/>
      <c r="CO1222" s="132"/>
      <c r="CP1222" s="132"/>
      <c r="CQ1222" s="132"/>
      <c r="CR1222" s="132"/>
      <c r="CS1222" s="132"/>
      <c r="CT1222" s="132"/>
      <c r="CU1222" s="132"/>
      <c r="CV1222" s="132"/>
      <c r="CW1222" s="132"/>
      <c r="CX1222" s="132"/>
      <c r="CY1222" s="132"/>
    </row>
    <row r="1223" spans="1:103">
      <c r="A1223" s="132"/>
      <c r="B1223" s="132"/>
      <c r="C1223" s="132"/>
      <c r="D1223" s="132"/>
      <c r="E1223" s="132"/>
      <c r="F1223" s="132"/>
      <c r="G1223" s="132"/>
      <c r="H1223" s="132"/>
      <c r="I1223" s="132"/>
      <c r="J1223" s="132"/>
      <c r="K1223" s="132"/>
      <c r="L1223" s="132"/>
      <c r="M1223" s="132"/>
      <c r="N1223" s="132"/>
      <c r="O1223" s="132"/>
      <c r="P1223" s="132"/>
      <c r="Q1223" s="132"/>
      <c r="R1223" s="132"/>
      <c r="S1223" s="132"/>
      <c r="T1223" s="132"/>
      <c r="U1223" s="132"/>
      <c r="V1223" s="132"/>
      <c r="W1223" s="132"/>
      <c r="X1223" s="132"/>
      <c r="Y1223" s="132"/>
      <c r="Z1223" s="132"/>
      <c r="AA1223" s="132"/>
      <c r="AB1223" s="132"/>
      <c r="AC1223" s="132"/>
      <c r="AD1223" s="132"/>
      <c r="AE1223" s="132"/>
      <c r="AF1223" s="132"/>
      <c r="AG1223" s="132"/>
      <c r="AH1223" s="132"/>
      <c r="AI1223" s="132"/>
      <c r="AJ1223" s="132"/>
      <c r="AK1223" s="132"/>
      <c r="AL1223" s="132"/>
      <c r="AM1223" s="132"/>
      <c r="AN1223" s="132"/>
      <c r="AO1223" s="132"/>
      <c r="AP1223" s="132"/>
      <c r="AQ1223" s="132"/>
      <c r="AR1223" s="132"/>
      <c r="AS1223" s="132"/>
      <c r="AT1223" s="132"/>
      <c r="AU1223" s="132"/>
      <c r="AV1223" s="132"/>
      <c r="AW1223" s="132"/>
      <c r="AX1223" s="132"/>
      <c r="AY1223" s="132"/>
      <c r="AZ1223" s="132"/>
      <c r="BA1223" s="132"/>
      <c r="BB1223" s="132"/>
      <c r="BC1223" s="132"/>
      <c r="BD1223" s="132"/>
      <c r="BE1223" s="132"/>
      <c r="BF1223" s="132"/>
      <c r="BG1223" s="132"/>
      <c r="BH1223" s="132"/>
      <c r="BI1223" s="132"/>
      <c r="BJ1223" s="132"/>
      <c r="BK1223" s="132"/>
      <c r="BL1223" s="132"/>
      <c r="BM1223" s="132"/>
      <c r="BN1223" s="132"/>
      <c r="BO1223" s="132"/>
      <c r="BP1223" s="132"/>
      <c r="BQ1223" s="132"/>
      <c r="BR1223" s="132"/>
      <c r="BS1223" s="132"/>
      <c r="BT1223" s="132"/>
      <c r="BU1223" s="132"/>
      <c r="BV1223" s="132"/>
      <c r="BW1223" s="132"/>
      <c r="BX1223" s="132"/>
      <c r="BY1223" s="132"/>
      <c r="BZ1223" s="132"/>
      <c r="CA1223" s="132"/>
      <c r="CB1223" s="132"/>
      <c r="CC1223" s="132"/>
      <c r="CD1223" s="132"/>
      <c r="CE1223" s="132"/>
      <c r="CF1223" s="132"/>
      <c r="CG1223" s="132"/>
      <c r="CH1223" s="132"/>
      <c r="CI1223" s="132"/>
      <c r="CJ1223" s="132"/>
      <c r="CK1223" s="132"/>
      <c r="CL1223" s="132"/>
      <c r="CM1223" s="132"/>
      <c r="CN1223" s="132"/>
      <c r="CO1223" s="132"/>
      <c r="CP1223" s="132"/>
      <c r="CQ1223" s="132"/>
      <c r="CR1223" s="132"/>
      <c r="CS1223" s="132"/>
      <c r="CT1223" s="132"/>
      <c r="CU1223" s="132"/>
      <c r="CV1223" s="132"/>
      <c r="CW1223" s="132"/>
      <c r="CX1223" s="132"/>
      <c r="CY1223" s="132"/>
    </row>
    <row r="1224" spans="1:103">
      <c r="A1224" s="132"/>
      <c r="B1224" s="132"/>
      <c r="C1224" s="132"/>
      <c r="D1224" s="132"/>
      <c r="E1224" s="132"/>
      <c r="F1224" s="132"/>
      <c r="G1224" s="132"/>
      <c r="H1224" s="132"/>
      <c r="I1224" s="132"/>
      <c r="J1224" s="132"/>
      <c r="K1224" s="132"/>
      <c r="L1224" s="132"/>
      <c r="M1224" s="132"/>
      <c r="N1224" s="132"/>
      <c r="O1224" s="132"/>
      <c r="P1224" s="132"/>
      <c r="Q1224" s="132"/>
      <c r="R1224" s="132"/>
      <c r="S1224" s="132"/>
      <c r="T1224" s="132"/>
      <c r="U1224" s="132"/>
      <c r="V1224" s="132"/>
      <c r="W1224" s="132"/>
      <c r="X1224" s="132"/>
      <c r="Y1224" s="132"/>
      <c r="Z1224" s="132"/>
      <c r="AA1224" s="132"/>
      <c r="AB1224" s="132"/>
      <c r="AC1224" s="132"/>
      <c r="AD1224" s="132"/>
      <c r="AE1224" s="132"/>
      <c r="AF1224" s="132"/>
      <c r="AG1224" s="132"/>
      <c r="AH1224" s="132"/>
      <c r="AI1224" s="132"/>
      <c r="AJ1224" s="132"/>
      <c r="AK1224" s="132"/>
      <c r="AL1224" s="132"/>
      <c r="AM1224" s="132"/>
      <c r="AN1224" s="132"/>
      <c r="AO1224" s="132"/>
      <c r="AP1224" s="132"/>
      <c r="AQ1224" s="132"/>
      <c r="AR1224" s="132"/>
      <c r="AS1224" s="132"/>
      <c r="AT1224" s="132"/>
      <c r="AU1224" s="132"/>
      <c r="AV1224" s="132"/>
      <c r="AW1224" s="132"/>
      <c r="AX1224" s="132"/>
      <c r="AY1224" s="132"/>
      <c r="AZ1224" s="132"/>
      <c r="BA1224" s="132"/>
      <c r="BB1224" s="132"/>
      <c r="BC1224" s="132"/>
      <c r="BD1224" s="132"/>
      <c r="BE1224" s="132"/>
      <c r="BF1224" s="132"/>
      <c r="BG1224" s="132"/>
      <c r="BH1224" s="132"/>
      <c r="BI1224" s="132"/>
      <c r="BJ1224" s="132"/>
      <c r="BK1224" s="132"/>
      <c r="BL1224" s="132"/>
      <c r="BM1224" s="132"/>
      <c r="BN1224" s="132"/>
      <c r="BO1224" s="132"/>
      <c r="BP1224" s="132"/>
      <c r="BQ1224" s="132"/>
      <c r="BR1224" s="132"/>
      <c r="BS1224" s="132"/>
      <c r="BT1224" s="132"/>
      <c r="BU1224" s="132"/>
      <c r="BV1224" s="132"/>
      <c r="BW1224" s="132"/>
      <c r="BX1224" s="132"/>
      <c r="BY1224" s="132"/>
      <c r="BZ1224" s="132"/>
      <c r="CA1224" s="132"/>
      <c r="CB1224" s="132"/>
      <c r="CC1224" s="132"/>
      <c r="CD1224" s="132"/>
      <c r="CE1224" s="132"/>
      <c r="CF1224" s="132"/>
      <c r="CG1224" s="132"/>
      <c r="CH1224" s="132"/>
      <c r="CI1224" s="132"/>
      <c r="CJ1224" s="132"/>
      <c r="CK1224" s="132"/>
      <c r="CL1224" s="132"/>
      <c r="CM1224" s="132"/>
      <c r="CN1224" s="132"/>
      <c r="CO1224" s="132"/>
      <c r="CP1224" s="132"/>
      <c r="CQ1224" s="132"/>
      <c r="CR1224" s="132"/>
      <c r="CS1224" s="132"/>
      <c r="CT1224" s="132"/>
      <c r="CU1224" s="132"/>
      <c r="CV1224" s="132"/>
      <c r="CW1224" s="132"/>
      <c r="CX1224" s="132"/>
      <c r="CY1224" s="132"/>
    </row>
    <row r="1225" spans="1:103">
      <c r="A1225" s="132"/>
      <c r="B1225" s="132"/>
      <c r="C1225" s="132"/>
      <c r="D1225" s="132"/>
      <c r="E1225" s="132"/>
      <c r="F1225" s="132"/>
      <c r="G1225" s="132"/>
      <c r="H1225" s="132"/>
      <c r="I1225" s="132"/>
      <c r="J1225" s="132"/>
      <c r="K1225" s="132"/>
      <c r="L1225" s="132"/>
      <c r="M1225" s="132"/>
      <c r="N1225" s="132"/>
      <c r="O1225" s="132"/>
      <c r="P1225" s="132"/>
      <c r="Q1225" s="132"/>
      <c r="R1225" s="132"/>
      <c r="S1225" s="132"/>
      <c r="T1225" s="132"/>
      <c r="U1225" s="132"/>
      <c r="V1225" s="132"/>
      <c r="W1225" s="132"/>
      <c r="X1225" s="132"/>
      <c r="Y1225" s="132"/>
      <c r="Z1225" s="132"/>
      <c r="AA1225" s="132"/>
      <c r="AB1225" s="132"/>
      <c r="AC1225" s="132"/>
      <c r="AD1225" s="132"/>
      <c r="AE1225" s="132"/>
      <c r="AF1225" s="132"/>
      <c r="AG1225" s="132"/>
      <c r="AH1225" s="132"/>
      <c r="AI1225" s="132"/>
      <c r="AJ1225" s="132"/>
      <c r="AK1225" s="132"/>
      <c r="AL1225" s="132"/>
      <c r="AM1225" s="132"/>
      <c r="AN1225" s="132"/>
      <c r="AO1225" s="132"/>
      <c r="AP1225" s="132"/>
      <c r="AQ1225" s="132"/>
      <c r="AR1225" s="132"/>
      <c r="AS1225" s="132"/>
      <c r="AT1225" s="132"/>
      <c r="AU1225" s="132"/>
      <c r="AV1225" s="132"/>
      <c r="AW1225" s="132"/>
      <c r="AX1225" s="132"/>
      <c r="AY1225" s="132"/>
      <c r="AZ1225" s="132"/>
      <c r="BA1225" s="132"/>
      <c r="BB1225" s="132"/>
      <c r="BC1225" s="132"/>
      <c r="BD1225" s="132"/>
      <c r="BE1225" s="132"/>
      <c r="BF1225" s="132"/>
      <c r="BG1225" s="132"/>
      <c r="BH1225" s="132"/>
      <c r="BI1225" s="132"/>
      <c r="BJ1225" s="132"/>
      <c r="BK1225" s="132"/>
      <c r="BL1225" s="132"/>
      <c r="BM1225" s="132"/>
      <c r="BN1225" s="132"/>
      <c r="BO1225" s="132"/>
      <c r="BP1225" s="132"/>
      <c r="BQ1225" s="132"/>
      <c r="BR1225" s="132"/>
      <c r="BS1225" s="132"/>
      <c r="BT1225" s="132"/>
      <c r="BU1225" s="132"/>
      <c r="BV1225" s="132"/>
      <c r="BW1225" s="132"/>
      <c r="BX1225" s="132"/>
      <c r="BY1225" s="132"/>
      <c r="BZ1225" s="132"/>
      <c r="CA1225" s="132"/>
      <c r="CB1225" s="132"/>
      <c r="CC1225" s="132"/>
      <c r="CD1225" s="132"/>
      <c r="CE1225" s="132"/>
      <c r="CF1225" s="132"/>
      <c r="CG1225" s="132"/>
      <c r="CH1225" s="132"/>
      <c r="CI1225" s="132"/>
      <c r="CJ1225" s="132"/>
      <c r="CK1225" s="132"/>
      <c r="CL1225" s="132"/>
      <c r="CM1225" s="132"/>
      <c r="CN1225" s="132"/>
      <c r="CO1225" s="132"/>
      <c r="CP1225" s="132"/>
      <c r="CQ1225" s="132"/>
      <c r="CR1225" s="132"/>
      <c r="CS1225" s="132"/>
      <c r="CT1225" s="132"/>
      <c r="CU1225" s="132"/>
      <c r="CV1225" s="132"/>
      <c r="CW1225" s="132"/>
      <c r="CX1225" s="132"/>
      <c r="CY1225" s="132"/>
    </row>
    <row r="1226" spans="1:103">
      <c r="A1226" s="132"/>
      <c r="B1226" s="132"/>
      <c r="C1226" s="132"/>
      <c r="D1226" s="132"/>
      <c r="E1226" s="132"/>
      <c r="F1226" s="132"/>
      <c r="G1226" s="132"/>
      <c r="H1226" s="132"/>
      <c r="I1226" s="132"/>
      <c r="J1226" s="132"/>
      <c r="K1226" s="132"/>
      <c r="L1226" s="132"/>
      <c r="M1226" s="132"/>
      <c r="N1226" s="132"/>
      <c r="O1226" s="132"/>
      <c r="P1226" s="132"/>
      <c r="Q1226" s="132"/>
      <c r="R1226" s="132"/>
      <c r="S1226" s="132"/>
      <c r="T1226" s="132"/>
      <c r="U1226" s="132"/>
      <c r="V1226" s="132"/>
      <c r="W1226" s="132"/>
      <c r="X1226" s="132"/>
      <c r="Y1226" s="132"/>
      <c r="Z1226" s="132"/>
      <c r="AA1226" s="132"/>
      <c r="AB1226" s="132"/>
      <c r="AC1226" s="132"/>
      <c r="AD1226" s="132"/>
      <c r="AE1226" s="132"/>
      <c r="AF1226" s="132"/>
      <c r="AG1226" s="132"/>
      <c r="AH1226" s="132"/>
      <c r="AI1226" s="132"/>
      <c r="AJ1226" s="132"/>
      <c r="AK1226" s="132"/>
      <c r="AL1226" s="132"/>
      <c r="AM1226" s="132"/>
      <c r="AN1226" s="132"/>
      <c r="AO1226" s="132"/>
      <c r="AP1226" s="132"/>
      <c r="AQ1226" s="132"/>
      <c r="AR1226" s="132"/>
      <c r="AS1226" s="132"/>
      <c r="AT1226" s="132"/>
      <c r="AU1226" s="132"/>
      <c r="AV1226" s="132"/>
      <c r="AW1226" s="132"/>
      <c r="AX1226" s="132"/>
      <c r="AY1226" s="132"/>
      <c r="AZ1226" s="132"/>
      <c r="BA1226" s="132"/>
      <c r="BB1226" s="132"/>
      <c r="BC1226" s="132"/>
      <c r="BD1226" s="132"/>
      <c r="BE1226" s="132"/>
      <c r="BF1226" s="132"/>
      <c r="BG1226" s="132"/>
      <c r="BH1226" s="132"/>
      <c r="BI1226" s="132"/>
      <c r="BJ1226" s="132"/>
      <c r="BK1226" s="132"/>
      <c r="BL1226" s="132"/>
      <c r="BM1226" s="132"/>
      <c r="BN1226" s="132"/>
      <c r="BO1226" s="132"/>
      <c r="BP1226" s="132"/>
      <c r="BQ1226" s="132"/>
      <c r="BR1226" s="132"/>
      <c r="BS1226" s="132"/>
      <c r="BT1226" s="132"/>
      <c r="BU1226" s="132"/>
      <c r="BV1226" s="132"/>
      <c r="BW1226" s="132"/>
      <c r="BX1226" s="132"/>
      <c r="BY1226" s="132"/>
      <c r="BZ1226" s="132"/>
      <c r="CA1226" s="132"/>
      <c r="CB1226" s="132"/>
      <c r="CC1226" s="132"/>
      <c r="CD1226" s="132"/>
      <c r="CE1226" s="132"/>
      <c r="CF1226" s="132"/>
      <c r="CG1226" s="132"/>
      <c r="CH1226" s="132"/>
      <c r="CI1226" s="132"/>
      <c r="CJ1226" s="132"/>
      <c r="CK1226" s="132"/>
      <c r="CL1226" s="132"/>
      <c r="CM1226" s="132"/>
      <c r="CN1226" s="132"/>
      <c r="CO1226" s="132"/>
      <c r="CP1226" s="132"/>
      <c r="CQ1226" s="132"/>
      <c r="CR1226" s="132"/>
      <c r="CS1226" s="132"/>
      <c r="CT1226" s="132"/>
      <c r="CU1226" s="132"/>
      <c r="CV1226" s="132"/>
      <c r="CW1226" s="132"/>
      <c r="CX1226" s="132"/>
      <c r="CY1226" s="132"/>
    </row>
    <row r="1227" spans="1:103">
      <c r="A1227" s="132"/>
      <c r="B1227" s="132"/>
      <c r="C1227" s="132"/>
      <c r="D1227" s="132"/>
      <c r="E1227" s="132"/>
      <c r="F1227" s="132"/>
      <c r="G1227" s="132"/>
      <c r="H1227" s="132"/>
      <c r="I1227" s="132"/>
      <c r="J1227" s="132"/>
      <c r="K1227" s="132"/>
      <c r="L1227" s="132"/>
      <c r="M1227" s="132"/>
      <c r="N1227" s="132"/>
      <c r="O1227" s="132"/>
      <c r="P1227" s="132"/>
      <c r="Q1227" s="132"/>
      <c r="R1227" s="132"/>
      <c r="S1227" s="132"/>
      <c r="T1227" s="132"/>
      <c r="U1227" s="132"/>
      <c r="V1227" s="132"/>
      <c r="W1227" s="132"/>
      <c r="X1227" s="132"/>
      <c r="Y1227" s="132"/>
      <c r="Z1227" s="132"/>
      <c r="AA1227" s="132"/>
      <c r="AB1227" s="132"/>
      <c r="AC1227" s="132"/>
      <c r="AD1227" s="132"/>
      <c r="AE1227" s="132"/>
      <c r="AF1227" s="132"/>
      <c r="AG1227" s="132"/>
      <c r="AH1227" s="132"/>
      <c r="AI1227" s="132"/>
      <c r="AJ1227" s="132"/>
      <c r="AK1227" s="132"/>
      <c r="AL1227" s="132"/>
      <c r="AM1227" s="132"/>
      <c r="AN1227" s="132"/>
      <c r="AO1227" s="132"/>
      <c r="AP1227" s="132"/>
      <c r="AQ1227" s="132"/>
      <c r="AR1227" s="132"/>
      <c r="AS1227" s="132"/>
      <c r="AT1227" s="132"/>
      <c r="AU1227" s="132"/>
      <c r="AV1227" s="132"/>
      <c r="AW1227" s="132"/>
      <c r="AX1227" s="132"/>
      <c r="AY1227" s="132"/>
      <c r="AZ1227" s="132"/>
      <c r="BA1227" s="132"/>
      <c r="BB1227" s="132"/>
      <c r="BC1227" s="132"/>
      <c r="BD1227" s="132"/>
      <c r="BE1227" s="132"/>
      <c r="BF1227" s="132"/>
      <c r="BG1227" s="132"/>
      <c r="BH1227" s="132"/>
      <c r="BI1227" s="132"/>
      <c r="BJ1227" s="132"/>
      <c r="BK1227" s="132"/>
      <c r="BL1227" s="132"/>
      <c r="BM1227" s="132"/>
      <c r="BN1227" s="132"/>
      <c r="BO1227" s="132"/>
      <c r="BP1227" s="132"/>
      <c r="BQ1227" s="132"/>
      <c r="BR1227" s="132"/>
      <c r="BS1227" s="132"/>
      <c r="BT1227" s="132"/>
      <c r="BU1227" s="132"/>
      <c r="BV1227" s="132"/>
      <c r="BW1227" s="132"/>
      <c r="BX1227" s="132"/>
      <c r="BY1227" s="132"/>
      <c r="BZ1227" s="132"/>
      <c r="CA1227" s="132"/>
      <c r="CB1227" s="132"/>
      <c r="CC1227" s="132"/>
      <c r="CD1227" s="132"/>
      <c r="CE1227" s="132"/>
      <c r="CF1227" s="132"/>
      <c r="CG1227" s="132"/>
      <c r="CH1227" s="132"/>
      <c r="CI1227" s="132"/>
      <c r="CJ1227" s="132"/>
      <c r="CK1227" s="132"/>
      <c r="CL1227" s="132"/>
      <c r="CM1227" s="132"/>
      <c r="CN1227" s="132"/>
      <c r="CO1227" s="132"/>
      <c r="CP1227" s="132"/>
      <c r="CQ1227" s="132"/>
      <c r="CR1227" s="132"/>
      <c r="CS1227" s="132"/>
      <c r="CT1227" s="132"/>
      <c r="CU1227" s="132"/>
      <c r="CV1227" s="132"/>
      <c r="CW1227" s="132"/>
      <c r="CX1227" s="132"/>
      <c r="CY1227" s="132"/>
    </row>
    <row r="1228" spans="1:103">
      <c r="A1228" s="132"/>
      <c r="B1228" s="132"/>
      <c r="C1228" s="132"/>
      <c r="D1228" s="132"/>
      <c r="E1228" s="132"/>
      <c r="F1228" s="132"/>
      <c r="G1228" s="132"/>
      <c r="H1228" s="132"/>
      <c r="I1228" s="132"/>
      <c r="J1228" s="132"/>
      <c r="K1228" s="132"/>
      <c r="L1228" s="132"/>
      <c r="M1228" s="132"/>
      <c r="N1228" s="132"/>
      <c r="O1228" s="132"/>
      <c r="P1228" s="132"/>
      <c r="Q1228" s="132"/>
      <c r="R1228" s="132"/>
      <c r="S1228" s="132"/>
      <c r="T1228" s="132"/>
      <c r="U1228" s="132"/>
      <c r="V1228" s="132"/>
      <c r="W1228" s="132"/>
      <c r="X1228" s="132"/>
      <c r="Y1228" s="132"/>
      <c r="Z1228" s="132"/>
      <c r="AA1228" s="132"/>
      <c r="AB1228" s="132"/>
      <c r="AC1228" s="132"/>
      <c r="AD1228" s="132"/>
      <c r="AE1228" s="132"/>
      <c r="AF1228" s="132"/>
      <c r="AG1228" s="132"/>
      <c r="AH1228" s="132"/>
      <c r="AI1228" s="132"/>
      <c r="AJ1228" s="132"/>
      <c r="AK1228" s="132"/>
      <c r="AL1228" s="132"/>
      <c r="AM1228" s="132"/>
      <c r="AN1228" s="132"/>
      <c r="AO1228" s="132"/>
      <c r="AP1228" s="132"/>
      <c r="AQ1228" s="132"/>
      <c r="AR1228" s="132"/>
      <c r="AS1228" s="132"/>
      <c r="AT1228" s="132"/>
      <c r="AU1228" s="132"/>
      <c r="AV1228" s="132"/>
      <c r="AW1228" s="132"/>
      <c r="AX1228" s="132"/>
      <c r="AY1228" s="132"/>
      <c r="AZ1228" s="132"/>
      <c r="BA1228" s="132"/>
      <c r="BB1228" s="132"/>
      <c r="BC1228" s="132"/>
      <c r="BD1228" s="132"/>
      <c r="BE1228" s="132"/>
      <c r="BF1228" s="132"/>
      <c r="BG1228" s="132"/>
      <c r="BH1228" s="132"/>
      <c r="BI1228" s="132"/>
      <c r="BJ1228" s="132"/>
      <c r="BK1228" s="132"/>
      <c r="BL1228" s="132"/>
      <c r="BM1228" s="132"/>
      <c r="BN1228" s="132"/>
      <c r="BO1228" s="132"/>
      <c r="BP1228" s="132"/>
      <c r="BQ1228" s="132"/>
      <c r="BR1228" s="132"/>
      <c r="BS1228" s="132"/>
      <c r="BT1228" s="132"/>
      <c r="BU1228" s="132"/>
      <c r="BV1228" s="132"/>
      <c r="BW1228" s="132"/>
      <c r="BX1228" s="132"/>
      <c r="BY1228" s="132"/>
      <c r="BZ1228" s="132"/>
      <c r="CA1228" s="132"/>
      <c r="CB1228" s="132"/>
      <c r="CC1228" s="132"/>
      <c r="CD1228" s="132"/>
      <c r="CE1228" s="132"/>
      <c r="CF1228" s="132"/>
      <c r="CG1228" s="132"/>
      <c r="CH1228" s="132"/>
      <c r="CI1228" s="132"/>
      <c r="CJ1228" s="132"/>
      <c r="CK1228" s="132"/>
      <c r="CL1228" s="132"/>
      <c r="CM1228" s="132"/>
      <c r="CN1228" s="132"/>
      <c r="CO1228" s="132"/>
      <c r="CP1228" s="132"/>
      <c r="CQ1228" s="132"/>
      <c r="CR1228" s="132"/>
      <c r="CS1228" s="132"/>
      <c r="CT1228" s="132"/>
      <c r="CU1228" s="132"/>
      <c r="CV1228" s="132"/>
      <c r="CW1228" s="132"/>
      <c r="CX1228" s="132"/>
      <c r="CY1228" s="132"/>
    </row>
    <row r="1229" spans="1:103">
      <c r="A1229" s="132"/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  <c r="AG1229" s="132"/>
      <c r="AH1229" s="132"/>
      <c r="AI1229" s="132"/>
      <c r="AJ1229" s="132"/>
      <c r="AK1229" s="132"/>
      <c r="AL1229" s="132"/>
      <c r="AM1229" s="132"/>
      <c r="AN1229" s="132"/>
      <c r="AO1229" s="132"/>
      <c r="AP1229" s="132"/>
      <c r="AQ1229" s="132"/>
      <c r="AR1229" s="132"/>
      <c r="AS1229" s="132"/>
      <c r="AT1229" s="132"/>
      <c r="AU1229" s="132"/>
      <c r="AV1229" s="132"/>
      <c r="AW1229" s="132"/>
      <c r="AX1229" s="132"/>
      <c r="AY1229" s="132"/>
      <c r="AZ1229" s="132"/>
      <c r="BA1229" s="132"/>
      <c r="BB1229" s="132"/>
      <c r="BC1229" s="132"/>
      <c r="BD1229" s="132"/>
      <c r="BE1229" s="132"/>
      <c r="BF1229" s="132"/>
      <c r="BG1229" s="132"/>
      <c r="BH1229" s="132"/>
      <c r="BI1229" s="132"/>
      <c r="BJ1229" s="132"/>
      <c r="BK1229" s="132"/>
      <c r="BL1229" s="132"/>
      <c r="BM1229" s="132"/>
      <c r="BN1229" s="132"/>
      <c r="BO1229" s="132"/>
      <c r="BP1229" s="132"/>
      <c r="BQ1229" s="132"/>
      <c r="BR1229" s="132"/>
      <c r="BS1229" s="132"/>
      <c r="BT1229" s="132"/>
      <c r="BU1229" s="132"/>
      <c r="BV1229" s="132"/>
      <c r="BW1229" s="132"/>
      <c r="BX1229" s="132"/>
      <c r="BY1229" s="132"/>
      <c r="BZ1229" s="132"/>
      <c r="CA1229" s="132"/>
      <c r="CB1229" s="132"/>
      <c r="CC1229" s="132"/>
      <c r="CD1229" s="132"/>
      <c r="CE1229" s="132"/>
      <c r="CF1229" s="132"/>
      <c r="CG1229" s="132"/>
      <c r="CH1229" s="132"/>
      <c r="CI1229" s="132"/>
      <c r="CJ1229" s="132"/>
      <c r="CK1229" s="132"/>
      <c r="CL1229" s="132"/>
      <c r="CM1229" s="132"/>
      <c r="CN1229" s="132"/>
      <c r="CO1229" s="132"/>
      <c r="CP1229" s="132"/>
      <c r="CQ1229" s="132"/>
      <c r="CR1229" s="132"/>
      <c r="CS1229" s="132"/>
      <c r="CT1229" s="132"/>
      <c r="CU1229" s="132"/>
      <c r="CV1229" s="132"/>
      <c r="CW1229" s="132"/>
      <c r="CX1229" s="132"/>
      <c r="CY1229" s="132"/>
    </row>
    <row r="1230" spans="1:103">
      <c r="A1230" s="132"/>
      <c r="B1230" s="132"/>
      <c r="C1230" s="132"/>
      <c r="D1230" s="132"/>
      <c r="E1230" s="132"/>
      <c r="F1230" s="132"/>
      <c r="G1230" s="132"/>
      <c r="H1230" s="132"/>
      <c r="I1230" s="132"/>
      <c r="J1230" s="132"/>
      <c r="K1230" s="132"/>
      <c r="L1230" s="132"/>
      <c r="M1230" s="132"/>
      <c r="N1230" s="132"/>
      <c r="O1230" s="132"/>
      <c r="P1230" s="132"/>
      <c r="Q1230" s="132"/>
      <c r="R1230" s="132"/>
      <c r="S1230" s="132"/>
      <c r="T1230" s="132"/>
      <c r="U1230" s="132"/>
      <c r="V1230" s="132"/>
      <c r="W1230" s="132"/>
      <c r="X1230" s="132"/>
      <c r="Y1230" s="132"/>
      <c r="Z1230" s="132"/>
      <c r="AA1230" s="132"/>
      <c r="AB1230" s="132"/>
      <c r="AC1230" s="132"/>
      <c r="AD1230" s="132"/>
      <c r="AE1230" s="132"/>
      <c r="AF1230" s="132"/>
      <c r="AG1230" s="132"/>
      <c r="AH1230" s="132"/>
      <c r="AI1230" s="132"/>
      <c r="AJ1230" s="132"/>
      <c r="AK1230" s="132"/>
      <c r="AL1230" s="132"/>
      <c r="AM1230" s="132"/>
      <c r="AN1230" s="132"/>
      <c r="AO1230" s="132"/>
      <c r="AP1230" s="132"/>
      <c r="AQ1230" s="132"/>
      <c r="AR1230" s="132"/>
      <c r="AS1230" s="132"/>
      <c r="AT1230" s="132"/>
      <c r="AU1230" s="132"/>
      <c r="AV1230" s="132"/>
      <c r="AW1230" s="132"/>
      <c r="AX1230" s="132"/>
      <c r="AY1230" s="132"/>
      <c r="AZ1230" s="132"/>
      <c r="BA1230" s="132"/>
      <c r="BB1230" s="132"/>
      <c r="BC1230" s="132"/>
      <c r="BD1230" s="132"/>
      <c r="BE1230" s="132"/>
      <c r="BF1230" s="132"/>
      <c r="BG1230" s="132"/>
      <c r="BH1230" s="132"/>
      <c r="BI1230" s="132"/>
      <c r="BJ1230" s="132"/>
      <c r="BK1230" s="132"/>
      <c r="BL1230" s="132"/>
      <c r="BM1230" s="132"/>
      <c r="BN1230" s="132"/>
      <c r="BO1230" s="132"/>
      <c r="BP1230" s="132"/>
      <c r="BQ1230" s="132"/>
      <c r="BR1230" s="132"/>
      <c r="BS1230" s="132"/>
      <c r="BT1230" s="132"/>
      <c r="BU1230" s="132"/>
      <c r="BV1230" s="132"/>
      <c r="BW1230" s="132"/>
      <c r="BX1230" s="132"/>
      <c r="BY1230" s="132"/>
      <c r="BZ1230" s="132"/>
      <c r="CA1230" s="132"/>
      <c r="CB1230" s="132"/>
      <c r="CC1230" s="132"/>
      <c r="CD1230" s="132"/>
      <c r="CE1230" s="132"/>
      <c r="CF1230" s="132"/>
      <c r="CG1230" s="132"/>
      <c r="CH1230" s="132"/>
      <c r="CI1230" s="132"/>
      <c r="CJ1230" s="132"/>
      <c r="CK1230" s="132"/>
      <c r="CL1230" s="132"/>
      <c r="CM1230" s="132"/>
      <c r="CN1230" s="132"/>
      <c r="CO1230" s="132"/>
      <c r="CP1230" s="132"/>
      <c r="CQ1230" s="132"/>
      <c r="CR1230" s="132"/>
      <c r="CS1230" s="132"/>
      <c r="CT1230" s="132"/>
      <c r="CU1230" s="132"/>
      <c r="CV1230" s="132"/>
      <c r="CW1230" s="132"/>
      <c r="CX1230" s="132"/>
      <c r="CY1230" s="132"/>
    </row>
    <row r="1231" spans="1:103">
      <c r="A1231" s="132"/>
      <c r="B1231" s="132"/>
      <c r="C1231" s="132"/>
      <c r="D1231" s="132"/>
      <c r="E1231" s="132"/>
      <c r="F1231" s="132"/>
      <c r="G1231" s="132"/>
      <c r="H1231" s="132"/>
      <c r="I1231" s="132"/>
      <c r="J1231" s="132"/>
      <c r="K1231" s="132"/>
      <c r="L1231" s="132"/>
      <c r="M1231" s="132"/>
      <c r="N1231" s="132"/>
      <c r="O1231" s="132"/>
      <c r="P1231" s="132"/>
      <c r="Q1231" s="132"/>
      <c r="R1231" s="132"/>
      <c r="S1231" s="132"/>
      <c r="T1231" s="132"/>
      <c r="U1231" s="132"/>
      <c r="V1231" s="132"/>
      <c r="W1231" s="132"/>
      <c r="X1231" s="132"/>
      <c r="Y1231" s="132"/>
      <c r="Z1231" s="132"/>
      <c r="AA1231" s="132"/>
      <c r="AB1231" s="132"/>
      <c r="AC1231" s="132"/>
      <c r="AD1231" s="132"/>
      <c r="AE1231" s="132"/>
      <c r="AF1231" s="132"/>
      <c r="AG1231" s="132"/>
      <c r="AH1231" s="132"/>
      <c r="AI1231" s="132"/>
      <c r="AJ1231" s="132"/>
      <c r="AK1231" s="132"/>
      <c r="AL1231" s="132"/>
      <c r="AM1231" s="132"/>
      <c r="AN1231" s="132"/>
      <c r="AO1231" s="132"/>
      <c r="AP1231" s="132"/>
      <c r="AQ1231" s="132"/>
      <c r="AR1231" s="132"/>
      <c r="AS1231" s="132"/>
      <c r="AT1231" s="132"/>
      <c r="AU1231" s="132"/>
      <c r="AV1231" s="132"/>
      <c r="AW1231" s="132"/>
      <c r="AX1231" s="132"/>
      <c r="AY1231" s="132"/>
      <c r="AZ1231" s="132"/>
      <c r="BA1231" s="132"/>
      <c r="BB1231" s="132"/>
      <c r="BC1231" s="132"/>
      <c r="BD1231" s="132"/>
      <c r="BE1231" s="132"/>
      <c r="BF1231" s="132"/>
      <c r="BG1231" s="132"/>
      <c r="BH1231" s="132"/>
      <c r="BI1231" s="132"/>
      <c r="BJ1231" s="132"/>
      <c r="BK1231" s="132"/>
      <c r="BL1231" s="132"/>
      <c r="BM1231" s="132"/>
      <c r="BN1231" s="132"/>
      <c r="BO1231" s="132"/>
      <c r="BP1231" s="132"/>
      <c r="BQ1231" s="132"/>
      <c r="BR1231" s="132"/>
      <c r="BS1231" s="132"/>
      <c r="BT1231" s="132"/>
      <c r="BU1231" s="132"/>
      <c r="BV1231" s="132"/>
      <c r="BW1231" s="132"/>
      <c r="BX1231" s="132"/>
      <c r="BY1231" s="132"/>
      <c r="BZ1231" s="132"/>
      <c r="CA1231" s="132"/>
      <c r="CB1231" s="132"/>
      <c r="CC1231" s="132"/>
      <c r="CD1231" s="132"/>
      <c r="CE1231" s="132"/>
      <c r="CF1231" s="132"/>
      <c r="CG1231" s="132"/>
      <c r="CH1231" s="132"/>
      <c r="CI1231" s="132"/>
      <c r="CJ1231" s="132"/>
      <c r="CK1231" s="132"/>
      <c r="CL1231" s="132"/>
      <c r="CM1231" s="132"/>
      <c r="CN1231" s="132"/>
      <c r="CO1231" s="132"/>
      <c r="CP1231" s="132"/>
      <c r="CQ1231" s="132"/>
      <c r="CR1231" s="132"/>
      <c r="CS1231" s="132"/>
      <c r="CT1231" s="132"/>
      <c r="CU1231" s="132"/>
      <c r="CV1231" s="132"/>
      <c r="CW1231" s="132"/>
      <c r="CX1231" s="132"/>
      <c r="CY1231" s="132"/>
    </row>
    <row r="1232" spans="1:103">
      <c r="A1232" s="132"/>
      <c r="B1232" s="132"/>
      <c r="C1232" s="132"/>
      <c r="D1232" s="132"/>
      <c r="E1232" s="132"/>
      <c r="F1232" s="132"/>
      <c r="G1232" s="132"/>
      <c r="H1232" s="132"/>
      <c r="I1232" s="132"/>
      <c r="J1232" s="132"/>
      <c r="K1232" s="132"/>
      <c r="L1232" s="132"/>
      <c r="M1232" s="132"/>
      <c r="N1232" s="132"/>
      <c r="O1232" s="132"/>
      <c r="P1232" s="132"/>
      <c r="Q1232" s="132"/>
      <c r="R1232" s="132"/>
      <c r="S1232" s="132"/>
      <c r="T1232" s="132"/>
      <c r="U1232" s="132"/>
      <c r="V1232" s="132"/>
      <c r="W1232" s="132"/>
      <c r="X1232" s="132"/>
      <c r="Y1232" s="132"/>
      <c r="Z1232" s="132"/>
      <c r="AA1232" s="132"/>
      <c r="AB1232" s="132"/>
      <c r="AC1232" s="132"/>
      <c r="AD1232" s="132"/>
      <c r="AE1232" s="132"/>
      <c r="AF1232" s="132"/>
      <c r="AG1232" s="132"/>
      <c r="AH1232" s="132"/>
      <c r="AI1232" s="132"/>
      <c r="AJ1232" s="132"/>
      <c r="AK1232" s="132"/>
      <c r="AL1232" s="132"/>
      <c r="AM1232" s="132"/>
      <c r="AN1232" s="132"/>
      <c r="AO1232" s="132"/>
      <c r="AP1232" s="132"/>
      <c r="AQ1232" s="132"/>
      <c r="AR1232" s="132"/>
      <c r="AS1232" s="132"/>
      <c r="AT1232" s="132"/>
      <c r="AU1232" s="132"/>
      <c r="AV1232" s="132"/>
      <c r="AW1232" s="132"/>
      <c r="AX1232" s="132"/>
      <c r="AY1232" s="132"/>
      <c r="AZ1232" s="132"/>
      <c r="BA1232" s="132"/>
      <c r="BB1232" s="132"/>
      <c r="BC1232" s="132"/>
      <c r="BD1232" s="132"/>
      <c r="BE1232" s="132"/>
      <c r="BF1232" s="132"/>
      <c r="BG1232" s="132"/>
      <c r="BH1232" s="132"/>
      <c r="BI1232" s="132"/>
      <c r="BJ1232" s="132"/>
      <c r="BK1232" s="132"/>
      <c r="BL1232" s="132"/>
      <c r="BM1232" s="132"/>
      <c r="BN1232" s="132"/>
      <c r="BO1232" s="132"/>
      <c r="BP1232" s="132"/>
      <c r="BQ1232" s="132"/>
      <c r="BR1232" s="132"/>
      <c r="BS1232" s="132"/>
      <c r="BT1232" s="132"/>
      <c r="BU1232" s="132"/>
      <c r="BV1232" s="132"/>
      <c r="BW1232" s="132"/>
      <c r="BX1232" s="132"/>
      <c r="BY1232" s="132"/>
      <c r="BZ1232" s="132"/>
      <c r="CA1232" s="132"/>
      <c r="CB1232" s="132"/>
      <c r="CC1232" s="132"/>
      <c r="CD1232" s="132"/>
      <c r="CE1232" s="132"/>
      <c r="CF1232" s="132"/>
      <c r="CG1232" s="132"/>
      <c r="CH1232" s="132"/>
      <c r="CI1232" s="132"/>
      <c r="CJ1232" s="132"/>
      <c r="CK1232" s="132"/>
      <c r="CL1232" s="132"/>
      <c r="CM1232" s="132"/>
      <c r="CN1232" s="132"/>
      <c r="CO1232" s="132"/>
      <c r="CP1232" s="132"/>
      <c r="CQ1232" s="132"/>
      <c r="CR1232" s="132"/>
      <c r="CS1232" s="132"/>
      <c r="CT1232" s="132"/>
      <c r="CU1232" s="132"/>
      <c r="CV1232" s="132"/>
      <c r="CW1232" s="132"/>
      <c r="CX1232" s="132"/>
      <c r="CY1232" s="132"/>
    </row>
    <row r="1233" spans="1:103">
      <c r="A1233" s="132"/>
      <c r="B1233" s="132"/>
      <c r="C1233" s="132"/>
      <c r="D1233" s="132"/>
      <c r="E1233" s="132"/>
      <c r="F1233" s="132"/>
      <c r="G1233" s="132"/>
      <c r="H1233" s="132"/>
      <c r="I1233" s="132"/>
      <c r="J1233" s="132"/>
      <c r="K1233" s="132"/>
      <c r="L1233" s="132"/>
      <c r="M1233" s="132"/>
      <c r="N1233" s="132"/>
      <c r="O1233" s="132"/>
      <c r="P1233" s="132"/>
      <c r="Q1233" s="132"/>
      <c r="R1233" s="132"/>
      <c r="S1233" s="132"/>
      <c r="T1233" s="132"/>
      <c r="U1233" s="132"/>
      <c r="V1233" s="132"/>
      <c r="W1233" s="132"/>
      <c r="X1233" s="132"/>
      <c r="Y1233" s="132"/>
      <c r="Z1233" s="132"/>
      <c r="AA1233" s="132"/>
      <c r="AB1233" s="132"/>
      <c r="AC1233" s="132"/>
      <c r="AD1233" s="132"/>
      <c r="AE1233" s="132"/>
      <c r="AF1233" s="132"/>
      <c r="AG1233" s="132"/>
      <c r="AH1233" s="132"/>
      <c r="AI1233" s="132"/>
      <c r="AJ1233" s="132"/>
      <c r="AK1233" s="132"/>
      <c r="AL1233" s="132"/>
      <c r="AM1233" s="132"/>
      <c r="AN1233" s="132"/>
      <c r="AO1233" s="132"/>
      <c r="AP1233" s="132"/>
      <c r="AQ1233" s="132"/>
      <c r="AR1233" s="132"/>
      <c r="AS1233" s="132"/>
      <c r="AT1233" s="132"/>
      <c r="AU1233" s="132"/>
      <c r="AV1233" s="132"/>
      <c r="AW1233" s="132"/>
      <c r="AX1233" s="132"/>
      <c r="AY1233" s="132"/>
      <c r="AZ1233" s="132"/>
      <c r="BA1233" s="132"/>
      <c r="BB1233" s="132"/>
      <c r="BC1233" s="132"/>
      <c r="BD1233" s="132"/>
      <c r="BE1233" s="132"/>
      <c r="BF1233" s="132"/>
      <c r="BG1233" s="132"/>
      <c r="BH1233" s="132"/>
      <c r="BI1233" s="132"/>
      <c r="BJ1233" s="132"/>
      <c r="BK1233" s="132"/>
      <c r="BL1233" s="132"/>
      <c r="BM1233" s="132"/>
      <c r="BN1233" s="132"/>
      <c r="BO1233" s="132"/>
      <c r="BP1233" s="132"/>
      <c r="BQ1233" s="132"/>
      <c r="BR1233" s="132"/>
      <c r="BS1233" s="132"/>
      <c r="BT1233" s="132"/>
      <c r="BU1233" s="132"/>
      <c r="BV1233" s="132"/>
      <c r="BW1233" s="132"/>
      <c r="BX1233" s="132"/>
      <c r="BY1233" s="132"/>
      <c r="BZ1233" s="132"/>
      <c r="CA1233" s="132"/>
      <c r="CB1233" s="132"/>
      <c r="CC1233" s="132"/>
      <c r="CD1233" s="132"/>
      <c r="CE1233" s="132"/>
      <c r="CF1233" s="132"/>
      <c r="CG1233" s="132"/>
      <c r="CH1233" s="132"/>
      <c r="CI1233" s="132"/>
      <c r="CJ1233" s="132"/>
      <c r="CK1233" s="132"/>
      <c r="CL1233" s="132"/>
      <c r="CM1233" s="132"/>
      <c r="CN1233" s="132"/>
      <c r="CO1233" s="132"/>
      <c r="CP1233" s="132"/>
      <c r="CQ1233" s="132"/>
      <c r="CR1233" s="132"/>
      <c r="CS1233" s="132"/>
      <c r="CT1233" s="132"/>
      <c r="CU1233" s="132"/>
      <c r="CV1233" s="132"/>
      <c r="CW1233" s="132"/>
      <c r="CX1233" s="132"/>
      <c r="CY1233" s="132"/>
    </row>
    <row r="1234" spans="1:103">
      <c r="A1234" s="132"/>
      <c r="B1234" s="132"/>
      <c r="C1234" s="132"/>
      <c r="D1234" s="132"/>
      <c r="E1234" s="132"/>
      <c r="F1234" s="132"/>
      <c r="G1234" s="132"/>
      <c r="H1234" s="132"/>
      <c r="I1234" s="132"/>
      <c r="J1234" s="132"/>
      <c r="K1234" s="132"/>
      <c r="L1234" s="132"/>
      <c r="M1234" s="132"/>
      <c r="N1234" s="132"/>
      <c r="O1234" s="132"/>
      <c r="P1234" s="132"/>
      <c r="Q1234" s="132"/>
      <c r="R1234" s="132"/>
      <c r="S1234" s="132"/>
      <c r="T1234" s="132"/>
      <c r="U1234" s="132"/>
      <c r="V1234" s="132"/>
      <c r="W1234" s="132"/>
      <c r="X1234" s="132"/>
      <c r="Y1234" s="132"/>
      <c r="Z1234" s="132"/>
      <c r="AA1234" s="132"/>
      <c r="AB1234" s="132"/>
      <c r="AC1234" s="132"/>
      <c r="AD1234" s="132"/>
      <c r="AE1234" s="132"/>
      <c r="AF1234" s="132"/>
      <c r="AG1234" s="132"/>
      <c r="AH1234" s="132"/>
      <c r="AI1234" s="132"/>
      <c r="AJ1234" s="132"/>
      <c r="AK1234" s="132"/>
      <c r="AL1234" s="132"/>
      <c r="AM1234" s="132"/>
      <c r="AN1234" s="132"/>
      <c r="AO1234" s="132"/>
      <c r="AP1234" s="132"/>
      <c r="AQ1234" s="132"/>
      <c r="AR1234" s="132"/>
      <c r="AS1234" s="132"/>
      <c r="AT1234" s="132"/>
      <c r="AU1234" s="132"/>
      <c r="AV1234" s="132"/>
      <c r="AW1234" s="132"/>
      <c r="AX1234" s="132"/>
      <c r="AY1234" s="132"/>
      <c r="AZ1234" s="132"/>
      <c r="BA1234" s="132"/>
      <c r="BB1234" s="132"/>
      <c r="BC1234" s="132"/>
      <c r="BD1234" s="132"/>
      <c r="BE1234" s="132"/>
      <c r="BF1234" s="132"/>
      <c r="BG1234" s="132"/>
      <c r="BH1234" s="132"/>
      <c r="BI1234" s="132"/>
      <c r="BJ1234" s="132"/>
      <c r="BK1234" s="132"/>
      <c r="BL1234" s="132"/>
      <c r="BM1234" s="132"/>
      <c r="BN1234" s="132"/>
      <c r="BO1234" s="132"/>
      <c r="BP1234" s="132"/>
      <c r="BQ1234" s="132"/>
      <c r="BR1234" s="132"/>
      <c r="BS1234" s="132"/>
      <c r="BT1234" s="132"/>
      <c r="BU1234" s="132"/>
      <c r="BV1234" s="132"/>
      <c r="BW1234" s="132"/>
      <c r="BX1234" s="132"/>
      <c r="BY1234" s="132"/>
      <c r="BZ1234" s="132"/>
      <c r="CA1234" s="132"/>
      <c r="CB1234" s="132"/>
      <c r="CC1234" s="132"/>
      <c r="CD1234" s="132"/>
      <c r="CE1234" s="132"/>
      <c r="CF1234" s="132"/>
      <c r="CG1234" s="132"/>
      <c r="CH1234" s="132"/>
      <c r="CI1234" s="132"/>
      <c r="CJ1234" s="132"/>
      <c r="CK1234" s="132"/>
      <c r="CL1234" s="132"/>
      <c r="CM1234" s="132"/>
      <c r="CN1234" s="132"/>
      <c r="CO1234" s="132"/>
      <c r="CP1234" s="132"/>
      <c r="CQ1234" s="132"/>
      <c r="CR1234" s="132"/>
      <c r="CS1234" s="132"/>
      <c r="CT1234" s="132"/>
      <c r="CU1234" s="132"/>
      <c r="CV1234" s="132"/>
      <c r="CW1234" s="132"/>
      <c r="CX1234" s="132"/>
      <c r="CY1234" s="132"/>
    </row>
    <row r="1235" spans="1:103">
      <c r="A1235" s="132"/>
      <c r="B1235" s="132"/>
      <c r="C1235" s="132"/>
      <c r="D1235" s="132"/>
      <c r="E1235" s="132"/>
      <c r="F1235" s="132"/>
      <c r="G1235" s="132"/>
      <c r="H1235" s="132"/>
      <c r="I1235" s="132"/>
      <c r="J1235" s="132"/>
      <c r="K1235" s="132"/>
      <c r="L1235" s="132"/>
      <c r="M1235" s="132"/>
      <c r="N1235" s="132"/>
      <c r="O1235" s="132"/>
      <c r="P1235" s="132"/>
      <c r="Q1235" s="132"/>
      <c r="R1235" s="132"/>
      <c r="S1235" s="132"/>
      <c r="T1235" s="132"/>
      <c r="U1235" s="132"/>
      <c r="V1235" s="132"/>
      <c r="W1235" s="132"/>
      <c r="X1235" s="132"/>
      <c r="Y1235" s="132"/>
      <c r="Z1235" s="132"/>
      <c r="AA1235" s="132"/>
      <c r="AB1235" s="132"/>
      <c r="AC1235" s="132"/>
      <c r="AD1235" s="132"/>
      <c r="AE1235" s="132"/>
      <c r="AF1235" s="132"/>
      <c r="AG1235" s="132"/>
      <c r="AH1235" s="132"/>
      <c r="AI1235" s="132"/>
      <c r="AJ1235" s="132"/>
      <c r="AK1235" s="132"/>
      <c r="AL1235" s="132"/>
      <c r="AM1235" s="132"/>
      <c r="AN1235" s="132"/>
      <c r="AO1235" s="132"/>
      <c r="AP1235" s="132"/>
      <c r="AQ1235" s="132"/>
      <c r="AR1235" s="132"/>
      <c r="AS1235" s="132"/>
      <c r="AT1235" s="132"/>
      <c r="AU1235" s="132"/>
      <c r="AV1235" s="132"/>
      <c r="AW1235" s="132"/>
      <c r="AX1235" s="132"/>
      <c r="AY1235" s="132"/>
      <c r="AZ1235" s="132"/>
      <c r="BA1235" s="132"/>
      <c r="BB1235" s="132"/>
      <c r="BC1235" s="132"/>
      <c r="BD1235" s="132"/>
      <c r="BE1235" s="132"/>
      <c r="BF1235" s="132"/>
      <c r="BG1235" s="132"/>
      <c r="BH1235" s="132"/>
      <c r="BI1235" s="132"/>
      <c r="BJ1235" s="132"/>
      <c r="BK1235" s="132"/>
      <c r="BL1235" s="132"/>
      <c r="BM1235" s="132"/>
      <c r="BN1235" s="132"/>
      <c r="BO1235" s="132"/>
      <c r="BP1235" s="132"/>
      <c r="BQ1235" s="132"/>
      <c r="BR1235" s="132"/>
      <c r="BS1235" s="132"/>
      <c r="BT1235" s="132"/>
      <c r="BU1235" s="132"/>
      <c r="BV1235" s="132"/>
      <c r="BW1235" s="132"/>
      <c r="BX1235" s="132"/>
      <c r="BY1235" s="132"/>
      <c r="BZ1235" s="132"/>
      <c r="CA1235" s="132"/>
      <c r="CB1235" s="132"/>
      <c r="CC1235" s="132"/>
      <c r="CD1235" s="132"/>
      <c r="CE1235" s="132"/>
      <c r="CF1235" s="132"/>
      <c r="CG1235" s="132"/>
      <c r="CH1235" s="132"/>
      <c r="CI1235" s="132"/>
      <c r="CJ1235" s="132"/>
      <c r="CK1235" s="132"/>
      <c r="CL1235" s="132"/>
      <c r="CM1235" s="132"/>
      <c r="CN1235" s="132"/>
      <c r="CO1235" s="132"/>
      <c r="CP1235" s="132"/>
      <c r="CQ1235" s="132"/>
      <c r="CR1235" s="132"/>
      <c r="CS1235" s="132"/>
      <c r="CT1235" s="132"/>
      <c r="CU1235" s="132"/>
      <c r="CV1235" s="132"/>
      <c r="CW1235" s="132"/>
      <c r="CX1235" s="132"/>
      <c r="CY1235" s="132"/>
    </row>
    <row r="1236" spans="1:103">
      <c r="A1236" s="132"/>
      <c r="B1236" s="132"/>
      <c r="C1236" s="132"/>
      <c r="D1236" s="132"/>
      <c r="E1236" s="132"/>
      <c r="F1236" s="132"/>
      <c r="G1236" s="132"/>
      <c r="H1236" s="132"/>
      <c r="I1236" s="132"/>
      <c r="J1236" s="132"/>
      <c r="K1236" s="132"/>
      <c r="L1236" s="132"/>
      <c r="M1236" s="132"/>
      <c r="N1236" s="132"/>
      <c r="O1236" s="132"/>
      <c r="P1236" s="132"/>
      <c r="Q1236" s="132"/>
      <c r="R1236" s="132"/>
      <c r="S1236" s="132"/>
      <c r="T1236" s="132"/>
      <c r="U1236" s="132"/>
      <c r="V1236" s="132"/>
      <c r="W1236" s="132"/>
      <c r="X1236" s="132"/>
      <c r="Y1236" s="132"/>
      <c r="Z1236" s="132"/>
      <c r="AA1236" s="132"/>
      <c r="AB1236" s="132"/>
      <c r="AC1236" s="132"/>
      <c r="AD1236" s="132"/>
      <c r="AE1236" s="132"/>
      <c r="AF1236" s="132"/>
      <c r="AG1236" s="132"/>
      <c r="AH1236" s="132"/>
      <c r="AI1236" s="132"/>
      <c r="AJ1236" s="132"/>
      <c r="AK1236" s="132"/>
      <c r="AL1236" s="132"/>
      <c r="AM1236" s="132"/>
      <c r="AN1236" s="132"/>
      <c r="AO1236" s="132"/>
      <c r="AP1236" s="132"/>
      <c r="AQ1236" s="132"/>
      <c r="AR1236" s="132"/>
      <c r="AS1236" s="132"/>
      <c r="AT1236" s="132"/>
      <c r="AU1236" s="132"/>
      <c r="AV1236" s="132"/>
      <c r="AW1236" s="132"/>
      <c r="AX1236" s="132"/>
      <c r="AY1236" s="132"/>
      <c r="AZ1236" s="132"/>
      <c r="BA1236" s="132"/>
      <c r="BB1236" s="132"/>
      <c r="BC1236" s="132"/>
      <c r="BD1236" s="132"/>
      <c r="BE1236" s="132"/>
      <c r="BF1236" s="132"/>
      <c r="BG1236" s="132"/>
      <c r="BH1236" s="132"/>
      <c r="BI1236" s="132"/>
      <c r="BJ1236" s="132"/>
      <c r="BK1236" s="132"/>
      <c r="BL1236" s="132"/>
      <c r="BM1236" s="132"/>
      <c r="BN1236" s="132"/>
      <c r="BO1236" s="132"/>
      <c r="BP1236" s="132"/>
      <c r="BQ1236" s="132"/>
      <c r="BR1236" s="132"/>
      <c r="BS1236" s="132"/>
      <c r="BT1236" s="132"/>
      <c r="BU1236" s="132"/>
      <c r="BV1236" s="132"/>
      <c r="BW1236" s="132"/>
      <c r="BX1236" s="132"/>
      <c r="BY1236" s="132"/>
      <c r="BZ1236" s="132"/>
      <c r="CA1236" s="132"/>
      <c r="CB1236" s="132"/>
      <c r="CC1236" s="132"/>
      <c r="CD1236" s="132"/>
      <c r="CE1236" s="132"/>
      <c r="CF1236" s="132"/>
      <c r="CG1236" s="132"/>
      <c r="CH1236" s="132"/>
      <c r="CI1236" s="132"/>
      <c r="CJ1236" s="132"/>
      <c r="CK1236" s="132"/>
      <c r="CL1236" s="132"/>
      <c r="CM1236" s="132"/>
      <c r="CN1236" s="132"/>
      <c r="CO1236" s="132"/>
      <c r="CP1236" s="132"/>
      <c r="CQ1236" s="132"/>
      <c r="CR1236" s="132"/>
      <c r="CS1236" s="132"/>
      <c r="CT1236" s="132"/>
      <c r="CU1236" s="132"/>
      <c r="CV1236" s="132"/>
      <c r="CW1236" s="132"/>
      <c r="CX1236" s="132"/>
      <c r="CY1236" s="132"/>
    </row>
    <row r="1237" spans="1:103">
      <c r="A1237" s="132"/>
      <c r="B1237" s="132"/>
      <c r="C1237" s="132"/>
      <c r="D1237" s="132"/>
      <c r="E1237" s="132"/>
      <c r="F1237" s="132"/>
      <c r="G1237" s="132"/>
      <c r="H1237" s="132"/>
      <c r="I1237" s="132"/>
      <c r="J1237" s="132"/>
      <c r="K1237" s="132"/>
      <c r="L1237" s="132"/>
      <c r="M1237" s="132"/>
      <c r="N1237" s="132"/>
      <c r="O1237" s="132"/>
      <c r="P1237" s="132"/>
      <c r="Q1237" s="132"/>
      <c r="R1237" s="132"/>
      <c r="S1237" s="132"/>
      <c r="T1237" s="132"/>
      <c r="U1237" s="132"/>
      <c r="V1237" s="132"/>
      <c r="W1237" s="132"/>
      <c r="X1237" s="132"/>
      <c r="Y1237" s="132"/>
      <c r="Z1237" s="132"/>
      <c r="AA1237" s="132"/>
      <c r="AB1237" s="132"/>
      <c r="AC1237" s="132"/>
      <c r="AD1237" s="132"/>
      <c r="AE1237" s="132"/>
      <c r="AF1237" s="132"/>
      <c r="AG1237" s="132"/>
      <c r="AH1237" s="132"/>
      <c r="AI1237" s="132"/>
      <c r="AJ1237" s="132"/>
      <c r="AK1237" s="132"/>
      <c r="AL1237" s="132"/>
      <c r="AM1237" s="132"/>
      <c r="AN1237" s="132"/>
      <c r="AO1237" s="132"/>
      <c r="AP1237" s="132"/>
      <c r="AQ1237" s="132"/>
      <c r="AR1237" s="132"/>
      <c r="AS1237" s="132"/>
      <c r="AT1237" s="132"/>
      <c r="AU1237" s="132"/>
      <c r="AV1237" s="132"/>
      <c r="AW1237" s="132"/>
      <c r="AX1237" s="132"/>
      <c r="AY1237" s="132"/>
      <c r="AZ1237" s="132"/>
      <c r="BA1237" s="132"/>
      <c r="BB1237" s="132"/>
      <c r="BC1237" s="132"/>
      <c r="BD1237" s="132"/>
      <c r="BE1237" s="132"/>
      <c r="BF1237" s="132"/>
      <c r="BG1237" s="132"/>
      <c r="BH1237" s="132"/>
      <c r="BI1237" s="132"/>
      <c r="BJ1237" s="132"/>
      <c r="BK1237" s="132"/>
      <c r="BL1237" s="132"/>
      <c r="BM1237" s="132"/>
      <c r="BN1237" s="132"/>
      <c r="BO1237" s="132"/>
      <c r="BP1237" s="132"/>
      <c r="BQ1237" s="132"/>
      <c r="BR1237" s="132"/>
      <c r="BS1237" s="132"/>
      <c r="BT1237" s="132"/>
      <c r="BU1237" s="132"/>
      <c r="BV1237" s="132"/>
      <c r="BW1237" s="132"/>
      <c r="BX1237" s="132"/>
      <c r="BY1237" s="132"/>
      <c r="BZ1237" s="132"/>
      <c r="CA1237" s="132"/>
      <c r="CB1237" s="132"/>
      <c r="CC1237" s="132"/>
      <c r="CD1237" s="132"/>
      <c r="CE1237" s="132"/>
      <c r="CF1237" s="132"/>
      <c r="CG1237" s="132"/>
      <c r="CH1237" s="132"/>
      <c r="CI1237" s="132"/>
      <c r="CJ1237" s="132"/>
      <c r="CK1237" s="132"/>
      <c r="CL1237" s="132"/>
      <c r="CM1237" s="132"/>
      <c r="CN1237" s="132"/>
      <c r="CO1237" s="132"/>
      <c r="CP1237" s="132"/>
      <c r="CQ1237" s="132"/>
      <c r="CR1237" s="132"/>
      <c r="CS1237" s="132"/>
      <c r="CT1237" s="132"/>
      <c r="CU1237" s="132"/>
      <c r="CV1237" s="132"/>
      <c r="CW1237" s="132"/>
      <c r="CX1237" s="132"/>
      <c r="CY1237" s="132"/>
    </row>
    <row r="1238" spans="1:103">
      <c r="A1238" s="132"/>
      <c r="B1238" s="132"/>
      <c r="C1238" s="132"/>
      <c r="D1238" s="132"/>
      <c r="E1238" s="132"/>
      <c r="F1238" s="132"/>
      <c r="G1238" s="132"/>
      <c r="H1238" s="132"/>
      <c r="I1238" s="132"/>
      <c r="J1238" s="132"/>
      <c r="K1238" s="132"/>
      <c r="L1238" s="132"/>
      <c r="M1238" s="132"/>
      <c r="N1238" s="132"/>
      <c r="O1238" s="132"/>
      <c r="P1238" s="132"/>
      <c r="Q1238" s="132"/>
      <c r="R1238" s="132"/>
      <c r="S1238" s="132"/>
      <c r="T1238" s="132"/>
      <c r="U1238" s="132"/>
      <c r="V1238" s="132"/>
      <c r="W1238" s="132"/>
      <c r="X1238" s="132"/>
      <c r="Y1238" s="132"/>
      <c r="Z1238" s="132"/>
      <c r="AA1238" s="132"/>
      <c r="AB1238" s="132"/>
      <c r="AC1238" s="132"/>
      <c r="AD1238" s="132"/>
      <c r="AE1238" s="132"/>
      <c r="AF1238" s="132"/>
      <c r="AG1238" s="132"/>
      <c r="AH1238" s="132"/>
      <c r="AI1238" s="132"/>
      <c r="AJ1238" s="132"/>
      <c r="AK1238" s="132"/>
      <c r="AL1238" s="132"/>
      <c r="AM1238" s="132"/>
      <c r="AN1238" s="132"/>
      <c r="AO1238" s="132"/>
      <c r="AP1238" s="132"/>
      <c r="AQ1238" s="132"/>
      <c r="AR1238" s="132"/>
      <c r="AS1238" s="132"/>
      <c r="AT1238" s="132"/>
      <c r="AU1238" s="132"/>
      <c r="AV1238" s="132"/>
      <c r="AW1238" s="132"/>
      <c r="AX1238" s="132"/>
      <c r="AY1238" s="132"/>
      <c r="AZ1238" s="132"/>
      <c r="BA1238" s="132"/>
      <c r="BB1238" s="132"/>
      <c r="BC1238" s="132"/>
      <c r="BD1238" s="132"/>
      <c r="BE1238" s="132"/>
      <c r="BF1238" s="132"/>
      <c r="BG1238" s="132"/>
      <c r="BH1238" s="132"/>
      <c r="BI1238" s="132"/>
      <c r="BJ1238" s="132"/>
      <c r="BK1238" s="132"/>
      <c r="BL1238" s="132"/>
      <c r="BM1238" s="132"/>
      <c r="BN1238" s="132"/>
      <c r="BO1238" s="132"/>
      <c r="BP1238" s="132"/>
      <c r="BQ1238" s="132"/>
      <c r="BR1238" s="132"/>
      <c r="BS1238" s="132"/>
      <c r="BT1238" s="132"/>
      <c r="BU1238" s="132"/>
      <c r="BV1238" s="132"/>
      <c r="BW1238" s="132"/>
      <c r="BX1238" s="132"/>
      <c r="BY1238" s="132"/>
      <c r="BZ1238" s="132"/>
      <c r="CA1238" s="132"/>
      <c r="CB1238" s="132"/>
      <c r="CC1238" s="132"/>
      <c r="CD1238" s="132"/>
      <c r="CE1238" s="132"/>
      <c r="CF1238" s="132"/>
      <c r="CG1238" s="132"/>
      <c r="CH1238" s="132"/>
      <c r="CI1238" s="132"/>
      <c r="CJ1238" s="132"/>
      <c r="CK1238" s="132"/>
      <c r="CL1238" s="132"/>
      <c r="CM1238" s="132"/>
      <c r="CN1238" s="132"/>
      <c r="CO1238" s="132"/>
      <c r="CP1238" s="132"/>
      <c r="CQ1238" s="132"/>
      <c r="CR1238" s="132"/>
      <c r="CS1238" s="132"/>
      <c r="CT1238" s="132"/>
      <c r="CU1238" s="132"/>
      <c r="CV1238" s="132"/>
      <c r="CW1238" s="132"/>
      <c r="CX1238" s="132"/>
      <c r="CY1238" s="132"/>
    </row>
    <row r="1239" spans="1:103">
      <c r="A1239" s="132"/>
      <c r="B1239" s="132"/>
      <c r="C1239" s="132"/>
      <c r="D1239" s="132"/>
      <c r="E1239" s="132"/>
      <c r="F1239" s="132"/>
      <c r="G1239" s="132"/>
      <c r="H1239" s="132"/>
      <c r="I1239" s="132"/>
      <c r="J1239" s="132"/>
      <c r="K1239" s="132"/>
      <c r="L1239" s="132"/>
      <c r="M1239" s="132"/>
      <c r="N1239" s="132"/>
      <c r="O1239" s="132"/>
      <c r="P1239" s="132"/>
      <c r="Q1239" s="132"/>
      <c r="R1239" s="132"/>
      <c r="S1239" s="132"/>
      <c r="T1239" s="132"/>
      <c r="U1239" s="132"/>
      <c r="V1239" s="132"/>
      <c r="W1239" s="132"/>
      <c r="X1239" s="132"/>
      <c r="Y1239" s="132"/>
      <c r="Z1239" s="132"/>
      <c r="AA1239" s="132"/>
      <c r="AB1239" s="132"/>
      <c r="AC1239" s="132"/>
      <c r="AD1239" s="132"/>
      <c r="AE1239" s="132"/>
      <c r="AF1239" s="132"/>
      <c r="AG1239" s="132"/>
      <c r="AH1239" s="132"/>
      <c r="AI1239" s="132"/>
      <c r="AJ1239" s="132"/>
      <c r="AK1239" s="132"/>
      <c r="AL1239" s="132"/>
      <c r="AM1239" s="132"/>
      <c r="AN1239" s="132"/>
      <c r="AO1239" s="132"/>
      <c r="AP1239" s="132"/>
      <c r="AQ1239" s="132"/>
      <c r="AR1239" s="132"/>
      <c r="AS1239" s="132"/>
      <c r="AT1239" s="132"/>
      <c r="AU1239" s="132"/>
      <c r="AV1239" s="132"/>
      <c r="AW1239" s="132"/>
      <c r="AX1239" s="132"/>
      <c r="AY1239" s="132"/>
      <c r="AZ1239" s="132"/>
      <c r="BA1239" s="132"/>
      <c r="BB1239" s="132"/>
      <c r="BC1239" s="132"/>
      <c r="BD1239" s="132"/>
      <c r="BE1239" s="132"/>
      <c r="BF1239" s="132"/>
      <c r="BG1239" s="132"/>
      <c r="BH1239" s="132"/>
      <c r="BI1239" s="132"/>
      <c r="BJ1239" s="132"/>
      <c r="BK1239" s="132"/>
      <c r="BL1239" s="132"/>
      <c r="BM1239" s="132"/>
      <c r="BN1239" s="132"/>
      <c r="BO1239" s="132"/>
      <c r="BP1239" s="132"/>
      <c r="BQ1239" s="132"/>
      <c r="BR1239" s="132"/>
      <c r="BS1239" s="132"/>
      <c r="BT1239" s="132"/>
      <c r="BU1239" s="132"/>
      <c r="BV1239" s="132"/>
      <c r="BW1239" s="132"/>
      <c r="BX1239" s="132"/>
      <c r="BY1239" s="132"/>
      <c r="BZ1239" s="132"/>
      <c r="CA1239" s="132"/>
      <c r="CB1239" s="132"/>
      <c r="CC1239" s="132"/>
      <c r="CD1239" s="132"/>
      <c r="CE1239" s="132"/>
      <c r="CF1239" s="132"/>
      <c r="CG1239" s="132"/>
      <c r="CH1239" s="132"/>
      <c r="CI1239" s="132"/>
      <c r="CJ1239" s="132"/>
      <c r="CK1239" s="132"/>
      <c r="CL1239" s="132"/>
      <c r="CM1239" s="132"/>
      <c r="CN1239" s="132"/>
      <c r="CO1239" s="132"/>
      <c r="CP1239" s="132"/>
      <c r="CQ1239" s="132"/>
      <c r="CR1239" s="132"/>
      <c r="CS1239" s="132"/>
      <c r="CT1239" s="132"/>
      <c r="CU1239" s="132"/>
      <c r="CV1239" s="132"/>
      <c r="CW1239" s="132"/>
      <c r="CX1239" s="132"/>
      <c r="CY1239" s="132"/>
    </row>
    <row r="1240" spans="1:103">
      <c r="A1240" s="132"/>
      <c r="B1240" s="132"/>
      <c r="C1240" s="132"/>
      <c r="D1240" s="132"/>
      <c r="E1240" s="132"/>
      <c r="F1240" s="132"/>
      <c r="G1240" s="132"/>
      <c r="H1240" s="132"/>
      <c r="I1240" s="132"/>
      <c r="J1240" s="132"/>
      <c r="K1240" s="132"/>
      <c r="L1240" s="132"/>
      <c r="M1240" s="132"/>
      <c r="N1240" s="132"/>
      <c r="O1240" s="132"/>
      <c r="P1240" s="132"/>
      <c r="Q1240" s="132"/>
      <c r="R1240" s="132"/>
      <c r="S1240" s="132"/>
      <c r="T1240" s="132"/>
      <c r="U1240" s="132"/>
      <c r="V1240" s="132"/>
      <c r="W1240" s="132"/>
      <c r="X1240" s="132"/>
      <c r="Y1240" s="132"/>
      <c r="Z1240" s="132"/>
      <c r="AA1240" s="132"/>
      <c r="AB1240" s="132"/>
      <c r="AC1240" s="132"/>
      <c r="AD1240" s="132"/>
      <c r="AE1240" s="132"/>
      <c r="AF1240" s="132"/>
      <c r="AG1240" s="132"/>
      <c r="AH1240" s="132"/>
      <c r="AI1240" s="132"/>
      <c r="AJ1240" s="132"/>
      <c r="AK1240" s="132"/>
      <c r="AL1240" s="132"/>
      <c r="AM1240" s="132"/>
      <c r="AN1240" s="132"/>
      <c r="AO1240" s="132"/>
      <c r="AP1240" s="132"/>
      <c r="AQ1240" s="132"/>
      <c r="AR1240" s="132"/>
      <c r="AS1240" s="132"/>
      <c r="AT1240" s="132"/>
      <c r="AU1240" s="132"/>
      <c r="AV1240" s="132"/>
      <c r="AW1240" s="132"/>
      <c r="AX1240" s="132"/>
      <c r="AY1240" s="132"/>
      <c r="AZ1240" s="132"/>
      <c r="BA1240" s="132"/>
      <c r="BB1240" s="132"/>
      <c r="BC1240" s="132"/>
      <c r="BD1240" s="132"/>
      <c r="BE1240" s="132"/>
      <c r="BF1240" s="132"/>
      <c r="BG1240" s="132"/>
      <c r="BH1240" s="132"/>
      <c r="BI1240" s="132"/>
      <c r="BJ1240" s="132"/>
      <c r="BK1240" s="132"/>
      <c r="BL1240" s="132"/>
      <c r="BM1240" s="132"/>
      <c r="BN1240" s="132"/>
      <c r="BO1240" s="132"/>
      <c r="BP1240" s="132"/>
      <c r="BQ1240" s="132"/>
      <c r="BR1240" s="132"/>
      <c r="BS1240" s="132"/>
      <c r="BT1240" s="132"/>
      <c r="BU1240" s="132"/>
      <c r="BV1240" s="132"/>
      <c r="BW1240" s="132"/>
      <c r="BX1240" s="132"/>
      <c r="BY1240" s="132"/>
      <c r="BZ1240" s="132"/>
      <c r="CA1240" s="132"/>
      <c r="CB1240" s="132"/>
      <c r="CC1240" s="132"/>
      <c r="CD1240" s="132"/>
      <c r="CE1240" s="132"/>
      <c r="CF1240" s="132"/>
      <c r="CG1240" s="132"/>
      <c r="CH1240" s="132"/>
      <c r="CI1240" s="132"/>
      <c r="CJ1240" s="132"/>
      <c r="CK1240" s="132"/>
      <c r="CL1240" s="132"/>
      <c r="CM1240" s="132"/>
      <c r="CN1240" s="132"/>
      <c r="CO1240" s="132"/>
      <c r="CP1240" s="132"/>
      <c r="CQ1240" s="132"/>
      <c r="CR1240" s="132"/>
      <c r="CS1240" s="132"/>
      <c r="CT1240" s="132"/>
      <c r="CU1240" s="132"/>
      <c r="CV1240" s="132"/>
      <c r="CW1240" s="132"/>
      <c r="CX1240" s="132"/>
      <c r="CY1240" s="132"/>
    </row>
    <row r="1241" spans="1:103">
      <c r="A1241" s="132"/>
      <c r="B1241" s="132"/>
      <c r="C1241" s="132"/>
      <c r="D1241" s="132"/>
      <c r="E1241" s="132"/>
      <c r="F1241" s="132"/>
      <c r="G1241" s="132"/>
      <c r="H1241" s="132"/>
      <c r="I1241" s="132"/>
      <c r="J1241" s="132"/>
      <c r="K1241" s="132"/>
      <c r="L1241" s="132"/>
      <c r="M1241" s="132"/>
      <c r="N1241" s="132"/>
      <c r="O1241" s="132"/>
      <c r="P1241" s="132"/>
      <c r="Q1241" s="132"/>
      <c r="R1241" s="132"/>
      <c r="S1241" s="132"/>
      <c r="T1241" s="132"/>
      <c r="U1241" s="132"/>
      <c r="V1241" s="132"/>
      <c r="W1241" s="132"/>
      <c r="X1241" s="132"/>
      <c r="Y1241" s="132"/>
      <c r="Z1241" s="132"/>
      <c r="AA1241" s="132"/>
      <c r="AB1241" s="132"/>
      <c r="AC1241" s="132"/>
      <c r="AD1241" s="132"/>
      <c r="AE1241" s="132"/>
      <c r="AF1241" s="132"/>
      <c r="AG1241" s="132"/>
      <c r="AH1241" s="132"/>
      <c r="AI1241" s="132"/>
      <c r="AJ1241" s="132"/>
      <c r="AK1241" s="132"/>
      <c r="AL1241" s="132"/>
      <c r="AM1241" s="132"/>
      <c r="AN1241" s="132"/>
      <c r="AO1241" s="132"/>
      <c r="AP1241" s="132"/>
      <c r="AQ1241" s="132"/>
      <c r="AR1241" s="132"/>
      <c r="AS1241" s="132"/>
      <c r="AT1241" s="132"/>
      <c r="AU1241" s="132"/>
      <c r="AV1241" s="132"/>
      <c r="AW1241" s="132"/>
      <c r="AX1241" s="132"/>
      <c r="AY1241" s="132"/>
      <c r="AZ1241" s="132"/>
      <c r="BA1241" s="132"/>
      <c r="BB1241" s="132"/>
      <c r="BC1241" s="132"/>
      <c r="BD1241" s="132"/>
      <c r="BE1241" s="132"/>
      <c r="BF1241" s="132"/>
      <c r="BG1241" s="132"/>
      <c r="BH1241" s="132"/>
      <c r="BI1241" s="132"/>
      <c r="BJ1241" s="132"/>
      <c r="BK1241" s="132"/>
      <c r="BL1241" s="132"/>
      <c r="BM1241" s="132"/>
      <c r="BN1241" s="132"/>
      <c r="BO1241" s="132"/>
      <c r="BP1241" s="132"/>
      <c r="BQ1241" s="132"/>
      <c r="BR1241" s="132"/>
      <c r="BS1241" s="132"/>
      <c r="BT1241" s="132"/>
      <c r="BU1241" s="132"/>
      <c r="BV1241" s="132"/>
      <c r="BW1241" s="132"/>
      <c r="BX1241" s="132"/>
      <c r="BY1241" s="132"/>
      <c r="BZ1241" s="132"/>
      <c r="CA1241" s="132"/>
      <c r="CB1241" s="132"/>
      <c r="CC1241" s="132"/>
      <c r="CD1241" s="132"/>
      <c r="CE1241" s="132"/>
      <c r="CF1241" s="132"/>
      <c r="CG1241" s="132"/>
      <c r="CH1241" s="132"/>
      <c r="CI1241" s="132"/>
      <c r="CJ1241" s="132"/>
      <c r="CK1241" s="132"/>
      <c r="CL1241" s="132"/>
      <c r="CM1241" s="132"/>
      <c r="CN1241" s="132"/>
      <c r="CO1241" s="132"/>
      <c r="CP1241" s="132"/>
      <c r="CQ1241" s="132"/>
      <c r="CR1241" s="132"/>
      <c r="CS1241" s="132"/>
      <c r="CT1241" s="132"/>
      <c r="CU1241" s="132"/>
      <c r="CV1241" s="132"/>
      <c r="CW1241" s="132"/>
      <c r="CX1241" s="132"/>
      <c r="CY1241" s="132"/>
    </row>
    <row r="1242" spans="1:103">
      <c r="A1242" s="132"/>
      <c r="B1242" s="132"/>
      <c r="C1242" s="132"/>
      <c r="D1242" s="132"/>
      <c r="E1242" s="132"/>
      <c r="F1242" s="132"/>
      <c r="G1242" s="132"/>
      <c r="H1242" s="132"/>
      <c r="I1242" s="132"/>
      <c r="J1242" s="132"/>
      <c r="K1242" s="132"/>
      <c r="L1242" s="132"/>
      <c r="M1242" s="132"/>
      <c r="N1242" s="132"/>
      <c r="O1242" s="132"/>
      <c r="P1242" s="132"/>
      <c r="Q1242" s="132"/>
      <c r="R1242" s="132"/>
      <c r="S1242" s="132"/>
      <c r="T1242" s="132"/>
      <c r="U1242" s="132"/>
      <c r="V1242" s="132"/>
      <c r="W1242" s="132"/>
      <c r="X1242" s="132"/>
      <c r="Y1242" s="132"/>
      <c r="Z1242" s="132"/>
      <c r="AA1242" s="132"/>
      <c r="AB1242" s="132"/>
      <c r="AC1242" s="132"/>
      <c r="AD1242" s="132"/>
      <c r="AE1242" s="132"/>
      <c r="AF1242" s="132"/>
      <c r="AG1242" s="132"/>
      <c r="AH1242" s="132"/>
      <c r="AI1242" s="132"/>
      <c r="AJ1242" s="132"/>
      <c r="AK1242" s="132"/>
      <c r="AL1242" s="132"/>
      <c r="AM1242" s="132"/>
      <c r="AN1242" s="132"/>
      <c r="AO1242" s="132"/>
      <c r="AP1242" s="132"/>
      <c r="AQ1242" s="132"/>
      <c r="AR1242" s="132"/>
      <c r="AS1242" s="132"/>
      <c r="AT1242" s="132"/>
      <c r="AU1242" s="132"/>
      <c r="AV1242" s="132"/>
      <c r="AW1242" s="132"/>
      <c r="AX1242" s="132"/>
      <c r="AY1242" s="132"/>
      <c r="AZ1242" s="132"/>
      <c r="BA1242" s="132"/>
      <c r="BB1242" s="132"/>
      <c r="BC1242" s="132"/>
      <c r="BD1242" s="132"/>
      <c r="BE1242" s="132"/>
      <c r="BF1242" s="132"/>
      <c r="BG1242" s="132"/>
      <c r="BH1242" s="132"/>
      <c r="BI1242" s="132"/>
      <c r="BJ1242" s="132"/>
      <c r="BK1242" s="132"/>
      <c r="BL1242" s="132"/>
      <c r="BM1242" s="132"/>
      <c r="BN1242" s="132"/>
      <c r="BO1242" s="132"/>
      <c r="BP1242" s="132"/>
      <c r="BQ1242" s="132"/>
      <c r="BR1242" s="132"/>
      <c r="BS1242" s="132"/>
      <c r="BT1242" s="132"/>
      <c r="BU1242" s="132"/>
      <c r="BV1242" s="132"/>
      <c r="BW1242" s="132"/>
      <c r="BX1242" s="132"/>
      <c r="BY1242" s="132"/>
      <c r="BZ1242" s="132"/>
      <c r="CA1242" s="132"/>
      <c r="CB1242" s="132"/>
      <c r="CC1242" s="132"/>
      <c r="CD1242" s="132"/>
      <c r="CE1242" s="132"/>
      <c r="CF1242" s="132"/>
      <c r="CG1242" s="132"/>
      <c r="CH1242" s="132"/>
      <c r="CI1242" s="132"/>
      <c r="CJ1242" s="132"/>
      <c r="CK1242" s="132"/>
      <c r="CL1242" s="132"/>
      <c r="CM1242" s="132"/>
      <c r="CN1242" s="132"/>
      <c r="CO1242" s="132"/>
      <c r="CP1242" s="132"/>
      <c r="CQ1242" s="132"/>
      <c r="CR1242" s="132"/>
      <c r="CS1242" s="132"/>
      <c r="CT1242" s="132"/>
      <c r="CU1242" s="132"/>
      <c r="CV1242" s="132"/>
      <c r="CW1242" s="132"/>
      <c r="CX1242" s="132"/>
      <c r="CY1242" s="132"/>
    </row>
    <row r="1243" spans="1:103">
      <c r="A1243" s="132"/>
      <c r="B1243" s="132"/>
      <c r="C1243" s="132"/>
      <c r="D1243" s="132"/>
      <c r="E1243" s="132"/>
      <c r="F1243" s="132"/>
      <c r="G1243" s="132"/>
      <c r="H1243" s="132"/>
      <c r="I1243" s="132"/>
      <c r="J1243" s="132"/>
      <c r="K1243" s="132"/>
      <c r="L1243" s="132"/>
      <c r="M1243" s="132"/>
      <c r="N1243" s="132"/>
      <c r="O1243" s="132"/>
      <c r="P1243" s="132"/>
      <c r="Q1243" s="132"/>
      <c r="R1243" s="132"/>
      <c r="S1243" s="132"/>
      <c r="T1243" s="132"/>
      <c r="U1243" s="132"/>
      <c r="V1243" s="132"/>
      <c r="W1243" s="132"/>
      <c r="X1243" s="132"/>
      <c r="Y1243" s="132"/>
      <c r="Z1243" s="132"/>
      <c r="AA1243" s="132"/>
      <c r="AB1243" s="132"/>
      <c r="AC1243" s="132"/>
      <c r="AD1243" s="132"/>
      <c r="AE1243" s="132"/>
      <c r="AF1243" s="132"/>
      <c r="AG1243" s="132"/>
      <c r="AH1243" s="132"/>
      <c r="AI1243" s="132"/>
      <c r="AJ1243" s="132"/>
      <c r="AK1243" s="132"/>
      <c r="AL1243" s="132"/>
      <c r="AM1243" s="132"/>
      <c r="AN1243" s="132"/>
      <c r="AO1243" s="132"/>
      <c r="AP1243" s="132"/>
      <c r="AQ1243" s="132"/>
      <c r="AR1243" s="132"/>
      <c r="AS1243" s="132"/>
      <c r="AT1243" s="132"/>
      <c r="AU1243" s="132"/>
      <c r="AV1243" s="132"/>
      <c r="AW1243" s="132"/>
      <c r="AX1243" s="132"/>
      <c r="AY1243" s="132"/>
      <c r="AZ1243" s="132"/>
      <c r="BA1243" s="132"/>
      <c r="BB1243" s="132"/>
      <c r="BC1243" s="132"/>
      <c r="BD1243" s="132"/>
      <c r="BE1243" s="132"/>
      <c r="BF1243" s="132"/>
      <c r="BG1243" s="132"/>
      <c r="BH1243" s="132"/>
      <c r="BI1243" s="132"/>
      <c r="BJ1243" s="132"/>
      <c r="BK1243" s="132"/>
      <c r="BL1243" s="132"/>
      <c r="BM1243" s="132"/>
      <c r="BN1243" s="132"/>
      <c r="BO1243" s="132"/>
      <c r="BP1243" s="132"/>
      <c r="BQ1243" s="132"/>
      <c r="BR1243" s="132"/>
      <c r="BS1243" s="132"/>
      <c r="BT1243" s="132"/>
      <c r="BU1243" s="132"/>
      <c r="BV1243" s="132"/>
      <c r="BW1243" s="132"/>
      <c r="BX1243" s="132"/>
      <c r="BY1243" s="132"/>
      <c r="BZ1243" s="132"/>
      <c r="CA1243" s="132"/>
      <c r="CB1243" s="132"/>
      <c r="CC1243" s="132"/>
      <c r="CD1243" s="132"/>
      <c r="CE1243" s="132"/>
      <c r="CF1243" s="132"/>
      <c r="CG1243" s="132"/>
      <c r="CH1243" s="132"/>
      <c r="CI1243" s="132"/>
      <c r="CJ1243" s="132"/>
      <c r="CK1243" s="132"/>
      <c r="CL1243" s="132"/>
      <c r="CM1243" s="132"/>
      <c r="CN1243" s="132"/>
      <c r="CO1243" s="132"/>
      <c r="CP1243" s="132"/>
      <c r="CQ1243" s="132"/>
      <c r="CR1243" s="132"/>
      <c r="CS1243" s="132"/>
      <c r="CT1243" s="132"/>
      <c r="CU1243" s="132"/>
      <c r="CV1243" s="132"/>
      <c r="CW1243" s="132"/>
      <c r="CX1243" s="132"/>
      <c r="CY1243" s="132"/>
    </row>
    <row r="1244" spans="1:103">
      <c r="A1244" s="132"/>
      <c r="B1244" s="132"/>
      <c r="C1244" s="132"/>
      <c r="D1244" s="132"/>
      <c r="E1244" s="132"/>
      <c r="F1244" s="132"/>
      <c r="G1244" s="132"/>
      <c r="H1244" s="132"/>
      <c r="I1244" s="132"/>
      <c r="J1244" s="132"/>
      <c r="K1244" s="132"/>
      <c r="L1244" s="132"/>
      <c r="M1244" s="132"/>
      <c r="N1244" s="132"/>
      <c r="O1244" s="132"/>
      <c r="P1244" s="132"/>
      <c r="Q1244" s="132"/>
      <c r="R1244" s="132"/>
      <c r="S1244" s="132"/>
      <c r="T1244" s="132"/>
      <c r="U1244" s="132"/>
      <c r="V1244" s="132"/>
      <c r="W1244" s="132"/>
      <c r="X1244" s="132"/>
      <c r="Y1244" s="132"/>
      <c r="Z1244" s="132"/>
      <c r="AA1244" s="132"/>
      <c r="AB1244" s="132"/>
      <c r="AC1244" s="132"/>
      <c r="AD1244" s="132"/>
      <c r="AE1244" s="132"/>
      <c r="AF1244" s="132"/>
      <c r="AG1244" s="132"/>
      <c r="AH1244" s="132"/>
      <c r="AI1244" s="132"/>
      <c r="AJ1244" s="132"/>
      <c r="AK1244" s="132"/>
      <c r="AL1244" s="132"/>
      <c r="AM1244" s="132"/>
      <c r="AN1244" s="132"/>
      <c r="AO1244" s="132"/>
      <c r="AP1244" s="132"/>
      <c r="AQ1244" s="132"/>
      <c r="AR1244" s="132"/>
      <c r="AS1244" s="132"/>
      <c r="AT1244" s="132"/>
      <c r="AU1244" s="132"/>
      <c r="AV1244" s="132"/>
      <c r="AW1244" s="132"/>
      <c r="AX1244" s="132"/>
      <c r="AY1244" s="132"/>
      <c r="AZ1244" s="132"/>
      <c r="BA1244" s="132"/>
      <c r="BB1244" s="132"/>
      <c r="BC1244" s="132"/>
      <c r="BD1244" s="132"/>
      <c r="BE1244" s="132"/>
      <c r="BF1244" s="132"/>
      <c r="BG1244" s="132"/>
      <c r="BH1244" s="132"/>
      <c r="BI1244" s="132"/>
      <c r="BJ1244" s="132"/>
      <c r="BK1244" s="132"/>
      <c r="BL1244" s="132"/>
      <c r="BM1244" s="132"/>
      <c r="BN1244" s="132"/>
      <c r="BO1244" s="132"/>
      <c r="BP1244" s="132"/>
      <c r="BQ1244" s="132"/>
      <c r="BR1244" s="132"/>
      <c r="BS1244" s="132"/>
      <c r="BT1244" s="132"/>
      <c r="BU1244" s="132"/>
      <c r="BV1244" s="132"/>
      <c r="BW1244" s="132"/>
      <c r="BX1244" s="132"/>
      <c r="BY1244" s="132"/>
      <c r="BZ1244" s="132"/>
      <c r="CA1244" s="132"/>
      <c r="CB1244" s="132"/>
      <c r="CC1244" s="132"/>
      <c r="CD1244" s="132"/>
      <c r="CE1244" s="132"/>
      <c r="CF1244" s="132"/>
      <c r="CG1244" s="132"/>
      <c r="CH1244" s="132"/>
      <c r="CI1244" s="132"/>
      <c r="CJ1244" s="132"/>
      <c r="CK1244" s="132"/>
      <c r="CL1244" s="132"/>
      <c r="CM1244" s="132"/>
      <c r="CN1244" s="132"/>
      <c r="CO1244" s="132"/>
      <c r="CP1244" s="132"/>
      <c r="CQ1244" s="132"/>
      <c r="CR1244" s="132"/>
      <c r="CS1244" s="132"/>
      <c r="CT1244" s="132"/>
      <c r="CU1244" s="132"/>
      <c r="CV1244" s="132"/>
      <c r="CW1244" s="132"/>
      <c r="CX1244" s="132"/>
      <c r="CY1244" s="132"/>
    </row>
    <row r="1245" spans="1:103">
      <c r="A1245" s="132"/>
      <c r="B1245" s="132"/>
      <c r="C1245" s="132"/>
      <c r="D1245" s="132"/>
      <c r="E1245" s="132"/>
      <c r="F1245" s="132"/>
      <c r="G1245" s="132"/>
      <c r="H1245" s="132"/>
      <c r="I1245" s="132"/>
      <c r="J1245" s="132"/>
      <c r="K1245" s="132"/>
      <c r="L1245" s="132"/>
      <c r="M1245" s="132"/>
      <c r="N1245" s="132"/>
      <c r="O1245" s="132"/>
      <c r="P1245" s="132"/>
      <c r="Q1245" s="132"/>
      <c r="R1245" s="132"/>
      <c r="S1245" s="132"/>
      <c r="T1245" s="132"/>
      <c r="U1245" s="132"/>
      <c r="V1245" s="132"/>
      <c r="W1245" s="132"/>
      <c r="X1245" s="132"/>
      <c r="Y1245" s="132"/>
      <c r="Z1245" s="132"/>
      <c r="AA1245" s="132"/>
      <c r="AB1245" s="132"/>
      <c r="AC1245" s="132"/>
      <c r="AD1245" s="132"/>
      <c r="AE1245" s="132"/>
      <c r="AF1245" s="132"/>
      <c r="AG1245" s="132"/>
      <c r="AH1245" s="132"/>
      <c r="AI1245" s="132"/>
      <c r="AJ1245" s="132"/>
      <c r="AK1245" s="132"/>
      <c r="AL1245" s="132"/>
      <c r="AM1245" s="132"/>
      <c r="AN1245" s="132"/>
      <c r="AO1245" s="132"/>
      <c r="AP1245" s="132"/>
      <c r="AQ1245" s="132"/>
      <c r="AR1245" s="132"/>
      <c r="AS1245" s="132"/>
      <c r="AT1245" s="132"/>
      <c r="AU1245" s="132"/>
      <c r="AV1245" s="132"/>
      <c r="AW1245" s="132"/>
      <c r="AX1245" s="132"/>
      <c r="AY1245" s="132"/>
      <c r="AZ1245" s="132"/>
      <c r="BA1245" s="132"/>
      <c r="BB1245" s="132"/>
      <c r="BC1245" s="132"/>
      <c r="BD1245" s="132"/>
      <c r="BE1245" s="132"/>
      <c r="BF1245" s="132"/>
      <c r="BG1245" s="132"/>
      <c r="BH1245" s="132"/>
      <c r="BI1245" s="132"/>
      <c r="BJ1245" s="132"/>
      <c r="BK1245" s="132"/>
      <c r="BL1245" s="132"/>
      <c r="BM1245" s="132"/>
      <c r="BN1245" s="132"/>
      <c r="BO1245" s="132"/>
      <c r="BP1245" s="132"/>
      <c r="BQ1245" s="132"/>
      <c r="BR1245" s="132"/>
      <c r="BS1245" s="132"/>
      <c r="BT1245" s="132"/>
      <c r="BU1245" s="132"/>
      <c r="BV1245" s="132"/>
      <c r="BW1245" s="132"/>
      <c r="BX1245" s="132"/>
      <c r="BY1245" s="132"/>
      <c r="BZ1245" s="132"/>
      <c r="CA1245" s="132"/>
      <c r="CB1245" s="132"/>
      <c r="CC1245" s="132"/>
      <c r="CD1245" s="132"/>
      <c r="CE1245" s="132"/>
      <c r="CF1245" s="132"/>
      <c r="CG1245" s="132"/>
      <c r="CH1245" s="132"/>
      <c r="CI1245" s="132"/>
      <c r="CJ1245" s="132"/>
      <c r="CK1245" s="132"/>
      <c r="CL1245" s="132"/>
      <c r="CM1245" s="132"/>
      <c r="CN1245" s="132"/>
      <c r="CO1245" s="132"/>
      <c r="CP1245" s="132"/>
      <c r="CQ1245" s="132"/>
      <c r="CR1245" s="132"/>
      <c r="CS1245" s="132"/>
      <c r="CT1245" s="132"/>
      <c r="CU1245" s="132"/>
      <c r="CV1245" s="132"/>
      <c r="CW1245" s="132"/>
      <c r="CX1245" s="132"/>
      <c r="CY1245" s="132"/>
    </row>
    <row r="1246" spans="1:103">
      <c r="A1246" s="132"/>
      <c r="B1246" s="132"/>
      <c r="C1246" s="132"/>
      <c r="D1246" s="132"/>
      <c r="E1246" s="132"/>
      <c r="F1246" s="132"/>
      <c r="G1246" s="132"/>
      <c r="H1246" s="132"/>
      <c r="I1246" s="132"/>
      <c r="J1246" s="132"/>
      <c r="K1246" s="132"/>
      <c r="L1246" s="132"/>
      <c r="M1246" s="132"/>
      <c r="N1246" s="132"/>
      <c r="O1246" s="132"/>
      <c r="P1246" s="132"/>
      <c r="Q1246" s="132"/>
      <c r="R1246" s="132"/>
      <c r="S1246" s="132"/>
      <c r="T1246" s="132"/>
      <c r="U1246" s="132"/>
      <c r="V1246" s="132"/>
      <c r="W1246" s="132"/>
      <c r="X1246" s="132"/>
      <c r="Y1246" s="132"/>
      <c r="Z1246" s="132"/>
      <c r="AA1246" s="132"/>
      <c r="AB1246" s="132"/>
      <c r="AC1246" s="132"/>
      <c r="AD1246" s="132"/>
      <c r="AE1246" s="132"/>
      <c r="AF1246" s="132"/>
      <c r="AG1246" s="132"/>
      <c r="AH1246" s="132"/>
      <c r="AI1246" s="132"/>
      <c r="AJ1246" s="132"/>
      <c r="AK1246" s="132"/>
      <c r="AL1246" s="132"/>
      <c r="AM1246" s="132"/>
      <c r="AN1246" s="132"/>
      <c r="AO1246" s="132"/>
      <c r="AP1246" s="132"/>
      <c r="AQ1246" s="132"/>
      <c r="AR1246" s="132"/>
      <c r="AS1246" s="132"/>
      <c r="AT1246" s="132"/>
      <c r="AU1246" s="132"/>
      <c r="AV1246" s="132"/>
      <c r="AW1246" s="132"/>
      <c r="AX1246" s="132"/>
      <c r="AY1246" s="132"/>
      <c r="AZ1246" s="132"/>
      <c r="BA1246" s="132"/>
      <c r="BB1246" s="132"/>
      <c r="BC1246" s="132"/>
      <c r="BD1246" s="132"/>
      <c r="BE1246" s="132"/>
      <c r="BF1246" s="132"/>
      <c r="BG1246" s="132"/>
      <c r="BH1246" s="132"/>
      <c r="BI1246" s="132"/>
      <c r="BJ1246" s="132"/>
      <c r="BK1246" s="132"/>
      <c r="BL1246" s="132"/>
      <c r="BM1246" s="132"/>
      <c r="BN1246" s="132"/>
      <c r="BO1246" s="132"/>
      <c r="BP1246" s="132"/>
      <c r="BQ1246" s="132"/>
      <c r="BR1246" s="132"/>
      <c r="BS1246" s="132"/>
      <c r="BT1246" s="132"/>
      <c r="BU1246" s="132"/>
      <c r="BV1246" s="132"/>
      <c r="BW1246" s="132"/>
      <c r="BX1246" s="132"/>
      <c r="BY1246" s="132"/>
      <c r="BZ1246" s="132"/>
      <c r="CA1246" s="132"/>
      <c r="CB1246" s="132"/>
      <c r="CC1246" s="132"/>
      <c r="CD1246" s="132"/>
      <c r="CE1246" s="132"/>
      <c r="CF1246" s="132"/>
      <c r="CG1246" s="132"/>
      <c r="CH1246" s="132"/>
      <c r="CI1246" s="132"/>
      <c r="CJ1246" s="132"/>
      <c r="CK1246" s="132"/>
      <c r="CL1246" s="132"/>
      <c r="CM1246" s="132"/>
      <c r="CN1246" s="132"/>
      <c r="CO1246" s="132"/>
      <c r="CP1246" s="132"/>
      <c r="CQ1246" s="132"/>
      <c r="CR1246" s="132"/>
      <c r="CS1246" s="132"/>
      <c r="CT1246" s="132"/>
      <c r="CU1246" s="132"/>
      <c r="CV1246" s="132"/>
      <c r="CW1246" s="132"/>
      <c r="CX1246" s="132"/>
      <c r="CY1246" s="132"/>
    </row>
    <row r="1247" spans="1:103">
      <c r="A1247" s="132"/>
      <c r="B1247" s="132"/>
      <c r="C1247" s="132"/>
      <c r="D1247" s="132"/>
      <c r="E1247" s="132"/>
      <c r="F1247" s="132"/>
      <c r="G1247" s="132"/>
      <c r="H1247" s="132"/>
      <c r="I1247" s="132"/>
      <c r="J1247" s="132"/>
      <c r="K1247" s="132"/>
      <c r="L1247" s="132"/>
      <c r="M1247" s="132"/>
      <c r="N1247" s="132"/>
      <c r="O1247" s="132"/>
      <c r="P1247" s="132"/>
      <c r="Q1247" s="132"/>
      <c r="R1247" s="132"/>
      <c r="S1247" s="132"/>
      <c r="T1247" s="132"/>
      <c r="U1247" s="132"/>
      <c r="V1247" s="132"/>
      <c r="W1247" s="132"/>
      <c r="X1247" s="132"/>
      <c r="Y1247" s="132"/>
      <c r="Z1247" s="132"/>
      <c r="AA1247" s="132"/>
      <c r="AB1247" s="132"/>
      <c r="AC1247" s="132"/>
      <c r="AD1247" s="132"/>
      <c r="AE1247" s="132"/>
      <c r="AF1247" s="132"/>
      <c r="AG1247" s="132"/>
      <c r="AH1247" s="132"/>
      <c r="AI1247" s="132"/>
      <c r="AJ1247" s="132"/>
      <c r="AK1247" s="132"/>
      <c r="AL1247" s="132"/>
      <c r="AM1247" s="132"/>
      <c r="AN1247" s="132"/>
      <c r="AO1247" s="132"/>
      <c r="AP1247" s="132"/>
      <c r="AQ1247" s="132"/>
      <c r="AR1247" s="132"/>
      <c r="AS1247" s="132"/>
      <c r="AT1247" s="132"/>
      <c r="AU1247" s="132"/>
      <c r="AV1247" s="132"/>
      <c r="AW1247" s="132"/>
      <c r="AX1247" s="132"/>
      <c r="AY1247" s="132"/>
      <c r="AZ1247" s="132"/>
      <c r="BA1247" s="132"/>
      <c r="BB1247" s="132"/>
      <c r="BC1247" s="132"/>
      <c r="BD1247" s="132"/>
      <c r="BE1247" s="132"/>
      <c r="BF1247" s="132"/>
      <c r="BG1247" s="132"/>
      <c r="BH1247" s="132"/>
      <c r="BI1247" s="132"/>
      <c r="BJ1247" s="132"/>
      <c r="BK1247" s="132"/>
      <c r="BL1247" s="132"/>
      <c r="BM1247" s="132"/>
      <c r="BN1247" s="132"/>
      <c r="BO1247" s="132"/>
      <c r="BP1247" s="132"/>
      <c r="BQ1247" s="132"/>
      <c r="BR1247" s="132"/>
      <c r="BS1247" s="132"/>
      <c r="BT1247" s="132"/>
      <c r="BU1247" s="132"/>
      <c r="BV1247" s="132"/>
      <c r="BW1247" s="132"/>
      <c r="BX1247" s="132"/>
      <c r="BY1247" s="132"/>
      <c r="BZ1247" s="132"/>
      <c r="CA1247" s="132"/>
      <c r="CB1247" s="132"/>
      <c r="CC1247" s="132"/>
      <c r="CD1247" s="132"/>
      <c r="CE1247" s="132"/>
      <c r="CF1247" s="132"/>
      <c r="CG1247" s="132"/>
      <c r="CH1247" s="132"/>
      <c r="CI1247" s="132"/>
      <c r="CJ1247" s="132"/>
      <c r="CK1247" s="132"/>
      <c r="CL1247" s="132"/>
      <c r="CM1247" s="132"/>
      <c r="CN1247" s="132"/>
      <c r="CO1247" s="132"/>
      <c r="CP1247" s="132"/>
      <c r="CQ1247" s="132"/>
      <c r="CR1247" s="132"/>
      <c r="CS1247" s="132"/>
      <c r="CT1247" s="132"/>
      <c r="CU1247" s="132"/>
      <c r="CV1247" s="132"/>
      <c r="CW1247" s="132"/>
      <c r="CX1247" s="132"/>
      <c r="CY1247" s="132"/>
    </row>
    <row r="1248" spans="1:103">
      <c r="A1248" s="132"/>
      <c r="B1248" s="132"/>
      <c r="C1248" s="132"/>
      <c r="D1248" s="132"/>
      <c r="E1248" s="132"/>
      <c r="F1248" s="132"/>
      <c r="G1248" s="132"/>
      <c r="H1248" s="132"/>
      <c r="I1248" s="132"/>
      <c r="J1248" s="132"/>
      <c r="K1248" s="132"/>
      <c r="L1248" s="132"/>
      <c r="M1248" s="132"/>
      <c r="N1248" s="132"/>
      <c r="O1248" s="132"/>
      <c r="P1248" s="132"/>
      <c r="Q1248" s="132"/>
      <c r="R1248" s="132"/>
      <c r="S1248" s="132"/>
      <c r="T1248" s="132"/>
      <c r="U1248" s="132"/>
      <c r="V1248" s="132"/>
      <c r="W1248" s="132"/>
      <c r="X1248" s="132"/>
      <c r="Y1248" s="132"/>
      <c r="Z1248" s="132"/>
      <c r="AA1248" s="132"/>
      <c r="AB1248" s="132"/>
      <c r="AC1248" s="132"/>
      <c r="AD1248" s="132"/>
      <c r="AE1248" s="132"/>
      <c r="AF1248" s="132"/>
      <c r="AG1248" s="132"/>
      <c r="AH1248" s="132"/>
      <c r="AI1248" s="132"/>
      <c r="AJ1248" s="132"/>
      <c r="AK1248" s="132"/>
      <c r="AL1248" s="132"/>
      <c r="AM1248" s="132"/>
      <c r="AN1248" s="132"/>
      <c r="AO1248" s="132"/>
      <c r="AP1248" s="132"/>
      <c r="AQ1248" s="132"/>
      <c r="AR1248" s="132"/>
      <c r="AS1248" s="132"/>
      <c r="AT1248" s="132"/>
      <c r="AU1248" s="132"/>
      <c r="AV1248" s="132"/>
      <c r="AW1248" s="132"/>
      <c r="AX1248" s="132"/>
      <c r="AY1248" s="132"/>
      <c r="AZ1248" s="132"/>
      <c r="BA1248" s="132"/>
      <c r="BB1248" s="132"/>
      <c r="BC1248" s="132"/>
      <c r="BD1248" s="132"/>
      <c r="BE1248" s="132"/>
      <c r="BF1248" s="132"/>
      <c r="BG1248" s="132"/>
      <c r="BH1248" s="132"/>
      <c r="BI1248" s="132"/>
      <c r="BJ1248" s="132"/>
      <c r="BK1248" s="132"/>
      <c r="BL1248" s="132"/>
      <c r="BM1248" s="132"/>
      <c r="BN1248" s="132"/>
      <c r="BO1248" s="132"/>
      <c r="BP1248" s="132"/>
      <c r="BQ1248" s="132"/>
      <c r="BR1248" s="132"/>
      <c r="BS1248" s="132"/>
      <c r="BT1248" s="132"/>
      <c r="BU1248" s="132"/>
      <c r="BV1248" s="132"/>
      <c r="BW1248" s="132"/>
      <c r="BX1248" s="132"/>
      <c r="BY1248" s="132"/>
      <c r="BZ1248" s="132"/>
      <c r="CA1248" s="132"/>
      <c r="CB1248" s="132"/>
      <c r="CC1248" s="132"/>
      <c r="CD1248" s="132"/>
      <c r="CE1248" s="132"/>
      <c r="CF1248" s="132"/>
      <c r="CG1248" s="132"/>
      <c r="CH1248" s="132"/>
      <c r="CI1248" s="132"/>
      <c r="CJ1248" s="132"/>
      <c r="CK1248" s="132"/>
      <c r="CL1248" s="132"/>
      <c r="CM1248" s="132"/>
      <c r="CN1248" s="132"/>
      <c r="CO1248" s="132"/>
      <c r="CP1248" s="132"/>
      <c r="CQ1248" s="132"/>
      <c r="CR1248" s="132"/>
      <c r="CS1248" s="132"/>
      <c r="CT1248" s="132"/>
      <c r="CU1248" s="132"/>
      <c r="CV1248" s="132"/>
      <c r="CW1248" s="132"/>
      <c r="CX1248" s="132"/>
      <c r="CY1248" s="132"/>
    </row>
    <row r="1249" spans="1:103">
      <c r="A1249" s="132"/>
      <c r="B1249" s="132"/>
      <c r="C1249" s="132"/>
      <c r="D1249" s="132"/>
      <c r="E1249" s="132"/>
      <c r="F1249" s="132"/>
      <c r="G1249" s="132"/>
      <c r="H1249" s="132"/>
      <c r="I1249" s="132"/>
      <c r="J1249" s="132"/>
      <c r="K1249" s="132"/>
      <c r="L1249" s="132"/>
      <c r="M1249" s="132"/>
      <c r="N1249" s="132"/>
      <c r="O1249" s="132"/>
      <c r="P1249" s="132"/>
      <c r="Q1249" s="132"/>
      <c r="R1249" s="132"/>
      <c r="S1249" s="132"/>
      <c r="T1249" s="132"/>
      <c r="U1249" s="132"/>
      <c r="V1249" s="132"/>
      <c r="W1249" s="132"/>
      <c r="X1249" s="132"/>
      <c r="Y1249" s="132"/>
      <c r="Z1249" s="132"/>
      <c r="AA1249" s="132"/>
      <c r="AB1249" s="132"/>
      <c r="AC1249" s="132"/>
      <c r="AD1249" s="132"/>
      <c r="AE1249" s="132"/>
      <c r="AF1249" s="132"/>
      <c r="AG1249" s="132"/>
      <c r="AH1249" s="132"/>
      <c r="AI1249" s="132"/>
      <c r="AJ1249" s="132"/>
      <c r="AK1249" s="132"/>
      <c r="AL1249" s="132"/>
      <c r="AM1249" s="132"/>
      <c r="AN1249" s="132"/>
      <c r="AO1249" s="132"/>
      <c r="AP1249" s="132"/>
      <c r="AQ1249" s="132"/>
      <c r="AR1249" s="132"/>
      <c r="AS1249" s="132"/>
      <c r="AT1249" s="132"/>
      <c r="AU1249" s="132"/>
      <c r="AV1249" s="132"/>
      <c r="AW1249" s="132"/>
      <c r="AX1249" s="132"/>
      <c r="AY1249" s="132"/>
      <c r="AZ1249" s="132"/>
      <c r="BA1249" s="132"/>
      <c r="BB1249" s="132"/>
      <c r="BC1249" s="132"/>
      <c r="BD1249" s="132"/>
      <c r="BE1249" s="132"/>
      <c r="BF1249" s="132"/>
      <c r="BG1249" s="132"/>
      <c r="BH1249" s="132"/>
      <c r="BI1249" s="132"/>
      <c r="BJ1249" s="132"/>
      <c r="BK1249" s="132"/>
      <c r="BL1249" s="132"/>
      <c r="BM1249" s="132"/>
      <c r="BN1249" s="132"/>
      <c r="BO1249" s="132"/>
      <c r="BP1249" s="132"/>
      <c r="BQ1249" s="132"/>
      <c r="BR1249" s="132"/>
      <c r="BS1249" s="132"/>
      <c r="BT1249" s="132"/>
      <c r="BU1249" s="132"/>
      <c r="BV1249" s="132"/>
      <c r="BW1249" s="132"/>
      <c r="BX1249" s="132"/>
      <c r="BY1249" s="132"/>
      <c r="BZ1249" s="132"/>
      <c r="CA1249" s="132"/>
      <c r="CB1249" s="132"/>
      <c r="CC1249" s="132"/>
      <c r="CD1249" s="132"/>
      <c r="CE1249" s="132"/>
      <c r="CF1249" s="132"/>
      <c r="CG1249" s="132"/>
      <c r="CH1249" s="132"/>
      <c r="CI1249" s="132"/>
      <c r="CJ1249" s="132"/>
      <c r="CK1249" s="132"/>
      <c r="CL1249" s="132"/>
      <c r="CM1249" s="132"/>
      <c r="CN1249" s="132"/>
      <c r="CO1249" s="132"/>
      <c r="CP1249" s="132"/>
      <c r="CQ1249" s="132"/>
      <c r="CR1249" s="132"/>
      <c r="CS1249" s="132"/>
      <c r="CT1249" s="132"/>
      <c r="CU1249" s="132"/>
      <c r="CV1249" s="132"/>
      <c r="CW1249" s="132"/>
      <c r="CX1249" s="132"/>
      <c r="CY1249" s="132"/>
    </row>
    <row r="1250" spans="1:103">
      <c r="A1250" s="132"/>
      <c r="B1250" s="132"/>
      <c r="C1250" s="132"/>
      <c r="D1250" s="132"/>
      <c r="E1250" s="132"/>
      <c r="F1250" s="132"/>
      <c r="G1250" s="132"/>
      <c r="H1250" s="132"/>
      <c r="I1250" s="132"/>
      <c r="J1250" s="132"/>
      <c r="K1250" s="132"/>
      <c r="L1250" s="132"/>
      <c r="M1250" s="132"/>
      <c r="N1250" s="132"/>
      <c r="O1250" s="132"/>
      <c r="P1250" s="132"/>
      <c r="Q1250" s="132"/>
      <c r="R1250" s="132"/>
      <c r="S1250" s="132"/>
      <c r="T1250" s="132"/>
      <c r="U1250" s="132"/>
      <c r="V1250" s="132"/>
      <c r="W1250" s="132"/>
      <c r="X1250" s="132"/>
      <c r="Y1250" s="132"/>
      <c r="Z1250" s="132"/>
      <c r="AA1250" s="132"/>
      <c r="AB1250" s="132"/>
      <c r="AC1250" s="132"/>
      <c r="AD1250" s="132"/>
      <c r="AE1250" s="132"/>
      <c r="AF1250" s="132"/>
      <c r="AG1250" s="132"/>
      <c r="AH1250" s="132"/>
      <c r="AI1250" s="132"/>
      <c r="AJ1250" s="132"/>
      <c r="AK1250" s="132"/>
      <c r="AL1250" s="132"/>
      <c r="AM1250" s="132"/>
      <c r="AN1250" s="132"/>
      <c r="AO1250" s="132"/>
      <c r="AP1250" s="132"/>
      <c r="AQ1250" s="132"/>
      <c r="AR1250" s="132"/>
      <c r="AS1250" s="132"/>
      <c r="AT1250" s="132"/>
      <c r="AU1250" s="132"/>
      <c r="AV1250" s="132"/>
      <c r="AW1250" s="132"/>
      <c r="AX1250" s="132"/>
      <c r="AY1250" s="132"/>
      <c r="AZ1250" s="132"/>
      <c r="BA1250" s="132"/>
      <c r="BB1250" s="132"/>
      <c r="BC1250" s="132"/>
      <c r="BD1250" s="132"/>
      <c r="BE1250" s="132"/>
      <c r="BF1250" s="132"/>
      <c r="BG1250" s="132"/>
      <c r="BH1250" s="132"/>
      <c r="BI1250" s="132"/>
      <c r="BJ1250" s="132"/>
      <c r="BK1250" s="132"/>
      <c r="BL1250" s="132"/>
      <c r="BM1250" s="132"/>
      <c r="BN1250" s="132"/>
      <c r="BO1250" s="132"/>
      <c r="BP1250" s="132"/>
      <c r="BQ1250" s="132"/>
      <c r="BR1250" s="132"/>
      <c r="BS1250" s="132"/>
      <c r="BT1250" s="132"/>
      <c r="BU1250" s="132"/>
      <c r="BV1250" s="132"/>
      <c r="BW1250" s="132"/>
      <c r="BX1250" s="132"/>
      <c r="BY1250" s="132"/>
      <c r="BZ1250" s="132"/>
      <c r="CA1250" s="132"/>
      <c r="CB1250" s="132"/>
      <c r="CC1250" s="132"/>
      <c r="CD1250" s="132"/>
      <c r="CE1250" s="132"/>
      <c r="CF1250" s="132"/>
      <c r="CG1250" s="132"/>
      <c r="CH1250" s="132"/>
      <c r="CI1250" s="132"/>
      <c r="CJ1250" s="132"/>
      <c r="CK1250" s="132"/>
      <c r="CL1250" s="132"/>
      <c r="CM1250" s="132"/>
      <c r="CN1250" s="132"/>
      <c r="CO1250" s="132"/>
      <c r="CP1250" s="132"/>
      <c r="CQ1250" s="132"/>
      <c r="CR1250" s="132"/>
      <c r="CS1250" s="132"/>
      <c r="CT1250" s="132"/>
      <c r="CU1250" s="132"/>
      <c r="CV1250" s="132"/>
      <c r="CW1250" s="132"/>
      <c r="CX1250" s="132"/>
      <c r="CY1250" s="132"/>
    </row>
    <row r="1251" spans="1:103">
      <c r="A1251" s="132"/>
      <c r="B1251" s="132"/>
      <c r="C1251" s="132"/>
      <c r="D1251" s="132"/>
      <c r="E1251" s="132"/>
      <c r="F1251" s="132"/>
      <c r="G1251" s="132"/>
      <c r="H1251" s="132"/>
      <c r="I1251" s="132"/>
      <c r="J1251" s="132"/>
      <c r="K1251" s="132"/>
      <c r="L1251" s="132"/>
      <c r="M1251" s="132"/>
      <c r="N1251" s="132"/>
      <c r="O1251" s="132"/>
      <c r="P1251" s="132"/>
      <c r="Q1251" s="132"/>
      <c r="R1251" s="132"/>
      <c r="S1251" s="132"/>
      <c r="T1251" s="132"/>
      <c r="U1251" s="132"/>
      <c r="V1251" s="132"/>
      <c r="W1251" s="132"/>
      <c r="X1251" s="132"/>
      <c r="Y1251" s="132"/>
      <c r="Z1251" s="132"/>
      <c r="AA1251" s="132"/>
      <c r="AB1251" s="132"/>
      <c r="AC1251" s="132"/>
      <c r="AD1251" s="132"/>
      <c r="AE1251" s="132"/>
      <c r="AF1251" s="132"/>
      <c r="AG1251" s="132"/>
      <c r="AH1251" s="132"/>
      <c r="AI1251" s="132"/>
      <c r="AJ1251" s="132"/>
      <c r="AK1251" s="132"/>
      <c r="AL1251" s="132"/>
      <c r="AM1251" s="132"/>
      <c r="AN1251" s="132"/>
      <c r="AO1251" s="132"/>
      <c r="AP1251" s="132"/>
      <c r="AQ1251" s="132"/>
      <c r="AR1251" s="132"/>
      <c r="AS1251" s="132"/>
      <c r="AT1251" s="132"/>
      <c r="AU1251" s="132"/>
      <c r="AV1251" s="132"/>
      <c r="AW1251" s="132"/>
      <c r="AX1251" s="132"/>
      <c r="AY1251" s="132"/>
      <c r="AZ1251" s="132"/>
      <c r="BA1251" s="132"/>
      <c r="BB1251" s="132"/>
      <c r="BC1251" s="132"/>
      <c r="BD1251" s="132"/>
      <c r="BE1251" s="132"/>
      <c r="BF1251" s="132"/>
      <c r="BG1251" s="132"/>
      <c r="BH1251" s="132"/>
      <c r="BI1251" s="132"/>
      <c r="BJ1251" s="132"/>
      <c r="BK1251" s="132"/>
      <c r="BL1251" s="132"/>
      <c r="BM1251" s="132"/>
      <c r="BN1251" s="132"/>
      <c r="BO1251" s="132"/>
      <c r="BP1251" s="132"/>
      <c r="BQ1251" s="132"/>
      <c r="BR1251" s="132"/>
      <c r="BS1251" s="132"/>
      <c r="BT1251" s="132"/>
      <c r="BU1251" s="132"/>
      <c r="BV1251" s="132"/>
      <c r="BW1251" s="132"/>
      <c r="BX1251" s="132"/>
      <c r="BY1251" s="132"/>
      <c r="BZ1251" s="132"/>
      <c r="CA1251" s="132"/>
      <c r="CB1251" s="132"/>
      <c r="CC1251" s="132"/>
      <c r="CD1251" s="132"/>
      <c r="CE1251" s="132"/>
      <c r="CF1251" s="132"/>
      <c r="CG1251" s="132"/>
      <c r="CH1251" s="132"/>
      <c r="CI1251" s="132"/>
      <c r="CJ1251" s="132"/>
      <c r="CK1251" s="132"/>
      <c r="CL1251" s="132"/>
      <c r="CM1251" s="132"/>
      <c r="CN1251" s="132"/>
      <c r="CO1251" s="132"/>
      <c r="CP1251" s="132"/>
      <c r="CQ1251" s="132"/>
      <c r="CR1251" s="132"/>
      <c r="CS1251" s="132"/>
      <c r="CT1251" s="132"/>
      <c r="CU1251" s="132"/>
      <c r="CV1251" s="132"/>
      <c r="CW1251" s="132"/>
      <c r="CX1251" s="132"/>
      <c r="CY1251" s="132"/>
    </row>
    <row r="1252" spans="1:103">
      <c r="A1252" s="132"/>
      <c r="B1252" s="132"/>
      <c r="C1252" s="132"/>
      <c r="D1252" s="132"/>
      <c r="E1252" s="132"/>
      <c r="F1252" s="132"/>
      <c r="G1252" s="132"/>
      <c r="H1252" s="132"/>
      <c r="I1252" s="132"/>
      <c r="J1252" s="132"/>
      <c r="K1252" s="132"/>
      <c r="L1252" s="132"/>
      <c r="M1252" s="132"/>
      <c r="N1252" s="132"/>
      <c r="O1252" s="132"/>
      <c r="P1252" s="132"/>
      <c r="Q1252" s="132"/>
      <c r="R1252" s="132"/>
      <c r="S1252" s="132"/>
      <c r="T1252" s="132"/>
      <c r="U1252" s="132"/>
      <c r="V1252" s="132"/>
      <c r="W1252" s="132"/>
      <c r="X1252" s="132"/>
      <c r="Y1252" s="132"/>
      <c r="Z1252" s="132"/>
      <c r="AA1252" s="132"/>
      <c r="AB1252" s="132"/>
      <c r="AC1252" s="132"/>
      <c r="AD1252" s="132"/>
      <c r="AE1252" s="132"/>
      <c r="AF1252" s="132"/>
      <c r="AG1252" s="132"/>
      <c r="AH1252" s="132"/>
      <c r="AI1252" s="132"/>
      <c r="AJ1252" s="132"/>
      <c r="AK1252" s="132"/>
      <c r="AL1252" s="132"/>
      <c r="AM1252" s="132"/>
      <c r="AN1252" s="132"/>
      <c r="AO1252" s="132"/>
      <c r="AP1252" s="132"/>
      <c r="AQ1252" s="132"/>
      <c r="AR1252" s="132"/>
      <c r="AS1252" s="132"/>
      <c r="AT1252" s="132"/>
      <c r="AU1252" s="132"/>
      <c r="AV1252" s="132"/>
      <c r="AW1252" s="132"/>
      <c r="AX1252" s="132"/>
      <c r="AY1252" s="132"/>
      <c r="AZ1252" s="132"/>
      <c r="BA1252" s="132"/>
      <c r="BB1252" s="132"/>
      <c r="BC1252" s="132"/>
      <c r="BD1252" s="132"/>
      <c r="BE1252" s="132"/>
      <c r="BF1252" s="132"/>
      <c r="BG1252" s="132"/>
      <c r="BH1252" s="132"/>
      <c r="BI1252" s="132"/>
      <c r="BJ1252" s="132"/>
      <c r="BK1252" s="132"/>
      <c r="BL1252" s="132"/>
      <c r="BM1252" s="132"/>
      <c r="BN1252" s="132"/>
      <c r="BO1252" s="132"/>
      <c r="BP1252" s="132"/>
      <c r="BQ1252" s="132"/>
      <c r="BR1252" s="132"/>
      <c r="BS1252" s="132"/>
      <c r="BT1252" s="132"/>
      <c r="BU1252" s="132"/>
      <c r="BV1252" s="132"/>
      <c r="BW1252" s="132"/>
      <c r="BX1252" s="132"/>
      <c r="BY1252" s="132"/>
      <c r="BZ1252" s="132"/>
      <c r="CA1252" s="132"/>
      <c r="CB1252" s="132"/>
      <c r="CC1252" s="132"/>
      <c r="CD1252" s="132"/>
      <c r="CE1252" s="132"/>
      <c r="CF1252" s="132"/>
      <c r="CG1252" s="132"/>
      <c r="CH1252" s="132"/>
      <c r="CI1252" s="132"/>
      <c r="CJ1252" s="132"/>
      <c r="CK1252" s="132"/>
      <c r="CL1252" s="132"/>
      <c r="CM1252" s="132"/>
      <c r="CN1252" s="132"/>
      <c r="CO1252" s="132"/>
      <c r="CP1252" s="132"/>
      <c r="CQ1252" s="132"/>
      <c r="CR1252" s="132"/>
      <c r="CS1252" s="132"/>
      <c r="CT1252" s="132"/>
      <c r="CU1252" s="132"/>
      <c r="CV1252" s="132"/>
      <c r="CW1252" s="132"/>
      <c r="CX1252" s="132"/>
      <c r="CY1252" s="132"/>
    </row>
    <row r="1253" spans="1:103">
      <c r="A1253" s="132"/>
      <c r="B1253" s="132"/>
      <c r="C1253" s="132"/>
      <c r="D1253" s="132"/>
      <c r="E1253" s="132"/>
      <c r="F1253" s="132"/>
      <c r="G1253" s="132"/>
      <c r="H1253" s="132"/>
      <c r="I1253" s="132"/>
      <c r="J1253" s="132"/>
      <c r="K1253" s="132"/>
      <c r="L1253" s="132"/>
      <c r="M1253" s="132"/>
      <c r="N1253" s="132"/>
      <c r="O1253" s="132"/>
      <c r="P1253" s="132"/>
      <c r="Q1253" s="132"/>
      <c r="R1253" s="132"/>
      <c r="S1253" s="132"/>
      <c r="T1253" s="132"/>
      <c r="U1253" s="132"/>
      <c r="V1253" s="132"/>
      <c r="W1253" s="132"/>
      <c r="X1253" s="132"/>
      <c r="Y1253" s="132"/>
      <c r="Z1253" s="132"/>
      <c r="AA1253" s="132"/>
      <c r="AB1253" s="132"/>
      <c r="AC1253" s="132"/>
      <c r="AD1253" s="132"/>
      <c r="AE1253" s="132"/>
      <c r="AF1253" s="132"/>
      <c r="AG1253" s="132"/>
      <c r="AH1253" s="132"/>
      <c r="AI1253" s="132"/>
      <c r="AJ1253" s="132"/>
      <c r="AK1253" s="132"/>
      <c r="AL1253" s="132"/>
      <c r="AM1253" s="132"/>
      <c r="AN1253" s="132"/>
      <c r="AO1253" s="132"/>
      <c r="AP1253" s="132"/>
      <c r="AQ1253" s="132"/>
      <c r="AR1253" s="132"/>
      <c r="AS1253" s="132"/>
      <c r="AT1253" s="132"/>
      <c r="AU1253" s="132"/>
      <c r="AV1253" s="132"/>
      <c r="AW1253" s="132"/>
      <c r="AX1253" s="132"/>
      <c r="AY1253" s="132"/>
      <c r="AZ1253" s="132"/>
      <c r="BA1253" s="132"/>
      <c r="BB1253" s="132"/>
      <c r="BC1253" s="132"/>
      <c r="BD1253" s="132"/>
      <c r="BE1253" s="132"/>
      <c r="BF1253" s="132"/>
      <c r="BG1253" s="132"/>
      <c r="BH1253" s="132"/>
      <c r="BI1253" s="132"/>
      <c r="BJ1253" s="132"/>
      <c r="BK1253" s="132"/>
      <c r="BL1253" s="132"/>
      <c r="BM1253" s="132"/>
      <c r="BN1253" s="132"/>
      <c r="BO1253" s="132"/>
      <c r="BP1253" s="132"/>
      <c r="BQ1253" s="132"/>
      <c r="BR1253" s="132"/>
      <c r="BS1253" s="132"/>
      <c r="BT1253" s="132"/>
      <c r="BU1253" s="132"/>
      <c r="BV1253" s="132"/>
      <c r="BW1253" s="132"/>
      <c r="BX1253" s="132"/>
      <c r="BY1253" s="132"/>
      <c r="BZ1253" s="132"/>
      <c r="CA1253" s="132"/>
      <c r="CB1253" s="132"/>
      <c r="CC1253" s="132"/>
      <c r="CD1253" s="132"/>
      <c r="CE1253" s="132"/>
      <c r="CF1253" s="132"/>
      <c r="CG1253" s="132"/>
      <c r="CH1253" s="132"/>
      <c r="CI1253" s="132"/>
      <c r="CJ1253" s="132"/>
      <c r="CK1253" s="132"/>
      <c r="CL1253" s="132"/>
      <c r="CM1253" s="132"/>
      <c r="CN1253" s="132"/>
      <c r="CO1253" s="132"/>
      <c r="CP1253" s="132"/>
      <c r="CQ1253" s="132"/>
      <c r="CR1253" s="132"/>
      <c r="CS1253" s="132"/>
      <c r="CT1253" s="132"/>
      <c r="CU1253" s="132"/>
      <c r="CV1253" s="132"/>
      <c r="CW1253" s="132"/>
      <c r="CX1253" s="132"/>
      <c r="CY1253" s="132"/>
    </row>
    <row r="1254" spans="1:103">
      <c r="A1254" s="132"/>
      <c r="B1254" s="132"/>
      <c r="C1254" s="132"/>
      <c r="D1254" s="132"/>
      <c r="E1254" s="132"/>
      <c r="F1254" s="132"/>
      <c r="G1254" s="132"/>
      <c r="H1254" s="132"/>
      <c r="I1254" s="132"/>
      <c r="J1254" s="132"/>
      <c r="K1254" s="132"/>
      <c r="L1254" s="132"/>
      <c r="M1254" s="132"/>
      <c r="N1254" s="132"/>
      <c r="O1254" s="132"/>
      <c r="P1254" s="132"/>
      <c r="Q1254" s="132"/>
      <c r="R1254" s="132"/>
      <c r="S1254" s="132"/>
      <c r="T1254" s="132"/>
      <c r="U1254" s="132"/>
      <c r="V1254" s="132"/>
      <c r="W1254" s="132"/>
      <c r="X1254" s="132"/>
      <c r="Y1254" s="132"/>
      <c r="Z1254" s="132"/>
      <c r="AA1254" s="132"/>
      <c r="AB1254" s="132"/>
      <c r="AC1254" s="132"/>
      <c r="AD1254" s="132"/>
      <c r="AE1254" s="132"/>
      <c r="AF1254" s="132"/>
      <c r="AG1254" s="132"/>
      <c r="AH1254" s="132"/>
      <c r="AI1254" s="132"/>
      <c r="AJ1254" s="132"/>
      <c r="AK1254" s="132"/>
      <c r="AL1254" s="132"/>
      <c r="AM1254" s="132"/>
      <c r="AN1254" s="132"/>
      <c r="AO1254" s="132"/>
      <c r="AP1254" s="132"/>
      <c r="AQ1254" s="132"/>
      <c r="AR1254" s="132"/>
      <c r="AS1254" s="132"/>
      <c r="AT1254" s="132"/>
      <c r="AU1254" s="132"/>
      <c r="AV1254" s="132"/>
      <c r="AW1254" s="132"/>
      <c r="AX1254" s="132"/>
      <c r="AY1254" s="132"/>
      <c r="AZ1254" s="132"/>
      <c r="BA1254" s="132"/>
      <c r="BB1254" s="132"/>
      <c r="BC1254" s="132"/>
      <c r="BD1254" s="132"/>
      <c r="BE1254" s="132"/>
      <c r="BF1254" s="132"/>
      <c r="BG1254" s="132"/>
      <c r="BH1254" s="132"/>
      <c r="BI1254" s="132"/>
      <c r="BJ1254" s="132"/>
      <c r="BK1254" s="132"/>
      <c r="BL1254" s="132"/>
      <c r="BM1254" s="132"/>
      <c r="BN1254" s="132"/>
      <c r="BO1254" s="132"/>
      <c r="BP1254" s="132"/>
      <c r="BQ1254" s="132"/>
      <c r="BR1254" s="132"/>
      <c r="BS1254" s="132"/>
      <c r="BT1254" s="132"/>
      <c r="BU1254" s="132"/>
      <c r="BV1254" s="132"/>
      <c r="BW1254" s="132"/>
      <c r="BX1254" s="132"/>
      <c r="BY1254" s="132"/>
      <c r="BZ1254" s="132"/>
      <c r="CA1254" s="132"/>
      <c r="CB1254" s="132"/>
      <c r="CC1254" s="132"/>
      <c r="CD1254" s="132"/>
      <c r="CE1254" s="132"/>
      <c r="CF1254" s="132"/>
      <c r="CG1254" s="132"/>
      <c r="CH1254" s="132"/>
      <c r="CI1254" s="132"/>
      <c r="CJ1254" s="132"/>
      <c r="CK1254" s="132"/>
      <c r="CL1254" s="132"/>
      <c r="CM1254" s="132"/>
      <c r="CN1254" s="132"/>
      <c r="CO1254" s="132"/>
      <c r="CP1254" s="132"/>
      <c r="CQ1254" s="132"/>
      <c r="CR1254" s="132"/>
      <c r="CS1254" s="132"/>
      <c r="CT1254" s="132"/>
      <c r="CU1254" s="132"/>
      <c r="CV1254" s="132"/>
      <c r="CW1254" s="132"/>
      <c r="CX1254" s="132"/>
      <c r="CY1254" s="132"/>
    </row>
    <row r="1255" spans="1:103">
      <c r="A1255" s="132"/>
      <c r="B1255" s="132"/>
      <c r="C1255" s="132"/>
      <c r="D1255" s="132"/>
      <c r="E1255" s="132"/>
      <c r="F1255" s="132"/>
      <c r="G1255" s="132"/>
      <c r="H1255" s="132"/>
      <c r="I1255" s="132"/>
      <c r="J1255" s="132"/>
      <c r="K1255" s="132"/>
      <c r="L1255" s="132"/>
      <c r="M1255" s="132"/>
      <c r="N1255" s="132"/>
      <c r="O1255" s="132"/>
      <c r="P1255" s="132"/>
      <c r="Q1255" s="132"/>
      <c r="R1255" s="132"/>
      <c r="S1255" s="132"/>
      <c r="T1255" s="132"/>
      <c r="U1255" s="132"/>
      <c r="V1255" s="132"/>
      <c r="W1255" s="132"/>
      <c r="X1255" s="132"/>
      <c r="Y1255" s="132"/>
      <c r="Z1255" s="132"/>
      <c r="AA1255" s="132"/>
      <c r="AB1255" s="132"/>
      <c r="AC1255" s="132"/>
      <c r="AD1255" s="132"/>
      <c r="AE1255" s="132"/>
      <c r="AF1255" s="132"/>
      <c r="AG1255" s="132"/>
      <c r="AH1255" s="132"/>
      <c r="AI1255" s="132"/>
      <c r="AJ1255" s="132"/>
      <c r="AK1255" s="132"/>
      <c r="AL1255" s="132"/>
      <c r="AM1255" s="132"/>
      <c r="AN1255" s="132"/>
      <c r="AO1255" s="132"/>
      <c r="AP1255" s="132"/>
      <c r="AQ1255" s="132"/>
      <c r="AR1255" s="132"/>
      <c r="AS1255" s="132"/>
      <c r="AT1255" s="132"/>
      <c r="AU1255" s="132"/>
      <c r="AV1255" s="132"/>
      <c r="AW1255" s="132"/>
      <c r="AX1255" s="132"/>
      <c r="AY1255" s="132"/>
      <c r="AZ1255" s="132"/>
      <c r="BA1255" s="132"/>
      <c r="BB1255" s="132"/>
      <c r="BC1255" s="132"/>
      <c r="BD1255" s="132"/>
      <c r="BE1255" s="132"/>
      <c r="BF1255" s="132"/>
      <c r="BG1255" s="132"/>
      <c r="BH1255" s="132"/>
      <c r="BI1255" s="132"/>
      <c r="BJ1255" s="132"/>
      <c r="BK1255" s="132"/>
      <c r="BL1255" s="132"/>
      <c r="BM1255" s="132"/>
      <c r="BN1255" s="132"/>
      <c r="BO1255" s="132"/>
      <c r="BP1255" s="132"/>
      <c r="BQ1255" s="132"/>
      <c r="BR1255" s="132"/>
      <c r="BS1255" s="132"/>
      <c r="BT1255" s="132"/>
      <c r="BU1255" s="132"/>
      <c r="BV1255" s="132"/>
      <c r="BW1255" s="132"/>
      <c r="BX1255" s="132"/>
      <c r="BY1255" s="132"/>
      <c r="BZ1255" s="132"/>
      <c r="CA1255" s="132"/>
      <c r="CB1255" s="132"/>
      <c r="CC1255" s="132"/>
      <c r="CD1255" s="132"/>
      <c r="CE1255" s="132"/>
      <c r="CF1255" s="132"/>
      <c r="CG1255" s="132"/>
      <c r="CH1255" s="132"/>
      <c r="CI1255" s="132"/>
      <c r="CJ1255" s="132"/>
      <c r="CK1255" s="132"/>
      <c r="CL1255" s="132"/>
      <c r="CM1255" s="132"/>
      <c r="CN1255" s="132"/>
      <c r="CO1255" s="132"/>
      <c r="CP1255" s="132"/>
      <c r="CQ1255" s="132"/>
      <c r="CR1255" s="132"/>
      <c r="CS1255" s="132"/>
      <c r="CT1255" s="132"/>
      <c r="CU1255" s="132"/>
      <c r="CV1255" s="132"/>
      <c r="CW1255" s="132"/>
      <c r="CX1255" s="132"/>
      <c r="CY1255" s="132"/>
    </row>
    <row r="1256" spans="1:103">
      <c r="A1256" s="132"/>
      <c r="B1256" s="132"/>
      <c r="C1256" s="132"/>
      <c r="D1256" s="132"/>
      <c r="E1256" s="132"/>
      <c r="F1256" s="132"/>
      <c r="G1256" s="132"/>
      <c r="H1256" s="132"/>
      <c r="I1256" s="132"/>
      <c r="J1256" s="132"/>
      <c r="K1256" s="132"/>
      <c r="L1256" s="132"/>
      <c r="M1256" s="132"/>
      <c r="N1256" s="132"/>
      <c r="O1256" s="132"/>
      <c r="P1256" s="132"/>
      <c r="Q1256" s="132"/>
      <c r="R1256" s="132"/>
      <c r="S1256" s="132"/>
      <c r="T1256" s="132"/>
      <c r="U1256" s="132"/>
      <c r="V1256" s="132"/>
      <c r="W1256" s="132"/>
      <c r="X1256" s="132"/>
      <c r="Y1256" s="132"/>
      <c r="Z1256" s="132"/>
      <c r="AA1256" s="132"/>
      <c r="AB1256" s="132"/>
      <c r="AC1256" s="132"/>
      <c r="AD1256" s="132"/>
      <c r="AE1256" s="132"/>
      <c r="AF1256" s="132"/>
      <c r="AG1256" s="132"/>
      <c r="AH1256" s="132"/>
      <c r="AI1256" s="132"/>
      <c r="AJ1256" s="132"/>
      <c r="AK1256" s="132"/>
      <c r="AL1256" s="132"/>
      <c r="AM1256" s="132"/>
      <c r="AN1256" s="132"/>
      <c r="AO1256" s="132"/>
      <c r="AP1256" s="132"/>
      <c r="AQ1256" s="132"/>
      <c r="AR1256" s="132"/>
      <c r="AS1256" s="132"/>
      <c r="AT1256" s="132"/>
      <c r="AU1256" s="132"/>
      <c r="AV1256" s="132"/>
      <c r="AW1256" s="132"/>
      <c r="AX1256" s="132"/>
      <c r="AY1256" s="132"/>
      <c r="AZ1256" s="132"/>
      <c r="BA1256" s="132"/>
      <c r="BB1256" s="132"/>
      <c r="BC1256" s="132"/>
      <c r="BD1256" s="132"/>
      <c r="BE1256" s="132"/>
      <c r="BF1256" s="132"/>
      <c r="BG1256" s="132"/>
      <c r="BH1256" s="132"/>
      <c r="BI1256" s="132"/>
      <c r="BJ1256" s="132"/>
      <c r="BK1256" s="132"/>
      <c r="BL1256" s="132"/>
      <c r="BM1256" s="132"/>
      <c r="BN1256" s="132"/>
      <c r="BO1256" s="132"/>
      <c r="BP1256" s="132"/>
      <c r="BQ1256" s="132"/>
      <c r="BR1256" s="132"/>
      <c r="BS1256" s="132"/>
      <c r="BT1256" s="132"/>
      <c r="BU1256" s="132"/>
      <c r="BV1256" s="132"/>
      <c r="BW1256" s="132"/>
      <c r="BX1256" s="132"/>
      <c r="BY1256" s="132"/>
      <c r="BZ1256" s="132"/>
      <c r="CA1256" s="132"/>
      <c r="CB1256" s="132"/>
      <c r="CC1256" s="132"/>
      <c r="CD1256" s="132"/>
      <c r="CE1256" s="132"/>
      <c r="CF1256" s="132"/>
      <c r="CG1256" s="132"/>
      <c r="CH1256" s="132"/>
      <c r="CI1256" s="132"/>
      <c r="CJ1256" s="132"/>
      <c r="CK1256" s="132"/>
      <c r="CL1256" s="132"/>
      <c r="CM1256" s="132"/>
      <c r="CN1256" s="132"/>
      <c r="CO1256" s="132"/>
      <c r="CP1256" s="132"/>
      <c r="CQ1256" s="132"/>
      <c r="CR1256" s="132"/>
      <c r="CS1256" s="132"/>
      <c r="CT1256" s="132"/>
      <c r="CU1256" s="132"/>
      <c r="CV1256" s="132"/>
      <c r="CW1256" s="132"/>
      <c r="CX1256" s="132"/>
      <c r="CY1256" s="132"/>
    </row>
    <row r="1257" spans="1:103">
      <c r="A1257" s="132"/>
      <c r="B1257" s="132"/>
      <c r="C1257" s="132"/>
      <c r="D1257" s="132"/>
      <c r="E1257" s="132"/>
      <c r="F1257" s="132"/>
      <c r="G1257" s="132"/>
      <c r="H1257" s="132"/>
      <c r="I1257" s="132"/>
      <c r="J1257" s="132"/>
      <c r="K1257" s="132"/>
      <c r="L1257" s="132"/>
      <c r="M1257" s="132"/>
      <c r="N1257" s="132"/>
      <c r="O1257" s="132"/>
      <c r="P1257" s="132"/>
      <c r="Q1257" s="132"/>
      <c r="R1257" s="132"/>
      <c r="S1257" s="132"/>
      <c r="T1257" s="132"/>
      <c r="U1257" s="132"/>
      <c r="V1257" s="132"/>
      <c r="W1257" s="132"/>
      <c r="X1257" s="132"/>
      <c r="Y1257" s="132"/>
      <c r="Z1257" s="132"/>
      <c r="AA1257" s="132"/>
      <c r="AB1257" s="132"/>
      <c r="AC1257" s="132"/>
      <c r="AD1257" s="132"/>
      <c r="AE1257" s="132"/>
      <c r="AF1257" s="132"/>
      <c r="AG1257" s="132"/>
      <c r="AH1257" s="132"/>
      <c r="AI1257" s="132"/>
      <c r="AJ1257" s="132"/>
      <c r="AK1257" s="132"/>
      <c r="AL1257" s="132"/>
      <c r="AM1257" s="132"/>
      <c r="AN1257" s="132"/>
      <c r="AO1257" s="132"/>
      <c r="AP1257" s="132"/>
      <c r="AQ1257" s="132"/>
      <c r="AR1257" s="132"/>
      <c r="AS1257" s="132"/>
      <c r="AT1257" s="132"/>
      <c r="AU1257" s="132"/>
      <c r="AV1257" s="132"/>
      <c r="AW1257" s="132"/>
      <c r="AX1257" s="132"/>
      <c r="AY1257" s="132"/>
      <c r="AZ1257" s="132"/>
      <c r="BA1257" s="132"/>
      <c r="BB1257" s="132"/>
      <c r="BC1257" s="132"/>
      <c r="BD1257" s="132"/>
      <c r="BE1257" s="132"/>
      <c r="BF1257" s="132"/>
      <c r="BG1257" s="132"/>
      <c r="BH1257" s="132"/>
      <c r="BI1257" s="132"/>
      <c r="BJ1257" s="132"/>
      <c r="BK1257" s="132"/>
      <c r="BL1257" s="132"/>
      <c r="BM1257" s="132"/>
      <c r="BN1257" s="132"/>
      <c r="BO1257" s="132"/>
      <c r="BP1257" s="132"/>
      <c r="BQ1257" s="132"/>
      <c r="BR1257" s="132"/>
      <c r="BS1257" s="132"/>
      <c r="BT1257" s="132"/>
      <c r="BU1257" s="132"/>
      <c r="BV1257" s="132"/>
      <c r="BW1257" s="132"/>
      <c r="BX1257" s="132"/>
      <c r="BY1257" s="132"/>
      <c r="BZ1257" s="132"/>
      <c r="CA1257" s="132"/>
      <c r="CB1257" s="132"/>
      <c r="CC1257" s="132"/>
      <c r="CD1257" s="132"/>
      <c r="CE1257" s="132"/>
      <c r="CF1257" s="132"/>
      <c r="CG1257" s="132"/>
      <c r="CH1257" s="132"/>
      <c r="CI1257" s="132"/>
      <c r="CJ1257" s="132"/>
      <c r="CK1257" s="132"/>
      <c r="CL1257" s="132"/>
      <c r="CM1257" s="132"/>
      <c r="CN1257" s="132"/>
      <c r="CO1257" s="132"/>
      <c r="CP1257" s="132"/>
      <c r="CQ1257" s="132"/>
      <c r="CR1257" s="132"/>
      <c r="CS1257" s="132"/>
      <c r="CT1257" s="132"/>
      <c r="CU1257" s="132"/>
      <c r="CV1257" s="132"/>
      <c r="CW1257" s="132"/>
      <c r="CX1257" s="132"/>
      <c r="CY1257" s="132"/>
    </row>
    <row r="1258" spans="1:103">
      <c r="A1258" s="132"/>
      <c r="B1258" s="132"/>
      <c r="C1258" s="132"/>
      <c r="D1258" s="132"/>
      <c r="E1258" s="132"/>
      <c r="F1258" s="132"/>
      <c r="G1258" s="132"/>
      <c r="H1258" s="132"/>
      <c r="I1258" s="132"/>
      <c r="J1258" s="132"/>
      <c r="K1258" s="132"/>
      <c r="L1258" s="132"/>
      <c r="M1258" s="132"/>
      <c r="N1258" s="132"/>
      <c r="O1258" s="132"/>
      <c r="P1258" s="132"/>
      <c r="Q1258" s="132"/>
      <c r="R1258" s="132"/>
      <c r="S1258" s="132"/>
      <c r="T1258" s="132"/>
      <c r="U1258" s="132"/>
      <c r="V1258" s="132"/>
      <c r="W1258" s="132"/>
      <c r="X1258" s="132"/>
      <c r="Y1258" s="132"/>
      <c r="Z1258" s="132"/>
      <c r="AA1258" s="132"/>
      <c r="AB1258" s="132"/>
      <c r="AC1258" s="132"/>
      <c r="AD1258" s="132"/>
      <c r="AE1258" s="132"/>
      <c r="AF1258" s="132"/>
      <c r="AG1258" s="132"/>
      <c r="AH1258" s="132"/>
      <c r="AI1258" s="132"/>
      <c r="AJ1258" s="132"/>
      <c r="AK1258" s="132"/>
      <c r="AL1258" s="132"/>
      <c r="AM1258" s="132"/>
      <c r="AN1258" s="132"/>
      <c r="AO1258" s="132"/>
      <c r="AP1258" s="132"/>
      <c r="AQ1258" s="132"/>
      <c r="AR1258" s="132"/>
      <c r="AS1258" s="132"/>
      <c r="AT1258" s="132"/>
      <c r="AU1258" s="132"/>
      <c r="AV1258" s="132"/>
      <c r="AW1258" s="132"/>
      <c r="AX1258" s="132"/>
      <c r="AY1258" s="132"/>
      <c r="AZ1258" s="132"/>
      <c r="BA1258" s="132"/>
      <c r="BB1258" s="132"/>
      <c r="BC1258" s="132"/>
      <c r="BD1258" s="132"/>
      <c r="BE1258" s="132"/>
      <c r="BF1258" s="132"/>
      <c r="BG1258" s="132"/>
      <c r="BH1258" s="132"/>
      <c r="BI1258" s="132"/>
      <c r="BJ1258" s="132"/>
      <c r="BK1258" s="132"/>
      <c r="BL1258" s="132"/>
      <c r="BM1258" s="132"/>
      <c r="BN1258" s="132"/>
      <c r="BO1258" s="132"/>
      <c r="BP1258" s="132"/>
      <c r="BQ1258" s="132"/>
      <c r="BR1258" s="132"/>
      <c r="BS1258" s="132"/>
      <c r="BT1258" s="132"/>
      <c r="BU1258" s="132"/>
      <c r="BV1258" s="132"/>
      <c r="BW1258" s="132"/>
      <c r="BX1258" s="132"/>
      <c r="BY1258" s="132"/>
      <c r="BZ1258" s="132"/>
      <c r="CA1258" s="132"/>
      <c r="CB1258" s="132"/>
      <c r="CC1258" s="132"/>
      <c r="CD1258" s="132"/>
      <c r="CE1258" s="132"/>
      <c r="CF1258" s="132"/>
      <c r="CG1258" s="132"/>
      <c r="CH1258" s="132"/>
      <c r="CI1258" s="132"/>
      <c r="CJ1258" s="132"/>
      <c r="CK1258" s="132"/>
      <c r="CL1258" s="132"/>
      <c r="CM1258" s="132"/>
      <c r="CN1258" s="132"/>
      <c r="CO1258" s="132"/>
      <c r="CP1258" s="132"/>
      <c r="CQ1258" s="132"/>
      <c r="CR1258" s="132"/>
      <c r="CS1258" s="132"/>
      <c r="CT1258" s="132"/>
      <c r="CU1258" s="132"/>
      <c r="CV1258" s="132"/>
      <c r="CW1258" s="132"/>
      <c r="CX1258" s="132"/>
      <c r="CY1258" s="132"/>
    </row>
    <row r="1259" spans="1:103">
      <c r="A1259" s="132"/>
      <c r="B1259" s="132"/>
      <c r="C1259" s="132"/>
      <c r="D1259" s="132"/>
      <c r="E1259" s="132"/>
      <c r="F1259" s="132"/>
      <c r="G1259" s="132"/>
      <c r="H1259" s="132"/>
      <c r="I1259" s="132"/>
      <c r="J1259" s="132"/>
      <c r="K1259" s="132"/>
      <c r="L1259" s="132"/>
      <c r="M1259" s="132"/>
      <c r="N1259" s="132"/>
      <c r="O1259" s="132"/>
      <c r="P1259" s="132"/>
      <c r="Q1259" s="132"/>
      <c r="R1259" s="132"/>
      <c r="S1259" s="132"/>
      <c r="T1259" s="132"/>
      <c r="U1259" s="132"/>
      <c r="V1259" s="132"/>
      <c r="W1259" s="132"/>
      <c r="X1259" s="132"/>
      <c r="Y1259" s="132"/>
      <c r="Z1259" s="132"/>
      <c r="AA1259" s="132"/>
      <c r="AB1259" s="132"/>
      <c r="AC1259" s="132"/>
      <c r="AD1259" s="132"/>
      <c r="AE1259" s="132"/>
      <c r="AF1259" s="132"/>
      <c r="AG1259" s="132"/>
      <c r="AH1259" s="132"/>
      <c r="AI1259" s="132"/>
      <c r="AJ1259" s="132"/>
      <c r="AK1259" s="132"/>
      <c r="AL1259" s="132"/>
      <c r="AM1259" s="132"/>
      <c r="AN1259" s="132"/>
      <c r="AO1259" s="132"/>
      <c r="AP1259" s="132"/>
      <c r="AQ1259" s="132"/>
      <c r="AR1259" s="132"/>
      <c r="AS1259" s="132"/>
      <c r="AT1259" s="132"/>
      <c r="AU1259" s="132"/>
      <c r="AV1259" s="132"/>
      <c r="AW1259" s="132"/>
      <c r="AX1259" s="132"/>
      <c r="AY1259" s="132"/>
      <c r="AZ1259" s="132"/>
      <c r="BA1259" s="132"/>
      <c r="BB1259" s="132"/>
      <c r="BC1259" s="132"/>
      <c r="BD1259" s="132"/>
      <c r="BE1259" s="132"/>
      <c r="BF1259" s="132"/>
      <c r="BG1259" s="132"/>
      <c r="BH1259" s="132"/>
      <c r="BI1259" s="132"/>
      <c r="BJ1259" s="132"/>
      <c r="BK1259" s="132"/>
      <c r="BL1259" s="132"/>
      <c r="BM1259" s="132"/>
      <c r="BN1259" s="132"/>
      <c r="BO1259" s="132"/>
      <c r="BP1259" s="132"/>
      <c r="BQ1259" s="132"/>
      <c r="BR1259" s="132"/>
      <c r="BS1259" s="132"/>
      <c r="BT1259" s="132"/>
      <c r="BU1259" s="132"/>
      <c r="BV1259" s="132"/>
      <c r="BW1259" s="132"/>
      <c r="BX1259" s="132"/>
      <c r="BY1259" s="132"/>
      <c r="BZ1259" s="132"/>
      <c r="CA1259" s="132"/>
      <c r="CB1259" s="132"/>
      <c r="CC1259" s="132"/>
      <c r="CD1259" s="132"/>
      <c r="CE1259" s="132"/>
      <c r="CF1259" s="132"/>
      <c r="CG1259" s="132"/>
      <c r="CH1259" s="132"/>
      <c r="CI1259" s="132"/>
      <c r="CJ1259" s="132"/>
      <c r="CK1259" s="132"/>
      <c r="CL1259" s="132"/>
      <c r="CM1259" s="132"/>
      <c r="CN1259" s="132"/>
      <c r="CO1259" s="132"/>
      <c r="CP1259" s="132"/>
      <c r="CQ1259" s="132"/>
      <c r="CR1259" s="132"/>
      <c r="CS1259" s="132"/>
      <c r="CT1259" s="132"/>
      <c r="CU1259" s="132"/>
      <c r="CV1259" s="132"/>
      <c r="CW1259" s="132"/>
      <c r="CX1259" s="132"/>
      <c r="CY1259" s="132"/>
    </row>
    <row r="1260" spans="1:103">
      <c r="A1260" s="132"/>
      <c r="B1260" s="132"/>
      <c r="C1260" s="132"/>
      <c r="D1260" s="132"/>
      <c r="E1260" s="132"/>
      <c r="F1260" s="132"/>
      <c r="G1260" s="132"/>
      <c r="H1260" s="132"/>
      <c r="I1260" s="132"/>
      <c r="J1260" s="132"/>
      <c r="K1260" s="132"/>
      <c r="L1260" s="132"/>
      <c r="M1260" s="132"/>
      <c r="N1260" s="132"/>
      <c r="O1260" s="132"/>
      <c r="P1260" s="132"/>
      <c r="Q1260" s="132"/>
      <c r="R1260" s="132"/>
      <c r="S1260" s="132"/>
      <c r="T1260" s="132"/>
      <c r="U1260" s="132"/>
      <c r="V1260" s="132"/>
      <c r="W1260" s="132"/>
      <c r="X1260" s="132"/>
      <c r="Y1260" s="132"/>
      <c r="Z1260" s="132"/>
      <c r="AA1260" s="132"/>
      <c r="AB1260" s="132"/>
      <c r="AC1260" s="132"/>
      <c r="AD1260" s="132"/>
      <c r="AE1260" s="132"/>
      <c r="AF1260" s="132"/>
      <c r="AG1260" s="132"/>
      <c r="AH1260" s="132"/>
      <c r="AI1260" s="132"/>
      <c r="AJ1260" s="132"/>
      <c r="AK1260" s="132"/>
      <c r="AL1260" s="132"/>
      <c r="AM1260" s="132"/>
      <c r="AN1260" s="132"/>
      <c r="AO1260" s="132"/>
      <c r="AP1260" s="132"/>
      <c r="AQ1260" s="132"/>
      <c r="AR1260" s="132"/>
      <c r="AS1260" s="132"/>
      <c r="AT1260" s="132"/>
      <c r="AU1260" s="132"/>
      <c r="AV1260" s="132"/>
      <c r="AW1260" s="132"/>
      <c r="AX1260" s="132"/>
      <c r="AY1260" s="132"/>
      <c r="AZ1260" s="132"/>
      <c r="BA1260" s="132"/>
      <c r="BB1260" s="132"/>
      <c r="BC1260" s="132"/>
      <c r="BD1260" s="132"/>
      <c r="BE1260" s="132"/>
      <c r="BF1260" s="132"/>
      <c r="BG1260" s="132"/>
      <c r="BH1260" s="132"/>
      <c r="BI1260" s="132"/>
      <c r="BJ1260" s="132"/>
      <c r="BK1260" s="132"/>
      <c r="BL1260" s="132"/>
      <c r="BM1260" s="132"/>
      <c r="BN1260" s="132"/>
      <c r="BO1260" s="132"/>
      <c r="BP1260" s="132"/>
      <c r="BQ1260" s="132"/>
      <c r="BR1260" s="132"/>
      <c r="BS1260" s="132"/>
      <c r="BT1260" s="132"/>
      <c r="BU1260" s="132"/>
      <c r="BV1260" s="132"/>
      <c r="BW1260" s="132"/>
      <c r="BX1260" s="132"/>
      <c r="BY1260" s="132"/>
      <c r="BZ1260" s="132"/>
      <c r="CA1260" s="132"/>
      <c r="CB1260" s="132"/>
      <c r="CC1260" s="132"/>
      <c r="CD1260" s="132"/>
      <c r="CE1260" s="132"/>
      <c r="CF1260" s="132"/>
      <c r="CG1260" s="132"/>
      <c r="CH1260" s="132"/>
      <c r="CI1260" s="132"/>
      <c r="CJ1260" s="132"/>
      <c r="CK1260" s="132"/>
      <c r="CL1260" s="132"/>
      <c r="CM1260" s="132"/>
      <c r="CN1260" s="132"/>
      <c r="CO1260" s="132"/>
      <c r="CP1260" s="132"/>
      <c r="CQ1260" s="132"/>
      <c r="CR1260" s="132"/>
      <c r="CS1260" s="132"/>
      <c r="CT1260" s="132"/>
      <c r="CU1260" s="132"/>
      <c r="CV1260" s="132"/>
      <c r="CW1260" s="132"/>
      <c r="CX1260" s="132"/>
      <c r="CY1260" s="132"/>
    </row>
    <row r="1261" spans="1:103">
      <c r="A1261" s="132"/>
      <c r="B1261" s="132"/>
      <c r="C1261" s="132"/>
      <c r="D1261" s="132"/>
      <c r="E1261" s="132"/>
      <c r="F1261" s="132"/>
      <c r="G1261" s="132"/>
      <c r="H1261" s="132"/>
      <c r="I1261" s="132"/>
      <c r="J1261" s="132"/>
      <c r="K1261" s="132"/>
      <c r="L1261" s="132"/>
      <c r="M1261" s="132"/>
      <c r="N1261" s="132"/>
      <c r="O1261" s="132"/>
      <c r="P1261" s="132"/>
      <c r="Q1261" s="132"/>
      <c r="R1261" s="132"/>
      <c r="S1261" s="132"/>
      <c r="T1261" s="132"/>
      <c r="U1261" s="132"/>
      <c r="V1261" s="132"/>
      <c r="W1261" s="132"/>
      <c r="X1261" s="132"/>
      <c r="Y1261" s="132"/>
      <c r="Z1261" s="132"/>
      <c r="AA1261" s="132"/>
      <c r="AB1261" s="132"/>
      <c r="AC1261" s="132"/>
      <c r="AD1261" s="132"/>
      <c r="AE1261" s="132"/>
      <c r="AF1261" s="132"/>
      <c r="AG1261" s="132"/>
      <c r="AH1261" s="132"/>
      <c r="AI1261" s="132"/>
      <c r="AJ1261" s="132"/>
      <c r="AK1261" s="132"/>
      <c r="AL1261" s="132"/>
      <c r="AM1261" s="132"/>
      <c r="AN1261" s="132"/>
      <c r="AO1261" s="132"/>
      <c r="AP1261" s="132"/>
      <c r="AQ1261" s="132"/>
      <c r="AR1261" s="132"/>
      <c r="AS1261" s="132"/>
      <c r="AT1261" s="132"/>
      <c r="AU1261" s="132"/>
      <c r="AV1261" s="132"/>
      <c r="AW1261" s="132"/>
      <c r="AX1261" s="132"/>
      <c r="AY1261" s="132"/>
      <c r="AZ1261" s="132"/>
      <c r="BA1261" s="132"/>
      <c r="BB1261" s="132"/>
      <c r="BC1261" s="132"/>
      <c r="BD1261" s="132"/>
      <c r="BE1261" s="132"/>
      <c r="BF1261" s="132"/>
      <c r="BG1261" s="132"/>
      <c r="BH1261" s="132"/>
      <c r="BI1261" s="132"/>
      <c r="BJ1261" s="132"/>
      <c r="BK1261" s="132"/>
      <c r="BL1261" s="132"/>
      <c r="BM1261" s="132"/>
      <c r="BN1261" s="132"/>
      <c r="BO1261" s="132"/>
      <c r="BP1261" s="132"/>
      <c r="BQ1261" s="132"/>
      <c r="BR1261" s="132"/>
      <c r="BS1261" s="132"/>
      <c r="BT1261" s="132"/>
      <c r="BU1261" s="132"/>
      <c r="BV1261" s="132"/>
      <c r="BW1261" s="132"/>
      <c r="BX1261" s="132"/>
      <c r="BY1261" s="132"/>
      <c r="BZ1261" s="132"/>
      <c r="CA1261" s="132"/>
      <c r="CB1261" s="132"/>
      <c r="CC1261" s="132"/>
      <c r="CD1261" s="132"/>
      <c r="CE1261" s="132"/>
      <c r="CF1261" s="132"/>
      <c r="CG1261" s="132"/>
      <c r="CH1261" s="132"/>
      <c r="CI1261" s="132"/>
      <c r="CJ1261" s="132"/>
      <c r="CK1261" s="132"/>
      <c r="CL1261" s="132"/>
      <c r="CM1261" s="132"/>
      <c r="CN1261" s="132"/>
      <c r="CO1261" s="132"/>
      <c r="CP1261" s="132"/>
      <c r="CQ1261" s="132"/>
      <c r="CR1261" s="132"/>
      <c r="CS1261" s="132"/>
      <c r="CT1261" s="132"/>
      <c r="CU1261" s="132"/>
      <c r="CV1261" s="132"/>
      <c r="CW1261" s="132"/>
      <c r="CX1261" s="132"/>
      <c r="CY1261" s="132"/>
    </row>
  </sheetData>
  <autoFilter ref="B172:E187" xr:uid="{D4BEEAF9-A607-4F15-A1B8-F970DE53F750}"/>
  <mergeCells count="27">
    <mergeCell ref="B221:I221"/>
    <mergeCell ref="U3:X3"/>
    <mergeCell ref="O3:Q3"/>
    <mergeCell ref="U96:X96"/>
    <mergeCell ref="I76:K76"/>
    <mergeCell ref="O76:Q76"/>
    <mergeCell ref="U76:X76"/>
    <mergeCell ref="I96:L96"/>
    <mergeCell ref="U64:X64"/>
    <mergeCell ref="I64:K64"/>
    <mergeCell ref="O64:Q64"/>
    <mergeCell ref="B3:D3"/>
    <mergeCell ref="B64:D64"/>
    <mergeCell ref="B124:F124"/>
    <mergeCell ref="B171:E171"/>
    <mergeCell ref="B96:D96"/>
    <mergeCell ref="B52:D52"/>
    <mergeCell ref="B138:I138"/>
    <mergeCell ref="I3:K3"/>
    <mergeCell ref="B109:D109"/>
    <mergeCell ref="B76:D76"/>
    <mergeCell ref="O191:Q191"/>
    <mergeCell ref="U191:X191"/>
    <mergeCell ref="B203:E203"/>
    <mergeCell ref="B212:E212"/>
    <mergeCell ref="B191:D191"/>
    <mergeCell ref="I191:K191"/>
  </mergeCells>
  <phoneticPr fontId="0" type="noConversion"/>
  <conditionalFormatting sqref="E196:F200 B213:D213 B201:E212 B214:F65536 A261:CY1261 C222:I252 A221:B252 B224:I224 U196:AR272 E183 G189:X189 E189:F192 G196:X65536 T190:X195 G170:T195 E170:E172 E139:I169 C139:D200 G2:H63 C123:F123 B119:F122 F125 B108:M108 E109:F110 B105:F107 S105:S107 B87:F95 E96:F97 Q87:Q97 I96:L107 M87:M107 O105:Q107 N108:T136 G109:M136 L87:L95 L75:M77 T75:T107 P75:P104 N75:N107 G75:H107 O75:O97 E71:F77 K71:M74 Q71:Q77 L64:M65 K65:K70 J65:J74 G64:I74 G1:IV1 L2:M4 E1:F4 A1:A201 Q2:Q4 K47:M63 E59:F65 Q47:Q65 U75:X195 C125:E136 F136 B123:B200 C137:I137 J137:T169 R2:R107 N2:P74 K4:K46 C1:D51 B2:B51 J4:J63 I3:I63 T2:X74 AB2:IV65536 Y2:AA151 Y154:AA65536 B141:I141 B3:D3 I2:K3 S2:S4 O3:Q3 B52:D86 B96:D104 B109:D118 I75:K95 O64:Q64 O76:Q76 S47:S65 S71:S77 S87:S97 I64:K64 AK1:DU1154 F170:F214 E47:F53">
    <cfRule type="cellIs" dxfId="16" priority="26" stopIfTrue="1" operator="lessThan">
      <formula>0</formula>
    </cfRule>
  </conditionalFormatting>
  <conditionalFormatting sqref="E213 E193:E195 E66:E70 E54:E58 E5:E46 E173:E174">
    <cfRule type="cellIs" dxfId="15" priority="27" stopIfTrue="1" operator="greaterThan">
      <formula>0</formula>
    </cfRule>
  </conditionalFormatting>
  <conditionalFormatting sqref="E214 E178:E179 F194:F195 F111:F118 F67:F70 F55:F58 F6:F46">
    <cfRule type="cellIs" dxfId="14" priority="28" stopIfTrue="1" operator="greaterThan">
      <formula>0</formula>
    </cfRule>
  </conditionalFormatting>
  <conditionalFormatting sqref="E216 E182 O98:O104 S98:S104 S78:S86">
    <cfRule type="cellIs" dxfId="13" priority="29" stopIfTrue="1" operator="greaterThan">
      <formula>0</formula>
    </cfRule>
  </conditionalFormatting>
  <conditionalFormatting sqref="E218 Q193:Q195 E187:E197 Q98:Q104 Q78:Q86 Q66:Q70 Q5:Q46">
    <cfRule type="cellIs" dxfId="12" priority="30" stopIfTrue="1" operator="greaterThan">
      <formula>0</formula>
    </cfRule>
  </conditionalFormatting>
  <conditionalFormatting sqref="E186 F126:F135">
    <cfRule type="cellIs" dxfId="11" priority="31" stopIfTrue="1" operator="greaterThan">
      <formula>0</formula>
    </cfRule>
  </conditionalFormatting>
  <conditionalFormatting sqref="E176 L78:L86">
    <cfRule type="cellIs" dxfId="10" priority="32" stopIfTrue="1" operator="greaterThan">
      <formula>0</formula>
    </cfRule>
  </conditionalFormatting>
  <conditionalFormatting sqref="E181 M78:M86">
    <cfRule type="cellIs" dxfId="9" priority="33" stopIfTrue="1" operator="greaterThan">
      <formula>0</formula>
    </cfRule>
  </conditionalFormatting>
  <conditionalFormatting sqref="E215 E180 M193:M195 F78:F86 M66:M70 M5:M46">
    <cfRule type="cellIs" dxfId="8" priority="34" stopIfTrue="1" operator="greaterThan">
      <formula>0</formula>
    </cfRule>
  </conditionalFormatting>
  <conditionalFormatting sqref="E184 F98:F104">
    <cfRule type="cellIs" dxfId="7" priority="35" stopIfTrue="1" operator="greaterThan">
      <formula>0</formula>
    </cfRule>
  </conditionalFormatting>
  <conditionalFormatting sqref="E175 L193:L195 L66:L70 L5:L46">
    <cfRule type="cellIs" dxfId="6" priority="36" stopIfTrue="1" operator="greaterThan">
      <formula>0</formula>
    </cfRule>
  </conditionalFormatting>
  <conditionalFormatting sqref="E205 E177">
    <cfRule type="cellIs" dxfId="5" priority="37" stopIfTrue="1" operator="greaterThan">
      <formula>0</formula>
    </cfRule>
  </conditionalFormatting>
  <conditionalFormatting sqref="E185 E111:E118">
    <cfRule type="cellIs" dxfId="4" priority="38" stopIfTrue="1" operator="greaterThan">
      <formula>0</formula>
    </cfRule>
  </conditionalFormatting>
  <conditionalFormatting sqref="E98:E104">
    <cfRule type="cellIs" dxfId="3" priority="39" stopIfTrue="1" operator="greaterThan">
      <formula>0</formula>
    </cfRule>
  </conditionalFormatting>
  <conditionalFormatting sqref="E78:E86">
    <cfRule type="cellIs" dxfId="2" priority="40" stopIfTrue="1" operator="greaterThan">
      <formula>0</formula>
    </cfRule>
  </conditionalFormatting>
  <conditionalFormatting sqref="F193 F66 F5 F54">
    <cfRule type="cellIs" dxfId="1" priority="41" stopIfTrue="1" operator="greaterThan">
      <formula>0</formula>
    </cfRule>
  </conditionalFormatting>
  <conditionalFormatting sqref="S193:S195 S66:S70 S5:S46">
    <cfRule type="cellIs" dxfId="0" priority="42" stopIfTrue="1" operator="greaterThan">
      <formula>0</formula>
    </cfRule>
  </conditionalFormatting>
  <pageMargins left="0.75" right="0.75" top="1" bottom="1" header="0" footer="0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9FD4-7D36-42F2-AD30-6FFFB247E92E}">
  <sheetPr codeName="Hoja12"/>
  <dimension ref="B2:Q49"/>
  <sheetViews>
    <sheetView workbookViewId="0">
      <selection activeCell="C19" sqref="C19"/>
    </sheetView>
  </sheetViews>
  <sheetFormatPr baseColWidth="10" defaultColWidth="11.44140625" defaultRowHeight="13.2"/>
  <cols>
    <col min="1" max="1" width="11.44140625" style="168"/>
    <col min="2" max="2" width="6.33203125" style="168" customWidth="1"/>
    <col min="3" max="3" width="7.109375" style="168" customWidth="1"/>
    <col min="4" max="11" width="7.6640625" style="168" customWidth="1"/>
    <col min="12" max="16" width="11.44140625" style="168"/>
    <col min="17" max="17" width="47.6640625" style="168" customWidth="1"/>
    <col min="18" max="16384" width="11.44140625" style="168"/>
  </cols>
  <sheetData>
    <row r="2" spans="2:13">
      <c r="B2" s="180">
        <v>124</v>
      </c>
      <c r="C2" s="167"/>
    </row>
    <row r="3" spans="2:13">
      <c r="C3" s="167" t="s">
        <v>280</v>
      </c>
    </row>
    <row r="4" spans="2:13">
      <c r="B4" s="169" t="s">
        <v>47</v>
      </c>
      <c r="C4" s="170"/>
      <c r="D4" s="171"/>
      <c r="E4" s="171"/>
      <c r="F4" s="171"/>
      <c r="G4" s="171"/>
      <c r="H4" s="171"/>
      <c r="I4" s="171"/>
      <c r="J4" s="171"/>
      <c r="K4" s="171"/>
      <c r="L4" s="172">
        <f t="shared" ref="L4:L15" si="0">SUM(C4:K4)</f>
        <v>0</v>
      </c>
      <c r="M4" s="167" t="s">
        <v>423</v>
      </c>
    </row>
    <row r="5" spans="2:13">
      <c r="B5" s="173" t="s">
        <v>48</v>
      </c>
      <c r="C5" s="174"/>
      <c r="D5" s="174"/>
      <c r="E5" s="174"/>
      <c r="F5" s="174"/>
      <c r="G5" s="174"/>
      <c r="H5" s="174"/>
      <c r="I5" s="174"/>
      <c r="J5" s="174"/>
      <c r="K5" s="174"/>
      <c r="L5" s="175">
        <f t="shared" si="0"/>
        <v>0</v>
      </c>
      <c r="M5" s="167" t="s">
        <v>431</v>
      </c>
    </row>
    <row r="6" spans="2:13" hidden="1">
      <c r="B6" s="173" t="s">
        <v>49</v>
      </c>
      <c r="C6" s="174"/>
      <c r="D6" s="174"/>
      <c r="E6" s="174"/>
      <c r="F6" s="174"/>
      <c r="G6" s="174"/>
      <c r="H6" s="174"/>
      <c r="I6" s="174"/>
      <c r="J6" s="174"/>
      <c r="K6" s="174"/>
      <c r="L6" s="175">
        <f t="shared" si="0"/>
        <v>0</v>
      </c>
      <c r="M6" s="167"/>
    </row>
    <row r="7" spans="2:13" hidden="1">
      <c r="B7" s="173" t="s">
        <v>50</v>
      </c>
      <c r="C7" s="174"/>
      <c r="D7" s="174"/>
      <c r="E7" s="174"/>
      <c r="F7" s="174"/>
      <c r="G7" s="174"/>
      <c r="H7" s="174"/>
      <c r="I7" s="174"/>
      <c r="J7" s="174"/>
      <c r="K7" s="174"/>
      <c r="L7" s="175">
        <f t="shared" si="0"/>
        <v>0</v>
      </c>
      <c r="M7" s="167"/>
    </row>
    <row r="8" spans="2:13" hidden="1">
      <c r="B8" s="173" t="s">
        <v>142</v>
      </c>
      <c r="C8" s="174"/>
      <c r="D8" s="174"/>
      <c r="E8" s="174"/>
      <c r="F8" s="174"/>
      <c r="G8" s="174"/>
      <c r="H8" s="174"/>
      <c r="I8" s="174"/>
      <c r="J8" s="174"/>
      <c r="K8" s="174"/>
      <c r="L8" s="175">
        <f t="shared" si="0"/>
        <v>0</v>
      </c>
      <c r="M8" s="167"/>
    </row>
    <row r="9" spans="2:13" hidden="1">
      <c r="B9" s="173" t="s">
        <v>143</v>
      </c>
      <c r="C9" s="174"/>
      <c r="D9" s="174"/>
      <c r="E9" s="174"/>
      <c r="F9" s="174"/>
      <c r="G9" s="174"/>
      <c r="H9" s="174"/>
      <c r="I9" s="174"/>
      <c r="J9" s="174"/>
      <c r="K9" s="174"/>
      <c r="L9" s="175">
        <f t="shared" si="0"/>
        <v>0</v>
      </c>
      <c r="M9" s="167"/>
    </row>
    <row r="10" spans="2:13" hidden="1">
      <c r="B10" s="173" t="s">
        <v>144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5">
        <f t="shared" si="0"/>
        <v>0</v>
      </c>
      <c r="M10" s="167"/>
    </row>
    <row r="11" spans="2:13" hidden="1">
      <c r="B11" s="173" t="s">
        <v>145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5">
        <f t="shared" si="0"/>
        <v>0</v>
      </c>
      <c r="M11" s="167"/>
    </row>
    <row r="12" spans="2:13" hidden="1">
      <c r="B12" s="173" t="s">
        <v>256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5">
        <f t="shared" si="0"/>
        <v>0</v>
      </c>
      <c r="M12" s="167"/>
    </row>
    <row r="13" spans="2:13" hidden="1">
      <c r="B13" s="173" t="s">
        <v>257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5">
        <f t="shared" si="0"/>
        <v>0</v>
      </c>
      <c r="M13" s="167"/>
    </row>
    <row r="14" spans="2:13" hidden="1">
      <c r="B14" s="173" t="s">
        <v>258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5">
        <f t="shared" si="0"/>
        <v>0</v>
      </c>
      <c r="M14" s="167"/>
    </row>
    <row r="15" spans="2:13" hidden="1">
      <c r="B15" s="176" t="s">
        <v>259</v>
      </c>
      <c r="C15" s="177"/>
      <c r="D15" s="177"/>
      <c r="E15" s="177"/>
      <c r="F15" s="177"/>
      <c r="G15" s="177"/>
      <c r="H15" s="177"/>
      <c r="I15" s="177"/>
      <c r="J15" s="177"/>
      <c r="K15" s="177"/>
      <c r="L15" s="178">
        <f t="shared" si="0"/>
        <v>0</v>
      </c>
      <c r="M15" s="167"/>
    </row>
    <row r="16" spans="2:13" ht="13.8" thickBot="1">
      <c r="L16" s="179">
        <f>SUM(L4:L15)</f>
        <v>0</v>
      </c>
    </row>
    <row r="17" spans="2:17" ht="13.8" thickTop="1">
      <c r="B17" s="180" t="s">
        <v>281</v>
      </c>
      <c r="C17" s="167"/>
    </row>
    <row r="18" spans="2:17">
      <c r="C18" s="167" t="s">
        <v>280</v>
      </c>
      <c r="P18" s="376" t="s">
        <v>396</v>
      </c>
      <c r="Q18" s="376" t="s">
        <v>397</v>
      </c>
    </row>
    <row r="19" spans="2:17">
      <c r="B19" s="169" t="s">
        <v>47</v>
      </c>
      <c r="C19" s="170">
        <f>+C4</f>
        <v>0</v>
      </c>
      <c r="D19" s="171"/>
      <c r="E19" s="171"/>
      <c r="F19" s="171"/>
      <c r="G19" s="171"/>
      <c r="H19" s="171"/>
      <c r="I19" s="171"/>
      <c r="J19" s="171"/>
      <c r="K19" s="171"/>
      <c r="L19" s="172">
        <f t="shared" ref="L19:L30" si="1">SUM(C19:K19)</f>
        <v>0</v>
      </c>
      <c r="M19" s="167"/>
      <c r="P19" s="375">
        <v>1</v>
      </c>
      <c r="Q19" s="376" t="s">
        <v>425</v>
      </c>
    </row>
    <row r="20" spans="2:17">
      <c r="B20" s="173" t="s">
        <v>48</v>
      </c>
      <c r="C20" s="174">
        <f>+D4</f>
        <v>0</v>
      </c>
      <c r="D20" s="174"/>
      <c r="E20" s="174"/>
      <c r="F20" s="174"/>
      <c r="G20" s="174"/>
      <c r="H20" s="174"/>
      <c r="I20" s="174"/>
      <c r="J20" s="174"/>
      <c r="K20" s="174"/>
      <c r="L20" s="175">
        <f t="shared" si="1"/>
        <v>0</v>
      </c>
      <c r="M20" s="167"/>
      <c r="P20" s="375">
        <v>2</v>
      </c>
      <c r="Q20" s="376" t="s">
        <v>426</v>
      </c>
    </row>
    <row r="21" spans="2:17">
      <c r="B21" s="173" t="s">
        <v>49</v>
      </c>
      <c r="C21" s="174">
        <f>+E4</f>
        <v>0</v>
      </c>
      <c r="D21" s="174"/>
      <c r="E21" s="174"/>
      <c r="F21" s="174"/>
      <c r="G21" s="174"/>
      <c r="H21" s="174"/>
      <c r="I21" s="174"/>
      <c r="J21" s="174"/>
      <c r="K21" s="174"/>
      <c r="L21" s="175">
        <f t="shared" si="1"/>
        <v>0</v>
      </c>
      <c r="M21" s="167"/>
      <c r="P21" s="375">
        <v>3</v>
      </c>
      <c r="Q21" s="376" t="s">
        <v>427</v>
      </c>
    </row>
    <row r="22" spans="2:17">
      <c r="B22" s="173" t="s">
        <v>50</v>
      </c>
      <c r="C22" s="174">
        <f>+F4</f>
        <v>0</v>
      </c>
      <c r="D22" s="174"/>
      <c r="E22" s="174"/>
      <c r="F22" s="174"/>
      <c r="G22" s="174"/>
      <c r="H22" s="174"/>
      <c r="I22" s="174"/>
      <c r="J22" s="174"/>
      <c r="K22" s="174"/>
      <c r="L22" s="175">
        <f t="shared" si="1"/>
        <v>0</v>
      </c>
      <c r="M22" s="167"/>
      <c r="P22" s="375">
        <v>4</v>
      </c>
      <c r="Q22" s="376" t="s">
        <v>428</v>
      </c>
    </row>
    <row r="23" spans="2:17">
      <c r="B23" s="173" t="s">
        <v>142</v>
      </c>
      <c r="C23" s="174">
        <f>+G4</f>
        <v>0</v>
      </c>
      <c r="D23" s="174"/>
      <c r="E23" s="174"/>
      <c r="F23" s="174"/>
      <c r="G23" s="174"/>
      <c r="H23" s="174"/>
      <c r="I23" s="174"/>
      <c r="J23" s="174"/>
      <c r="K23" s="174"/>
      <c r="L23" s="175">
        <f t="shared" si="1"/>
        <v>0</v>
      </c>
      <c r="M23" s="167"/>
      <c r="P23" s="375">
        <v>5</v>
      </c>
      <c r="Q23" s="376" t="s">
        <v>429</v>
      </c>
    </row>
    <row r="24" spans="2:17">
      <c r="B24" s="173" t="s">
        <v>143</v>
      </c>
      <c r="C24" s="174">
        <f>+H4</f>
        <v>0</v>
      </c>
      <c r="D24" s="174"/>
      <c r="E24" s="174"/>
      <c r="F24" s="174"/>
      <c r="G24" s="174"/>
      <c r="H24" s="174"/>
      <c r="I24" s="174"/>
      <c r="J24" s="174"/>
      <c r="K24" s="174"/>
      <c r="L24" s="175">
        <f t="shared" si="1"/>
        <v>0</v>
      </c>
      <c r="M24" s="167"/>
      <c r="P24" s="375">
        <v>6</v>
      </c>
      <c r="Q24" s="376" t="s">
        <v>398</v>
      </c>
    </row>
    <row r="25" spans="2:17">
      <c r="B25" s="173" t="s">
        <v>144</v>
      </c>
      <c r="C25" s="174">
        <f>+I4</f>
        <v>0</v>
      </c>
      <c r="D25" s="174"/>
      <c r="E25" s="174"/>
      <c r="F25" s="174"/>
      <c r="G25" s="174"/>
      <c r="H25" s="174"/>
      <c r="I25" s="174"/>
      <c r="J25" s="174"/>
      <c r="K25" s="174"/>
      <c r="L25" s="175">
        <f t="shared" si="1"/>
        <v>0</v>
      </c>
      <c r="M25" s="167"/>
    </row>
    <row r="26" spans="2:17">
      <c r="B26" s="173" t="s">
        <v>145</v>
      </c>
      <c r="C26" s="174">
        <f>+J4</f>
        <v>0</v>
      </c>
      <c r="D26" s="174"/>
      <c r="E26" s="174"/>
      <c r="F26" s="174"/>
      <c r="G26" s="174"/>
      <c r="H26" s="174"/>
      <c r="I26" s="174"/>
      <c r="J26" s="174"/>
      <c r="K26" s="174"/>
      <c r="L26" s="175">
        <f t="shared" si="1"/>
        <v>0</v>
      </c>
      <c r="M26" s="167"/>
    </row>
    <row r="27" spans="2:17">
      <c r="B27" s="173" t="s">
        <v>256</v>
      </c>
      <c r="C27" s="174">
        <f>+K4</f>
        <v>0</v>
      </c>
      <c r="D27" s="174"/>
      <c r="E27" s="174"/>
      <c r="F27" s="174"/>
      <c r="G27" s="174"/>
      <c r="H27" s="174"/>
      <c r="I27" s="174"/>
      <c r="J27" s="174"/>
      <c r="K27" s="174"/>
      <c r="L27" s="175">
        <f t="shared" si="1"/>
        <v>0</v>
      </c>
      <c r="M27" s="167"/>
    </row>
    <row r="28" spans="2:17">
      <c r="B28" s="173" t="s">
        <v>257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5">
        <f t="shared" si="1"/>
        <v>0</v>
      </c>
      <c r="M28" s="167"/>
    </row>
    <row r="29" spans="2:17">
      <c r="B29" s="173" t="s">
        <v>258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5">
        <f t="shared" si="1"/>
        <v>0</v>
      </c>
      <c r="M29" s="167"/>
    </row>
    <row r="30" spans="2:17">
      <c r="B30" s="176" t="s">
        <v>259</v>
      </c>
      <c r="C30" s="177"/>
      <c r="D30" s="177"/>
      <c r="E30" s="177"/>
      <c r="F30" s="177"/>
      <c r="G30" s="177"/>
      <c r="H30" s="177"/>
      <c r="I30" s="177"/>
      <c r="J30" s="177"/>
      <c r="K30" s="177"/>
      <c r="L30" s="178">
        <f t="shared" si="1"/>
        <v>0</v>
      </c>
      <c r="M30" s="167"/>
    </row>
    <row r="31" spans="2:17" ht="13.8" thickBot="1">
      <c r="L31" s="179">
        <f>SUM(L19:L30)</f>
        <v>0</v>
      </c>
      <c r="M31" s="179">
        <v>6</v>
      </c>
      <c r="N31" s="179">
        <f>+(M31*L31)</f>
        <v>0</v>
      </c>
    </row>
    <row r="32" spans="2:17" ht="13.8" thickTop="1">
      <c r="B32" s="180" t="s">
        <v>282</v>
      </c>
      <c r="C32" s="167"/>
      <c r="N32" s="168">
        <v>-100</v>
      </c>
    </row>
    <row r="33" spans="2:14">
      <c r="C33" s="167" t="s">
        <v>280</v>
      </c>
      <c r="N33" s="362">
        <f>+N32+N31</f>
        <v>-100</v>
      </c>
    </row>
    <row r="34" spans="2:14">
      <c r="B34" s="169" t="s">
        <v>47</v>
      </c>
      <c r="C34" s="170"/>
      <c r="D34" s="171"/>
      <c r="E34" s="171"/>
      <c r="F34" s="171"/>
      <c r="G34" s="171"/>
      <c r="H34" s="171"/>
      <c r="I34" s="171"/>
      <c r="J34" s="171"/>
      <c r="K34" s="171"/>
      <c r="L34" s="172">
        <f t="shared" ref="L34:L45" si="2">SUM(C34:K34)</f>
        <v>0</v>
      </c>
      <c r="M34" s="167"/>
    </row>
    <row r="35" spans="2:14">
      <c r="B35" s="173" t="s">
        <v>48</v>
      </c>
      <c r="C35" s="174"/>
      <c r="D35" s="174"/>
      <c r="E35" s="174"/>
      <c r="F35" s="174"/>
      <c r="G35" s="174"/>
      <c r="H35" s="174"/>
      <c r="I35" s="174"/>
      <c r="J35" s="174"/>
      <c r="K35" s="174"/>
      <c r="L35" s="175">
        <f t="shared" si="2"/>
        <v>0</v>
      </c>
      <c r="M35" s="167"/>
    </row>
    <row r="36" spans="2:14">
      <c r="B36" s="173" t="s">
        <v>49</v>
      </c>
      <c r="C36" s="174"/>
      <c r="D36" s="174"/>
      <c r="E36" s="174"/>
      <c r="F36" s="174"/>
      <c r="G36" s="174"/>
      <c r="H36" s="174"/>
      <c r="I36" s="174"/>
      <c r="J36" s="174"/>
      <c r="K36" s="174"/>
      <c r="L36" s="175">
        <f t="shared" si="2"/>
        <v>0</v>
      </c>
      <c r="M36" s="167"/>
    </row>
    <row r="37" spans="2:14">
      <c r="B37" s="173" t="s">
        <v>50</v>
      </c>
      <c r="C37" s="174"/>
      <c r="D37" s="174"/>
      <c r="E37" s="174"/>
      <c r="F37" s="174"/>
      <c r="G37" s="174"/>
      <c r="H37" s="174"/>
      <c r="I37" s="174"/>
      <c r="J37" s="174"/>
      <c r="K37" s="174"/>
      <c r="L37" s="175">
        <f t="shared" si="2"/>
        <v>0</v>
      </c>
      <c r="M37" s="167"/>
    </row>
    <row r="38" spans="2:14">
      <c r="B38" s="173" t="s">
        <v>142</v>
      </c>
      <c r="C38" s="174"/>
      <c r="D38" s="174"/>
      <c r="E38" s="174"/>
      <c r="F38" s="174"/>
      <c r="G38" s="174"/>
      <c r="H38" s="174"/>
      <c r="I38" s="174"/>
      <c r="J38" s="174"/>
      <c r="K38" s="174"/>
      <c r="L38" s="175">
        <f t="shared" si="2"/>
        <v>0</v>
      </c>
      <c r="M38" s="167"/>
    </row>
    <row r="39" spans="2:14">
      <c r="B39" s="173" t="s">
        <v>143</v>
      </c>
      <c r="C39" s="174"/>
      <c r="D39" s="174"/>
      <c r="E39" s="174"/>
      <c r="F39" s="174"/>
      <c r="G39" s="174"/>
      <c r="H39" s="174"/>
      <c r="I39" s="174"/>
      <c r="J39" s="174"/>
      <c r="K39" s="174"/>
      <c r="L39" s="175">
        <f t="shared" si="2"/>
        <v>0</v>
      </c>
      <c r="M39" s="167"/>
    </row>
    <row r="40" spans="2:14">
      <c r="B40" s="173" t="s">
        <v>144</v>
      </c>
      <c r="C40" s="174"/>
      <c r="D40" s="174"/>
      <c r="E40" s="174"/>
      <c r="F40" s="174"/>
      <c r="G40" s="174"/>
      <c r="H40" s="174"/>
      <c r="I40" s="174"/>
      <c r="J40" s="174"/>
      <c r="K40" s="174"/>
      <c r="L40" s="175">
        <f t="shared" si="2"/>
        <v>0</v>
      </c>
      <c r="M40" s="167"/>
    </row>
    <row r="41" spans="2:14">
      <c r="B41" s="173" t="s">
        <v>145</v>
      </c>
      <c r="C41" s="174"/>
      <c r="D41" s="174"/>
      <c r="E41" s="174"/>
      <c r="F41" s="174"/>
      <c r="G41" s="174"/>
      <c r="H41" s="174"/>
      <c r="I41" s="174"/>
      <c r="J41" s="174"/>
      <c r="K41" s="174"/>
      <c r="L41" s="175">
        <f t="shared" si="2"/>
        <v>0</v>
      </c>
      <c r="M41" s="167"/>
    </row>
    <row r="42" spans="2:14">
      <c r="B42" s="173" t="s">
        <v>256</v>
      </c>
      <c r="C42" s="174"/>
      <c r="D42" s="174"/>
      <c r="E42" s="174"/>
      <c r="F42" s="174"/>
      <c r="G42" s="174"/>
      <c r="H42" s="174"/>
      <c r="I42" s="174"/>
      <c r="J42" s="174"/>
      <c r="K42" s="174"/>
      <c r="L42" s="175">
        <f t="shared" si="2"/>
        <v>0</v>
      </c>
      <c r="M42" s="167"/>
    </row>
    <row r="43" spans="2:14">
      <c r="B43" s="173" t="s">
        <v>257</v>
      </c>
      <c r="C43" s="174"/>
      <c r="D43" s="174"/>
      <c r="E43" s="174"/>
      <c r="F43" s="174"/>
      <c r="G43" s="174"/>
      <c r="H43" s="174"/>
      <c r="I43" s="174"/>
      <c r="J43" s="174"/>
      <c r="K43" s="174"/>
      <c r="L43" s="175">
        <f t="shared" si="2"/>
        <v>0</v>
      </c>
      <c r="M43" s="167"/>
    </row>
    <row r="44" spans="2:14">
      <c r="B44" s="173" t="s">
        <v>258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5">
        <f t="shared" si="2"/>
        <v>0</v>
      </c>
      <c r="M44" s="167"/>
    </row>
    <row r="45" spans="2:14">
      <c r="B45" s="176" t="s">
        <v>259</v>
      </c>
      <c r="C45" s="177"/>
      <c r="D45" s="177"/>
      <c r="E45" s="177"/>
      <c r="F45" s="177"/>
      <c r="G45" s="177"/>
      <c r="H45" s="177"/>
      <c r="I45" s="177"/>
      <c r="J45" s="177"/>
      <c r="K45" s="177"/>
      <c r="L45" s="178">
        <f t="shared" si="2"/>
        <v>0</v>
      </c>
      <c r="M45" s="167"/>
    </row>
    <row r="46" spans="2:14" ht="13.8" thickBot="1">
      <c r="L46" s="179">
        <f>SUM(L34:L45)</f>
        <v>0</v>
      </c>
    </row>
    <row r="47" spans="2:14" ht="7.5" customHeight="1" thickTop="1"/>
    <row r="48" spans="2:14" ht="13.8" thickBot="1">
      <c r="L48" s="179">
        <f>L31+L46</f>
        <v>0</v>
      </c>
    </row>
    <row r="49" ht="13.8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Caratula </vt:lpstr>
      <vt:lpstr>MATERIAL</vt:lpstr>
      <vt:lpstr>MANO DE OBRA</vt:lpstr>
      <vt:lpstr>Cables</vt:lpstr>
      <vt:lpstr>Vereda</vt:lpstr>
      <vt:lpstr>Traslado - Acarreo</vt:lpstr>
      <vt:lpstr>MATERIAL!Área_de_impresión</vt:lpstr>
    </vt:vector>
  </TitlesOfParts>
  <Company>Tecsur S.A.A.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jrodrigo</dc:creator>
  <cp:lastModifiedBy>Alexander Argandoña</cp:lastModifiedBy>
  <cp:lastPrinted>2026-03-24T15:22:27Z</cp:lastPrinted>
  <dcterms:created xsi:type="dcterms:W3CDTF">2002-06-22T22:40:17Z</dcterms:created>
  <dcterms:modified xsi:type="dcterms:W3CDTF">2026-09-24T16:45:58Z</dcterms:modified>
</cp:coreProperties>
</file>